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13_ncr:1_{8A9B593C-74E1-4A5B-99CB-EBD33A3B6DD9}" xr6:coauthVersionLast="47" xr6:coauthVersionMax="47" xr10:uidLastSave="{00000000-0000-0000-0000-000000000000}"/>
  <bookViews>
    <workbookView xWindow="3480" yWindow="1050" windowWidth="24795" windowHeight="14970" firstSheet="4" activeTab="9" xr2:uid="{C88B7BC2-1FA2-4EC9-B5D3-4B4FB95CF322}"/>
  </bookViews>
  <sheets>
    <sheet name="SBO" sheetId="1" r:id="rId1"/>
    <sheet name="CO" sheetId="2" r:id="rId2"/>
    <sheet name="UCO" sheetId="3" r:id="rId3"/>
    <sheet name="DCO" sheetId="4" r:id="rId4"/>
    <sheet name="Tallow" sheetId="5" r:id="rId5"/>
    <sheet name="Credit Values" sheetId="6" r:id="rId6"/>
    <sheet name="HRD" sheetId="7" r:id="rId7"/>
    <sheet name="Jet Fuel" sheetId="8" r:id="rId8"/>
    <sheet name="Biomass-Based Diesel-SAF" sheetId="9" r:id="rId9"/>
    <sheet name="SAF" sheetId="10" r:id="rId10"/>
  </sheets>
  <externalReferences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0" l="1"/>
  <c r="B70" i="10"/>
  <c r="B71" i="10"/>
  <c r="B72" i="10"/>
  <c r="B73" i="10"/>
  <c r="B74" i="10"/>
  <c r="B75" i="10"/>
  <c r="B68" i="10"/>
  <c r="G96" i="8" l="1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H85" i="8"/>
  <c r="G85" i="8"/>
  <c r="F85" i="8"/>
  <c r="E85" i="8"/>
  <c r="D85" i="8"/>
  <c r="C85" i="8"/>
  <c r="B85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H21" i="8"/>
  <c r="G21" i="8"/>
  <c r="F21" i="8"/>
  <c r="E21" i="8"/>
  <c r="D21" i="8"/>
  <c r="C21" i="8"/>
  <c r="B21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H69" i="9"/>
  <c r="G69" i="9"/>
  <c r="F69" i="9"/>
  <c r="E69" i="9"/>
  <c r="D69" i="9"/>
  <c r="C69" i="9"/>
  <c r="B6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H37" i="9"/>
  <c r="G37" i="9"/>
  <c r="F37" i="9"/>
  <c r="E37" i="9"/>
  <c r="D37" i="9"/>
  <c r="C37" i="9"/>
  <c r="B37" i="9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H53" i="8"/>
  <c r="G53" i="8"/>
  <c r="F53" i="8"/>
  <c r="E53" i="8"/>
  <c r="D53" i="8"/>
  <c r="C53" i="8"/>
  <c r="B53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H37" i="8"/>
  <c r="G37" i="8"/>
  <c r="F37" i="8"/>
  <c r="E37" i="8"/>
  <c r="D37" i="8"/>
  <c r="C37" i="8"/>
  <c r="B37" i="8"/>
  <c r="N75" i="10"/>
  <c r="M75" i="10"/>
  <c r="L75" i="10"/>
  <c r="K75" i="10"/>
  <c r="J75" i="10"/>
  <c r="I75" i="10"/>
  <c r="H75" i="10"/>
  <c r="G75" i="10"/>
  <c r="F75" i="10"/>
  <c r="E75" i="10"/>
  <c r="D75" i="10"/>
  <c r="C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D45" i="10" l="1"/>
  <c r="D64" i="10"/>
  <c r="D63" i="10"/>
  <c r="D56" i="10"/>
  <c r="D54" i="10"/>
  <c r="D53" i="10"/>
  <c r="D52" i="10"/>
  <c r="D51" i="10"/>
  <c r="D50" i="10"/>
  <c r="D49" i="10"/>
  <c r="D48" i="10"/>
  <c r="D47" i="10"/>
  <c r="D46" i="10"/>
  <c r="N64" i="10"/>
  <c r="M64" i="10"/>
  <c r="L64" i="10"/>
  <c r="K64" i="10"/>
  <c r="J64" i="10"/>
  <c r="I64" i="10"/>
  <c r="H64" i="10"/>
  <c r="G64" i="10"/>
  <c r="F64" i="10"/>
  <c r="E64" i="10"/>
  <c r="N63" i="10"/>
  <c r="M63" i="10"/>
  <c r="L63" i="10"/>
  <c r="K63" i="10"/>
  <c r="J63" i="10"/>
  <c r="I63" i="10"/>
  <c r="H63" i="10"/>
  <c r="G63" i="10"/>
  <c r="F63" i="10"/>
  <c r="E63" i="10"/>
  <c r="N62" i="10"/>
  <c r="M62" i="10"/>
  <c r="L62" i="10"/>
  <c r="K62" i="10"/>
  <c r="J62" i="10"/>
  <c r="I62" i="10"/>
  <c r="H62" i="10"/>
  <c r="G62" i="10"/>
  <c r="F62" i="10"/>
  <c r="N59" i="10"/>
  <c r="M59" i="10"/>
  <c r="L59" i="10"/>
  <c r="K59" i="10"/>
  <c r="J59" i="10"/>
  <c r="I59" i="10"/>
  <c r="H59" i="10"/>
  <c r="G59" i="10"/>
  <c r="F59" i="10"/>
  <c r="N58" i="10"/>
  <c r="M58" i="10"/>
  <c r="L58" i="10"/>
  <c r="K58" i="10"/>
  <c r="J58" i="10"/>
  <c r="I58" i="10"/>
  <c r="H58" i="10"/>
  <c r="G58" i="10"/>
  <c r="F58" i="10"/>
  <c r="N57" i="10"/>
  <c r="M57" i="10"/>
  <c r="L57" i="10"/>
  <c r="K57" i="10"/>
  <c r="J57" i="10"/>
  <c r="I57" i="10"/>
  <c r="H57" i="10"/>
  <c r="G57" i="10"/>
  <c r="F57" i="10"/>
  <c r="N56" i="10"/>
  <c r="M56" i="10"/>
  <c r="L56" i="10"/>
  <c r="K56" i="10"/>
  <c r="J56" i="10"/>
  <c r="I56" i="10"/>
  <c r="H56" i="10"/>
  <c r="G56" i="10"/>
  <c r="F56" i="10"/>
  <c r="E56" i="10"/>
  <c r="N55" i="10"/>
  <c r="M55" i="10"/>
  <c r="L55" i="10"/>
  <c r="K55" i="10"/>
  <c r="J55" i="10"/>
  <c r="I55" i="10"/>
  <c r="H55" i="10"/>
  <c r="G55" i="10"/>
  <c r="F55" i="10"/>
  <c r="E55" i="10"/>
  <c r="N54" i="10"/>
  <c r="M54" i="10"/>
  <c r="L54" i="10"/>
  <c r="K54" i="10"/>
  <c r="J54" i="10"/>
  <c r="I54" i="10"/>
  <c r="H54" i="10"/>
  <c r="G54" i="10"/>
  <c r="F54" i="10"/>
  <c r="E54" i="10"/>
  <c r="N53" i="10"/>
  <c r="M53" i="10"/>
  <c r="L53" i="10"/>
  <c r="K53" i="10"/>
  <c r="J53" i="10"/>
  <c r="I53" i="10"/>
  <c r="H53" i="10"/>
  <c r="G53" i="10"/>
  <c r="F53" i="10"/>
  <c r="E53" i="10"/>
  <c r="N52" i="10"/>
  <c r="M52" i="10"/>
  <c r="L52" i="10"/>
  <c r="K52" i="10"/>
  <c r="J52" i="10"/>
  <c r="I52" i="10"/>
  <c r="H52" i="10"/>
  <c r="G52" i="10"/>
  <c r="F52" i="10"/>
  <c r="E52" i="10"/>
  <c r="N51" i="10"/>
  <c r="M51" i="10"/>
  <c r="L51" i="10"/>
  <c r="K51" i="10"/>
  <c r="J51" i="10"/>
  <c r="I51" i="10"/>
  <c r="H51" i="10"/>
  <c r="G51" i="10"/>
  <c r="F51" i="10"/>
  <c r="E51" i="10"/>
  <c r="N50" i="10"/>
  <c r="M50" i="10"/>
  <c r="L50" i="10"/>
  <c r="K50" i="10"/>
  <c r="J50" i="10"/>
  <c r="I50" i="10"/>
  <c r="H50" i="10"/>
  <c r="G50" i="10"/>
  <c r="F50" i="10"/>
  <c r="E50" i="10"/>
  <c r="N49" i="10"/>
  <c r="M49" i="10"/>
  <c r="L49" i="10"/>
  <c r="K49" i="10"/>
  <c r="J49" i="10"/>
  <c r="I49" i="10"/>
  <c r="H49" i="10"/>
  <c r="G49" i="10"/>
  <c r="F49" i="10"/>
  <c r="E49" i="10"/>
  <c r="N48" i="10"/>
  <c r="M48" i="10"/>
  <c r="L48" i="10"/>
  <c r="K48" i="10"/>
  <c r="J48" i="10"/>
  <c r="I48" i="10"/>
  <c r="H48" i="10"/>
  <c r="G48" i="10"/>
  <c r="F48" i="10"/>
  <c r="E48" i="10"/>
  <c r="N47" i="10"/>
  <c r="M47" i="10"/>
  <c r="L47" i="10"/>
  <c r="K47" i="10"/>
  <c r="J47" i="10"/>
  <c r="I47" i="10"/>
  <c r="H47" i="10"/>
  <c r="G47" i="10"/>
  <c r="F47" i="10"/>
  <c r="E47" i="10"/>
  <c r="N46" i="10"/>
  <c r="M46" i="10"/>
  <c r="L46" i="10"/>
  <c r="K46" i="10"/>
  <c r="J46" i="10"/>
  <c r="I46" i="10"/>
  <c r="H46" i="10"/>
  <c r="G46" i="10"/>
  <c r="F46" i="10"/>
  <c r="E46" i="10"/>
  <c r="N45" i="10"/>
  <c r="M45" i="10"/>
  <c r="L45" i="10"/>
  <c r="K45" i="10"/>
  <c r="J45" i="10"/>
  <c r="I45" i="10"/>
  <c r="H45" i="10"/>
  <c r="G45" i="10"/>
  <c r="F45" i="10"/>
  <c r="E45" i="10"/>
  <c r="C64" i="10"/>
  <c r="C54" i="10"/>
  <c r="B54" i="10"/>
  <c r="C53" i="10"/>
  <c r="B53" i="10"/>
  <c r="C52" i="10"/>
  <c r="C51" i="10"/>
  <c r="B51" i="10"/>
  <c r="C50" i="10"/>
  <c r="B50" i="10"/>
  <c r="C49" i="10"/>
  <c r="C48" i="10"/>
  <c r="B48" i="10"/>
  <c r="C47" i="10"/>
  <c r="B47" i="10"/>
  <c r="C46" i="10"/>
  <c r="B46" i="10"/>
  <c r="M78" i="10" l="1"/>
  <c r="M80" i="10" s="1"/>
  <c r="J78" i="10"/>
  <c r="J80" i="10" s="1"/>
  <c r="I78" i="10"/>
  <c r="I80" i="10" s="1"/>
  <c r="B76" i="10"/>
  <c r="E78" i="10"/>
  <c r="D78" i="10"/>
  <c r="D80" i="10" s="1"/>
  <c r="C78" i="10"/>
  <c r="B78" i="10"/>
  <c r="E44" i="10"/>
  <c r="D44" i="10"/>
  <c r="D35" i="10" s="1"/>
  <c r="U36" i="10"/>
  <c r="U35" i="10"/>
  <c r="N34" i="10"/>
  <c r="M34" i="10"/>
  <c r="L34" i="10"/>
  <c r="K34" i="10"/>
  <c r="J34" i="10"/>
  <c r="I34" i="10"/>
  <c r="H34" i="10"/>
  <c r="G34" i="10"/>
  <c r="F34" i="10"/>
  <c r="E34" i="10"/>
  <c r="N29" i="10"/>
  <c r="J29" i="10"/>
  <c r="N28" i="10"/>
  <c r="M28" i="10"/>
  <c r="N25" i="10"/>
  <c r="N30" i="10" s="1"/>
  <c r="M25" i="10"/>
  <c r="M30" i="10" s="1"/>
  <c r="I25" i="10"/>
  <c r="D25" i="10"/>
  <c r="D30" i="10" s="1"/>
  <c r="N24" i="10"/>
  <c r="M24" i="10"/>
  <c r="K24" i="10"/>
  <c r="J24" i="10"/>
  <c r="I24" i="10"/>
  <c r="M23" i="10"/>
  <c r="I23" i="10"/>
  <c r="I28" i="10" s="1"/>
  <c r="H23" i="10"/>
  <c r="F23" i="10"/>
  <c r="F28" i="10" s="1"/>
  <c r="E23" i="10"/>
  <c r="D23" i="10"/>
  <c r="D28" i="10" s="1"/>
  <c r="B23" i="10"/>
  <c r="N20" i="10"/>
  <c r="M20" i="10"/>
  <c r="L20" i="10"/>
  <c r="K20" i="10"/>
  <c r="J20" i="10"/>
  <c r="I20" i="10"/>
  <c r="F20" i="10"/>
  <c r="D20" i="10"/>
  <c r="L19" i="10"/>
  <c r="J19" i="10"/>
  <c r="G19" i="10"/>
  <c r="F19" i="10"/>
  <c r="E19" i="10"/>
  <c r="D19" i="10"/>
  <c r="C19" i="10"/>
  <c r="B19" i="10"/>
  <c r="N18" i="10"/>
  <c r="M18" i="10"/>
  <c r="L18" i="10"/>
  <c r="H18" i="10"/>
  <c r="D18" i="10"/>
  <c r="C18" i="10"/>
  <c r="B18" i="10"/>
  <c r="N13" i="10"/>
  <c r="M13" i="10"/>
  <c r="L13" i="10"/>
  <c r="J13" i="10"/>
  <c r="F13" i="10"/>
  <c r="E13" i="10"/>
  <c r="D13" i="10"/>
  <c r="N12" i="10"/>
  <c r="N23" i="10" s="1"/>
  <c r="M12" i="10"/>
  <c r="L12" i="10"/>
  <c r="K12" i="10"/>
  <c r="K25" i="10" s="1"/>
  <c r="K30" i="10" s="1"/>
  <c r="J12" i="10"/>
  <c r="J25" i="10" s="1"/>
  <c r="J30" i="10" s="1"/>
  <c r="I12" i="10"/>
  <c r="H12" i="10"/>
  <c r="H25" i="10" s="1"/>
  <c r="G12" i="10"/>
  <c r="F12" i="10"/>
  <c r="E12" i="10"/>
  <c r="D12" i="10"/>
  <c r="D24" i="10" s="1"/>
  <c r="D29" i="10" s="1"/>
  <c r="C12" i="10"/>
  <c r="B12" i="10"/>
  <c r="N11" i="10"/>
  <c r="N19" i="10" s="1"/>
  <c r="M11" i="10"/>
  <c r="M19" i="10" s="1"/>
  <c r="M29" i="10" s="1"/>
  <c r="L11" i="10"/>
  <c r="K11" i="10"/>
  <c r="K18" i="10" s="1"/>
  <c r="J11" i="10"/>
  <c r="J18" i="10" s="1"/>
  <c r="I11" i="10"/>
  <c r="I18" i="10" s="1"/>
  <c r="H11" i="10"/>
  <c r="G11" i="10"/>
  <c r="F11" i="10"/>
  <c r="F18" i="10" s="1"/>
  <c r="E11" i="10"/>
  <c r="E20" i="10" s="1"/>
  <c r="D11" i="10"/>
  <c r="D34" i="10" s="1"/>
  <c r="C11" i="10"/>
  <c r="B11" i="10"/>
  <c r="B13" i="10" s="1"/>
  <c r="Q81" i="9"/>
  <c r="P81" i="9"/>
  <c r="O81" i="9"/>
  <c r="N81" i="9"/>
  <c r="M81" i="9"/>
  <c r="L81" i="9"/>
  <c r="L70" i="9" s="1"/>
  <c r="K81" i="9"/>
  <c r="J81" i="9"/>
  <c r="I81" i="9"/>
  <c r="H81" i="9"/>
  <c r="P79" i="9"/>
  <c r="J77" i="9"/>
  <c r="H77" i="9"/>
  <c r="Q74" i="9"/>
  <c r="P74" i="9"/>
  <c r="I73" i="9"/>
  <c r="I72" i="9"/>
  <c r="Q71" i="9"/>
  <c r="N71" i="9"/>
  <c r="M71" i="9"/>
  <c r="L71" i="9"/>
  <c r="F81" i="9"/>
  <c r="F10" i="9" s="1"/>
  <c r="E81" i="9"/>
  <c r="E10" i="9" s="1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O65" i="9"/>
  <c r="O7" i="9" s="1"/>
  <c r="O49" i="9" s="1"/>
  <c r="M65" i="9"/>
  <c r="M7" i="9" s="1"/>
  <c r="M49" i="9" s="1"/>
  <c r="K65" i="9"/>
  <c r="P78" i="9" s="1"/>
  <c r="J65" i="9"/>
  <c r="J7" i="9" s="1"/>
  <c r="I65" i="9"/>
  <c r="I7" i="9" s="1"/>
  <c r="I49" i="9" s="1"/>
  <c r="G65" i="9"/>
  <c r="G7" i="9" s="1"/>
  <c r="F65" i="9"/>
  <c r="F7" i="9" s="1"/>
  <c r="B65" i="9"/>
  <c r="B7" i="9" s="1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I46" i="9" s="1"/>
  <c r="C62" i="9"/>
  <c r="B62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R59" i="9"/>
  <c r="Q59" i="9"/>
  <c r="P59" i="9"/>
  <c r="O59" i="9"/>
  <c r="N59" i="9"/>
  <c r="M59" i="9"/>
  <c r="L59" i="9"/>
  <c r="K59" i="9"/>
  <c r="P75" i="9" s="1"/>
  <c r="J59" i="9"/>
  <c r="I59" i="9"/>
  <c r="H59" i="9"/>
  <c r="G59" i="9"/>
  <c r="F59" i="9"/>
  <c r="E59" i="9"/>
  <c r="D59" i="9"/>
  <c r="I75" i="9" s="1"/>
  <c r="C59" i="9"/>
  <c r="B59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H74" i="9" s="1"/>
  <c r="B58" i="9"/>
  <c r="R57" i="9"/>
  <c r="Q57" i="9"/>
  <c r="P57" i="9"/>
  <c r="O57" i="9"/>
  <c r="N57" i="9"/>
  <c r="M57" i="9"/>
  <c r="L57" i="9"/>
  <c r="K57" i="9"/>
  <c r="P73" i="9" s="1"/>
  <c r="J57" i="9"/>
  <c r="I57" i="9"/>
  <c r="H57" i="9"/>
  <c r="G57" i="9"/>
  <c r="F57" i="9"/>
  <c r="E57" i="9"/>
  <c r="D57" i="9"/>
  <c r="C57" i="9"/>
  <c r="B57" i="9"/>
  <c r="R56" i="9"/>
  <c r="Q56" i="9"/>
  <c r="P56" i="9"/>
  <c r="O56" i="9"/>
  <c r="N56" i="9"/>
  <c r="M56" i="9"/>
  <c r="L56" i="9"/>
  <c r="K56" i="9"/>
  <c r="P72" i="9" s="1"/>
  <c r="J56" i="9"/>
  <c r="I56" i="9"/>
  <c r="H56" i="9"/>
  <c r="G56" i="9"/>
  <c r="F56" i="9"/>
  <c r="E56" i="9"/>
  <c r="D56" i="9"/>
  <c r="C56" i="9"/>
  <c r="B56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I71" i="9" s="1"/>
  <c r="C55" i="9"/>
  <c r="B55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R53" i="9"/>
  <c r="R65" i="9" s="1"/>
  <c r="R7" i="9" s="1"/>
  <c r="Q53" i="9"/>
  <c r="Q65" i="9" s="1"/>
  <c r="Q7" i="9" s="1"/>
  <c r="Q49" i="9" s="1"/>
  <c r="P53" i="9"/>
  <c r="P65" i="9" s="1"/>
  <c r="P7" i="9" s="1"/>
  <c r="P49" i="9" s="1"/>
  <c r="O53" i="9"/>
  <c r="N53" i="9"/>
  <c r="N65" i="9" s="1"/>
  <c r="M53" i="9"/>
  <c r="L53" i="9"/>
  <c r="L65" i="9" s="1"/>
  <c r="K53" i="9"/>
  <c r="P69" i="9" s="1"/>
  <c r="P80" i="9" s="1"/>
  <c r="J53" i="9"/>
  <c r="I53" i="9"/>
  <c r="H53" i="9"/>
  <c r="H65" i="9" s="1"/>
  <c r="H7" i="9" s="1"/>
  <c r="H49" i="9" s="1"/>
  <c r="G53" i="9"/>
  <c r="F53" i="9"/>
  <c r="E53" i="9"/>
  <c r="E65" i="9" s="1"/>
  <c r="E7" i="9" s="1"/>
  <c r="D53" i="9"/>
  <c r="D65" i="9" s="1"/>
  <c r="D7" i="9" s="1"/>
  <c r="C53" i="9"/>
  <c r="C65" i="9" s="1"/>
  <c r="B53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J49" i="9"/>
  <c r="Q47" i="9"/>
  <c r="P47" i="9"/>
  <c r="O47" i="9"/>
  <c r="N47" i="9"/>
  <c r="M46" i="9"/>
  <c r="J46" i="9"/>
  <c r="H46" i="9"/>
  <c r="I45" i="9"/>
  <c r="N44" i="9"/>
  <c r="J44" i="9"/>
  <c r="N43" i="9"/>
  <c r="I42" i="9"/>
  <c r="N41" i="9"/>
  <c r="J41" i="9"/>
  <c r="I41" i="9"/>
  <c r="H41" i="9"/>
  <c r="Q39" i="9"/>
  <c r="P39" i="9"/>
  <c r="O39" i="9"/>
  <c r="N39" i="9"/>
  <c r="I38" i="9"/>
  <c r="M36" i="9"/>
  <c r="L36" i="9"/>
  <c r="K36" i="9"/>
  <c r="J36" i="9"/>
  <c r="F36" i="9"/>
  <c r="B36" i="9"/>
  <c r="R33" i="9"/>
  <c r="Q33" i="9"/>
  <c r="O33" i="9"/>
  <c r="J33" i="9"/>
  <c r="J6" i="9" s="1"/>
  <c r="I33" i="9"/>
  <c r="H33" i="9"/>
  <c r="G33" i="9"/>
  <c r="G6" i="9" s="1"/>
  <c r="F33" i="9"/>
  <c r="F6" i="9" s="1"/>
  <c r="E33" i="9"/>
  <c r="E6" i="9" s="1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R21" i="9"/>
  <c r="Q21" i="9"/>
  <c r="P21" i="9"/>
  <c r="P33" i="9" s="1"/>
  <c r="O21" i="9"/>
  <c r="N21" i="9"/>
  <c r="N33" i="9" s="1"/>
  <c r="M21" i="9"/>
  <c r="M33" i="9" s="1"/>
  <c r="L21" i="9"/>
  <c r="L33" i="9" s="1"/>
  <c r="L6" i="9" s="1"/>
  <c r="K21" i="9"/>
  <c r="K33" i="9" s="1"/>
  <c r="K6" i="9" s="1"/>
  <c r="J21" i="9"/>
  <c r="I21" i="9"/>
  <c r="H21" i="9"/>
  <c r="G21" i="9"/>
  <c r="F21" i="9"/>
  <c r="E21" i="9"/>
  <c r="D21" i="9"/>
  <c r="D33" i="9" s="1"/>
  <c r="D6" i="9" s="1"/>
  <c r="C21" i="9"/>
  <c r="C33" i="9" s="1"/>
  <c r="C6" i="9" s="1"/>
  <c r="B21" i="9"/>
  <c r="B33" i="9" s="1"/>
  <c r="B6" i="9" s="1"/>
  <c r="Q20" i="9"/>
  <c r="Q36" i="9" s="1"/>
  <c r="P20" i="9"/>
  <c r="P36" i="9" s="1"/>
  <c r="O20" i="9"/>
  <c r="O36" i="9" s="1"/>
  <c r="N20" i="9"/>
  <c r="N36" i="9" s="1"/>
  <c r="M20" i="9"/>
  <c r="L20" i="9"/>
  <c r="K20" i="9"/>
  <c r="J20" i="9"/>
  <c r="I20" i="9"/>
  <c r="I36" i="9" s="1"/>
  <c r="H20" i="9"/>
  <c r="H36" i="9" s="1"/>
  <c r="G20" i="9"/>
  <c r="G36" i="9" s="1"/>
  <c r="F20" i="9"/>
  <c r="E20" i="9"/>
  <c r="E36" i="9" s="1"/>
  <c r="D20" i="9"/>
  <c r="D36" i="9" s="1"/>
  <c r="C20" i="9"/>
  <c r="C36" i="9" s="1"/>
  <c r="B20" i="9"/>
  <c r="B11" i="9"/>
  <c r="H8" i="9"/>
  <c r="B8" i="9"/>
  <c r="N7" i="9"/>
  <c r="N49" i="9" s="1"/>
  <c r="N46" i="9" s="1"/>
  <c r="R6" i="9"/>
  <c r="Q6" i="9"/>
  <c r="P6" i="9"/>
  <c r="O6" i="9"/>
  <c r="N6" i="9"/>
  <c r="M6" i="9"/>
  <c r="I6" i="9"/>
  <c r="H6" i="9"/>
  <c r="H5" i="9"/>
  <c r="G5" i="9"/>
  <c r="F5" i="9"/>
  <c r="E5" i="9"/>
  <c r="D5" i="9"/>
  <c r="D8" i="9" s="1"/>
  <c r="D11" i="9" s="1"/>
  <c r="C5" i="9"/>
  <c r="E12" i="8"/>
  <c r="F5" i="8" s="1"/>
  <c r="C12" i="8"/>
  <c r="D5" i="8" s="1"/>
  <c r="B12" i="8"/>
  <c r="C5" i="8" s="1"/>
  <c r="E80" i="8"/>
  <c r="D80" i="8"/>
  <c r="C80" i="8"/>
  <c r="B80" i="8"/>
  <c r="G76" i="8"/>
  <c r="E76" i="8"/>
  <c r="D76" i="8"/>
  <c r="C76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D78" i="8"/>
  <c r="C72" i="8"/>
  <c r="Z36" i="8"/>
  <c r="X36" i="8"/>
  <c r="V36" i="8"/>
  <c r="T36" i="8"/>
  <c r="J36" i="8"/>
  <c r="I36" i="8"/>
  <c r="H36" i="8"/>
  <c r="D36" i="8"/>
  <c r="B36" i="8"/>
  <c r="F73" i="8"/>
  <c r="AH20" i="8"/>
  <c r="AH36" i="8" s="1"/>
  <c r="AG20" i="8"/>
  <c r="AG36" i="8" s="1"/>
  <c r="AF20" i="8"/>
  <c r="AF36" i="8" s="1"/>
  <c r="AE20" i="8"/>
  <c r="AE36" i="8" s="1"/>
  <c r="AD20" i="8"/>
  <c r="AD36" i="8" s="1"/>
  <c r="AC20" i="8"/>
  <c r="AC36" i="8" s="1"/>
  <c r="AB20" i="8"/>
  <c r="AB36" i="8" s="1"/>
  <c r="AA20" i="8"/>
  <c r="AA36" i="8" s="1"/>
  <c r="Z20" i="8"/>
  <c r="Y20" i="8"/>
  <c r="Y36" i="8" s="1"/>
  <c r="X20" i="8"/>
  <c r="W20" i="8"/>
  <c r="W36" i="8" s="1"/>
  <c r="V20" i="8"/>
  <c r="U20" i="8"/>
  <c r="U36" i="8" s="1"/>
  <c r="T20" i="8"/>
  <c r="S20" i="8"/>
  <c r="S36" i="8" s="1"/>
  <c r="R20" i="8"/>
  <c r="R36" i="8" s="1"/>
  <c r="Q20" i="8"/>
  <c r="Q36" i="8" s="1"/>
  <c r="P20" i="8"/>
  <c r="P36" i="8" s="1"/>
  <c r="O20" i="8"/>
  <c r="O36" i="8" s="1"/>
  <c r="N20" i="8"/>
  <c r="N36" i="8" s="1"/>
  <c r="M20" i="8"/>
  <c r="M36" i="8" s="1"/>
  <c r="L20" i="8"/>
  <c r="L36" i="8" s="1"/>
  <c r="K20" i="8"/>
  <c r="K36" i="8" s="1"/>
  <c r="J20" i="8"/>
  <c r="I20" i="8"/>
  <c r="H20" i="8"/>
  <c r="G20" i="8"/>
  <c r="G36" i="8" s="1"/>
  <c r="F20" i="8"/>
  <c r="F36" i="8" s="1"/>
  <c r="E20" i="8"/>
  <c r="E36" i="8" s="1"/>
  <c r="D20" i="8"/>
  <c r="C20" i="8"/>
  <c r="C36" i="8" s="1"/>
  <c r="B20" i="8"/>
  <c r="G12" i="8"/>
  <c r="F12" i="8"/>
  <c r="G5" i="8" s="1"/>
  <c r="D12" i="8"/>
  <c r="E5" i="8" s="1"/>
  <c r="B75" i="8" l="1"/>
  <c r="G73" i="8"/>
  <c r="B76" i="8"/>
  <c r="G78" i="10"/>
  <c r="G80" i="10" s="1"/>
  <c r="H78" i="10"/>
  <c r="H80" i="10" s="1"/>
  <c r="K76" i="10"/>
  <c r="N78" i="10"/>
  <c r="N80" i="10" s="1"/>
  <c r="F44" i="10"/>
  <c r="B72" i="8"/>
  <c r="I37" i="10"/>
  <c r="K44" i="10"/>
  <c r="G44" i="10"/>
  <c r="L78" i="10"/>
  <c r="L80" i="10" s="1"/>
  <c r="C75" i="8"/>
  <c r="F77" i="8"/>
  <c r="D72" i="8"/>
  <c r="C81" i="9"/>
  <c r="C10" i="9" s="1"/>
  <c r="G71" i="8"/>
  <c r="F75" i="8"/>
  <c r="F71" i="8"/>
  <c r="N37" i="10"/>
  <c r="G75" i="8"/>
  <c r="G76" i="10"/>
  <c r="G78" i="8"/>
  <c r="E75" i="8"/>
  <c r="G79" i="8"/>
  <c r="C33" i="8"/>
  <c r="C6" i="8" s="1"/>
  <c r="B74" i="8"/>
  <c r="E71" i="8"/>
  <c r="M76" i="10"/>
  <c r="C65" i="8"/>
  <c r="D74" i="8"/>
  <c r="C80" i="10"/>
  <c r="D37" i="10"/>
  <c r="L37" i="10"/>
  <c r="D76" i="10"/>
  <c r="C74" i="8"/>
  <c r="G77" i="8"/>
  <c r="E74" i="8"/>
  <c r="C49" i="9"/>
  <c r="C76" i="10"/>
  <c r="I76" i="10"/>
  <c r="E72" i="8"/>
  <c r="B71" i="8"/>
  <c r="F74" i="8"/>
  <c r="L76" i="10"/>
  <c r="F70" i="8"/>
  <c r="H69" i="8"/>
  <c r="F78" i="10"/>
  <c r="F80" i="10" s="1"/>
  <c r="G33" i="8"/>
  <c r="G6" i="8" s="1"/>
  <c r="I12" i="9" s="1"/>
  <c r="E37" i="10"/>
  <c r="H5" i="8"/>
  <c r="F76" i="10"/>
  <c r="E35" i="10"/>
  <c r="C24" i="10"/>
  <c r="C29" i="10" s="1"/>
  <c r="C23" i="10"/>
  <c r="C28" i="10" s="1"/>
  <c r="C25" i="10"/>
  <c r="Q72" i="9"/>
  <c r="L7" i="9"/>
  <c r="L49" i="9" s="1"/>
  <c r="Q78" i="9"/>
  <c r="Q79" i="9"/>
  <c r="Q76" i="9"/>
  <c r="F49" i="8"/>
  <c r="F7" i="8" s="1"/>
  <c r="E33" i="8"/>
  <c r="E6" i="8" s="1"/>
  <c r="C49" i="8"/>
  <c r="J79" i="9"/>
  <c r="J72" i="9"/>
  <c r="J76" i="9"/>
  <c r="J69" i="9"/>
  <c r="J80" i="9" s="1"/>
  <c r="J74" i="9"/>
  <c r="J70" i="9"/>
  <c r="J78" i="9"/>
  <c r="J71" i="9"/>
  <c r="J73" i="9"/>
  <c r="J75" i="9"/>
  <c r="E28" i="10"/>
  <c r="G49" i="8"/>
  <c r="G7" i="8" s="1"/>
  <c r="C8" i="9"/>
  <c r="C11" i="9" s="1"/>
  <c r="M44" i="9"/>
  <c r="M37" i="9"/>
  <c r="M48" i="9" s="1"/>
  <c r="M41" i="9"/>
  <c r="M45" i="9"/>
  <c r="M47" i="9"/>
  <c r="M42" i="9"/>
  <c r="M40" i="9"/>
  <c r="M38" i="9"/>
  <c r="M43" i="9"/>
  <c r="C14" i="9"/>
  <c r="O37" i="9"/>
  <c r="O48" i="9" s="1"/>
  <c r="O41" i="9"/>
  <c r="O45" i="9"/>
  <c r="O38" i="9"/>
  <c r="O42" i="9"/>
  <c r="O40" i="9"/>
  <c r="O43" i="9"/>
  <c r="O46" i="9"/>
  <c r="G81" i="9"/>
  <c r="G10" i="9" s="1"/>
  <c r="B69" i="8"/>
  <c r="B33" i="8"/>
  <c r="B6" i="8" s="1"/>
  <c r="E49" i="9"/>
  <c r="M37" i="10"/>
  <c r="N76" i="10"/>
  <c r="B49" i="8"/>
  <c r="B7" i="8" s="1"/>
  <c r="K72" i="9"/>
  <c r="K69" i="9"/>
  <c r="K80" i="9" s="1"/>
  <c r="K79" i="9"/>
  <c r="K74" i="9"/>
  <c r="K77" i="9"/>
  <c r="K70" i="9"/>
  <c r="K76" i="9"/>
  <c r="K78" i="9"/>
  <c r="K71" i="9"/>
  <c r="K73" i="9"/>
  <c r="K75" i="9"/>
  <c r="E8" i="9"/>
  <c r="E11" i="9" s="1"/>
  <c r="P41" i="9"/>
  <c r="P38" i="9"/>
  <c r="P37" i="9"/>
  <c r="P40" i="9"/>
  <c r="P45" i="9"/>
  <c r="P46" i="9"/>
  <c r="P42" i="9"/>
  <c r="P44" i="9"/>
  <c r="P48" i="9"/>
  <c r="P43" i="9"/>
  <c r="Q77" i="9"/>
  <c r="F79" i="8"/>
  <c r="F69" i="8"/>
  <c r="F33" i="8"/>
  <c r="F6" i="8" s="1"/>
  <c r="H12" i="9" s="1"/>
  <c r="H11" i="9" s="1"/>
  <c r="G74" i="8"/>
  <c r="H44" i="10"/>
  <c r="H35" i="10" s="1"/>
  <c r="H37" i="10"/>
  <c r="O44" i="9"/>
  <c r="Q41" i="9"/>
  <c r="Q45" i="9"/>
  <c r="Q38" i="9"/>
  <c r="Q42" i="9"/>
  <c r="Q37" i="9"/>
  <c r="Q40" i="9"/>
  <c r="Q43" i="9"/>
  <c r="Q48" i="9"/>
  <c r="Q46" i="9"/>
  <c r="Q44" i="9"/>
  <c r="Q69" i="9"/>
  <c r="Q80" i="9" s="1"/>
  <c r="D33" i="8"/>
  <c r="D6" i="8" s="1"/>
  <c r="G37" i="10"/>
  <c r="K37" i="10"/>
  <c r="H76" i="10"/>
  <c r="D49" i="8"/>
  <c r="D7" i="8" s="1"/>
  <c r="E49" i="8"/>
  <c r="E7" i="8" s="1"/>
  <c r="G8" i="9"/>
  <c r="G11" i="9" s="1"/>
  <c r="M39" i="9"/>
  <c r="B81" i="9"/>
  <c r="B10" i="9" s="1"/>
  <c r="B9" i="9" s="1"/>
  <c r="K78" i="10"/>
  <c r="K80" i="10" s="1"/>
  <c r="F37" i="10"/>
  <c r="E76" i="10"/>
  <c r="F35" i="10"/>
  <c r="F76" i="8"/>
  <c r="G69" i="8"/>
  <c r="C10" i="8"/>
  <c r="N76" i="9"/>
  <c r="N69" i="9"/>
  <c r="N80" i="9" s="1"/>
  <c r="N73" i="9"/>
  <c r="N77" i="9"/>
  <c r="N72" i="9"/>
  <c r="N78" i="9"/>
  <c r="N74" i="9"/>
  <c r="N75" i="9"/>
  <c r="E78" i="8"/>
  <c r="B73" i="8"/>
  <c r="O69" i="9"/>
  <c r="O80" i="9" s="1"/>
  <c r="O77" i="9"/>
  <c r="O72" i="9"/>
  <c r="O75" i="9"/>
  <c r="O70" i="9"/>
  <c r="O74" i="9"/>
  <c r="O76" i="9"/>
  <c r="O71" i="9"/>
  <c r="O73" i="9"/>
  <c r="O78" i="9"/>
  <c r="H30" i="10"/>
  <c r="H24" i="10"/>
  <c r="H29" i="10" s="1"/>
  <c r="G65" i="8"/>
  <c r="G10" i="8" s="1"/>
  <c r="L72" i="9"/>
  <c r="L76" i="9"/>
  <c r="L69" i="9"/>
  <c r="L80" i="9" s="1"/>
  <c r="L73" i="9"/>
  <c r="L79" i="9"/>
  <c r="L74" i="9"/>
  <c r="L77" i="9"/>
  <c r="L78" i="9"/>
  <c r="L75" i="9"/>
  <c r="J76" i="10"/>
  <c r="M76" i="9"/>
  <c r="M73" i="9"/>
  <c r="M74" i="9"/>
  <c r="M69" i="9"/>
  <c r="M80" i="9" s="1"/>
  <c r="M77" i="9"/>
  <c r="M72" i="9"/>
  <c r="M75" i="9"/>
  <c r="M78" i="9"/>
  <c r="F78" i="8"/>
  <c r="C73" i="8"/>
  <c r="H70" i="9"/>
  <c r="H80" i="9" s="1"/>
  <c r="H78" i="9"/>
  <c r="H73" i="9"/>
  <c r="M70" i="9"/>
  <c r="C69" i="8"/>
  <c r="N70" i="9"/>
  <c r="M79" i="9"/>
  <c r="H28" i="10"/>
  <c r="G72" i="8"/>
  <c r="D73" i="8"/>
  <c r="B79" i="8"/>
  <c r="B65" i="8"/>
  <c r="D75" i="8"/>
  <c r="D69" i="8"/>
  <c r="N79" i="9"/>
  <c r="K29" i="10"/>
  <c r="G25" i="10"/>
  <c r="G24" i="10"/>
  <c r="G29" i="10" s="1"/>
  <c r="G23" i="10"/>
  <c r="C78" i="8"/>
  <c r="E69" i="8"/>
  <c r="O79" i="9"/>
  <c r="J40" i="9"/>
  <c r="J37" i="9"/>
  <c r="J48" i="9" s="1"/>
  <c r="J39" i="9"/>
  <c r="J47" i="9"/>
  <c r="J42" i="9"/>
  <c r="J45" i="9"/>
  <c r="J43" i="9"/>
  <c r="J38" i="9"/>
  <c r="F72" i="8"/>
  <c r="E24" i="10"/>
  <c r="E29" i="10" s="1"/>
  <c r="E25" i="10"/>
  <c r="E30" i="10" s="1"/>
  <c r="G35" i="10"/>
  <c r="F25" i="10"/>
  <c r="F30" i="10" s="1"/>
  <c r="F24" i="10"/>
  <c r="F29" i="10" s="1"/>
  <c r="B77" i="8"/>
  <c r="E79" i="8"/>
  <c r="C7" i="9"/>
  <c r="H47" i="9"/>
  <c r="H44" i="9"/>
  <c r="H39" i="9"/>
  <c r="H42" i="9"/>
  <c r="H45" i="9"/>
  <c r="H43" i="9"/>
  <c r="H40" i="9"/>
  <c r="H38" i="9"/>
  <c r="H48" i="9" s="1"/>
  <c r="E73" i="8"/>
  <c r="G80" i="8"/>
  <c r="I30" i="10"/>
  <c r="N37" i="9"/>
  <c r="N48" i="9" s="1"/>
  <c r="N45" i="9"/>
  <c r="N42" i="9"/>
  <c r="N40" i="9"/>
  <c r="N38" i="9"/>
  <c r="E70" i="8"/>
  <c r="D71" i="8"/>
  <c r="F49" i="9"/>
  <c r="B44" i="10"/>
  <c r="D79" i="8"/>
  <c r="G49" i="9"/>
  <c r="G70" i="8"/>
  <c r="B70" i="8"/>
  <c r="I47" i="9"/>
  <c r="I40" i="9"/>
  <c r="I44" i="9"/>
  <c r="I37" i="9"/>
  <c r="I48" i="9" s="1"/>
  <c r="I39" i="9"/>
  <c r="I43" i="9"/>
  <c r="E77" i="8"/>
  <c r="C70" i="8"/>
  <c r="D70" i="8"/>
  <c r="Q73" i="9"/>
  <c r="K7" i="9"/>
  <c r="K49" i="9" s="1"/>
  <c r="P76" i="9"/>
  <c r="P71" i="9"/>
  <c r="D81" i="9"/>
  <c r="D10" i="9" s="1"/>
  <c r="D9" i="9" s="1"/>
  <c r="B28" i="10"/>
  <c r="B78" i="8"/>
  <c r="F8" i="9"/>
  <c r="F11" i="9" s="1"/>
  <c r="H71" i="9"/>
  <c r="P77" i="9"/>
  <c r="I79" i="9"/>
  <c r="I76" i="9"/>
  <c r="I69" i="9"/>
  <c r="I80" i="9" s="1"/>
  <c r="I74" i="9"/>
  <c r="I77" i="9"/>
  <c r="I70" i="9"/>
  <c r="I78" i="9"/>
  <c r="B24" i="10"/>
  <c r="B29" i="10" s="1"/>
  <c r="B25" i="10"/>
  <c r="F80" i="8"/>
  <c r="C34" i="10"/>
  <c r="C20" i="10"/>
  <c r="L25" i="10"/>
  <c r="L30" i="10" s="1"/>
  <c r="L23" i="10"/>
  <c r="L28" i="10" s="1"/>
  <c r="C79" i="8"/>
  <c r="E80" i="10"/>
  <c r="C37" i="10"/>
  <c r="D65" i="8"/>
  <c r="D10" i="8" s="1"/>
  <c r="Q75" i="9"/>
  <c r="C13" i="10"/>
  <c r="L24" i="10"/>
  <c r="L29" i="10" s="1"/>
  <c r="E65" i="8"/>
  <c r="E10" i="8" s="1"/>
  <c r="B49" i="9"/>
  <c r="F65" i="8"/>
  <c r="F10" i="8" s="1"/>
  <c r="P70" i="9"/>
  <c r="H13" i="10"/>
  <c r="H19" i="10"/>
  <c r="D49" i="9"/>
  <c r="Q70" i="9"/>
  <c r="H20" i="10"/>
  <c r="C44" i="10"/>
  <c r="G20" i="10"/>
  <c r="G18" i="10"/>
  <c r="C77" i="8"/>
  <c r="I44" i="10"/>
  <c r="I35" i="10" s="1"/>
  <c r="C71" i="8"/>
  <c r="D77" i="8"/>
  <c r="G13" i="10"/>
  <c r="I19" i="10"/>
  <c r="I29" i="10" s="1"/>
  <c r="J44" i="10"/>
  <c r="I13" i="10"/>
  <c r="K19" i="10"/>
  <c r="L44" i="10"/>
  <c r="M44" i="10"/>
  <c r="H75" i="9"/>
  <c r="H79" i="9"/>
  <c r="H72" i="9"/>
  <c r="H76" i="9"/>
  <c r="K13" i="10"/>
  <c r="J37" i="10"/>
  <c r="N44" i="10"/>
  <c r="E18" i="10"/>
  <c r="J23" i="10"/>
  <c r="J28" i="10" s="1"/>
  <c r="B20" i="10"/>
  <c r="K23" i="10"/>
  <c r="K28" i="10" s="1"/>
  <c r="B34" i="10"/>
  <c r="AI54" i="8" l="1"/>
  <c r="H6" i="8"/>
  <c r="I6" i="8" s="1"/>
  <c r="H60" i="8"/>
  <c r="I60" i="8" s="1"/>
  <c r="F8" i="8"/>
  <c r="F11" i="8" s="1"/>
  <c r="C35" i="10"/>
  <c r="AI57" i="8"/>
  <c r="G81" i="8"/>
  <c r="H55" i="8"/>
  <c r="AI53" i="8"/>
  <c r="H58" i="8"/>
  <c r="I58" i="8" s="1"/>
  <c r="AI58" i="8"/>
  <c r="G8" i="8"/>
  <c r="G11" i="8" s="1"/>
  <c r="H57" i="8"/>
  <c r="I57" i="8" s="1"/>
  <c r="H61" i="8"/>
  <c r="I61" i="8" s="1"/>
  <c r="G9" i="8"/>
  <c r="F14" i="8"/>
  <c r="F9" i="8"/>
  <c r="E14" i="8"/>
  <c r="G14" i="9"/>
  <c r="H9" i="9"/>
  <c r="I55" i="8"/>
  <c r="H38" i="8"/>
  <c r="H42" i="8"/>
  <c r="B8" i="8"/>
  <c r="B11" i="8" s="1"/>
  <c r="AI60" i="8"/>
  <c r="AI64" i="8"/>
  <c r="H40" i="8"/>
  <c r="D8" i="8"/>
  <c r="D11" i="8" s="1"/>
  <c r="E9" i="9"/>
  <c r="D14" i="9"/>
  <c r="H59" i="8"/>
  <c r="I53" i="8"/>
  <c r="H43" i="8"/>
  <c r="B81" i="8"/>
  <c r="C7" i="8"/>
  <c r="C8" i="8" s="1"/>
  <c r="C11" i="8" s="1"/>
  <c r="H44" i="8"/>
  <c r="D81" i="8"/>
  <c r="G9" i="9"/>
  <c r="G17" i="9" s="1"/>
  <c r="F14" i="9"/>
  <c r="H45" i="8"/>
  <c r="I37" i="8"/>
  <c r="AI55" i="8"/>
  <c r="H46" i="8"/>
  <c r="J5" i="9"/>
  <c r="J8" i="9" s="1"/>
  <c r="B30" i="10"/>
  <c r="K40" i="9"/>
  <c r="K44" i="9"/>
  <c r="K37" i="9"/>
  <c r="K48" i="9" s="1"/>
  <c r="K41" i="9"/>
  <c r="K47" i="9"/>
  <c r="K42" i="9"/>
  <c r="K43" i="9"/>
  <c r="K38" i="9"/>
  <c r="K46" i="9"/>
  <c r="K39" i="9"/>
  <c r="K45" i="9"/>
  <c r="AI61" i="8"/>
  <c r="B14" i="9"/>
  <c r="C9" i="9"/>
  <c r="H56" i="8"/>
  <c r="F9" i="9"/>
  <c r="E14" i="9"/>
  <c r="L44" i="9"/>
  <c r="L41" i="9"/>
  <c r="L47" i="9"/>
  <c r="L37" i="9"/>
  <c r="L42" i="9"/>
  <c r="L45" i="9"/>
  <c r="L40" i="9"/>
  <c r="L46" i="9"/>
  <c r="L39" i="9"/>
  <c r="L43" i="9"/>
  <c r="L48" i="9"/>
  <c r="L38" i="9"/>
  <c r="H47" i="8"/>
  <c r="C81" i="8"/>
  <c r="AI59" i="8"/>
  <c r="B10" i="8"/>
  <c r="H39" i="8"/>
  <c r="G28" i="10"/>
  <c r="H62" i="8"/>
  <c r="H54" i="8"/>
  <c r="F81" i="8"/>
  <c r="H41" i="8"/>
  <c r="H63" i="8"/>
  <c r="I5" i="9"/>
  <c r="I8" i="9" s="1"/>
  <c r="I11" i="9" s="1"/>
  <c r="I9" i="9" s="1"/>
  <c r="C30" i="10"/>
  <c r="AI56" i="8"/>
  <c r="AI63" i="8"/>
  <c r="AI62" i="8"/>
  <c r="E81" i="8"/>
  <c r="G30" i="10"/>
  <c r="E8" i="8"/>
  <c r="E11" i="8" s="1"/>
  <c r="H33" i="8" l="1"/>
  <c r="H12" i="8"/>
  <c r="I5" i="8" s="1"/>
  <c r="I8" i="8" s="1"/>
  <c r="J57" i="8"/>
  <c r="J60" i="8"/>
  <c r="J6" i="8"/>
  <c r="K6" i="8" s="1"/>
  <c r="I33" i="8"/>
  <c r="H8" i="8"/>
  <c r="J61" i="8"/>
  <c r="K61" i="8" s="1"/>
  <c r="H14" i="9"/>
  <c r="B9" i="8"/>
  <c r="B17" i="9" s="1"/>
  <c r="K57" i="8"/>
  <c r="L57" i="8" s="1"/>
  <c r="M57" i="8" s="1"/>
  <c r="J58" i="8"/>
  <c r="K58" i="8" s="1"/>
  <c r="J37" i="8"/>
  <c r="C9" i="8"/>
  <c r="C17" i="9" s="1"/>
  <c r="B14" i="8"/>
  <c r="I63" i="8"/>
  <c r="I59" i="8"/>
  <c r="J59" i="8"/>
  <c r="J55" i="8"/>
  <c r="K55" i="8" s="1"/>
  <c r="I44" i="8"/>
  <c r="H48" i="8"/>
  <c r="I38" i="8"/>
  <c r="J38" i="8" s="1"/>
  <c r="K38" i="8" s="1"/>
  <c r="E9" i="8"/>
  <c r="E17" i="9" s="1"/>
  <c r="D14" i="8"/>
  <c r="I39" i="8"/>
  <c r="J39" i="8" s="1"/>
  <c r="K39" i="8" s="1"/>
  <c r="D9" i="8"/>
  <c r="D17" i="9" s="1"/>
  <c r="C14" i="8"/>
  <c r="I21" i="8"/>
  <c r="I42" i="8"/>
  <c r="I40" i="8"/>
  <c r="J40" i="8" s="1"/>
  <c r="J53" i="8"/>
  <c r="I56" i="8"/>
  <c r="J56" i="8" s="1"/>
  <c r="I46" i="8"/>
  <c r="I47" i="8"/>
  <c r="J47" i="8"/>
  <c r="I45" i="8"/>
  <c r="J45" i="8"/>
  <c r="I41" i="8"/>
  <c r="J41" i="8"/>
  <c r="H22" i="8"/>
  <c r="I22" i="8" s="1"/>
  <c r="H25" i="8"/>
  <c r="I25" i="8" s="1"/>
  <c r="H28" i="8"/>
  <c r="I28" i="8" s="1"/>
  <c r="H26" i="8"/>
  <c r="I26" i="8" s="1"/>
  <c r="H30" i="8"/>
  <c r="I30" i="8" s="1"/>
  <c r="H23" i="8"/>
  <c r="I23" i="8" s="1"/>
  <c r="H29" i="8"/>
  <c r="I29" i="8" s="1"/>
  <c r="H31" i="8"/>
  <c r="H27" i="8"/>
  <c r="I27" i="8" s="1"/>
  <c r="H24" i="8"/>
  <c r="I43" i="8"/>
  <c r="J43" i="8"/>
  <c r="K60" i="8"/>
  <c r="L60" i="8" s="1"/>
  <c r="H64" i="8"/>
  <c r="I54" i="8"/>
  <c r="I62" i="8"/>
  <c r="J62" i="8"/>
  <c r="F17" i="9"/>
  <c r="J33" i="8" l="1"/>
  <c r="I12" i="8"/>
  <c r="J12" i="8" s="1"/>
  <c r="K12" i="8" s="1"/>
  <c r="H11" i="8"/>
  <c r="I31" i="8"/>
  <c r="J31" i="8" s="1"/>
  <c r="J12" i="9"/>
  <c r="J11" i="9" s="1"/>
  <c r="I24" i="8"/>
  <c r="K45" i="8"/>
  <c r="L45" i="8" s="1"/>
  <c r="M45" i="8" s="1"/>
  <c r="K62" i="8"/>
  <c r="M62" i="8" s="1"/>
  <c r="L58" i="8"/>
  <c r="M58" i="8" s="1"/>
  <c r="J5" i="8"/>
  <c r="J8" i="8" s="1"/>
  <c r="K12" i="9"/>
  <c r="L5" i="9" s="1"/>
  <c r="L8" i="9" s="1"/>
  <c r="I11" i="8"/>
  <c r="I9" i="8" s="1"/>
  <c r="I81" i="8" s="1"/>
  <c r="L61" i="8"/>
  <c r="M61" i="8" s="1"/>
  <c r="I64" i="8"/>
  <c r="L62" i="8"/>
  <c r="K41" i="8"/>
  <c r="K40" i="8"/>
  <c r="L40" i="8" s="1"/>
  <c r="M40" i="8" s="1"/>
  <c r="N40" i="8" s="1"/>
  <c r="I32" i="8"/>
  <c r="I48" i="8"/>
  <c r="L39" i="8"/>
  <c r="M39" i="8"/>
  <c r="K33" i="8"/>
  <c r="L6" i="8"/>
  <c r="M6" i="8" s="1"/>
  <c r="K43" i="8"/>
  <c r="L43" i="8" s="1"/>
  <c r="K56" i="8"/>
  <c r="J42" i="8"/>
  <c r="L47" i="8"/>
  <c r="J29" i="8"/>
  <c r="J27" i="8"/>
  <c r="J25" i="8"/>
  <c r="J23" i="8"/>
  <c r="J21" i="8"/>
  <c r="J22" i="8"/>
  <c r="J28" i="8"/>
  <c r="J26" i="8"/>
  <c r="J24" i="8"/>
  <c r="J30" i="8"/>
  <c r="J11" i="8"/>
  <c r="J54" i="8"/>
  <c r="J64" i="8" s="1"/>
  <c r="L55" i="8"/>
  <c r="K5" i="9"/>
  <c r="K8" i="9" s="1"/>
  <c r="K47" i="8"/>
  <c r="J44" i="8"/>
  <c r="J46" i="8"/>
  <c r="K59" i="8"/>
  <c r="N57" i="8"/>
  <c r="K53" i="8"/>
  <c r="H32" i="8"/>
  <c r="J63" i="8"/>
  <c r="K5" i="8"/>
  <c r="K8" i="8" s="1"/>
  <c r="L12" i="9"/>
  <c r="K37" i="8"/>
  <c r="L37" i="8" s="1"/>
  <c r="M60" i="8"/>
  <c r="L38" i="8"/>
  <c r="N39" i="8" l="1"/>
  <c r="K11" i="9"/>
  <c r="K9" i="9" s="1"/>
  <c r="I17" i="9"/>
  <c r="G14" i="8"/>
  <c r="H9" i="8"/>
  <c r="N58" i="8"/>
  <c r="O58" i="8" s="1"/>
  <c r="P58" i="8" s="1"/>
  <c r="N62" i="8"/>
  <c r="K42" i="8"/>
  <c r="L42" i="8" s="1"/>
  <c r="M42" i="8" s="1"/>
  <c r="L41" i="8"/>
  <c r="M41" i="8" s="1"/>
  <c r="J14" i="9"/>
  <c r="J32" i="8"/>
  <c r="H14" i="8"/>
  <c r="N61" i="8"/>
  <c r="O61" i="8"/>
  <c r="P61" i="8" s="1"/>
  <c r="L11" i="9"/>
  <c r="L9" i="9" s="1"/>
  <c r="O39" i="8"/>
  <c r="P39" i="8" s="1"/>
  <c r="M33" i="8"/>
  <c r="M47" i="8"/>
  <c r="N47" i="8" s="1"/>
  <c r="L56" i="8"/>
  <c r="M56" i="8" s="1"/>
  <c r="K46" i="8"/>
  <c r="M43" i="8"/>
  <c r="K44" i="8"/>
  <c r="L44" i="8"/>
  <c r="K54" i="8"/>
  <c r="N6" i="8"/>
  <c r="O6" i="8" s="1"/>
  <c r="P6" i="8" s="1"/>
  <c r="L5" i="8"/>
  <c r="L8" i="8" s="1"/>
  <c r="M12" i="9"/>
  <c r="O57" i="8"/>
  <c r="J48" i="8"/>
  <c r="M55" i="8"/>
  <c r="N60" i="8"/>
  <c r="L59" i="8"/>
  <c r="O62" i="8"/>
  <c r="P62" i="8" s="1"/>
  <c r="N45" i="8"/>
  <c r="O60" i="8"/>
  <c r="P60" i="8" s="1"/>
  <c r="M38" i="8"/>
  <c r="N38" i="8" s="1"/>
  <c r="J9" i="8"/>
  <c r="J81" i="8" s="1"/>
  <c r="I14" i="8"/>
  <c r="J9" i="9"/>
  <c r="I14" i="9"/>
  <c r="M37" i="8"/>
  <c r="N37" i="8" s="1"/>
  <c r="O37" i="8" s="1"/>
  <c r="P37" i="8" s="1"/>
  <c r="M5" i="9"/>
  <c r="M8" i="9" s="1"/>
  <c r="O40" i="8"/>
  <c r="P40" i="8" s="1"/>
  <c r="K31" i="8"/>
  <c r="K29" i="8"/>
  <c r="K27" i="8"/>
  <c r="K25" i="8"/>
  <c r="K23" i="8"/>
  <c r="K21" i="8"/>
  <c r="K28" i="8"/>
  <c r="K30" i="8"/>
  <c r="K22" i="8"/>
  <c r="K26" i="8"/>
  <c r="K24" i="8"/>
  <c r="K63" i="8"/>
  <c r="L63" i="8" s="1"/>
  <c r="L12" i="8"/>
  <c r="L33" i="8"/>
  <c r="K11" i="8"/>
  <c r="L53" i="8"/>
  <c r="H81" i="8" l="1"/>
  <c r="H17" i="9"/>
  <c r="K14" i="9"/>
  <c r="M11" i="9"/>
  <c r="M9" i="9" s="1"/>
  <c r="N41" i="8"/>
  <c r="S41" i="8" s="1"/>
  <c r="O41" i="8"/>
  <c r="P41" i="8" s="1"/>
  <c r="Q41" i="8" s="1"/>
  <c r="R41" i="8" s="1"/>
  <c r="Q61" i="8"/>
  <c r="R61" i="8" s="1"/>
  <c r="S61" i="8" s="1"/>
  <c r="T61" i="8" s="1"/>
  <c r="L46" i="8"/>
  <c r="M46" i="8" s="1"/>
  <c r="N46" i="8" s="1"/>
  <c r="O46" i="8" s="1"/>
  <c r="K32" i="8"/>
  <c r="N55" i="8"/>
  <c r="O55" i="8" s="1"/>
  <c r="P55" i="8" s="1"/>
  <c r="Q60" i="8"/>
  <c r="J17" i="9"/>
  <c r="M63" i="8"/>
  <c r="N63" i="8" s="1"/>
  <c r="O63" i="8" s="1"/>
  <c r="R60" i="8"/>
  <c r="P33" i="8"/>
  <c r="M5" i="8"/>
  <c r="M8" i="8" s="1"/>
  <c r="N12" i="9"/>
  <c r="P57" i="8"/>
  <c r="L54" i="8"/>
  <c r="M54" i="8" s="1"/>
  <c r="Q6" i="8"/>
  <c r="Q58" i="8"/>
  <c r="R58" i="8" s="1"/>
  <c r="N5" i="9"/>
  <c r="N8" i="9" s="1"/>
  <c r="M12" i="8"/>
  <c r="N12" i="8" s="1"/>
  <c r="M44" i="8"/>
  <c r="N42" i="8"/>
  <c r="N33" i="8"/>
  <c r="O33" i="8"/>
  <c r="Q40" i="8"/>
  <c r="O38" i="8"/>
  <c r="N43" i="8"/>
  <c r="M53" i="8"/>
  <c r="M59" i="8"/>
  <c r="Q39" i="8"/>
  <c r="R39" i="8" s="1"/>
  <c r="L25" i="8"/>
  <c r="M25" i="8" s="1"/>
  <c r="L28" i="8"/>
  <c r="M28" i="8" s="1"/>
  <c r="L21" i="8"/>
  <c r="M21" i="8" s="1"/>
  <c r="L24" i="8"/>
  <c r="M24" i="8" s="1"/>
  <c r="L22" i="8"/>
  <c r="M22" i="8" s="1"/>
  <c r="L29" i="8"/>
  <c r="M29" i="8" s="1"/>
  <c r="L30" i="8"/>
  <c r="M30" i="8" s="1"/>
  <c r="L23" i="8"/>
  <c r="M23" i="8" s="1"/>
  <c r="L26" i="8"/>
  <c r="M26" i="8" s="1"/>
  <c r="L31" i="8"/>
  <c r="M31" i="8" s="1"/>
  <c r="L27" i="8"/>
  <c r="M27" i="8" s="1"/>
  <c r="N56" i="8"/>
  <c r="O56" i="8" s="1"/>
  <c r="L14" i="9"/>
  <c r="L11" i="8"/>
  <c r="O47" i="8"/>
  <c r="Q62" i="8"/>
  <c r="K64" i="8"/>
  <c r="K9" i="8"/>
  <c r="J14" i="8"/>
  <c r="K48" i="8"/>
  <c r="O45" i="8"/>
  <c r="Q37" i="8"/>
  <c r="R37" i="8" s="1"/>
  <c r="S60" i="8" l="1"/>
  <c r="H72" i="8"/>
  <c r="H76" i="8"/>
  <c r="H73" i="8"/>
  <c r="H70" i="8"/>
  <c r="H75" i="8"/>
  <c r="H79" i="8"/>
  <c r="H71" i="8"/>
  <c r="H77" i="8"/>
  <c r="H78" i="8"/>
  <c r="H74" i="8"/>
  <c r="H80" i="8"/>
  <c r="I69" i="8"/>
  <c r="L48" i="8"/>
  <c r="S58" i="8"/>
  <c r="T58" i="8" s="1"/>
  <c r="U58" i="8" s="1"/>
  <c r="M32" i="8"/>
  <c r="L32" i="8"/>
  <c r="P56" i="8"/>
  <c r="Q56" i="8" s="1"/>
  <c r="N54" i="8"/>
  <c r="O54" i="8" s="1"/>
  <c r="S37" i="8"/>
  <c r="T37" i="8" s="1"/>
  <c r="O43" i="8"/>
  <c r="P43" i="8" s="1"/>
  <c r="Q33" i="8"/>
  <c r="P46" i="8"/>
  <c r="U61" i="8"/>
  <c r="P47" i="8"/>
  <c r="Q47" i="8" s="1"/>
  <c r="R47" i="8" s="1"/>
  <c r="L64" i="8"/>
  <c r="N5" i="8"/>
  <c r="N8" i="8" s="1"/>
  <c r="N11" i="8" s="1"/>
  <c r="N9" i="8" s="1"/>
  <c r="N81" i="8" s="1"/>
  <c r="O12" i="9"/>
  <c r="M11" i="8"/>
  <c r="M64" i="8"/>
  <c r="N53" i="8"/>
  <c r="O5" i="8"/>
  <c r="O8" i="8" s="1"/>
  <c r="P12" i="9"/>
  <c r="N31" i="8"/>
  <c r="O31" i="8" s="1"/>
  <c r="P31" i="8" s="1"/>
  <c r="N25" i="8"/>
  <c r="N21" i="8"/>
  <c r="O21" i="8" s="1"/>
  <c r="N28" i="8"/>
  <c r="N24" i="8"/>
  <c r="O24" i="8" s="1"/>
  <c r="P24" i="8" s="1"/>
  <c r="N23" i="8"/>
  <c r="N26" i="8"/>
  <c r="N29" i="8"/>
  <c r="N30" i="8"/>
  <c r="N27" i="8"/>
  <c r="N22" i="8"/>
  <c r="R6" i="8"/>
  <c r="Q57" i="8"/>
  <c r="O42" i="8"/>
  <c r="N11" i="9"/>
  <c r="T60" i="8"/>
  <c r="U60" i="8" s="1"/>
  <c r="R40" i="8"/>
  <c r="P45" i="8"/>
  <c r="T41" i="8"/>
  <c r="O12" i="8"/>
  <c r="O5" i="9"/>
  <c r="O8" i="9" s="1"/>
  <c r="M48" i="8"/>
  <c r="N44" i="8"/>
  <c r="R62" i="8"/>
  <c r="S62" i="8" s="1"/>
  <c r="S39" i="8"/>
  <c r="N59" i="8"/>
  <c r="L9" i="8"/>
  <c r="K14" i="8"/>
  <c r="P63" i="8"/>
  <c r="K81" i="8"/>
  <c r="K17" i="9"/>
  <c r="Q55" i="8"/>
  <c r="R55" i="8" s="1"/>
  <c r="P38" i="8"/>
  <c r="Q38" i="8" s="1"/>
  <c r="J69" i="8" l="1"/>
  <c r="I77" i="8"/>
  <c r="J77" i="8" s="1"/>
  <c r="K77" i="8" s="1"/>
  <c r="I79" i="8"/>
  <c r="J79" i="8"/>
  <c r="I74" i="8"/>
  <c r="J74" i="8"/>
  <c r="I78" i="8"/>
  <c r="J78" i="8"/>
  <c r="I71" i="8"/>
  <c r="J71" i="8"/>
  <c r="I76" i="8"/>
  <c r="I75" i="8"/>
  <c r="J75" i="8"/>
  <c r="I72" i="8"/>
  <c r="J72" i="8"/>
  <c r="H86" i="8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70" i="8"/>
  <c r="J70" i="8"/>
  <c r="I73" i="8"/>
  <c r="J73" i="8" s="1"/>
  <c r="V60" i="8"/>
  <c r="Q43" i="8"/>
  <c r="R43" i="8" s="1"/>
  <c r="O11" i="9"/>
  <c r="O9" i="9" s="1"/>
  <c r="N32" i="8"/>
  <c r="W60" i="8"/>
  <c r="O23" i="8"/>
  <c r="P23" i="8" s="1"/>
  <c r="Q23" i="8" s="1"/>
  <c r="O25" i="8"/>
  <c r="P25" i="8" s="1"/>
  <c r="Q25" i="8" s="1"/>
  <c r="V61" i="8"/>
  <c r="O26" i="8"/>
  <c r="M14" i="8"/>
  <c r="S47" i="8"/>
  <c r="T47" i="8" s="1"/>
  <c r="U62" i="8"/>
  <c r="V62" i="8" s="1"/>
  <c r="X60" i="8"/>
  <c r="P21" i="8"/>
  <c r="Q21" i="8" s="1"/>
  <c r="O27" i="8"/>
  <c r="O44" i="8"/>
  <c r="S6" i="8"/>
  <c r="O29" i="8"/>
  <c r="P29" i="8" s="1"/>
  <c r="Q29" i="8" s="1"/>
  <c r="Q24" i="8"/>
  <c r="Q31" i="8"/>
  <c r="O22" i="8"/>
  <c r="P42" i="8"/>
  <c r="M9" i="8"/>
  <c r="L14" i="8"/>
  <c r="V58" i="8"/>
  <c r="O11" i="8"/>
  <c r="P22" i="8"/>
  <c r="Q22" i="8" s="1"/>
  <c r="U41" i="8"/>
  <c r="R38" i="8"/>
  <c r="S38" i="8" s="1"/>
  <c r="P59" i="8"/>
  <c r="P5" i="9"/>
  <c r="P8" i="9" s="1"/>
  <c r="P11" i="9" s="1"/>
  <c r="P9" i="9" s="1"/>
  <c r="O30" i="8"/>
  <c r="P30" i="8" s="1"/>
  <c r="Q46" i="8"/>
  <c r="K69" i="8"/>
  <c r="K79" i="8"/>
  <c r="R56" i="8"/>
  <c r="S56" i="8"/>
  <c r="P54" i="8"/>
  <c r="O59" i="8"/>
  <c r="R33" i="8"/>
  <c r="P5" i="8"/>
  <c r="P8" i="8" s="1"/>
  <c r="Q12" i="9"/>
  <c r="U37" i="8"/>
  <c r="Q5" i="9"/>
  <c r="Q8" i="9" s="1"/>
  <c r="Q45" i="8"/>
  <c r="T39" i="8"/>
  <c r="S40" i="8"/>
  <c r="N48" i="8"/>
  <c r="S55" i="8"/>
  <c r="T55" i="8"/>
  <c r="O28" i="8"/>
  <c r="P28" i="8" s="1"/>
  <c r="N64" i="8"/>
  <c r="O53" i="8"/>
  <c r="U55" i="8"/>
  <c r="P12" i="8"/>
  <c r="Q12" i="8" s="1"/>
  <c r="L81" i="8"/>
  <c r="L17" i="9"/>
  <c r="R57" i="8"/>
  <c r="N9" i="9"/>
  <c r="N17" i="9" s="1"/>
  <c r="M14" i="9"/>
  <c r="Q63" i="8"/>
  <c r="S43" i="8"/>
  <c r="T62" i="8"/>
  <c r="K74" i="8" l="1"/>
  <c r="K72" i="8"/>
  <c r="K78" i="8"/>
  <c r="K75" i="8"/>
  <c r="I80" i="8"/>
  <c r="I96" i="8" s="1"/>
  <c r="J85" i="8" s="1"/>
  <c r="J86" i="8" s="1"/>
  <c r="J87" i="8" s="1"/>
  <c r="J88" i="8" s="1"/>
  <c r="J89" i="8" s="1"/>
  <c r="J90" i="8" s="1"/>
  <c r="J91" i="8" s="1"/>
  <c r="K71" i="8"/>
  <c r="J76" i="8"/>
  <c r="K76" i="8" s="1"/>
  <c r="N14" i="9"/>
  <c r="K70" i="8"/>
  <c r="K73" i="8"/>
  <c r="J80" i="8"/>
  <c r="Q59" i="8"/>
  <c r="R59" i="8" s="1"/>
  <c r="S59" i="8" s="1"/>
  <c r="P26" i="8"/>
  <c r="Q26" i="8" s="1"/>
  <c r="O32" i="8"/>
  <c r="P11" i="8"/>
  <c r="P9" i="8" s="1"/>
  <c r="P81" i="8" s="1"/>
  <c r="Q28" i="8"/>
  <c r="R28" i="8" s="1"/>
  <c r="P27" i="8"/>
  <c r="Q27" i="8" s="1"/>
  <c r="R27" i="8" s="1"/>
  <c r="Q30" i="8"/>
  <c r="R30" i="8" s="1"/>
  <c r="Q11" i="9"/>
  <c r="W61" i="8"/>
  <c r="O64" i="8"/>
  <c r="Y60" i="8"/>
  <c r="Z60" i="8" s="1"/>
  <c r="Q5" i="8"/>
  <c r="Q8" i="8" s="1"/>
  <c r="Q11" i="8" s="1"/>
  <c r="Q9" i="8" s="1"/>
  <c r="Q81" i="8" s="1"/>
  <c r="P14" i="8"/>
  <c r="R12" i="9"/>
  <c r="R45" i="8"/>
  <c r="T38" i="8"/>
  <c r="U38" i="8" s="1"/>
  <c r="L78" i="8"/>
  <c r="L74" i="8"/>
  <c r="L72" i="8"/>
  <c r="L70" i="8"/>
  <c r="L71" i="8"/>
  <c r="L73" i="8"/>
  <c r="L75" i="8"/>
  <c r="L69" i="8"/>
  <c r="L79" i="8"/>
  <c r="L77" i="8"/>
  <c r="M81" i="8"/>
  <c r="M17" i="9"/>
  <c r="R5" i="8"/>
  <c r="R8" i="8" s="1"/>
  <c r="V37" i="8"/>
  <c r="W37" i="8" s="1"/>
  <c r="R12" i="8"/>
  <c r="S5" i="8" s="1"/>
  <c r="S8" i="8" s="1"/>
  <c r="R63" i="8"/>
  <c r="P53" i="8"/>
  <c r="Q53" i="8" s="1"/>
  <c r="W58" i="8"/>
  <c r="U39" i="8"/>
  <c r="V39" i="8" s="1"/>
  <c r="P44" i="8"/>
  <c r="Q44" i="8" s="1"/>
  <c r="T40" i="8"/>
  <c r="S33" i="8"/>
  <c r="R5" i="9"/>
  <c r="R8" i="9" s="1"/>
  <c r="Q54" i="8"/>
  <c r="R21" i="8"/>
  <c r="R24" i="8"/>
  <c r="R31" i="8"/>
  <c r="R22" i="8"/>
  <c r="R25" i="8"/>
  <c r="R23" i="8"/>
  <c r="R29" i="8"/>
  <c r="R46" i="8"/>
  <c r="S46" i="8" s="1"/>
  <c r="T46" i="8" s="1"/>
  <c r="O14" i="9"/>
  <c r="O9" i="8"/>
  <c r="N14" i="8"/>
  <c r="V55" i="8"/>
  <c r="T6" i="8"/>
  <c r="U6" i="8" s="1"/>
  <c r="V41" i="8"/>
  <c r="T43" i="8"/>
  <c r="T56" i="8"/>
  <c r="U56" i="8" s="1"/>
  <c r="V56" i="8" s="1"/>
  <c r="S57" i="8"/>
  <c r="W62" i="8"/>
  <c r="U47" i="8"/>
  <c r="Q42" i="8"/>
  <c r="R42" i="8" s="1"/>
  <c r="O48" i="8"/>
  <c r="L76" i="8" l="1"/>
  <c r="K80" i="8"/>
  <c r="J92" i="8"/>
  <c r="J93" i="8" s="1"/>
  <c r="J94" i="8" s="1"/>
  <c r="J95" i="8" s="1"/>
  <c r="J96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O14" i="8"/>
  <c r="V38" i="8"/>
  <c r="P32" i="8"/>
  <c r="Q32" i="8"/>
  <c r="R26" i="8"/>
  <c r="S26" i="8" s="1"/>
  <c r="L80" i="8"/>
  <c r="Q9" i="9"/>
  <c r="Q17" i="9" s="1"/>
  <c r="P14" i="9"/>
  <c r="X61" i="8"/>
  <c r="Y61" i="8" s="1"/>
  <c r="P17" i="9"/>
  <c r="X62" i="8"/>
  <c r="Y62" i="8" s="1"/>
  <c r="Z62" i="8" s="1"/>
  <c r="W56" i="8"/>
  <c r="V47" i="8"/>
  <c r="T57" i="8"/>
  <c r="U57" i="8"/>
  <c r="X58" i="8"/>
  <c r="R11" i="8"/>
  <c r="R44" i="8"/>
  <c r="R48" i="8" s="1"/>
  <c r="R11" i="9"/>
  <c r="S63" i="8"/>
  <c r="X37" i="8"/>
  <c r="Z37" i="8" s="1"/>
  <c r="Q48" i="8"/>
  <c r="S42" i="8"/>
  <c r="W39" i="8"/>
  <c r="M69" i="8"/>
  <c r="M79" i="8"/>
  <c r="M78" i="8"/>
  <c r="N78" i="8" s="1"/>
  <c r="M71" i="8"/>
  <c r="N71" i="8" s="1"/>
  <c r="M72" i="8"/>
  <c r="M73" i="8"/>
  <c r="M75" i="8"/>
  <c r="M76" i="8"/>
  <c r="N76" i="8" s="1"/>
  <c r="M70" i="8"/>
  <c r="M74" i="8"/>
  <c r="N74" i="8" s="1"/>
  <c r="M77" i="8"/>
  <c r="N77" i="8"/>
  <c r="O81" i="8"/>
  <c r="O17" i="9"/>
  <c r="U33" i="8"/>
  <c r="V6" i="8"/>
  <c r="R54" i="8"/>
  <c r="S54" i="8" s="1"/>
  <c r="U43" i="8"/>
  <c r="S45" i="8"/>
  <c r="AA60" i="8"/>
  <c r="AB60" i="8" s="1"/>
  <c r="Y37" i="8"/>
  <c r="W41" i="8"/>
  <c r="T33" i="8"/>
  <c r="S12" i="8"/>
  <c r="T5" i="8" s="1"/>
  <c r="T8" i="8" s="1"/>
  <c r="N79" i="8"/>
  <c r="X39" i="8"/>
  <c r="U40" i="8"/>
  <c r="U46" i="8"/>
  <c r="P48" i="8"/>
  <c r="T59" i="8"/>
  <c r="Q64" i="8"/>
  <c r="S24" i="8"/>
  <c r="S27" i="8"/>
  <c r="S31" i="8"/>
  <c r="S30" i="8"/>
  <c r="S23" i="8"/>
  <c r="S22" i="8"/>
  <c r="S29" i="8"/>
  <c r="S21" i="8"/>
  <c r="S28" i="8"/>
  <c r="S25" i="8"/>
  <c r="W38" i="8"/>
  <c r="X38" i="8"/>
  <c r="P64" i="8"/>
  <c r="R53" i="8"/>
  <c r="Y38" i="8"/>
  <c r="W55" i="8"/>
  <c r="L96" i="8" l="1"/>
  <c r="M85" i="8" s="1"/>
  <c r="R32" i="8"/>
  <c r="M86" i="8"/>
  <c r="M87" i="8" s="1"/>
  <c r="M88" i="8" s="1"/>
  <c r="M89" i="8" s="1"/>
  <c r="M90" i="8" s="1"/>
  <c r="M91" i="8" s="1"/>
  <c r="M92" i="8" s="1"/>
  <c r="M93" i="8" s="1"/>
  <c r="M94" i="8" s="1"/>
  <c r="M95" i="8" s="1"/>
  <c r="Z38" i="8"/>
  <c r="Z61" i="8"/>
  <c r="AA61" i="8" s="1"/>
  <c r="S32" i="8"/>
  <c r="M80" i="8"/>
  <c r="M96" i="8" s="1"/>
  <c r="AA37" i="8"/>
  <c r="N75" i="8"/>
  <c r="V43" i="8"/>
  <c r="T30" i="8"/>
  <c r="U30" i="8" s="1"/>
  <c r="T28" i="8"/>
  <c r="U28" i="8" s="1"/>
  <c r="T26" i="8"/>
  <c r="U26" i="8" s="1"/>
  <c r="T24" i="8"/>
  <c r="U24" i="8" s="1"/>
  <c r="T22" i="8"/>
  <c r="U22" i="8" s="1"/>
  <c r="T31" i="8"/>
  <c r="U31" i="8" s="1"/>
  <c r="T27" i="8"/>
  <c r="U27" i="8" s="1"/>
  <c r="T23" i="8"/>
  <c r="U23" i="8" s="1"/>
  <c r="T21" i="8"/>
  <c r="T29" i="8"/>
  <c r="U29" i="8" s="1"/>
  <c r="T25" i="8"/>
  <c r="U25" i="8" s="1"/>
  <c r="R64" i="8"/>
  <c r="U59" i="8"/>
  <c r="X41" i="8"/>
  <c r="S11" i="8"/>
  <c r="S9" i="8" s="1"/>
  <c r="S81" i="8" s="1"/>
  <c r="Y39" i="8"/>
  <c r="Y58" i="8"/>
  <c r="Z58" i="8" s="1"/>
  <c r="N72" i="8"/>
  <c r="X55" i="8"/>
  <c r="S44" i="8"/>
  <c r="X56" i="8"/>
  <c r="Y56" i="8" s="1"/>
  <c r="N73" i="8"/>
  <c r="AB37" i="8"/>
  <c r="T54" i="8"/>
  <c r="R9" i="9"/>
  <c r="Q14" i="9"/>
  <c r="AA62" i="8"/>
  <c r="AB62" i="8" s="1"/>
  <c r="AC62" i="8" s="1"/>
  <c r="R9" i="8"/>
  <c r="R81" i="8" s="1"/>
  <c r="Q14" i="8"/>
  <c r="N69" i="8"/>
  <c r="O69" i="8" s="1"/>
  <c r="V33" i="8"/>
  <c r="W6" i="8"/>
  <c r="W47" i="8"/>
  <c r="X47" i="8" s="1"/>
  <c r="AC60" i="8"/>
  <c r="V57" i="8"/>
  <c r="W57" i="8" s="1"/>
  <c r="T45" i="8"/>
  <c r="N70" i="8"/>
  <c r="O70" i="8" s="1"/>
  <c r="P70" i="8" s="1"/>
  <c r="V40" i="8"/>
  <c r="T63" i="8"/>
  <c r="U63" i="8" s="1"/>
  <c r="T12" i="8"/>
  <c r="U5" i="8" s="1"/>
  <c r="U8" i="8" s="1"/>
  <c r="T42" i="8"/>
  <c r="S53" i="8"/>
  <c r="AA38" i="8"/>
  <c r="O78" i="8"/>
  <c r="O76" i="8"/>
  <c r="P76" i="8" s="1"/>
  <c r="O74" i="8"/>
  <c r="P74" i="8" s="1"/>
  <c r="Q74" i="8" s="1"/>
  <c r="O79" i="8"/>
  <c r="P79" i="8" s="1"/>
  <c r="O77" i="8"/>
  <c r="P77" i="8" s="1"/>
  <c r="O73" i="8"/>
  <c r="P73" i="8" s="1"/>
  <c r="Q73" i="8" s="1"/>
  <c r="O71" i="8"/>
  <c r="Z39" i="8"/>
  <c r="V46" i="8"/>
  <c r="W46" i="8" s="1"/>
  <c r="AC37" i="8" l="1"/>
  <c r="AB61" i="8"/>
  <c r="AC61" i="8"/>
  <c r="T32" i="8"/>
  <c r="U12" i="8"/>
  <c r="V5" i="8" s="1"/>
  <c r="V8" i="8" s="1"/>
  <c r="X46" i="8"/>
  <c r="U21" i="8"/>
  <c r="Q77" i="8"/>
  <c r="R77" i="8" s="1"/>
  <c r="S77" i="8" s="1"/>
  <c r="Q79" i="8"/>
  <c r="R79" i="8" s="1"/>
  <c r="S79" i="8" s="1"/>
  <c r="AD62" i="8"/>
  <c r="U32" i="8"/>
  <c r="W43" i="8"/>
  <c r="S64" i="8"/>
  <c r="W33" i="8"/>
  <c r="X6" i="8"/>
  <c r="V63" i="8"/>
  <c r="AB38" i="8"/>
  <c r="AC38" i="8" s="1"/>
  <c r="W40" i="8"/>
  <c r="U42" i="8"/>
  <c r="V42" i="8" s="1"/>
  <c r="Y47" i="8"/>
  <c r="AA58" i="8"/>
  <c r="AB58" i="8" s="1"/>
  <c r="V30" i="8"/>
  <c r="V28" i="8"/>
  <c r="V26" i="8"/>
  <c r="V24" i="8"/>
  <c r="V22" i="8"/>
  <c r="V27" i="8"/>
  <c r="V23" i="8"/>
  <c r="V29" i="8"/>
  <c r="V31" i="8"/>
  <c r="V25" i="8"/>
  <c r="V21" i="8"/>
  <c r="V32" i="8" s="1"/>
  <c r="V59" i="8"/>
  <c r="U45" i="8"/>
  <c r="S48" i="8"/>
  <c r="Y46" i="8"/>
  <c r="Z46" i="8" s="1"/>
  <c r="V12" i="8"/>
  <c r="W5" i="8" s="1"/>
  <c r="W8" i="8" s="1"/>
  <c r="P69" i="8"/>
  <c r="Q69" i="8" s="1"/>
  <c r="N80" i="8"/>
  <c r="Q76" i="8"/>
  <c r="R73" i="8"/>
  <c r="S73" i="8" s="1"/>
  <c r="R74" i="8"/>
  <c r="S74" i="8" s="1"/>
  <c r="R76" i="8"/>
  <c r="S76" i="8" s="1"/>
  <c r="T44" i="8"/>
  <c r="T48" i="8" s="1"/>
  <c r="T53" i="8"/>
  <c r="Q70" i="8"/>
  <c r="R70" i="8" s="1"/>
  <c r="Y55" i="8"/>
  <c r="Z55" i="8" s="1"/>
  <c r="X57" i="8"/>
  <c r="Y57" i="8" s="1"/>
  <c r="P71" i="8"/>
  <c r="Q71" i="8"/>
  <c r="U53" i="8"/>
  <c r="N85" i="8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N96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T11" i="8"/>
  <c r="T9" i="8" s="1"/>
  <c r="T81" i="8" s="1"/>
  <c r="P78" i="8"/>
  <c r="Q78" i="8" s="1"/>
  <c r="Y41" i="8"/>
  <c r="Z41" i="8"/>
  <c r="AD37" i="8"/>
  <c r="O75" i="8"/>
  <c r="P75" i="8" s="1"/>
  <c r="U54" i="8"/>
  <c r="O72" i="8"/>
  <c r="AD60" i="8"/>
  <c r="Z56" i="8"/>
  <c r="AA39" i="8"/>
  <c r="AD61" i="8" l="1"/>
  <c r="U11" i="8"/>
  <c r="U9" i="8" s="1"/>
  <c r="U81" i="8" s="1"/>
  <c r="R71" i="8"/>
  <c r="S71" i="8" s="1"/>
  <c r="V11" i="8"/>
  <c r="V9" i="8" s="1"/>
  <c r="V81" i="8" s="1"/>
  <c r="R69" i="8"/>
  <c r="AD38" i="8"/>
  <c r="S69" i="8"/>
  <c r="T69" i="8" s="1"/>
  <c r="W12" i="8"/>
  <c r="X5" i="8" s="1"/>
  <c r="X8" i="8" s="1"/>
  <c r="R78" i="8"/>
  <c r="S78" i="8" s="1"/>
  <c r="Z57" i="8"/>
  <c r="AA57" i="8" s="1"/>
  <c r="O96" i="8"/>
  <c r="P85" i="8" s="1"/>
  <c r="P86" i="8" s="1"/>
  <c r="P87" i="8" s="1"/>
  <c r="P72" i="8"/>
  <c r="AA46" i="8"/>
  <c r="AB46" i="8" s="1"/>
  <c r="AE61" i="8"/>
  <c r="AF61" i="8"/>
  <c r="AG61" i="8"/>
  <c r="Q75" i="8"/>
  <c r="U79" i="8"/>
  <c r="AB39" i="8"/>
  <c r="O80" i="8"/>
  <c r="AE37" i="8"/>
  <c r="W59" i="8"/>
  <c r="U64" i="8"/>
  <c r="W42" i="8"/>
  <c r="W63" i="8"/>
  <c r="V45" i="8"/>
  <c r="W45" i="8" s="1"/>
  <c r="X33" i="8"/>
  <c r="AE60" i="8"/>
  <c r="X43" i="8"/>
  <c r="Y43" i="8" s="1"/>
  <c r="Y6" i="8"/>
  <c r="AA56" i="8"/>
  <c r="AB56" i="8"/>
  <c r="AC58" i="8"/>
  <c r="AD58" i="8" s="1"/>
  <c r="AE58" i="8" s="1"/>
  <c r="T64" i="8"/>
  <c r="S70" i="8"/>
  <c r="AE62" i="8"/>
  <c r="V54" i="8"/>
  <c r="AA41" i="8"/>
  <c r="AB41" i="8" s="1"/>
  <c r="X40" i="8"/>
  <c r="W27" i="8"/>
  <c r="W30" i="8"/>
  <c r="W23" i="8"/>
  <c r="W21" i="8"/>
  <c r="W29" i="8"/>
  <c r="W26" i="8"/>
  <c r="W22" i="8"/>
  <c r="W24" i="8"/>
  <c r="W31" i="8"/>
  <c r="W28" i="8"/>
  <c r="W25" i="8"/>
  <c r="AA55" i="8"/>
  <c r="Z47" i="8"/>
  <c r="T76" i="8"/>
  <c r="U76" i="8" s="1"/>
  <c r="T74" i="8"/>
  <c r="U74" i="8" s="1"/>
  <c r="T71" i="8"/>
  <c r="T73" i="8"/>
  <c r="U73" i="8" s="1"/>
  <c r="V73" i="8" s="1"/>
  <c r="T77" i="8"/>
  <c r="T79" i="8"/>
  <c r="U44" i="8"/>
  <c r="U48" i="8" s="1"/>
  <c r="V53" i="8"/>
  <c r="U77" i="8" l="1"/>
  <c r="X12" i="8"/>
  <c r="Y5" i="8" s="1"/>
  <c r="W11" i="8"/>
  <c r="W9" i="8" s="1"/>
  <c r="W81" i="8" s="1"/>
  <c r="AC56" i="8"/>
  <c r="T78" i="8"/>
  <c r="U78" i="8" s="1"/>
  <c r="U71" i="8"/>
  <c r="V71" i="8" s="1"/>
  <c r="U69" i="8"/>
  <c r="V69" i="8" s="1"/>
  <c r="W69" i="8" s="1"/>
  <c r="W32" i="8"/>
  <c r="AC46" i="8"/>
  <c r="AD46" i="8" s="1"/>
  <c r="AE46" i="8" s="1"/>
  <c r="AB57" i="8"/>
  <c r="AH61" i="8"/>
  <c r="V79" i="8"/>
  <c r="W79" i="8" s="1"/>
  <c r="V77" i="8"/>
  <c r="W77" i="8" s="1"/>
  <c r="V76" i="8"/>
  <c r="W76" i="8" s="1"/>
  <c r="AE38" i="8"/>
  <c r="Z43" i="8"/>
  <c r="AA43" i="8" s="1"/>
  <c r="AC57" i="8"/>
  <c r="AD57" i="8" s="1"/>
  <c r="AE57" i="8" s="1"/>
  <c r="S75" i="8"/>
  <c r="W73" i="8"/>
  <c r="P88" i="8"/>
  <c r="P89" i="8" s="1"/>
  <c r="P90" i="8" s="1"/>
  <c r="P91" i="8" s="1"/>
  <c r="P92" i="8" s="1"/>
  <c r="P93" i="8" s="1"/>
  <c r="P94" i="8" s="1"/>
  <c r="P95" i="8" s="1"/>
  <c r="P96" i="8" s="1"/>
  <c r="Q85" i="8" s="1"/>
  <c r="Q86" i="8" s="1"/>
  <c r="Q87" i="8" s="1"/>
  <c r="AF58" i="8"/>
  <c r="AG58" i="8" s="1"/>
  <c r="AH58" i="8" s="1"/>
  <c r="V74" i="8"/>
  <c r="W74" i="8" s="1"/>
  <c r="AF62" i="8"/>
  <c r="AD56" i="8"/>
  <c r="AE56" i="8" s="1"/>
  <c r="Q72" i="8"/>
  <c r="AF60" i="8"/>
  <c r="AC55" i="8"/>
  <c r="X30" i="8"/>
  <c r="X23" i="8"/>
  <c r="X26" i="8"/>
  <c r="X22" i="8"/>
  <c r="X29" i="8"/>
  <c r="X21" i="8"/>
  <c r="X25" i="8"/>
  <c r="X28" i="8"/>
  <c r="X27" i="8"/>
  <c r="X31" i="8"/>
  <c r="X24" i="8"/>
  <c r="AB55" i="8"/>
  <c r="Y40" i="8"/>
  <c r="Z40" i="8" s="1"/>
  <c r="AA40" i="8" s="1"/>
  <c r="Y12" i="8"/>
  <c r="Z5" i="8" s="1"/>
  <c r="Y33" i="8"/>
  <c r="Z6" i="8"/>
  <c r="V64" i="8"/>
  <c r="W53" i="8"/>
  <c r="X53" i="8"/>
  <c r="V44" i="8"/>
  <c r="R75" i="8"/>
  <c r="X59" i="8"/>
  <c r="Y59" i="8" s="1"/>
  <c r="Z59" i="8" s="1"/>
  <c r="X42" i="8"/>
  <c r="AA47" i="8"/>
  <c r="AB47" i="8"/>
  <c r="Y8" i="8"/>
  <c r="Y11" i="8" s="1"/>
  <c r="Y9" i="8" s="1"/>
  <c r="Y81" i="8" s="1"/>
  <c r="AC41" i="8"/>
  <c r="AD41" i="8"/>
  <c r="AE41" i="8" s="1"/>
  <c r="T70" i="8"/>
  <c r="X45" i="8"/>
  <c r="X11" i="8"/>
  <c r="X9" i="8" s="1"/>
  <c r="X81" i="8" s="1"/>
  <c r="W54" i="8"/>
  <c r="P80" i="8"/>
  <c r="AF37" i="8"/>
  <c r="AG37" i="8" s="1"/>
  <c r="X63" i="8"/>
  <c r="AC39" i="8"/>
  <c r="V78" i="8" l="1"/>
  <c r="W78" i="8" s="1"/>
  <c r="AG60" i="8"/>
  <c r="AH60" i="8" s="1"/>
  <c r="W71" i="8"/>
  <c r="X32" i="8"/>
  <c r="AF38" i="8"/>
  <c r="AG38" i="8" s="1"/>
  <c r="AH38" i="8" s="1"/>
  <c r="Q88" i="8"/>
  <c r="Q89" i="8" s="1"/>
  <c r="Q90" i="8" s="1"/>
  <c r="Q91" i="8" s="1"/>
  <c r="Q92" i="8" s="1"/>
  <c r="Q93" i="8" s="1"/>
  <c r="Q94" i="8" s="1"/>
  <c r="Q95" i="8" s="1"/>
  <c r="AF56" i="8"/>
  <c r="AH37" i="8"/>
  <c r="AA59" i="8"/>
  <c r="AB59" i="8" s="1"/>
  <c r="AG56" i="8"/>
  <c r="AH56" i="8" s="1"/>
  <c r="W64" i="8"/>
  <c r="Y53" i="8"/>
  <c r="Y42" i="8"/>
  <c r="Y30" i="8"/>
  <c r="Y23" i="8"/>
  <c r="Y26" i="8"/>
  <c r="Y22" i="8"/>
  <c r="Y29" i="8"/>
  <c r="Y21" i="8"/>
  <c r="Y25" i="8"/>
  <c r="Y28" i="8"/>
  <c r="Y31" i="8"/>
  <c r="Y24" i="8"/>
  <c r="Y27" i="8"/>
  <c r="AF57" i="8"/>
  <c r="AG57" i="8" s="1"/>
  <c r="AH57" i="8" s="1"/>
  <c r="AC47" i="8"/>
  <c r="X54" i="8"/>
  <c r="X64" i="8" s="1"/>
  <c r="T75" i="8"/>
  <c r="X76" i="8"/>
  <c r="Y76" i="8" s="1"/>
  <c r="X74" i="8"/>
  <c r="Y74" i="8" s="1"/>
  <c r="X78" i="8"/>
  <c r="Y78" i="8" s="1"/>
  <c r="X73" i="8"/>
  <c r="Y73" i="8" s="1"/>
  <c r="X79" i="8"/>
  <c r="Y79" i="8" s="1"/>
  <c r="X71" i="8"/>
  <c r="Y71" i="8" s="1"/>
  <c r="X77" i="8"/>
  <c r="Y77" i="8" s="1"/>
  <c r="X69" i="8"/>
  <c r="Z8" i="8"/>
  <c r="Y45" i="8"/>
  <c r="AB43" i="8"/>
  <c r="AC43" i="8" s="1"/>
  <c r="Y63" i="8"/>
  <c r="Z63" i="8" s="1"/>
  <c r="AF46" i="8"/>
  <c r="AG46" i="8" s="1"/>
  <c r="AH46" i="8" s="1"/>
  <c r="V48" i="8"/>
  <c r="AD55" i="8"/>
  <c r="AE55" i="8" s="1"/>
  <c r="Z33" i="8"/>
  <c r="Z12" i="8"/>
  <c r="AA5" i="8" s="1"/>
  <c r="AA6" i="8"/>
  <c r="AF41" i="8"/>
  <c r="AG41" i="8" s="1"/>
  <c r="AB40" i="8"/>
  <c r="Q80" i="8"/>
  <c r="R72" i="8"/>
  <c r="AD39" i="8"/>
  <c r="U70" i="8"/>
  <c r="V70" i="8"/>
  <c r="W44" i="8"/>
  <c r="X44" i="8" s="1"/>
  <c r="Y44" i="8" s="1"/>
  <c r="AG62" i="8"/>
  <c r="AH62" i="8" s="1"/>
  <c r="AD43" i="8" l="1"/>
  <c r="Q96" i="8"/>
  <c r="R85" i="8" s="1"/>
  <c r="R86" i="8" s="1"/>
  <c r="R87" i="8" s="1"/>
  <c r="R88" i="8" s="1"/>
  <c r="R89" i="8" s="1"/>
  <c r="R90" i="8" s="1"/>
  <c r="R91" i="8" s="1"/>
  <c r="R92" i="8" s="1"/>
  <c r="R93" i="8" s="1"/>
  <c r="R94" i="8" s="1"/>
  <c r="R95" i="8" s="1"/>
  <c r="Y32" i="8"/>
  <c r="AC40" i="8"/>
  <c r="AA63" i="8"/>
  <c r="AB63" i="8" s="1"/>
  <c r="Z11" i="8"/>
  <c r="Z9" i="8" s="1"/>
  <c r="Z81" i="8" s="1"/>
  <c r="Z53" i="8"/>
  <c r="Y48" i="8"/>
  <c r="Z44" i="8"/>
  <c r="W48" i="8"/>
  <c r="AE39" i="8"/>
  <c r="Y69" i="8"/>
  <c r="Z30" i="8"/>
  <c r="Z23" i="8"/>
  <c r="Z26" i="8"/>
  <c r="Z29" i="8"/>
  <c r="Z22" i="8"/>
  <c r="Z21" i="8"/>
  <c r="Z25" i="8"/>
  <c r="Z24" i="8"/>
  <c r="Z31" i="8"/>
  <c r="Z27" i="8"/>
  <c r="Z28" i="8"/>
  <c r="AA8" i="8"/>
  <c r="AH41" i="8"/>
  <c r="Z42" i="8"/>
  <c r="W70" i="8"/>
  <c r="X48" i="8"/>
  <c r="AA33" i="8"/>
  <c r="AA12" i="8"/>
  <c r="AB5" i="8" s="1"/>
  <c r="AB6" i="8"/>
  <c r="AD47" i="8"/>
  <c r="AE47" i="8" s="1"/>
  <c r="U75" i="8"/>
  <c r="V75" i="8" s="1"/>
  <c r="AC59" i="8"/>
  <c r="AD59" i="8" s="1"/>
  <c r="AF55" i="8"/>
  <c r="AG55" i="8" s="1"/>
  <c r="AH55" i="8" s="1"/>
  <c r="R80" i="8"/>
  <c r="R96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72" i="8"/>
  <c r="T72" i="8" s="1"/>
  <c r="U72" i="8" s="1"/>
  <c r="U80" i="8" s="1"/>
  <c r="AE43" i="8"/>
  <c r="AF43" i="8" s="1"/>
  <c r="AG43" i="8" s="1"/>
  <c r="Y54" i="8"/>
  <c r="Y64" i="8" s="1"/>
  <c r="Z45" i="8"/>
  <c r="AA45" i="8" s="1"/>
  <c r="AB45" i="8" s="1"/>
  <c r="Z32" i="8" l="1"/>
  <c r="AB8" i="8"/>
  <c r="AH43" i="8"/>
  <c r="AA11" i="8"/>
  <c r="AA9" i="8" s="1"/>
  <c r="AA81" i="8" s="1"/>
  <c r="Z54" i="8"/>
  <c r="AD40" i="8"/>
  <c r="AF47" i="8"/>
  <c r="AG47" i="8" s="1"/>
  <c r="Z48" i="8"/>
  <c r="AB33" i="8"/>
  <c r="AB12" i="8"/>
  <c r="AC5" i="8" s="1"/>
  <c r="AC8" i="8" s="1"/>
  <c r="AC6" i="8"/>
  <c r="AA30" i="8"/>
  <c r="AA23" i="8"/>
  <c r="AA26" i="8"/>
  <c r="AA29" i="8"/>
  <c r="AA27" i="8"/>
  <c r="AA22" i="8"/>
  <c r="AA21" i="8"/>
  <c r="AA25" i="8"/>
  <c r="AA28" i="8"/>
  <c r="AA31" i="8"/>
  <c r="AA24" i="8"/>
  <c r="AC63" i="8"/>
  <c r="AD63" i="8" s="1"/>
  <c r="AE63" i="8" s="1"/>
  <c r="Z79" i="8"/>
  <c r="Z77" i="8"/>
  <c r="Z73" i="8"/>
  <c r="Z71" i="8"/>
  <c r="AA71" i="8" s="1"/>
  <c r="Z69" i="8"/>
  <c r="Z74" i="8"/>
  <c r="Z76" i="8"/>
  <c r="AA76" i="8" s="1"/>
  <c r="Z78" i="8"/>
  <c r="Z64" i="8"/>
  <c r="AA69" i="8"/>
  <c r="AA78" i="8"/>
  <c r="AA74" i="8"/>
  <c r="T80" i="8"/>
  <c r="S80" i="8"/>
  <c r="S96" i="8" s="1"/>
  <c r="T85" i="8" s="1"/>
  <c r="T86" i="8" s="1"/>
  <c r="T87" i="8" s="1"/>
  <c r="T88" i="8" s="1"/>
  <c r="T89" i="8" s="1"/>
  <c r="T90" i="8" s="1"/>
  <c r="T91" i="8" s="1"/>
  <c r="T92" i="8" s="1"/>
  <c r="T93" i="8" s="1"/>
  <c r="T94" i="8" s="1"/>
  <c r="T95" i="8" s="1"/>
  <c r="T96" i="8" s="1"/>
  <c r="U85" i="8" s="1"/>
  <c r="U86" i="8" s="1"/>
  <c r="U87" i="8" s="1"/>
  <c r="U88" i="8" s="1"/>
  <c r="U89" i="8" s="1"/>
  <c r="U90" i="8" s="1"/>
  <c r="U91" i="8" s="1"/>
  <c r="U92" i="8" s="1"/>
  <c r="U93" i="8" s="1"/>
  <c r="U94" i="8" s="1"/>
  <c r="U95" i="8" s="1"/>
  <c r="U96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AE59" i="8"/>
  <c r="AF59" i="8" s="1"/>
  <c r="W75" i="8"/>
  <c r="X75" i="8" s="1"/>
  <c r="Y75" i="8" s="1"/>
  <c r="AC45" i="8"/>
  <c r="V72" i="8"/>
  <c r="W72" i="8" s="1"/>
  <c r="AA54" i="8"/>
  <c r="AB54" i="8" s="1"/>
  <c r="AA53" i="8"/>
  <c r="AF39" i="8"/>
  <c r="AG39" i="8" s="1"/>
  <c r="AA42" i="8"/>
  <c r="AB42" i="8" s="1"/>
  <c r="X70" i="8"/>
  <c r="Y70" i="8" s="1"/>
  <c r="AA44" i="8"/>
  <c r="AA77" i="8" l="1"/>
  <c r="AA73" i="8"/>
  <c r="AA79" i="8"/>
  <c r="AA32" i="8"/>
  <c r="AG59" i="8"/>
  <c r="AH59" i="8" s="1"/>
  <c r="Z75" i="8"/>
  <c r="AA75" i="8" s="1"/>
  <c r="AH39" i="8"/>
  <c r="AH47" i="8"/>
  <c r="AE40" i="8"/>
  <c r="AF40" i="8" s="1"/>
  <c r="W80" i="8"/>
  <c r="X72" i="8"/>
  <c r="X80" i="8" s="1"/>
  <c r="AD45" i="8"/>
  <c r="AE45" i="8" s="1"/>
  <c r="AC33" i="8"/>
  <c r="AC12" i="8"/>
  <c r="AD5" i="8" s="1"/>
  <c r="AD6" i="8"/>
  <c r="AB26" i="8"/>
  <c r="AB29" i="8"/>
  <c r="AB22" i="8"/>
  <c r="AB25" i="8"/>
  <c r="AB21" i="8"/>
  <c r="AB27" i="8"/>
  <c r="AB24" i="8"/>
  <c r="AB23" i="8"/>
  <c r="AB30" i="8"/>
  <c r="AB28" i="8"/>
  <c r="AB31" i="8"/>
  <c r="AA64" i="8"/>
  <c r="AB53" i="8"/>
  <c r="AC53" i="8"/>
  <c r="AB11" i="8"/>
  <c r="AB9" i="8" s="1"/>
  <c r="AB81" i="8" s="1"/>
  <c r="AC54" i="8"/>
  <c r="AD54" i="8" s="1"/>
  <c r="AE54" i="8" s="1"/>
  <c r="AB44" i="8"/>
  <c r="AF63" i="8"/>
  <c r="AA48" i="8"/>
  <c r="AC42" i="8"/>
  <c r="V80" i="8"/>
  <c r="V96" i="8" s="1"/>
  <c r="W85" i="8" s="1"/>
  <c r="W86" i="8" s="1"/>
  <c r="W87" i="8" s="1"/>
  <c r="W88" i="8" s="1"/>
  <c r="W89" i="8" s="1"/>
  <c r="W90" i="8" s="1"/>
  <c r="W91" i="8" s="1"/>
  <c r="W92" i="8" s="1"/>
  <c r="W93" i="8" s="1"/>
  <c r="W94" i="8" s="1"/>
  <c r="W95" i="8" s="1"/>
  <c r="W96" i="8" s="1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Z70" i="8"/>
  <c r="AG63" i="8" l="1"/>
  <c r="AH63" i="8" s="1"/>
  <c r="AG40" i="8"/>
  <c r="AH40" i="8" s="1"/>
  <c r="AB32" i="8"/>
  <c r="AD33" i="8"/>
  <c r="AD12" i="8"/>
  <c r="AE5" i="8" s="1"/>
  <c r="AE6" i="8"/>
  <c r="AF6" i="8" s="1"/>
  <c r="AB74" i="8"/>
  <c r="AB73" i="8"/>
  <c r="AB76" i="8"/>
  <c r="AB75" i="8"/>
  <c r="AB78" i="8"/>
  <c r="AB77" i="8"/>
  <c r="AB79" i="8"/>
  <c r="AB71" i="8"/>
  <c r="AB69" i="8"/>
  <c r="AF54" i="8"/>
  <c r="AB64" i="8"/>
  <c r="AD8" i="8"/>
  <c r="AD11" i="8" s="1"/>
  <c r="AD9" i="8" s="1"/>
  <c r="AD81" i="8" s="1"/>
  <c r="AF45" i="8"/>
  <c r="AG45" i="8" s="1"/>
  <c r="AC11" i="8"/>
  <c r="AC9" i="8" s="1"/>
  <c r="AC81" i="8" s="1"/>
  <c r="AC64" i="8"/>
  <c r="X96" i="8"/>
  <c r="Y85" i="8" s="1"/>
  <c r="Y86" i="8" s="1"/>
  <c r="Y87" i="8" s="1"/>
  <c r="AC44" i="8"/>
  <c r="Y72" i="8"/>
  <c r="Y80" i="8" s="1"/>
  <c r="AD53" i="8"/>
  <c r="AD64" i="8" s="1"/>
  <c r="AA70" i="8"/>
  <c r="AB70" i="8" s="1"/>
  <c r="AC26" i="8"/>
  <c r="AC29" i="8"/>
  <c r="AC22" i="8"/>
  <c r="AC28" i="8"/>
  <c r="AC21" i="8"/>
  <c r="AC25" i="8"/>
  <c r="AC23" i="8"/>
  <c r="AC24" i="8"/>
  <c r="AC27" i="8"/>
  <c r="AC30" i="8"/>
  <c r="AC31" i="8"/>
  <c r="AC32" i="8"/>
  <c r="AB48" i="8"/>
  <c r="AD42" i="8"/>
  <c r="AE8" i="8" l="1"/>
  <c r="AF33" i="8"/>
  <c r="AG6" i="8"/>
  <c r="AG54" i="8"/>
  <c r="AH54" i="8" s="1"/>
  <c r="AH45" i="8"/>
  <c r="AD79" i="8"/>
  <c r="AD74" i="8"/>
  <c r="AD71" i="8"/>
  <c r="AD44" i="8"/>
  <c r="AE44" i="8" s="1"/>
  <c r="AE33" i="8"/>
  <c r="AE12" i="8"/>
  <c r="AF5" i="8" s="1"/>
  <c r="AF8" i="8" s="1"/>
  <c r="AE53" i="8"/>
  <c r="AF53" i="8" s="1"/>
  <c r="AF64" i="8" s="1"/>
  <c r="AD48" i="8"/>
  <c r="AE42" i="8"/>
  <c r="Z72" i="8"/>
  <c r="Y88" i="8"/>
  <c r="Y89" i="8" s="1"/>
  <c r="Y90" i="8" s="1"/>
  <c r="Y91" i="8" s="1"/>
  <c r="Y92" i="8" s="1"/>
  <c r="Y93" i="8" s="1"/>
  <c r="Y94" i="8" s="1"/>
  <c r="Y95" i="8" s="1"/>
  <c r="Y96" i="8" s="1"/>
  <c r="Z85" i="8" s="1"/>
  <c r="Z86" i="8" s="1"/>
  <c r="Z87" i="8" s="1"/>
  <c r="Z88" i="8" s="1"/>
  <c r="Z89" i="8" s="1"/>
  <c r="Z90" i="8" s="1"/>
  <c r="Z91" i="8" s="1"/>
  <c r="Z92" i="8" s="1"/>
  <c r="Z93" i="8" s="1"/>
  <c r="Z94" i="8" s="1"/>
  <c r="Z95" i="8" s="1"/>
  <c r="AC48" i="8"/>
  <c r="AC75" i="8"/>
  <c r="AD75" i="8" s="1"/>
  <c r="AC73" i="8"/>
  <c r="AD73" i="8" s="1"/>
  <c r="AC76" i="8"/>
  <c r="AD76" i="8" s="1"/>
  <c r="AC78" i="8"/>
  <c r="AD78" i="8" s="1"/>
  <c r="AC70" i="8"/>
  <c r="AD70" i="8" s="1"/>
  <c r="AC77" i="8"/>
  <c r="AD77" i="8" s="1"/>
  <c r="AC69" i="8"/>
  <c r="AC71" i="8"/>
  <c r="AC79" i="8"/>
  <c r="AC74" i="8"/>
  <c r="AD26" i="8"/>
  <c r="AD29" i="8"/>
  <c r="AD22" i="8"/>
  <c r="AD25" i="8"/>
  <c r="AD21" i="8"/>
  <c r="AD23" i="8"/>
  <c r="AD30" i="8"/>
  <c r="AD27" i="8"/>
  <c r="AD24" i="8"/>
  <c r="AD28" i="8"/>
  <c r="AD31" i="8"/>
  <c r="AD32" i="8"/>
  <c r="AH6" i="8"/>
  <c r="AF44" i="8" l="1"/>
  <c r="AG44" i="8" s="1"/>
  <c r="AE11" i="8"/>
  <c r="AE9" i="8" s="1"/>
  <c r="AE81" i="8" s="1"/>
  <c r="AD69" i="8"/>
  <c r="AH33" i="8"/>
  <c r="Z80" i="8"/>
  <c r="Z96" i="8" s="1"/>
  <c r="AA85" i="8" s="1"/>
  <c r="AA86" i="8" s="1"/>
  <c r="AA87" i="8" s="1"/>
  <c r="AA72" i="8"/>
  <c r="AA80" i="8" s="1"/>
  <c r="AF12" i="8"/>
  <c r="AG5" i="8" s="1"/>
  <c r="AG8" i="8" s="1"/>
  <c r="AE48" i="8"/>
  <c r="AF42" i="8"/>
  <c r="AF48" i="8" s="1"/>
  <c r="AG33" i="8"/>
  <c r="AE29" i="8"/>
  <c r="AF29" i="8" s="1"/>
  <c r="AE27" i="8"/>
  <c r="AF27" i="8" s="1"/>
  <c r="AE25" i="8"/>
  <c r="AE23" i="8"/>
  <c r="AF23" i="8" s="1"/>
  <c r="AE21" i="8"/>
  <c r="AF21" i="8" s="1"/>
  <c r="AE26" i="8"/>
  <c r="AF26" i="8" s="1"/>
  <c r="AE22" i="8"/>
  <c r="AF22" i="8" s="1"/>
  <c r="AE24" i="8"/>
  <c r="AF24" i="8" s="1"/>
  <c r="AE31" i="8"/>
  <c r="AF31" i="8" s="1"/>
  <c r="AE28" i="8"/>
  <c r="AF28" i="8" s="1"/>
  <c r="AE30" i="8"/>
  <c r="AF30" i="8" s="1"/>
  <c r="AE73" i="8"/>
  <c r="AE70" i="8"/>
  <c r="AE76" i="8"/>
  <c r="AE75" i="8"/>
  <c r="AE77" i="8"/>
  <c r="AE79" i="8"/>
  <c r="AE78" i="8"/>
  <c r="AE69" i="8"/>
  <c r="AE74" i="8"/>
  <c r="AE71" i="8"/>
  <c r="AE64" i="8"/>
  <c r="AG53" i="8"/>
  <c r="AG64" i="8" s="1"/>
  <c r="AH44" i="8"/>
  <c r="AB72" i="8" l="1"/>
  <c r="AB80" i="8" s="1"/>
  <c r="AE32" i="8"/>
  <c r="AF25" i="8"/>
  <c r="AA88" i="8"/>
  <c r="AA89" i="8" s="1"/>
  <c r="AA90" i="8" s="1"/>
  <c r="AA91" i="8" s="1"/>
  <c r="AA92" i="8" s="1"/>
  <c r="AA93" i="8" s="1"/>
  <c r="AA94" i="8" s="1"/>
  <c r="AA95" i="8" s="1"/>
  <c r="AA96" i="8" s="1"/>
  <c r="AB85" i="8" s="1"/>
  <c r="AB86" i="8" s="1"/>
  <c r="AB87" i="8" s="1"/>
  <c r="AB88" i="8" s="1"/>
  <c r="AB89" i="8" s="1"/>
  <c r="AB90" i="8" s="1"/>
  <c r="AB91" i="8" s="1"/>
  <c r="AB92" i="8" s="1"/>
  <c r="AB93" i="8" s="1"/>
  <c r="AB94" i="8" s="1"/>
  <c r="AB95" i="8" s="1"/>
  <c r="AB96" i="8" s="1"/>
  <c r="AC85" i="8" s="1"/>
  <c r="AC86" i="8" s="1"/>
  <c r="AC87" i="8" s="1"/>
  <c r="AG42" i="8"/>
  <c r="AG48" i="8" s="1"/>
  <c r="AF11" i="8"/>
  <c r="AF9" i="8" s="1"/>
  <c r="AF81" i="8" s="1"/>
  <c r="AF76" i="8" s="1"/>
  <c r="AH53" i="8"/>
  <c r="AH64" i="8" s="1"/>
  <c r="AC72" i="8"/>
  <c r="AG12" i="8"/>
  <c r="AH5" i="8" s="1"/>
  <c r="AH8" i="8" s="1"/>
  <c r="AG29" i="8"/>
  <c r="AH29" i="8" s="1"/>
  <c r="AG27" i="8"/>
  <c r="AH27" i="8" s="1"/>
  <c r="AG23" i="8"/>
  <c r="AH23" i="8" s="1"/>
  <c r="AG21" i="8"/>
  <c r="AH21" i="8" s="1"/>
  <c r="AG31" i="8"/>
  <c r="AH31" i="8" s="1"/>
  <c r="AG22" i="8"/>
  <c r="AH22" i="8" s="1"/>
  <c r="AG24" i="8"/>
  <c r="AH24" i="8" s="1"/>
  <c r="AG26" i="8"/>
  <c r="AH26" i="8" s="1"/>
  <c r="AG28" i="8"/>
  <c r="AH28" i="8" s="1"/>
  <c r="AG30" i="8"/>
  <c r="AH30" i="8" s="1"/>
  <c r="AF78" i="8" l="1"/>
  <c r="AG25" i="8"/>
  <c r="AH25" i="8" s="1"/>
  <c r="AH32" i="8" s="1"/>
  <c r="AF77" i="8"/>
  <c r="AG32" i="8"/>
  <c r="AF32" i="8"/>
  <c r="AH42" i="8"/>
  <c r="AH48" i="8" s="1"/>
  <c r="AF73" i="8"/>
  <c r="AF79" i="8"/>
  <c r="AF69" i="8"/>
  <c r="AF75" i="8"/>
  <c r="AF71" i="8"/>
  <c r="AF70" i="8"/>
  <c r="AF74" i="8"/>
  <c r="AH12" i="8"/>
  <c r="AH11" i="8" s="1"/>
  <c r="AH9" i="8" s="1"/>
  <c r="AH81" i="8" s="1"/>
  <c r="AG11" i="8"/>
  <c r="AG9" i="8" s="1"/>
  <c r="AG81" i="8" s="1"/>
  <c r="AC80" i="8"/>
  <c r="AD72" i="8"/>
  <c r="AC88" i="8"/>
  <c r="AC89" i="8" s="1"/>
  <c r="AC90" i="8" s="1"/>
  <c r="AC91" i="8" s="1"/>
  <c r="AC92" i="8" s="1"/>
  <c r="AC93" i="8" s="1"/>
  <c r="AC94" i="8" s="1"/>
  <c r="AC95" i="8" s="1"/>
  <c r="AC96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G78" i="8" l="1"/>
  <c r="AH78" i="8" s="1"/>
  <c r="AG76" i="8"/>
  <c r="AH76" i="8" s="1"/>
  <c r="AG74" i="8"/>
  <c r="AH74" i="8" s="1"/>
  <c r="AG70" i="8"/>
  <c r="AG73" i="8"/>
  <c r="AH73" i="8" s="1"/>
  <c r="AG71" i="8"/>
  <c r="AH71" i="8" s="1"/>
  <c r="AG77" i="8"/>
  <c r="AH77" i="8" s="1"/>
  <c r="AG69" i="8"/>
  <c r="AH69" i="8" s="1"/>
  <c r="AG75" i="8"/>
  <c r="AH75" i="8" s="1"/>
  <c r="AG79" i="8"/>
  <c r="AH79" i="8" s="1"/>
  <c r="AD80" i="8"/>
  <c r="AD96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F85" i="8" s="1"/>
  <c r="AF86" i="8" s="1"/>
  <c r="AF87" i="8" s="1"/>
  <c r="AE72" i="8"/>
  <c r="AE80" i="8" s="1"/>
  <c r="AH70" i="8" l="1"/>
  <c r="AF72" i="8"/>
  <c r="AF80" i="8" l="1"/>
  <c r="AG72" i="8"/>
  <c r="AG80" i="8" s="1"/>
  <c r="AF88" i="8"/>
  <c r="AF89" i="8" s="1"/>
  <c r="AF90" i="8" s="1"/>
  <c r="AF91" i="8" s="1"/>
  <c r="AF92" i="8" s="1"/>
  <c r="AF93" i="8" s="1"/>
  <c r="AF94" i="8" s="1"/>
  <c r="AF95" i="8" s="1"/>
  <c r="AF96" i="8" s="1"/>
  <c r="AG85" i="8" s="1"/>
  <c r="AG86" i="8" s="1"/>
  <c r="AG87" i="8" s="1"/>
  <c r="AG88" i="8" s="1"/>
  <c r="AG89" i="8" s="1"/>
  <c r="AG90" i="8" s="1"/>
  <c r="AG91" i="8" s="1"/>
  <c r="AG92" i="8" s="1"/>
  <c r="AG93" i="8" s="1"/>
  <c r="AG94" i="8" s="1"/>
  <c r="AG95" i="8" s="1"/>
  <c r="AG96" i="8" s="1"/>
  <c r="AH85" i="8" s="1"/>
  <c r="AH86" i="8" s="1"/>
  <c r="AH87" i="8" s="1"/>
  <c r="AH72" i="8" l="1"/>
  <c r="AH80" i="8" s="1"/>
  <c r="AH88" i="8" l="1"/>
  <c r="AH89" i="8" s="1"/>
  <c r="AH90" i="8" s="1"/>
  <c r="AH91" i="8" s="1"/>
  <c r="AH92" i="8" s="1"/>
  <c r="AH93" i="8" s="1"/>
  <c r="AH94" i="8" s="1"/>
  <c r="AH95" i="8" s="1"/>
  <c r="AH96" i="8" s="1"/>
</calcChain>
</file>

<file path=xl/sharedStrings.xml><?xml version="1.0" encoding="utf-8"?>
<sst xmlns="http://schemas.openxmlformats.org/spreadsheetml/2006/main" count="369" uniqueCount="147">
  <si>
    <t>US SOYBEAN OIL SUPPLY AND DEMAND (million pounds)</t>
  </si>
  <si>
    <t>Beginning Stocks (January 1)</t>
  </si>
  <si>
    <t>Production</t>
  </si>
  <si>
    <t>Imports</t>
  </si>
  <si>
    <t xml:space="preserve">    Total Supply</t>
  </si>
  <si>
    <t>Domestic Usage</t>
  </si>
  <si>
    <t xml:space="preserve">  Biomass-Based Diesel Production</t>
  </si>
  <si>
    <t xml:space="preserve">    Biodiesel Production</t>
  </si>
  <si>
    <t xml:space="preserve">    Renewable Diesel Production</t>
  </si>
  <si>
    <t xml:space="preserve">    Co-Processing Use</t>
  </si>
  <si>
    <t xml:space="preserve">  Non-Biodiesel Use</t>
  </si>
  <si>
    <t>Exports</t>
  </si>
  <si>
    <t xml:space="preserve">    Total Use</t>
  </si>
  <si>
    <t>Ending Stocks (December 31)</t>
  </si>
  <si>
    <t>Median Price - California - Crude - ₵/lb.</t>
  </si>
  <si>
    <t>Median Price - Saskatchewan - Crude - ₵/lb.</t>
  </si>
  <si>
    <t>NORTH AMERICAN SOYBEAN OIL SUPPLY AND DEMAND (Million Pounds)</t>
  </si>
  <si>
    <t>22/23</t>
  </si>
  <si>
    <t>23/24</t>
  </si>
  <si>
    <t>24/25</t>
  </si>
  <si>
    <t>25/26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</si>
  <si>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</si>
  <si>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</si>
  <si>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</si>
  <si>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</si>
  <si>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</si>
  <si>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</si>
  <si>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</si>
  <si>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</si>
  <si>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</si>
  <si>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</si>
  <si>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>Beginning Stocks (October 1)</t>
  </si>
  <si>
    <t>Domestic Use</t>
  </si>
  <si>
    <t xml:space="preserve">  Biomass-Based Diesel Feedstock</t>
  </si>
  <si>
    <t xml:space="preserve">  Non-Biofuel Use</t>
  </si>
  <si>
    <t xml:space="preserve">    Food Use</t>
  </si>
  <si>
    <t xml:space="preserve">    Feed Use</t>
  </si>
  <si>
    <t xml:space="preserve">  Residual Use</t>
  </si>
  <si>
    <t>Ending Stocks (September 30)</t>
  </si>
  <si>
    <t>Residual use is the difference in the intraregional trade balance (intraregional imports - intraregional exports)</t>
  </si>
  <si>
    <t>US CANOLA OIL SUPPLY AND DEMAND (million pounds)</t>
  </si>
  <si>
    <t>Median Price -Los Angeles - RBD - ₵/lb.</t>
  </si>
  <si>
    <t>Median Price - Saskatchewan - RBD - ₵/lb.</t>
  </si>
  <si>
    <t>NORTH AMERICAN CANOLA OIL SUPPLY AND DEMAND NON-TRADE ADJUSTED (Million Pounds)</t>
  </si>
  <si>
    <t>US USED COOKING OIL SUPPLY AND DEMAND (million pounds)</t>
  </si>
  <si>
    <t>Median Price - California - ₵/lb.</t>
  </si>
  <si>
    <t>US DISTILLERS' CORN OIL SUPPLY AND DEMAND (million pounds)</t>
  </si>
  <si>
    <t>US INEDIBLE TALLOW SUPPLY AND DEMAND (million pounds)</t>
  </si>
  <si>
    <t>U.S. BIOMASS-BASED DIESEL CREDIT VALUES</t>
  </si>
  <si>
    <t>D4 RIN</t>
  </si>
  <si>
    <t>LCFS</t>
  </si>
  <si>
    <t>BTC/IRA</t>
  </si>
  <si>
    <t>Median prices - RIN and BTC in cents per gallon, LCFS in dollar per tonne</t>
  </si>
  <si>
    <t>U.S. RENEWABLE DIESEL SUPPLY AND DEMAND (million gallons)</t>
  </si>
  <si>
    <t>Beginning Stocks</t>
  </si>
  <si>
    <t xml:space="preserve">  Total Supply</t>
  </si>
  <si>
    <t>Domestic Consumption</t>
  </si>
  <si>
    <t xml:space="preserve">  Total Demand</t>
  </si>
  <si>
    <t>Ending Stocks</t>
  </si>
  <si>
    <t>Median Price - California - $/gal.</t>
  </si>
  <si>
    <t>U.S. Aviation Fuel Supply and Demand</t>
  </si>
  <si>
    <t>million gallons</t>
  </si>
  <si>
    <t xml:space="preserve">  Ending Stocks</t>
  </si>
  <si>
    <t>Days of Coverage</t>
  </si>
  <si>
    <r>
      <t xml:space="preserve">Average Price </t>
    </r>
    <r>
      <rPr>
        <sz val="8"/>
        <color theme="1"/>
        <rFont val="Abadi"/>
        <family val="2"/>
      </rPr>
      <t>($/gal)</t>
    </r>
  </si>
  <si>
    <t>Passenger Miles</t>
  </si>
  <si>
    <t>Jet Fuel Domestic Production</t>
  </si>
  <si>
    <t>thousand gallons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</si>
  <si>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</si>
  <si>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</si>
  <si>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</si>
  <si>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</si>
  <si>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</si>
  <si>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</si>
  <si>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</si>
  <si>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</si>
  <si>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</si>
  <si>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</si>
  <si>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</si>
  <si>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</si>
  <si>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Total</t>
  </si>
  <si>
    <t>Jet Fuel Imports</t>
  </si>
  <si>
    <t>Jet Fuel Exports</t>
  </si>
  <si>
    <t>Jet Fuel Domestic Use</t>
  </si>
  <si>
    <t>Jet Fuel End-of-Month Inventory</t>
  </si>
  <si>
    <t>U.S. Sustainable Aviation Fuel Supply and Demand</t>
  </si>
  <si>
    <t>Blending Rate</t>
  </si>
  <si>
    <t>SAF Domestic Production</t>
  </si>
  <si>
    <t>SAF Imports - Census Bureau</t>
  </si>
  <si>
    <t>SAF Imports - Environmental Protection Agency</t>
  </si>
  <si>
    <t>SAF Exports - Census Bureau</t>
  </si>
  <si>
    <t>BEGINNING STOCKS</t>
  </si>
  <si>
    <t>JET FUEL SUPPLIED</t>
  </si>
  <si>
    <t>NET TRADE FLOWS</t>
  </si>
  <si>
    <t xml:space="preserve">  TOTAL SUPPLY</t>
  </si>
  <si>
    <t>IMPLIED DOMESTIC CONSUMPTION</t>
  </si>
  <si>
    <t>ENDING STOCKS</t>
  </si>
  <si>
    <t>SUSTAINABLE AVAITION FUEL PRODUCTION</t>
  </si>
  <si>
    <t>SUSTAINABLE AVAITION FUEL IMPORTS</t>
  </si>
  <si>
    <t>TOTAL SUSTAINABLE AVAITION FUEL SUPPLY</t>
  </si>
  <si>
    <t>IMPLIED BLEND RATE</t>
  </si>
  <si>
    <t>Combined Feedstock Demand for U.S. Sustainable Jet Fuel Demand</t>
  </si>
  <si>
    <t>High Case</t>
  </si>
  <si>
    <t>Base Case</t>
  </si>
  <si>
    <t>Low Case</t>
  </si>
  <si>
    <t>SAF Expansion Required to be 3 billion gallons by 2030</t>
  </si>
  <si>
    <t>Needed Production based on Announced Capacity Pattern</t>
  </si>
  <si>
    <t>Cap Utilization Rate</t>
  </si>
  <si>
    <t>BBD Capacity, not including unannounced projects</t>
  </si>
  <si>
    <t>Total</t>
  </si>
  <si>
    <t>World Energy - Houston</t>
  </si>
  <si>
    <t>World Energy - Long Beach</t>
  </si>
  <si>
    <t>P-66 - Rodeo</t>
  </si>
  <si>
    <t>CVR - Wynnewood</t>
  </si>
  <si>
    <t>CVR - Coffeeville</t>
  </si>
  <si>
    <t>CVR-Redifuels - Iowa</t>
  </si>
  <si>
    <t>Suncor-Lanza Jet - Soperton GA</t>
  </si>
  <si>
    <t>Gron</t>
  </si>
  <si>
    <t>SAFuels X - Trenton ND</t>
  </si>
  <si>
    <t>Calument Montana Refining - Great Falls MT</t>
  </si>
  <si>
    <t>Lanza Jet Mmarquis - Hennepin IL</t>
  </si>
  <si>
    <t>Indaba Renewable Fuels - Imperial CA</t>
  </si>
  <si>
    <t>Slate-Starwood - Douglas WY</t>
  </si>
  <si>
    <t>HOBO #1</t>
  </si>
  <si>
    <t>Unannounced</t>
  </si>
  <si>
    <t>Velocys - Natchez, MS</t>
  </si>
  <si>
    <t>Fulcrum Energy - Gary IN - MSW Plant</t>
  </si>
  <si>
    <t>Aemetis - Riverbank, CA</t>
  </si>
  <si>
    <t>SBO</t>
  </si>
  <si>
    <t>CO</t>
  </si>
  <si>
    <t>UCO</t>
  </si>
  <si>
    <t>DCO</t>
  </si>
  <si>
    <t>Tallow</t>
  </si>
  <si>
    <t>CWG</t>
  </si>
  <si>
    <t>Poultry Fat</t>
  </si>
  <si>
    <t>Total Supply</t>
  </si>
  <si>
    <t>Domestic Non-Biofuel Demand</t>
  </si>
  <si>
    <t>Available Supply for Biomass-Based Diesel-SAF Production</t>
  </si>
  <si>
    <t>Biomass-Based Diesel Demand</t>
  </si>
  <si>
    <t>Excess/Deficit</t>
  </si>
  <si>
    <t>Domestic Feedstock Requirements (based on 93% rate of conversion relative to biomass-based diesel)</t>
  </si>
  <si>
    <t>Minimal Improvement in Technology - 8 lbs./gal assumption</t>
  </si>
  <si>
    <t>Modest Improvement in Technology - 7.5 lbs./gal assumption post 2028</t>
  </si>
  <si>
    <t>Aggressive Improvement in Technology - 6.75 lbs./gal assumption post 2028</t>
  </si>
  <si>
    <t>Imported Feedstock Requirements (based on 93% rate of conversion relative to biomass-based diesel)</t>
  </si>
  <si>
    <t>North American - Feedstock Availability  (Production + Imports, million pounds)</t>
  </si>
  <si>
    <r>
      <t xml:space="preserve">U.S. JET FUEL SUPPLY AND DEMAND </t>
    </r>
    <r>
      <rPr>
        <b/>
        <sz val="10"/>
        <color rgb="FFFFC000"/>
        <rFont val="Avenir Next LT Pro Demi"/>
        <family val="2"/>
      </rPr>
      <t>(million gallons)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</si>
</sst>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%"/>
    <numFmt numFmtId="166" formatCode="0.000%"/>
  </numFmts>
  <fonts count="28">
    <font>
      <sz val="10"/>
      <color theme="1"/>
      <name val="Arial Narrow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0"/>
      <name val="Helvetica-Normal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Helvetica-Normal"/>
    </font>
    <font>
      <b/>
      <sz val="11"/>
      <color theme="1"/>
      <name val="Arial Narrow"/>
      <family val="2"/>
    </font>
    <font>
      <b/>
      <sz val="11"/>
      <color theme="0"/>
      <name val="Helvetica"/>
      <family val="2"/>
    </font>
    <font>
      <sz val="11"/>
      <color theme="1"/>
      <name val="Arial"/>
      <family val="2"/>
    </font>
    <font>
      <b/>
      <sz val="10"/>
      <color theme="1"/>
      <name val="Arial Narrow"/>
      <family val="2"/>
    </font>
    <font>
      <b/>
      <sz val="12"/>
      <color theme="1"/>
      <name val="Helvetica-Normal"/>
    </font>
    <font>
      <b/>
      <sz val="36"/>
      <color theme="1"/>
      <name val="Aptos Display"/>
      <family val="2"/>
    </font>
    <font>
      <sz val="8"/>
      <color theme="1"/>
      <name val="Abadi"/>
      <family val="2"/>
    </font>
    <font>
      <sz val="12"/>
      <color theme="1"/>
      <name val="Aptos Display"/>
      <family val="2"/>
    </font>
    <font>
      <sz val="12"/>
      <color theme="1"/>
      <name val="Abadi"/>
      <family val="2"/>
    </font>
    <font>
      <b/>
      <sz val="12"/>
      <color theme="1"/>
      <name val="Aptos Display"/>
      <family val="2"/>
    </font>
    <font>
      <sz val="11"/>
      <color theme="1"/>
      <name val="Abadi"/>
      <family val="2"/>
    </font>
    <font>
      <sz val="10"/>
      <color theme="1"/>
      <name val="Aptos Display"/>
      <family val="2"/>
    </font>
    <font>
      <b/>
      <sz val="10"/>
      <color rgb="FF6F0791"/>
      <name val="Aptos Display"/>
      <family val="2"/>
    </font>
    <font>
      <sz val="11"/>
      <color theme="1"/>
      <name val="Aptos Display"/>
      <family val="2"/>
    </font>
    <font>
      <b/>
      <sz val="10"/>
      <color theme="1"/>
      <name val="Aptos Display"/>
      <family val="2"/>
    </font>
    <font>
      <b/>
      <sz val="8"/>
      <color theme="1"/>
      <name val="Avenir Next LT Pro Demi"/>
      <family val="2"/>
    </font>
    <font>
      <sz val="8"/>
      <color theme="1"/>
      <name val="Avenir Next LT Pro Demi"/>
      <family val="2"/>
    </font>
    <font>
      <b/>
      <sz val="8"/>
      <color theme="0"/>
      <name val="Avenir Next LT Pro Demi"/>
      <family val="2"/>
    </font>
    <font>
      <b/>
      <sz val="10"/>
      <color rgb="FFFFC000"/>
      <name val="Avenir Next LT Pro Demi"/>
      <family val="2"/>
    </font>
    <font>
      <b/>
      <sz val="14"/>
      <color rgb="FFFFC000"/>
      <name val="Avenir Next LT Pro Demi"/>
      <family val="2"/>
    </font>
    <font>
      <b/>
      <sz val="8"/>
      <color theme="4" tint="-0.249977111117893"/>
      <name val="Avenir Next LT Pro Demi"/>
      <family val="2"/>
    </font>
  </fonts>
  <fills count="9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6F0791"/>
      </top>
      <bottom style="thin">
        <color rgb="FF6F0791"/>
      </bottom>
      <diagonal/>
    </border>
    <border>
      <left/>
      <right/>
      <top style="thin">
        <color rgb="FF6F0791"/>
      </top>
      <bottom style="medium">
        <color rgb="FFECECEC"/>
      </bottom>
      <diagonal/>
    </border>
    <border>
      <left/>
      <right/>
      <top style="thin">
        <color rgb="FF6F0791"/>
      </top>
      <bottom/>
      <diagonal/>
    </border>
    <border>
      <left/>
      <right/>
      <top style="medium">
        <color rgb="FF8C8C8C"/>
      </top>
      <bottom/>
      <diagonal/>
    </border>
    <border>
      <left/>
      <right/>
      <top style="medium">
        <color rgb="FF6F0791"/>
      </top>
      <bottom/>
      <diagonal/>
    </border>
    <border>
      <left/>
      <right/>
      <top style="thin">
        <color rgb="FF6F0791"/>
      </top>
      <bottom style="medium">
        <color rgb="FF8C8C8C"/>
      </bottom>
      <diagonal/>
    </border>
    <border>
      <left/>
      <right/>
      <top style="medium">
        <color rgb="FF8C8C8C"/>
      </top>
      <bottom style="medium">
        <color rgb="FFECECEC"/>
      </bottom>
      <diagonal/>
    </border>
    <border>
      <left/>
      <right/>
      <top style="thick">
        <color rgb="FF8C8C8C"/>
      </top>
      <bottom style="medium">
        <color rgb="FF8C8C8C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thick">
        <color rgb="FF8C8C8C"/>
      </top>
      <bottom/>
      <diagonal/>
    </border>
    <border>
      <left/>
      <right/>
      <top/>
      <bottom style="medium">
        <color rgb="FF8C8C8C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0" fontId="3" fillId="2" borderId="1" xfId="0" applyFont="1" applyFill="1" applyBorder="1"/>
    <xf numFmtId="0" fontId="0" fillId="2" borderId="1" xfId="0" applyFill="1" applyBorder="1"/>
    <xf numFmtId="0" fontId="4" fillId="3" borderId="2" xfId="0" applyFont="1" applyFill="1" applyBorder="1"/>
    <xf numFmtId="0" fontId="5" fillId="3" borderId="2" xfId="0" applyFont="1" applyFill="1" applyBorder="1" applyAlignment="1">
      <alignment horizontal="right" vertical="center"/>
    </xf>
    <xf numFmtId="0" fontId="6" fillId="3" borderId="0" xfId="0" applyFont="1" applyFill="1"/>
    <xf numFmtId="38" fontId="7" fillId="3" borderId="0" xfId="0" applyNumberFormat="1" applyFont="1" applyFill="1"/>
    <xf numFmtId="0" fontId="6" fillId="3" borderId="3" xfId="0" applyFont="1" applyFill="1" applyBorder="1"/>
    <xf numFmtId="38" fontId="7" fillId="3" borderId="3" xfId="0" applyNumberFormat="1" applyFont="1" applyFill="1" applyBorder="1"/>
    <xf numFmtId="0" fontId="6" fillId="3" borderId="4" xfId="0" applyFont="1" applyFill="1" applyBorder="1"/>
    <xf numFmtId="40" fontId="7" fillId="3" borderId="4" xfId="0" applyNumberFormat="1" applyFont="1" applyFill="1" applyBorder="1"/>
    <xf numFmtId="40" fontId="7" fillId="3" borderId="0" xfId="0" applyNumberFormat="1" applyFont="1" applyFill="1"/>
    <xf numFmtId="0" fontId="0" fillId="3" borderId="0" xfId="0" applyFill="1"/>
    <xf numFmtId="40" fontId="0" fillId="3" borderId="0" xfId="0" applyNumberFormat="1" applyFill="1"/>
    <xf numFmtId="0" fontId="8" fillId="2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9" fillId="3" borderId="3" xfId="0" applyFont="1" applyFill="1" applyBorder="1"/>
    <xf numFmtId="0" fontId="10" fillId="3" borderId="4" xfId="0" applyFont="1" applyFill="1" applyBorder="1"/>
    <xf numFmtId="0" fontId="0" fillId="3" borderId="4" xfId="0" applyFill="1" applyBorder="1"/>
    <xf numFmtId="40" fontId="7" fillId="0" borderId="0" xfId="0" applyNumberFormat="1" applyFont="1"/>
    <xf numFmtId="40" fontId="0" fillId="3" borderId="0" xfId="1" applyNumberFormat="1" applyFont="1" applyFill="1"/>
    <xf numFmtId="38" fontId="10" fillId="4" borderId="6" xfId="0" applyNumberFormat="1" applyFont="1" applyFill="1" applyBorder="1" applyAlignment="1">
      <alignment horizontal="right" vertical="center"/>
    </xf>
    <xf numFmtId="38" fontId="10" fillId="3" borderId="0" xfId="0" applyNumberFormat="1" applyFont="1" applyFill="1" applyAlignment="1">
      <alignment horizontal="right" vertical="center"/>
    </xf>
    <xf numFmtId="38" fontId="10" fillId="3" borderId="3" xfId="0" applyNumberFormat="1" applyFont="1" applyFill="1" applyBorder="1" applyAlignment="1">
      <alignment horizontal="right" vertical="center"/>
    </xf>
    <xf numFmtId="0" fontId="0" fillId="0" borderId="4" xfId="0" applyBorder="1"/>
    <xf numFmtId="40" fontId="10" fillId="0" borderId="0" xfId="0" applyNumberFormat="1" applyFont="1"/>
    <xf numFmtId="40" fontId="0" fillId="0" borderId="0" xfId="0" applyNumberFormat="1"/>
    <xf numFmtId="0" fontId="11" fillId="3" borderId="0" xfId="0" applyFont="1" applyFill="1"/>
    <xf numFmtId="0" fontId="7" fillId="3" borderId="4" xfId="0" applyFont="1" applyFill="1" applyBorder="1"/>
    <xf numFmtId="38" fontId="7" fillId="3" borderId="0" xfId="0" applyNumberFormat="1" applyFont="1" applyFill="1" applyAlignment="1">
      <alignment horizontal="right" vertical="center"/>
    </xf>
    <xf numFmtId="0" fontId="11" fillId="3" borderId="3" xfId="0" applyFont="1" applyFill="1" applyBorder="1"/>
    <xf numFmtId="38" fontId="7" fillId="3" borderId="3" xfId="0" applyNumberFormat="1" applyFont="1" applyFill="1" applyBorder="1" applyAlignment="1">
      <alignment horizontal="right" vertical="center"/>
    </xf>
    <xf numFmtId="0" fontId="6" fillId="3" borderId="7" xfId="0" applyFont="1" applyFill="1" applyBorder="1"/>
    <xf numFmtId="2" fontId="7" fillId="3" borderId="4" xfId="0" applyNumberFormat="1" applyFont="1" applyFill="1" applyBorder="1"/>
    <xf numFmtId="0" fontId="1" fillId="0" borderId="0" xfId="2"/>
    <xf numFmtId="0" fontId="12" fillId="0" borderId="0" xfId="2" applyFont="1"/>
    <xf numFmtId="0" fontId="13" fillId="0" borderId="9" xfId="2" applyFont="1" applyBorder="1"/>
    <xf numFmtId="0" fontId="14" fillId="0" borderId="9" xfId="2" applyFont="1" applyBorder="1" applyAlignment="1">
      <alignment horizontal="center"/>
    </xf>
    <xf numFmtId="0" fontId="15" fillId="0" borderId="0" xfId="2" applyFont="1"/>
    <xf numFmtId="38" fontId="14" fillId="0" borderId="0" xfId="2" applyNumberFormat="1" applyFont="1" applyAlignment="1">
      <alignment vertical="center"/>
    </xf>
    <xf numFmtId="38" fontId="16" fillId="0" borderId="0" xfId="2" applyNumberFormat="1" applyFont="1" applyAlignment="1">
      <alignment vertical="center"/>
    </xf>
    <xf numFmtId="0" fontId="1" fillId="0" borderId="0" xfId="2" applyAlignment="1">
      <alignment vertical="center"/>
    </xf>
    <xf numFmtId="0" fontId="17" fillId="0" borderId="0" xfId="2" applyFont="1"/>
    <xf numFmtId="40" fontId="14" fillId="0" borderId="0" xfId="2" applyNumberFormat="1" applyFont="1" applyAlignment="1">
      <alignment vertical="center"/>
    </xf>
    <xf numFmtId="40" fontId="16" fillId="0" borderId="0" xfId="2" applyNumberFormat="1" applyFont="1" applyAlignment="1">
      <alignment vertical="center"/>
    </xf>
    <xf numFmtId="0" fontId="14" fillId="0" borderId="0" xfId="2" applyFont="1" applyAlignment="1">
      <alignment vertical="center"/>
    </xf>
    <xf numFmtId="0" fontId="1" fillId="0" borderId="10" xfId="2" applyBorder="1"/>
    <xf numFmtId="38" fontId="18" fillId="0" borderId="0" xfId="2" applyNumberFormat="1" applyFont="1"/>
    <xf numFmtId="38" fontId="19" fillId="0" borderId="0" xfId="2" applyNumberFormat="1" applyFont="1"/>
    <xf numFmtId="0" fontId="13" fillId="0" borderId="9" xfId="2" applyFont="1" applyBorder="1" applyAlignment="1">
      <alignment horizontal="right"/>
    </xf>
    <xf numFmtId="164" fontId="20" fillId="0" borderId="9" xfId="2" applyNumberFormat="1" applyFont="1" applyBorder="1"/>
    <xf numFmtId="38" fontId="21" fillId="0" borderId="0" xfId="2" applyNumberFormat="1" applyFont="1"/>
    <xf numFmtId="0" fontId="1" fillId="0" borderId="4" xfId="2" applyBorder="1"/>
    <xf numFmtId="165" fontId="18" fillId="0" borderId="0" xfId="1" applyNumberFormat="1" applyFont="1"/>
    <xf numFmtId="38" fontId="14" fillId="0" borderId="0" xfId="2" applyNumberFormat="1" applyFont="1" applyAlignment="1">
      <alignment horizontal="center" vertical="center"/>
    </xf>
    <xf numFmtId="38" fontId="16" fillId="0" borderId="0" xfId="2" applyNumberFormat="1" applyFont="1" applyAlignment="1">
      <alignment horizontal="center" vertical="center"/>
    </xf>
    <xf numFmtId="0" fontId="1" fillId="0" borderId="0" xfId="2" applyAlignment="1">
      <alignment horizontal="center" vertical="center"/>
    </xf>
    <xf numFmtId="38" fontId="14" fillId="0" borderId="0" xfId="2" applyNumberFormat="1" applyFont="1"/>
    <xf numFmtId="40" fontId="14" fillId="0" borderId="0" xfId="2" applyNumberFormat="1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0" xfId="2" applyFont="1"/>
    <xf numFmtId="166" fontId="20" fillId="0" borderId="0" xfId="1" applyNumberFormat="1" applyFont="1" applyFill="1"/>
    <xf numFmtId="0" fontId="12" fillId="0" borderId="8" xfId="2" applyFont="1" applyBorder="1" applyAlignment="1">
      <alignment horizontal="left"/>
    </xf>
    <xf numFmtId="0" fontId="23" fillId="0" borderId="0" xfId="0" applyFont="1"/>
    <xf numFmtId="0" fontId="22" fillId="3" borderId="0" xfId="0" applyFont="1" applyFill="1"/>
    <xf numFmtId="38" fontId="22" fillId="3" borderId="0" xfId="0" applyNumberFormat="1" applyFont="1" applyFill="1" applyAlignment="1">
      <alignment horizontal="right" vertical="center"/>
    </xf>
    <xf numFmtId="38" fontId="22" fillId="3" borderId="3" xfId="0" applyNumberFormat="1" applyFont="1" applyFill="1" applyBorder="1"/>
    <xf numFmtId="38" fontId="22" fillId="3" borderId="3" xfId="0" applyNumberFormat="1" applyFont="1" applyFill="1" applyBorder="1" applyAlignment="1">
      <alignment horizontal="right" vertical="center"/>
    </xf>
    <xf numFmtId="0" fontId="22" fillId="3" borderId="4" xfId="0" applyFont="1" applyFill="1" applyBorder="1"/>
    <xf numFmtId="38" fontId="22" fillId="3" borderId="4" xfId="0" applyNumberFormat="1" applyFont="1" applyFill="1" applyBorder="1" applyAlignment="1">
      <alignment horizontal="right" vertical="center"/>
    </xf>
    <xf numFmtId="38" fontId="22" fillId="3" borderId="4" xfId="0" applyNumberFormat="1" applyFont="1" applyFill="1" applyBorder="1"/>
    <xf numFmtId="38" fontId="23" fillId="3" borderId="4" xfId="0" applyNumberFormat="1" applyFont="1" applyFill="1" applyBorder="1" applyAlignment="1">
      <alignment horizontal="right" vertical="center"/>
    </xf>
    <xf numFmtId="38" fontId="23" fillId="3" borderId="0" xfId="0" applyNumberFormat="1" applyFont="1" applyFill="1" applyAlignment="1">
      <alignment horizontal="right" vertical="center"/>
    </xf>
    <xf numFmtId="0" fontId="22" fillId="3" borderId="3" xfId="0" applyFont="1" applyFill="1" applyBorder="1"/>
    <xf numFmtId="38" fontId="23" fillId="3" borderId="3" xfId="0" applyNumberFormat="1" applyFont="1" applyFill="1" applyBorder="1" applyAlignment="1">
      <alignment horizontal="right" vertical="center"/>
    </xf>
    <xf numFmtId="165" fontId="22" fillId="3" borderId="0" xfId="1" applyNumberFormat="1" applyFont="1" applyFill="1" applyAlignment="1">
      <alignment horizontal="right" vertical="center"/>
    </xf>
    <xf numFmtId="2" fontId="22" fillId="3" borderId="4" xfId="0" applyNumberFormat="1" applyFont="1" applyFill="1" applyBorder="1"/>
    <xf numFmtId="0" fontId="23" fillId="3" borderId="0" xfId="0" applyFont="1" applyFill="1"/>
    <xf numFmtId="9" fontId="23" fillId="3" borderId="0" xfId="1" applyFont="1" applyFill="1"/>
    <xf numFmtId="38" fontId="22" fillId="5" borderId="4" xfId="0" applyNumberFormat="1" applyFont="1" applyFill="1" applyBorder="1" applyAlignment="1">
      <alignment horizontal="right" vertical="center"/>
    </xf>
    <xf numFmtId="38" fontId="22" fillId="5" borderId="0" xfId="0" applyNumberFormat="1" applyFont="1" applyFill="1" applyAlignment="1">
      <alignment horizontal="right" vertical="center"/>
    </xf>
    <xf numFmtId="38" fontId="22" fillId="6" borderId="0" xfId="0" applyNumberFormat="1" applyFont="1" applyFill="1" applyAlignment="1">
      <alignment horizontal="right" vertical="center"/>
    </xf>
    <xf numFmtId="38" fontId="22" fillId="5" borderId="11" xfId="0" applyNumberFormat="1" applyFont="1" applyFill="1" applyBorder="1" applyAlignment="1">
      <alignment horizontal="right" vertical="center"/>
    </xf>
    <xf numFmtId="38" fontId="22" fillId="6" borderId="11" xfId="0" applyNumberFormat="1" applyFont="1" applyFill="1" applyBorder="1" applyAlignment="1">
      <alignment horizontal="right" vertical="center"/>
    </xf>
    <xf numFmtId="38" fontId="22" fillId="7" borderId="11" xfId="0" applyNumberFormat="1" applyFont="1" applyFill="1" applyBorder="1" applyAlignment="1">
      <alignment horizontal="right" vertical="center"/>
    </xf>
    <xf numFmtId="0" fontId="23" fillId="0" borderId="4" xfId="0" applyFont="1" applyBorder="1"/>
    <xf numFmtId="38" fontId="22" fillId="7" borderId="0" xfId="0" applyNumberFormat="1" applyFont="1" applyFill="1" applyAlignment="1">
      <alignment horizontal="right" vertical="center"/>
    </xf>
    <xf numFmtId="9" fontId="22" fillId="3" borderId="0" xfId="1" applyFont="1" applyFill="1" applyBorder="1" applyAlignment="1">
      <alignment horizontal="right" vertical="center"/>
    </xf>
    <xf numFmtId="0" fontId="23" fillId="3" borderId="4" xfId="0" applyFont="1" applyFill="1" applyBorder="1"/>
    <xf numFmtId="38" fontId="22" fillId="4" borderId="0" xfId="0" applyNumberFormat="1" applyFont="1" applyFill="1" applyAlignment="1">
      <alignment horizontal="right" vertical="center"/>
    </xf>
    <xf numFmtId="0" fontId="23" fillId="3" borderId="11" xfId="0" applyFont="1" applyFill="1" applyBorder="1"/>
    <xf numFmtId="0" fontId="22" fillId="3" borderId="11" xfId="0" applyFont="1" applyFill="1" applyBorder="1" applyAlignment="1">
      <alignment horizontal="right" vertical="center"/>
    </xf>
    <xf numFmtId="0" fontId="23" fillId="8" borderId="12" xfId="0" applyFont="1" applyFill="1" applyBorder="1"/>
    <xf numFmtId="0" fontId="24" fillId="8" borderId="13" xfId="0" applyFont="1" applyFill="1" applyBorder="1"/>
    <xf numFmtId="0" fontId="26" fillId="8" borderId="12" xfId="0" applyFont="1" applyFill="1" applyBorder="1"/>
    <xf numFmtId="38" fontId="27" fillId="3" borderId="0" xfId="0" applyNumberFormat="1" applyFont="1" applyFill="1" applyAlignment="1">
      <alignment horizontal="right" vertical="center"/>
    </xf>
    <xf numFmtId="38" fontId="27" fillId="3" borderId="3" xfId="0" applyNumberFormat="1" applyFont="1" applyFill="1" applyBorder="1" applyAlignment="1">
      <alignment horizontal="right" vertical="center"/>
    </xf>
  </cellXfs>
  <cellStyles count="3">
    <cellStyle name="Normal" xfId="0" builtinId="0"/>
    <cellStyle name="Normal 2" xfId="2" xr:uid="{526DDE89-8A0F-46F6-9936-DF46E1CB7EC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  <a:latin typeface="Aptos Display" panose="020B0004020202020204" pitchFamily="34" charset="0"/>
              </a:rPr>
              <a:t>Passenger Miles v. Jet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8C8C8C"/>
              </a:solidFill>
              <a:ln w="9525">
                <a:solidFill>
                  <a:srgbClr val="8C8C8C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274606299212601"/>
                  <c:y val="-0.14972039953339167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Avenir Next LT Pro Demi" panose="020B07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'Jet Fuel'!$B$6:$F$6</c:f>
              <c:numCache>
                <c:formatCode>#,##0_);[Red]\(#,##0\)</c:formatCode>
                <c:ptCount val="5"/>
                <c:pt idx="0">
                  <c:v>313927.74</c:v>
                </c:pt>
                <c:pt idx="1">
                  <c:v>320504.31</c:v>
                </c:pt>
                <c:pt idx="2">
                  <c:v>198186.23999999999</c:v>
                </c:pt>
                <c:pt idx="3">
                  <c:v>251687.94</c:v>
                </c:pt>
                <c:pt idx="4">
                  <c:v>286762.98</c:v>
                </c:pt>
              </c:numCache>
            </c:numRef>
          </c:xVal>
          <c:yVal>
            <c:numRef>
              <c:f>'Jet Fuel'!$B$17:$F$17</c:f>
              <c:numCache>
                <c:formatCode>#,##0_);[Red]\(#,##0\)</c:formatCode>
                <c:ptCount val="5"/>
                <c:pt idx="0">
                  <c:v>722415.33364099998</c:v>
                </c:pt>
                <c:pt idx="1">
                  <c:v>754450.05571900005</c:v>
                </c:pt>
                <c:pt idx="2">
                  <c:v>306058.02996800002</c:v>
                </c:pt>
                <c:pt idx="3">
                  <c:v>573403.84113099996</c:v>
                </c:pt>
                <c:pt idx="4">
                  <c:v>708959.95827800001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6F-4CEE-8545-EEB86E4BD77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xVal>
            <c:numRef>
              <c:f>'Jet Fuel'!$G$6:$AH$6</c:f>
              <c:numCache>
                <c:formatCode>#,##0_);[Red]\(#,##0\)</c:formatCode>
                <c:ptCount val="28"/>
                <c:pt idx="0">
                  <c:v>303963.24</c:v>
                </c:pt>
                <c:pt idx="1">
                  <c:v>316300</c:v>
                </c:pt>
                <c:pt idx="2">
                  <c:v>318500</c:v>
                </c:pt>
                <c:pt idx="3">
                  <c:v>320100</c:v>
                </c:pt>
                <c:pt idx="4">
                  <c:v>329000</c:v>
                </c:pt>
                <c:pt idx="5">
                  <c:v>336300</c:v>
                </c:pt>
                <c:pt idx="6">
                  <c:v>342000</c:v>
                </c:pt>
                <c:pt idx="7">
                  <c:v>346900</c:v>
                </c:pt>
                <c:pt idx="8">
                  <c:v>354400</c:v>
                </c:pt>
                <c:pt idx="9">
                  <c:v>362000</c:v>
                </c:pt>
                <c:pt idx="10">
                  <c:v>368300</c:v>
                </c:pt>
                <c:pt idx="11">
                  <c:v>375200</c:v>
                </c:pt>
                <c:pt idx="12">
                  <c:v>382800</c:v>
                </c:pt>
                <c:pt idx="13">
                  <c:v>390600</c:v>
                </c:pt>
                <c:pt idx="14">
                  <c:v>398200</c:v>
                </c:pt>
                <c:pt idx="15">
                  <c:v>406000</c:v>
                </c:pt>
                <c:pt idx="16">
                  <c:v>414300</c:v>
                </c:pt>
                <c:pt idx="17">
                  <c:v>422800</c:v>
                </c:pt>
                <c:pt idx="18">
                  <c:v>431400</c:v>
                </c:pt>
                <c:pt idx="19">
                  <c:v>440200</c:v>
                </c:pt>
                <c:pt idx="20">
                  <c:v>449400</c:v>
                </c:pt>
                <c:pt idx="21">
                  <c:v>458800</c:v>
                </c:pt>
                <c:pt idx="22">
                  <c:v>468400</c:v>
                </c:pt>
                <c:pt idx="23">
                  <c:v>478300</c:v>
                </c:pt>
                <c:pt idx="24">
                  <c:v>488500</c:v>
                </c:pt>
                <c:pt idx="25">
                  <c:v>498900</c:v>
                </c:pt>
                <c:pt idx="26">
                  <c:v>509600</c:v>
                </c:pt>
                <c:pt idx="27">
                  <c:v>520600</c:v>
                </c:pt>
              </c:numCache>
            </c:numRef>
          </c:xVal>
          <c:yVal>
            <c:numRef>
              <c:f>'Jet Fuel'!$G$17:$AH$17</c:f>
              <c:numCache>
                <c:formatCode>#,##0_);[Red]\(#,##0\)</c:formatCode>
                <c:ptCount val="28"/>
                <c:pt idx="0">
                  <c:v>773411.55941999995</c:v>
                </c:pt>
                <c:pt idx="1">
                  <c:v>785786.14437071991</c:v>
                </c:pt>
                <c:pt idx="2">
                  <c:v>807002.37026872928</c:v>
                </c:pt>
                <c:pt idx="3">
                  <c:v>828791.43426598492</c:v>
                </c:pt>
                <c:pt idx="4">
                  <c:v>851168.80299116648</c:v>
                </c:pt>
                <c:pt idx="5">
                  <c:v>874150.36067192792</c:v>
                </c:pt>
                <c:pt idx="6">
                  <c:v>897752.42041006987</c:v>
                </c:pt>
                <c:pt idx="7">
                  <c:v>921991.73576114164</c:v>
                </c:pt>
                <c:pt idx="8">
                  <c:v>946885.51262669242</c:v>
                </c:pt>
                <c:pt idx="9">
                  <c:v>972451.42146761308</c:v>
                </c:pt>
                <c:pt idx="10">
                  <c:v>998707.60984723852</c:v>
                </c:pt>
                <c:pt idx="11">
                  <c:v>1025672.7153131139</c:v>
                </c:pt>
                <c:pt idx="12">
                  <c:v>1053365.8786265678</c:v>
                </c:pt>
                <c:pt idx="13">
                  <c:v>1081806.7573494851</c:v>
                </c:pt>
                <c:pt idx="14">
                  <c:v>1111015.539797921</c:v>
                </c:pt>
                <c:pt idx="15">
                  <c:v>1141012.9593724648</c:v>
                </c:pt>
                <c:pt idx="16">
                  <c:v>1171820.3092755212</c:v>
                </c:pt>
                <c:pt idx="17">
                  <c:v>1203459.4576259602</c:v>
                </c:pt>
                <c:pt idx="18">
                  <c:v>1235952.862981861</c:v>
                </c:pt>
                <c:pt idx="19">
                  <c:v>1269323.590282371</c:v>
                </c:pt>
                <c:pt idx="20">
                  <c:v>1303595.327219995</c:v>
                </c:pt>
                <c:pt idx="21">
                  <c:v>1338792.4010549348</c:v>
                </c:pt>
                <c:pt idx="22">
                  <c:v>1374939.7958834181</c:v>
                </c:pt>
                <c:pt idx="23">
                  <c:v>1412063.1703722703</c:v>
                </c:pt>
                <c:pt idx="24">
                  <c:v>1450188.8759723215</c:v>
                </c:pt>
                <c:pt idx="25">
                  <c:v>1489343.9756235741</c:v>
                </c:pt>
                <c:pt idx="26">
                  <c:v>1529556.2629654105</c:v>
                </c:pt>
                <c:pt idx="27">
                  <c:v>1570854.2820654765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6F-4CEE-8545-EEB86E4B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36816"/>
        <c:axId val="391537856"/>
      </c:scatterChart>
      <c:valAx>
        <c:axId val="19363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91537856"/>
        <c:crosses val="autoZero"/>
        <c:crossBetween val="midCat"/>
      </c:valAx>
      <c:valAx>
        <c:axId val="39153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9363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9525</xdr:colOff>
      <xdr:row>19</xdr:row>
      <xdr:rowOff>4762</xdr:rowOff>
    </xdr:from>
    <xdr:to>
      <xdr:col>43</xdr:col>
      <xdr:colOff>314325</xdr:colOff>
      <xdr:row>33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5DFC2-B372-4352-B044-889A38748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0.74375</cdr:x>
      <cdr:y>0.71007</cdr:y>
    </cdr:from>
    <cdr:to>
      <cdr:x>0.91875</cdr:x>
      <cdr:y>0.80034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20EA1D1-CCF2-82E2-948C-4BD4F1AF82F4}"/>
            </a:ext>
          </a:extLst>
        </cdr:cNvPr>
        <cdr:cNvSpPr txBox="1"/>
      </cdr:nvSpPr>
      <cdr:spPr>
        <a:xfrm xmlns:a="http://schemas.openxmlformats.org/drawingml/2006/main">
          <a:off x="3400425" y="1947876"/>
          <a:ext cx="800100" cy="2476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8C8C8C"/>
              </a:solidFill>
              <a:latin typeface="Aptos Display" panose="020B0004020202020204" pitchFamily="34" charset="0"/>
            </a:rPr>
            <a:t>Historical</a:t>
          </a:r>
          <a:r>
            <a:rPr lang="en-US" sz="1100" b="1" baseline="0">
              <a:solidFill>
                <a:srgbClr val="8C8C8C"/>
              </a:solidFill>
              <a:latin typeface="Aptos Display" panose="020B0004020202020204" pitchFamily="34" charset="0"/>
            </a:rPr>
            <a:t> </a:t>
          </a:r>
          <a:endParaRPr lang="en-US" sz="1100" b="1">
            <a:solidFill>
              <a:srgbClr val="8C8C8C"/>
            </a:solidFill>
            <a:latin typeface="Aptos Display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0.43958</cdr:x>
      <cdr:y>0.74826</cdr:y>
    </cdr:from>
    <cdr:to>
      <cdr:x>0.75</cdr:x>
      <cdr:y>0.76215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F109EE80-E8DE-1CCE-A1B8-535E126CAB1C}"/>
            </a:ext>
          </a:extLst>
        </cdr:cNvPr>
        <cdr:cNvCxnSpPr/>
      </cdr:nvCxnSpPr>
      <cdr:spPr>
        <a:xfrm xmlns:a="http://schemas.openxmlformats.org/drawingml/2006/main" flipH="1">
          <a:off x="2009775" y="2052627"/>
          <a:ext cx="1419225" cy="38111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8C8C8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0.51667</cdr:x>
      <cdr:y>0.66146</cdr:y>
    </cdr:from>
    <cdr:to>
      <cdr:x>0.75208</cdr:x>
      <cdr:y>0.75174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1EC5F142-AA85-79D4-26A8-FB91EEC57180}"/>
            </a:ext>
          </a:extLst>
        </cdr:cNvPr>
        <cdr:cNvCxnSpPr/>
      </cdr:nvCxnSpPr>
      <cdr:spPr>
        <a:xfrm xmlns:a="http://schemas.openxmlformats.org/drawingml/2006/main" flipH="1" flipV="1">
          <a:off x="2362200" y="1814513"/>
          <a:ext cx="1076310" cy="24766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8C8C8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0.58333</cdr:x>
      <cdr:y>0.61285</cdr:y>
    </cdr:from>
    <cdr:to>
      <cdr:x>0.75</cdr:x>
      <cdr:y>0.74826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55CBEB4E-ED76-FAD6-9ECC-47FDB0A5E352}"/>
            </a:ext>
          </a:extLst>
        </cdr:cNvPr>
        <cdr:cNvCxnSpPr/>
      </cdr:nvCxnSpPr>
      <cdr:spPr>
        <a:xfrm xmlns:a="http://schemas.openxmlformats.org/drawingml/2006/main" flipH="1" flipV="1">
          <a:off x="2667000" y="1681163"/>
          <a:ext cx="762000" cy="371464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8C8C8C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0.46875</cdr:x>
      <cdr:y>0.18576</cdr:y>
    </cdr:from>
    <cdr:to>
      <cdr:x>0.64166</cdr:x>
      <cdr:y>0.2934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2E9B7C44-E971-5632-8907-0C873499566B}"/>
            </a:ext>
          </a:extLst>
        </cdr:cNvPr>
        <cdr:cNvSpPr txBox="1"/>
      </cdr:nvSpPr>
      <cdr:spPr>
        <a:xfrm xmlns:a="http://schemas.openxmlformats.org/drawingml/2006/main">
          <a:off x="2143140" y="509586"/>
          <a:ext cx="790545" cy="295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6F0791"/>
              </a:solidFill>
              <a:latin typeface="Aptos Display" panose="020B00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0.5875</cdr:x>
      <cdr:y>0.28299</cdr:y>
    </cdr:from>
    <cdr:to>
      <cdr:x>0.68125</cdr:x>
      <cdr:y>0.38715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C4B712B6-0FE7-000B-475C-A69A1A5D7080}"/>
            </a:ext>
          </a:extLst>
        </cdr:cNvPr>
        <cdr:cNvCxnSpPr/>
      </cdr:nvCxnSpPr>
      <cdr:spPr>
        <a:xfrm xmlns:a="http://schemas.openxmlformats.org/drawingml/2006/main">
          <a:off x="2686050" y="776288"/>
          <a:ext cx="428625" cy="28575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0.575</cdr:x>
      <cdr:y>0.27604</cdr:y>
    </cdr:from>
    <cdr:to>
      <cdr:x>0.58542</cdr:x>
      <cdr:y>0.48785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2B5F0E7E-CDD8-46C3-2DAF-0A240FC86E4B}"/>
            </a:ext>
          </a:extLst>
        </cdr:cNvPr>
        <cdr:cNvCxnSpPr/>
      </cdr:nvCxnSpPr>
      <cdr:spPr>
        <a:xfrm xmlns:a="http://schemas.openxmlformats.org/drawingml/2006/main" flipH="1">
          <a:off x="2628900" y="757238"/>
          <a:ext cx="47625" cy="581025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0.58542</cdr:x>
      <cdr:y>0.27604</cdr:y>
    </cdr:from>
    <cdr:to>
      <cdr:x>0.78542</cdr:x>
      <cdr:y>0.27951</cdr:y>
    </cdr:to>
    <cdr:cxnSp macro="">
      <cdr:nvCxnSpPr>
        <cdr:cNvPr id="22" name="Straight Arrow Connector 21">
          <a:extLst xmlns:a="http://schemas.openxmlformats.org/drawingml/2006/main">
            <a:ext uri="{FF2B5EF4-FFF2-40B4-BE49-F238E27FC236}">
              <a16:creationId xmlns:a16="http://schemas.microsoft.com/office/drawing/2014/main" id="{2B5F0E7E-CDD8-46C3-2DAF-0A240FC86E4B}"/>
            </a:ext>
          </a:extLst>
        </cdr:cNvPr>
        <cdr:cNvCxnSpPr/>
      </cdr:nvCxnSpPr>
      <cdr:spPr>
        <a:xfrm xmlns:a="http://schemas.openxmlformats.org/drawingml/2006/main" flipV="1">
          <a:off x="2676525" y="757238"/>
          <a:ext cx="914400" cy="9525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6F079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0.36736</cdr:x>
      <cdr:y>0.47685</cdr:y>
    </cdr:from>
    <cdr:to>
      <cdr:x>0.46042</cdr:x>
      <cdr:y>0.69271</cdr:y>
    </cdr:to>
    <cdr:cxnSp macro="">
      <cdr:nvCxnSpPr>
        <cdr:cNvPr id="33" name="Straight Arrow Connector 32">
          <a:extLst xmlns:a="http://schemas.openxmlformats.org/drawingml/2006/main">
            <a:ext uri="{FF2B5EF4-FFF2-40B4-BE49-F238E27FC236}">
              <a16:creationId xmlns:a16="http://schemas.microsoft.com/office/drawing/2014/main" id="{EB392D09-0FCA-6C71-1EDF-41726DD1336E}"/>
            </a:ext>
          </a:extLst>
        </cdr:cNvPr>
        <cdr:cNvCxnSpPr/>
      </cdr:nvCxnSpPr>
      <cdr:spPr>
        <a:xfrm xmlns:a="http://schemas.openxmlformats.org/drawingml/2006/main">
          <a:off x="1679575" y="1308100"/>
          <a:ext cx="425450" cy="592138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chemeClr val="accent2">
              <a:lumMod val="75000"/>
            </a:schemeClr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Biofuels\Renewable%20Diesel%20Feedstock%20Usage.xlsx" TargetMode="External"/><Relationship Id="rId1" Type="http://schemas.openxmlformats.org/officeDocument/2006/relationships/externalLinkPath" Target="Renewable%20Diesel%20Feedstock%20Usag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Biofuels\North%20American%20BBD%20Feedstock%20Balance%20Sheets.xlsx" TargetMode="External"/><Relationship Id="rId1" Type="http://schemas.openxmlformats.org/officeDocument/2006/relationships/externalLinkPath" Target="North%20American%20BBD%20Feedstock%20Balance%20Shee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BBD%20and%20Fuel%20Trad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orld%20BBD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</sheetNames>
    <sheetDataSet>
      <sheetData sheetId="0"/>
      <sheetData sheetId="1"/>
      <sheetData sheetId="2"/>
      <sheetData sheetId="3"/>
      <sheetData sheetId="4">
        <row r="158">
          <cell r="H158">
            <v>75</v>
          </cell>
          <cell r="O158">
            <v>120</v>
          </cell>
          <cell r="R158">
            <v>100</v>
          </cell>
          <cell r="AE158">
            <v>0.55000000000000004</v>
          </cell>
          <cell r="AF158">
            <v>90</v>
          </cell>
        </row>
        <row r="159">
          <cell r="H159">
            <v>75</v>
          </cell>
          <cell r="O159">
            <v>120</v>
          </cell>
          <cell r="R159">
            <v>100</v>
          </cell>
          <cell r="AE159">
            <v>0.55000000000000004</v>
          </cell>
          <cell r="AF159">
            <v>90</v>
          </cell>
        </row>
        <row r="160">
          <cell r="H160">
            <v>75</v>
          </cell>
          <cell r="O160">
            <v>120</v>
          </cell>
          <cell r="R160">
            <v>100</v>
          </cell>
          <cell r="T160">
            <v>18</v>
          </cell>
          <cell r="AE160">
            <v>0.55000000000000004</v>
          </cell>
          <cell r="AF160">
            <v>90</v>
          </cell>
        </row>
        <row r="161">
          <cell r="H161">
            <v>75</v>
          </cell>
          <cell r="O161">
            <v>120</v>
          </cell>
          <cell r="R161">
            <v>100</v>
          </cell>
          <cell r="T161">
            <v>36</v>
          </cell>
          <cell r="Y161">
            <v>0.875</v>
          </cell>
          <cell r="AE161">
            <v>0.55000000000000004</v>
          </cell>
          <cell r="AF161">
            <v>90</v>
          </cell>
        </row>
        <row r="162">
          <cell r="H162">
            <v>75</v>
          </cell>
          <cell r="O162">
            <v>120</v>
          </cell>
          <cell r="R162">
            <v>100</v>
          </cell>
          <cell r="T162">
            <v>36</v>
          </cell>
          <cell r="Y162">
            <v>1.75</v>
          </cell>
          <cell r="AE162">
            <v>0.55000000000000004</v>
          </cell>
          <cell r="AF162">
            <v>90</v>
          </cell>
        </row>
        <row r="163">
          <cell r="H163">
            <v>75</v>
          </cell>
          <cell r="O163">
            <v>120</v>
          </cell>
          <cell r="R163">
            <v>100</v>
          </cell>
          <cell r="T163">
            <v>36</v>
          </cell>
          <cell r="Y163">
            <v>3.5</v>
          </cell>
          <cell r="AE163">
            <v>0.55000000000000004</v>
          </cell>
          <cell r="AF163">
            <v>90</v>
          </cell>
        </row>
        <row r="164">
          <cell r="H164">
            <v>75</v>
          </cell>
          <cell r="O164">
            <v>120</v>
          </cell>
          <cell r="R164">
            <v>100</v>
          </cell>
          <cell r="T164">
            <v>36</v>
          </cell>
          <cell r="Y164">
            <v>3.5</v>
          </cell>
          <cell r="AE164">
            <v>0.55000000000000004</v>
          </cell>
          <cell r="AF164">
            <v>90</v>
          </cell>
        </row>
        <row r="165">
          <cell r="H165">
            <v>75</v>
          </cell>
          <cell r="O165">
            <v>120</v>
          </cell>
          <cell r="R165">
            <v>100</v>
          </cell>
          <cell r="T165">
            <v>36</v>
          </cell>
          <cell r="Y165">
            <v>3.5</v>
          </cell>
          <cell r="AE165">
            <v>0.55000000000000004</v>
          </cell>
          <cell r="AF165">
            <v>90</v>
          </cell>
        </row>
        <row r="166">
          <cell r="H166">
            <v>75</v>
          </cell>
          <cell r="O166">
            <v>120</v>
          </cell>
          <cell r="R166">
            <v>100</v>
          </cell>
          <cell r="T166">
            <v>36</v>
          </cell>
          <cell r="Y166">
            <v>3.5</v>
          </cell>
          <cell r="AE166">
            <v>0.55000000000000004</v>
          </cell>
          <cell r="AF166">
            <v>90</v>
          </cell>
        </row>
        <row r="167">
          <cell r="H167">
            <v>120</v>
          </cell>
          <cell r="O167">
            <v>120</v>
          </cell>
          <cell r="R167">
            <v>100</v>
          </cell>
          <cell r="T167">
            <v>36</v>
          </cell>
          <cell r="Y167">
            <v>3.5</v>
          </cell>
          <cell r="AE167">
            <v>0.55000000000000004</v>
          </cell>
          <cell r="AF167">
            <v>90</v>
          </cell>
        </row>
        <row r="168">
          <cell r="H168">
            <v>155</v>
          </cell>
          <cell r="O168">
            <v>120</v>
          </cell>
          <cell r="R168">
            <v>100</v>
          </cell>
          <cell r="T168">
            <v>36</v>
          </cell>
          <cell r="Y168">
            <v>3.5</v>
          </cell>
          <cell r="AE168">
            <v>0.55000000000000004</v>
          </cell>
          <cell r="AF168">
            <v>90</v>
          </cell>
        </row>
        <row r="169">
          <cell r="H169">
            <v>190</v>
          </cell>
          <cell r="O169">
            <v>120</v>
          </cell>
          <cell r="R169">
            <v>100</v>
          </cell>
          <cell r="T169">
            <v>36</v>
          </cell>
          <cell r="Y169">
            <v>3.5</v>
          </cell>
          <cell r="AE169">
            <v>0.55000000000000004</v>
          </cell>
          <cell r="AF169">
            <v>90</v>
          </cell>
        </row>
        <row r="170">
          <cell r="H170">
            <v>190</v>
          </cell>
          <cell r="O170">
            <v>120</v>
          </cell>
          <cell r="R170">
            <v>100</v>
          </cell>
          <cell r="T170">
            <v>36</v>
          </cell>
          <cell r="Y170">
            <v>3.5</v>
          </cell>
          <cell r="AE170">
            <v>0.55000000000000004</v>
          </cell>
          <cell r="AF170">
            <v>90</v>
          </cell>
        </row>
        <row r="171">
          <cell r="H171">
            <v>190</v>
          </cell>
          <cell r="O171">
            <v>120</v>
          </cell>
          <cell r="R171">
            <v>100</v>
          </cell>
          <cell r="S171">
            <v>35</v>
          </cell>
          <cell r="T171">
            <v>36</v>
          </cell>
          <cell r="Y171">
            <v>3.5</v>
          </cell>
          <cell r="AE171">
            <v>0.55000000000000004</v>
          </cell>
          <cell r="AF171">
            <v>90</v>
          </cell>
        </row>
        <row r="172">
          <cell r="H172">
            <v>190</v>
          </cell>
          <cell r="O172">
            <v>250</v>
          </cell>
          <cell r="R172">
            <v>100</v>
          </cell>
          <cell r="S172">
            <v>60</v>
          </cell>
          <cell r="T172">
            <v>36</v>
          </cell>
          <cell r="Y172">
            <v>3.5</v>
          </cell>
          <cell r="AE172">
            <v>0.55000000000000004</v>
          </cell>
          <cell r="AF172">
            <v>90</v>
          </cell>
        </row>
        <row r="173">
          <cell r="H173">
            <v>190</v>
          </cell>
          <cell r="O173">
            <v>450</v>
          </cell>
          <cell r="R173">
            <v>100</v>
          </cell>
          <cell r="S173">
            <v>60</v>
          </cell>
          <cell r="T173">
            <v>36</v>
          </cell>
          <cell r="Y173">
            <v>3.5</v>
          </cell>
          <cell r="AE173">
            <v>0.55000000000000004</v>
          </cell>
          <cell r="AF173">
            <v>90</v>
          </cell>
        </row>
        <row r="174">
          <cell r="H174">
            <v>190</v>
          </cell>
          <cell r="O174">
            <v>636</v>
          </cell>
          <cell r="R174">
            <v>100</v>
          </cell>
          <cell r="S174">
            <v>60</v>
          </cell>
          <cell r="T174">
            <v>36</v>
          </cell>
          <cell r="Y174">
            <v>3.5</v>
          </cell>
          <cell r="Z174">
            <v>18.75</v>
          </cell>
          <cell r="AE174">
            <v>1.1000000000000001</v>
          </cell>
          <cell r="AF174">
            <v>90</v>
          </cell>
          <cell r="AL174">
            <v>5.625</v>
          </cell>
        </row>
        <row r="175">
          <cell r="H175">
            <v>190</v>
          </cell>
          <cell r="O175">
            <v>636</v>
          </cell>
          <cell r="R175">
            <v>100</v>
          </cell>
          <cell r="S175">
            <v>60</v>
          </cell>
          <cell r="T175">
            <v>36</v>
          </cell>
          <cell r="Y175">
            <v>3.5</v>
          </cell>
          <cell r="Z175">
            <v>57.5</v>
          </cell>
          <cell r="AE175">
            <v>1.1000000000000001</v>
          </cell>
          <cell r="AF175">
            <v>90</v>
          </cell>
          <cell r="AL175">
            <v>11.25</v>
          </cell>
        </row>
        <row r="176">
          <cell r="H176">
            <v>190</v>
          </cell>
          <cell r="O176">
            <v>636</v>
          </cell>
          <cell r="R176">
            <v>100</v>
          </cell>
          <cell r="S176">
            <v>60</v>
          </cell>
          <cell r="T176">
            <v>36</v>
          </cell>
          <cell r="Y176">
            <v>3.5</v>
          </cell>
          <cell r="Z176">
            <v>57.5</v>
          </cell>
          <cell r="AE176">
            <v>1.1000000000000001</v>
          </cell>
          <cell r="AF176">
            <v>90</v>
          </cell>
          <cell r="AL176">
            <v>22.5</v>
          </cell>
        </row>
        <row r="177">
          <cell r="H177">
            <v>190</v>
          </cell>
          <cell r="O177">
            <v>636</v>
          </cell>
          <cell r="R177">
            <v>100</v>
          </cell>
          <cell r="S177">
            <v>60</v>
          </cell>
          <cell r="T177">
            <v>36</v>
          </cell>
          <cell r="Y177">
            <v>3.5</v>
          </cell>
          <cell r="Z177">
            <v>57.5</v>
          </cell>
          <cell r="AE177">
            <v>1.1000000000000001</v>
          </cell>
          <cell r="AF177">
            <v>170</v>
          </cell>
          <cell r="AL177">
            <v>22.5</v>
          </cell>
        </row>
        <row r="178">
          <cell r="H178">
            <v>190</v>
          </cell>
          <cell r="O178">
            <v>375</v>
          </cell>
          <cell r="R178">
            <v>100</v>
          </cell>
          <cell r="S178">
            <v>60</v>
          </cell>
          <cell r="T178">
            <v>36</v>
          </cell>
          <cell r="Y178">
            <v>3.5</v>
          </cell>
          <cell r="Z178">
            <v>57.5</v>
          </cell>
          <cell r="AE178">
            <v>1.1000000000000001</v>
          </cell>
          <cell r="AF178">
            <v>275</v>
          </cell>
          <cell r="AL178">
            <v>22.5</v>
          </cell>
        </row>
        <row r="179">
          <cell r="H179">
            <v>190</v>
          </cell>
          <cell r="O179">
            <v>375</v>
          </cell>
          <cell r="R179">
            <v>100</v>
          </cell>
          <cell r="S179">
            <v>60</v>
          </cell>
          <cell r="T179">
            <v>36</v>
          </cell>
          <cell r="Y179">
            <v>3.5</v>
          </cell>
          <cell r="Z179">
            <v>57.5</v>
          </cell>
          <cell r="AE179">
            <v>1.1000000000000001</v>
          </cell>
          <cell r="AF179">
            <v>275</v>
          </cell>
          <cell r="AL179">
            <v>22.5</v>
          </cell>
        </row>
        <row r="180">
          <cell r="H180">
            <v>190</v>
          </cell>
          <cell r="O180">
            <v>375</v>
          </cell>
          <cell r="R180">
            <v>100</v>
          </cell>
          <cell r="S180">
            <v>60</v>
          </cell>
          <cell r="T180">
            <v>36</v>
          </cell>
          <cell r="Y180">
            <v>3.5</v>
          </cell>
          <cell r="Z180">
            <v>57.5</v>
          </cell>
          <cell r="AE180">
            <v>1.1000000000000001</v>
          </cell>
          <cell r="AF180">
            <v>275</v>
          </cell>
          <cell r="AL180">
            <v>22.5</v>
          </cell>
        </row>
        <row r="181">
          <cell r="H181">
            <v>190</v>
          </cell>
          <cell r="I181">
            <v>62.5</v>
          </cell>
          <cell r="O181">
            <v>375</v>
          </cell>
          <cell r="R181">
            <v>100</v>
          </cell>
          <cell r="S181">
            <v>60</v>
          </cell>
          <cell r="T181">
            <v>36</v>
          </cell>
          <cell r="Y181">
            <v>3.5</v>
          </cell>
          <cell r="Z181">
            <v>57.5</v>
          </cell>
          <cell r="AE181">
            <v>1.1000000000000001</v>
          </cell>
          <cell r="AF181">
            <v>275</v>
          </cell>
          <cell r="AL181">
            <v>22.5</v>
          </cell>
        </row>
        <row r="182">
          <cell r="H182">
            <v>190</v>
          </cell>
          <cell r="I182">
            <v>93.75</v>
          </cell>
          <cell r="O182">
            <v>375</v>
          </cell>
          <cell r="R182">
            <v>100</v>
          </cell>
          <cell r="S182">
            <v>60</v>
          </cell>
          <cell r="T182">
            <v>36</v>
          </cell>
          <cell r="Y182">
            <v>3.5</v>
          </cell>
          <cell r="Z182">
            <v>57.5</v>
          </cell>
          <cell r="AE182">
            <v>1.1000000000000001</v>
          </cell>
          <cell r="AF182">
            <v>275</v>
          </cell>
          <cell r="AL182">
            <v>22.5</v>
          </cell>
        </row>
        <row r="183">
          <cell r="H183">
            <v>190</v>
          </cell>
          <cell r="I183">
            <v>125</v>
          </cell>
          <cell r="O183">
            <v>375</v>
          </cell>
          <cell r="R183">
            <v>100</v>
          </cell>
          <cell r="S183">
            <v>60</v>
          </cell>
          <cell r="T183">
            <v>36</v>
          </cell>
          <cell r="Y183">
            <v>3.5</v>
          </cell>
          <cell r="Z183">
            <v>57.5</v>
          </cell>
          <cell r="AE183">
            <v>1.1000000000000001</v>
          </cell>
          <cell r="AF183">
            <v>275</v>
          </cell>
          <cell r="AL183">
            <v>22.5</v>
          </cell>
        </row>
        <row r="184">
          <cell r="H184">
            <v>190</v>
          </cell>
          <cell r="I184">
            <v>125</v>
          </cell>
          <cell r="O184">
            <v>375</v>
          </cell>
          <cell r="R184">
            <v>100</v>
          </cell>
          <cell r="S184">
            <v>60</v>
          </cell>
          <cell r="T184">
            <v>36</v>
          </cell>
          <cell r="Y184">
            <v>3.5</v>
          </cell>
          <cell r="Z184">
            <v>57.5</v>
          </cell>
          <cell r="AE184">
            <v>1.1000000000000001</v>
          </cell>
          <cell r="AF184">
            <v>275</v>
          </cell>
          <cell r="AL184">
            <v>22.5</v>
          </cell>
        </row>
        <row r="185">
          <cell r="H185">
            <v>190</v>
          </cell>
          <cell r="I185">
            <v>125</v>
          </cell>
          <cell r="O185">
            <v>375</v>
          </cell>
          <cell r="R185">
            <v>100</v>
          </cell>
          <cell r="S185">
            <v>60</v>
          </cell>
          <cell r="T185">
            <v>36</v>
          </cell>
          <cell r="Y185">
            <v>3.5</v>
          </cell>
          <cell r="Z185">
            <v>57.5</v>
          </cell>
          <cell r="AE185">
            <v>1.1000000000000001</v>
          </cell>
          <cell r="AF185">
            <v>275</v>
          </cell>
          <cell r="AL185">
            <v>22.5</v>
          </cell>
        </row>
        <row r="186">
          <cell r="H186">
            <v>190</v>
          </cell>
          <cell r="I186">
            <v>125</v>
          </cell>
          <cell r="O186">
            <v>375</v>
          </cell>
          <cell r="R186">
            <v>100</v>
          </cell>
          <cell r="S186">
            <v>60</v>
          </cell>
          <cell r="T186">
            <v>36</v>
          </cell>
          <cell r="V186">
            <v>0</v>
          </cell>
          <cell r="Y186">
            <v>3.5</v>
          </cell>
          <cell r="Z186">
            <v>57.5</v>
          </cell>
          <cell r="AE186">
            <v>1.1000000000000001</v>
          </cell>
          <cell r="AF186">
            <v>275</v>
          </cell>
          <cell r="AL186">
            <v>22.5</v>
          </cell>
          <cell r="AO186">
            <v>5</v>
          </cell>
        </row>
        <row r="187">
          <cell r="H187">
            <v>190</v>
          </cell>
          <cell r="I187">
            <v>125</v>
          </cell>
          <cell r="O187">
            <v>375</v>
          </cell>
          <cell r="R187">
            <v>100</v>
          </cell>
          <cell r="S187">
            <v>60</v>
          </cell>
          <cell r="T187">
            <v>36</v>
          </cell>
          <cell r="V187">
            <v>0</v>
          </cell>
          <cell r="Y187">
            <v>3.5</v>
          </cell>
          <cell r="Z187">
            <v>57.5</v>
          </cell>
          <cell r="AE187">
            <v>1.1000000000000001</v>
          </cell>
          <cell r="AF187">
            <v>275</v>
          </cell>
          <cell r="AL187">
            <v>22.5</v>
          </cell>
          <cell r="AO187">
            <v>10</v>
          </cell>
        </row>
        <row r="188">
          <cell r="H188">
            <v>190</v>
          </cell>
          <cell r="I188">
            <v>125</v>
          </cell>
          <cell r="O188">
            <v>375</v>
          </cell>
          <cell r="R188">
            <v>100</v>
          </cell>
          <cell r="S188">
            <v>60</v>
          </cell>
          <cell r="T188">
            <v>36</v>
          </cell>
          <cell r="V188">
            <v>0</v>
          </cell>
          <cell r="Y188">
            <v>3.5</v>
          </cell>
          <cell r="Z188">
            <v>57.5</v>
          </cell>
          <cell r="AE188">
            <v>1.1000000000000001</v>
          </cell>
          <cell r="AF188">
            <v>275</v>
          </cell>
          <cell r="AL188">
            <v>22.5</v>
          </cell>
          <cell r="AO188">
            <v>19</v>
          </cell>
        </row>
        <row r="189">
          <cell r="H189">
            <v>190</v>
          </cell>
          <cell r="I189">
            <v>125</v>
          </cell>
          <cell r="O189">
            <v>375</v>
          </cell>
          <cell r="R189">
            <v>100</v>
          </cell>
          <cell r="S189">
            <v>60</v>
          </cell>
          <cell r="T189">
            <v>36</v>
          </cell>
          <cell r="V189">
            <v>0</v>
          </cell>
          <cell r="Y189">
            <v>3.5</v>
          </cell>
          <cell r="Z189">
            <v>57.5</v>
          </cell>
          <cell r="AE189">
            <v>1.1000000000000001</v>
          </cell>
          <cell r="AF189">
            <v>275</v>
          </cell>
          <cell r="AL189">
            <v>22.5</v>
          </cell>
          <cell r="AO189">
            <v>19</v>
          </cell>
        </row>
        <row r="190">
          <cell r="H190">
            <v>190</v>
          </cell>
          <cell r="I190">
            <v>125</v>
          </cell>
          <cell r="O190">
            <v>375</v>
          </cell>
          <cell r="R190">
            <v>100</v>
          </cell>
          <cell r="S190">
            <v>60</v>
          </cell>
          <cell r="T190">
            <v>36</v>
          </cell>
          <cell r="V190">
            <v>0</v>
          </cell>
          <cell r="Y190">
            <v>3.5</v>
          </cell>
          <cell r="Z190">
            <v>57.5</v>
          </cell>
          <cell r="AE190">
            <v>1.1000000000000001</v>
          </cell>
          <cell r="AF190">
            <v>275</v>
          </cell>
          <cell r="AL190">
            <v>22.5</v>
          </cell>
          <cell r="AO190">
            <v>19</v>
          </cell>
        </row>
        <row r="191">
          <cell r="H191">
            <v>190</v>
          </cell>
          <cell r="I191">
            <v>125</v>
          </cell>
          <cell r="O191">
            <v>375</v>
          </cell>
          <cell r="R191">
            <v>100</v>
          </cell>
          <cell r="S191">
            <v>60</v>
          </cell>
          <cell r="T191">
            <v>36</v>
          </cell>
          <cell r="V191">
            <v>0</v>
          </cell>
          <cell r="Y191">
            <v>3.5</v>
          </cell>
          <cell r="Z191">
            <v>57.5</v>
          </cell>
          <cell r="AE191">
            <v>1.1000000000000001</v>
          </cell>
          <cell r="AF191">
            <v>275</v>
          </cell>
          <cell r="AL191">
            <v>22.5</v>
          </cell>
          <cell r="AO191">
            <v>19</v>
          </cell>
        </row>
        <row r="192">
          <cell r="H192">
            <v>190</v>
          </cell>
          <cell r="I192">
            <v>125</v>
          </cell>
          <cell r="O192">
            <v>375</v>
          </cell>
          <cell r="R192">
            <v>100</v>
          </cell>
          <cell r="S192">
            <v>60</v>
          </cell>
          <cell r="T192">
            <v>36</v>
          </cell>
          <cell r="V192">
            <v>0</v>
          </cell>
          <cell r="Y192">
            <v>3.5</v>
          </cell>
          <cell r="Z192">
            <v>57.5</v>
          </cell>
          <cell r="AE192">
            <v>1.1000000000000001</v>
          </cell>
          <cell r="AF192">
            <v>275</v>
          </cell>
          <cell r="AL192">
            <v>22.5</v>
          </cell>
          <cell r="AO192">
            <v>19</v>
          </cell>
        </row>
        <row r="193">
          <cell r="H193">
            <v>190</v>
          </cell>
          <cell r="I193">
            <v>125</v>
          </cell>
          <cell r="O193">
            <v>375</v>
          </cell>
          <cell r="R193">
            <v>100</v>
          </cell>
          <cell r="S193">
            <v>60</v>
          </cell>
          <cell r="T193">
            <v>36</v>
          </cell>
          <cell r="V193">
            <v>0</v>
          </cell>
          <cell r="Y193">
            <v>3.5</v>
          </cell>
          <cell r="Z193">
            <v>57.5</v>
          </cell>
          <cell r="AE193">
            <v>1.1000000000000001</v>
          </cell>
          <cell r="AF193">
            <v>275</v>
          </cell>
          <cell r="AL193">
            <v>22.5</v>
          </cell>
          <cell r="AO193">
            <v>19</v>
          </cell>
        </row>
        <row r="194">
          <cell r="H194">
            <v>190</v>
          </cell>
          <cell r="I194">
            <v>125</v>
          </cell>
          <cell r="O194">
            <v>375</v>
          </cell>
          <cell r="R194">
            <v>100</v>
          </cell>
          <cell r="S194">
            <v>60</v>
          </cell>
          <cell r="T194">
            <v>36</v>
          </cell>
          <cell r="V194">
            <v>0</v>
          </cell>
          <cell r="Y194">
            <v>3.5</v>
          </cell>
          <cell r="Z194">
            <v>76.25</v>
          </cell>
          <cell r="AE194">
            <v>1.1000000000000001</v>
          </cell>
          <cell r="AF194">
            <v>275</v>
          </cell>
          <cell r="AL194">
            <v>22.5</v>
          </cell>
          <cell r="AO194">
            <v>19</v>
          </cell>
        </row>
        <row r="195">
          <cell r="H195">
            <v>190</v>
          </cell>
          <cell r="I195">
            <v>125</v>
          </cell>
          <cell r="O195">
            <v>375</v>
          </cell>
          <cell r="R195">
            <v>100</v>
          </cell>
          <cell r="S195">
            <v>60</v>
          </cell>
          <cell r="T195">
            <v>36</v>
          </cell>
          <cell r="V195">
            <v>0</v>
          </cell>
          <cell r="Y195">
            <v>3.5</v>
          </cell>
          <cell r="Z195">
            <v>115</v>
          </cell>
          <cell r="AE195">
            <v>1.1000000000000001</v>
          </cell>
          <cell r="AF195">
            <v>275</v>
          </cell>
          <cell r="AJ195">
            <v>22.5</v>
          </cell>
          <cell r="AL195">
            <v>22.5</v>
          </cell>
          <cell r="AO195">
            <v>19</v>
          </cell>
        </row>
        <row r="196">
          <cell r="H196">
            <v>190</v>
          </cell>
          <cell r="I196">
            <v>125</v>
          </cell>
          <cell r="O196">
            <v>375</v>
          </cell>
          <cell r="R196">
            <v>100</v>
          </cell>
          <cell r="S196">
            <v>60</v>
          </cell>
          <cell r="T196">
            <v>36</v>
          </cell>
          <cell r="V196">
            <v>0</v>
          </cell>
          <cell r="Y196">
            <v>3.5</v>
          </cell>
          <cell r="Z196">
            <v>115</v>
          </cell>
          <cell r="AE196">
            <v>1.1000000000000001</v>
          </cell>
          <cell r="AF196">
            <v>275</v>
          </cell>
          <cell r="AJ196">
            <v>45</v>
          </cell>
          <cell r="AL196">
            <v>22.5</v>
          </cell>
          <cell r="AO196">
            <v>19</v>
          </cell>
        </row>
        <row r="197">
          <cell r="H197">
            <v>190</v>
          </cell>
          <cell r="I197">
            <v>125</v>
          </cell>
          <cell r="O197">
            <v>375</v>
          </cell>
          <cell r="R197">
            <v>100</v>
          </cell>
          <cell r="S197">
            <v>60</v>
          </cell>
          <cell r="T197">
            <v>36</v>
          </cell>
          <cell r="V197">
            <v>0</v>
          </cell>
          <cell r="Y197">
            <v>3.5</v>
          </cell>
          <cell r="Z197">
            <v>115</v>
          </cell>
          <cell r="AE197">
            <v>1.1000000000000001</v>
          </cell>
          <cell r="AF197">
            <v>275</v>
          </cell>
          <cell r="AJ197">
            <v>90</v>
          </cell>
          <cell r="AL197">
            <v>22.5</v>
          </cell>
          <cell r="AO197">
            <v>19</v>
          </cell>
        </row>
        <row r="198">
          <cell r="H198">
            <v>190</v>
          </cell>
          <cell r="I198">
            <v>125</v>
          </cell>
          <cell r="O198">
            <v>375</v>
          </cell>
          <cell r="R198">
            <v>100</v>
          </cell>
          <cell r="S198">
            <v>60</v>
          </cell>
          <cell r="T198">
            <v>36</v>
          </cell>
          <cell r="V198">
            <v>0</v>
          </cell>
          <cell r="Y198">
            <v>3.5</v>
          </cell>
          <cell r="Z198">
            <v>115</v>
          </cell>
          <cell r="AE198">
            <v>1.1000000000000001</v>
          </cell>
          <cell r="AF198">
            <v>275</v>
          </cell>
          <cell r="AJ198">
            <v>90</v>
          </cell>
          <cell r="AL198">
            <v>27.5</v>
          </cell>
          <cell r="AO198">
            <v>19</v>
          </cell>
        </row>
        <row r="199">
          <cell r="H199">
            <v>190</v>
          </cell>
          <cell r="I199">
            <v>125</v>
          </cell>
          <cell r="O199">
            <v>375</v>
          </cell>
          <cell r="R199">
            <v>100</v>
          </cell>
          <cell r="S199">
            <v>60</v>
          </cell>
          <cell r="T199">
            <v>36</v>
          </cell>
          <cell r="V199">
            <v>0</v>
          </cell>
          <cell r="Y199">
            <v>3.5</v>
          </cell>
          <cell r="Z199">
            <v>115</v>
          </cell>
          <cell r="AE199">
            <v>1.1000000000000001</v>
          </cell>
          <cell r="AF199">
            <v>275</v>
          </cell>
          <cell r="AJ199">
            <v>90</v>
          </cell>
          <cell r="AL199">
            <v>37.5</v>
          </cell>
          <cell r="AO199">
            <v>19</v>
          </cell>
        </row>
        <row r="200">
          <cell r="H200">
            <v>190</v>
          </cell>
          <cell r="I200">
            <v>125</v>
          </cell>
          <cell r="O200">
            <v>375</v>
          </cell>
          <cell r="R200">
            <v>100</v>
          </cell>
          <cell r="S200">
            <v>60</v>
          </cell>
          <cell r="T200">
            <v>36</v>
          </cell>
          <cell r="V200">
            <v>0</v>
          </cell>
          <cell r="Y200">
            <v>3.5</v>
          </cell>
          <cell r="Z200">
            <v>115</v>
          </cell>
          <cell r="AE200">
            <v>1.1000000000000001</v>
          </cell>
          <cell r="AF200">
            <v>275</v>
          </cell>
          <cell r="AJ200">
            <v>90</v>
          </cell>
          <cell r="AL200">
            <v>45</v>
          </cell>
          <cell r="AO200">
            <v>19</v>
          </cell>
        </row>
        <row r="201">
          <cell r="H201">
            <v>190</v>
          </cell>
          <cell r="I201">
            <v>125</v>
          </cell>
          <cell r="O201">
            <v>375</v>
          </cell>
          <cell r="R201">
            <v>100</v>
          </cell>
          <cell r="S201">
            <v>60</v>
          </cell>
          <cell r="T201">
            <v>36</v>
          </cell>
          <cell r="V201">
            <v>0</v>
          </cell>
          <cell r="Y201">
            <v>3.5</v>
          </cell>
          <cell r="Z201">
            <v>115</v>
          </cell>
          <cell r="AE201">
            <v>1.1000000000000001</v>
          </cell>
          <cell r="AF201">
            <v>275</v>
          </cell>
          <cell r="AJ201">
            <v>90</v>
          </cell>
          <cell r="AL201">
            <v>45</v>
          </cell>
          <cell r="AO201">
            <v>19</v>
          </cell>
        </row>
        <row r="202">
          <cell r="H202">
            <v>190</v>
          </cell>
          <cell r="I202">
            <v>125</v>
          </cell>
          <cell r="O202">
            <v>375</v>
          </cell>
          <cell r="R202">
            <v>100</v>
          </cell>
          <cell r="S202">
            <v>60</v>
          </cell>
          <cell r="T202">
            <v>36</v>
          </cell>
          <cell r="V202">
            <v>0</v>
          </cell>
          <cell r="Y202">
            <v>3.5</v>
          </cell>
          <cell r="Z202">
            <v>115</v>
          </cell>
          <cell r="AE202">
            <v>1.1000000000000001</v>
          </cell>
          <cell r="AF202">
            <v>275</v>
          </cell>
          <cell r="AJ202">
            <v>90</v>
          </cell>
          <cell r="AL202">
            <v>45</v>
          </cell>
          <cell r="AO202">
            <v>19</v>
          </cell>
        </row>
        <row r="203">
          <cell r="H203">
            <v>190</v>
          </cell>
          <cell r="I203">
            <v>125</v>
          </cell>
          <cell r="O203">
            <v>375</v>
          </cell>
          <cell r="R203">
            <v>100</v>
          </cell>
          <cell r="S203">
            <v>60</v>
          </cell>
          <cell r="T203">
            <v>36</v>
          </cell>
          <cell r="V203">
            <v>0</v>
          </cell>
          <cell r="Y203">
            <v>3.5</v>
          </cell>
          <cell r="Z203">
            <v>115</v>
          </cell>
          <cell r="AE203">
            <v>1.1000000000000001</v>
          </cell>
          <cell r="AF203">
            <v>275</v>
          </cell>
          <cell r="AJ203">
            <v>90</v>
          </cell>
          <cell r="AL203">
            <v>45</v>
          </cell>
          <cell r="AO203">
            <v>19</v>
          </cell>
        </row>
        <row r="204">
          <cell r="H204">
            <v>190</v>
          </cell>
          <cell r="I204">
            <v>125</v>
          </cell>
          <cell r="O204">
            <v>375</v>
          </cell>
          <cell r="R204">
            <v>100</v>
          </cell>
          <cell r="S204">
            <v>60</v>
          </cell>
          <cell r="T204">
            <v>36</v>
          </cell>
          <cell r="V204">
            <v>0</v>
          </cell>
          <cell r="Y204">
            <v>3.5</v>
          </cell>
          <cell r="Z204">
            <v>115</v>
          </cell>
          <cell r="AE204">
            <v>1.1000000000000001</v>
          </cell>
          <cell r="AF204">
            <v>275</v>
          </cell>
          <cell r="AJ204">
            <v>90</v>
          </cell>
          <cell r="AL204">
            <v>45</v>
          </cell>
          <cell r="AO204">
            <v>19</v>
          </cell>
        </row>
        <row r="205">
          <cell r="H205">
            <v>190</v>
          </cell>
          <cell r="I205">
            <v>125</v>
          </cell>
          <cell r="O205">
            <v>375</v>
          </cell>
          <cell r="R205">
            <v>100</v>
          </cell>
          <cell r="S205">
            <v>60</v>
          </cell>
          <cell r="T205">
            <v>36</v>
          </cell>
          <cell r="V205">
            <v>0</v>
          </cell>
          <cell r="Y205">
            <v>3.5</v>
          </cell>
          <cell r="Z205">
            <v>115</v>
          </cell>
          <cell r="AE205">
            <v>1.1000000000000001</v>
          </cell>
          <cell r="AF205">
            <v>275</v>
          </cell>
          <cell r="AJ205">
            <v>90</v>
          </cell>
          <cell r="AK205">
            <v>2</v>
          </cell>
          <cell r="AL205">
            <v>45</v>
          </cell>
          <cell r="AO205">
            <v>19</v>
          </cell>
          <cell r="AR205">
            <v>120</v>
          </cell>
        </row>
        <row r="206">
          <cell r="H206">
            <v>190</v>
          </cell>
          <cell r="I206">
            <v>125</v>
          </cell>
          <cell r="O206">
            <v>375</v>
          </cell>
          <cell r="R206">
            <v>100</v>
          </cell>
          <cell r="S206">
            <v>60</v>
          </cell>
          <cell r="T206">
            <v>36</v>
          </cell>
          <cell r="V206">
            <v>0</v>
          </cell>
          <cell r="Y206">
            <v>3.5</v>
          </cell>
          <cell r="Z206">
            <v>115</v>
          </cell>
          <cell r="AE206">
            <v>1.1000000000000001</v>
          </cell>
          <cell r="AF206">
            <v>275</v>
          </cell>
          <cell r="AJ206">
            <v>90</v>
          </cell>
          <cell r="AK206">
            <v>5</v>
          </cell>
          <cell r="AL206">
            <v>45</v>
          </cell>
          <cell r="AO206">
            <v>19</v>
          </cell>
          <cell r="AR206">
            <v>120</v>
          </cell>
        </row>
        <row r="207">
          <cell r="H207">
            <v>190</v>
          </cell>
          <cell r="I207">
            <v>125</v>
          </cell>
          <cell r="O207">
            <v>375</v>
          </cell>
          <cell r="R207">
            <v>100</v>
          </cell>
          <cell r="S207">
            <v>60</v>
          </cell>
          <cell r="T207">
            <v>36</v>
          </cell>
          <cell r="V207">
            <v>0</v>
          </cell>
          <cell r="Y207">
            <v>3.5</v>
          </cell>
          <cell r="Z207">
            <v>115</v>
          </cell>
          <cell r="AE207">
            <v>1.1000000000000001</v>
          </cell>
          <cell r="AF207">
            <v>275</v>
          </cell>
          <cell r="AJ207">
            <v>90</v>
          </cell>
          <cell r="AK207">
            <v>14</v>
          </cell>
          <cell r="AL207">
            <v>45</v>
          </cell>
          <cell r="AO207">
            <v>19</v>
          </cell>
          <cell r="AR207">
            <v>120</v>
          </cell>
        </row>
        <row r="208">
          <cell r="H208">
            <v>190</v>
          </cell>
          <cell r="I208">
            <v>125</v>
          </cell>
          <cell r="O208">
            <v>375</v>
          </cell>
          <cell r="R208">
            <v>100</v>
          </cell>
          <cell r="S208">
            <v>60</v>
          </cell>
          <cell r="T208">
            <v>36</v>
          </cell>
          <cell r="V208">
            <v>0</v>
          </cell>
          <cell r="Y208">
            <v>3.5</v>
          </cell>
          <cell r="Z208">
            <v>115</v>
          </cell>
          <cell r="AE208">
            <v>1.1000000000000001</v>
          </cell>
          <cell r="AF208">
            <v>275</v>
          </cell>
          <cell r="AJ208">
            <v>90</v>
          </cell>
          <cell r="AK208">
            <v>14</v>
          </cell>
          <cell r="AL208">
            <v>45</v>
          </cell>
          <cell r="AO208">
            <v>19</v>
          </cell>
          <cell r="AR208">
            <v>120</v>
          </cell>
        </row>
        <row r="209">
          <cell r="H209">
            <v>190</v>
          </cell>
          <cell r="I209">
            <v>125</v>
          </cell>
          <cell r="O209">
            <v>375</v>
          </cell>
          <cell r="R209">
            <v>100</v>
          </cell>
          <cell r="S209">
            <v>60</v>
          </cell>
          <cell r="T209">
            <v>36</v>
          </cell>
          <cell r="V209">
            <v>0</v>
          </cell>
          <cell r="Y209">
            <v>3.5</v>
          </cell>
          <cell r="Z209">
            <v>115</v>
          </cell>
          <cell r="AE209">
            <v>1.1000000000000001</v>
          </cell>
          <cell r="AF209">
            <v>275</v>
          </cell>
          <cell r="AJ209">
            <v>90</v>
          </cell>
          <cell r="AK209">
            <v>14</v>
          </cell>
          <cell r="AL209">
            <v>45</v>
          </cell>
          <cell r="AO209">
            <v>19</v>
          </cell>
          <cell r="AR209">
            <v>120</v>
          </cell>
        </row>
        <row r="210">
          <cell r="H210">
            <v>190</v>
          </cell>
          <cell r="I210">
            <v>125</v>
          </cell>
          <cell r="O210">
            <v>375</v>
          </cell>
          <cell r="R210">
            <v>100</v>
          </cell>
          <cell r="S210">
            <v>60</v>
          </cell>
          <cell r="T210">
            <v>36</v>
          </cell>
          <cell r="V210">
            <v>0</v>
          </cell>
          <cell r="Y210">
            <v>3.5</v>
          </cell>
          <cell r="Z210">
            <v>115</v>
          </cell>
          <cell r="AE210">
            <v>1.1000000000000001</v>
          </cell>
          <cell r="AF210">
            <v>275</v>
          </cell>
          <cell r="AJ210">
            <v>90</v>
          </cell>
          <cell r="AK210">
            <v>14</v>
          </cell>
          <cell r="AL210">
            <v>45</v>
          </cell>
          <cell r="AO210">
            <v>19</v>
          </cell>
          <cell r="AP210">
            <v>5</v>
          </cell>
          <cell r="AQ210">
            <v>2.5</v>
          </cell>
          <cell r="AR210">
            <v>120</v>
          </cell>
        </row>
        <row r="211">
          <cell r="H211">
            <v>190</v>
          </cell>
          <cell r="I211">
            <v>125</v>
          </cell>
          <cell r="O211">
            <v>375</v>
          </cell>
          <cell r="R211">
            <v>100</v>
          </cell>
          <cell r="S211">
            <v>60</v>
          </cell>
          <cell r="T211">
            <v>36</v>
          </cell>
          <cell r="V211">
            <v>0</v>
          </cell>
          <cell r="Y211">
            <v>3.5</v>
          </cell>
          <cell r="Z211">
            <v>115</v>
          </cell>
          <cell r="AE211">
            <v>1.1000000000000001</v>
          </cell>
          <cell r="AF211">
            <v>275</v>
          </cell>
          <cell r="AJ211">
            <v>90</v>
          </cell>
          <cell r="AK211">
            <v>14</v>
          </cell>
          <cell r="AL211">
            <v>45</v>
          </cell>
          <cell r="AO211">
            <v>19</v>
          </cell>
          <cell r="AP211">
            <v>7.5</v>
          </cell>
          <cell r="AQ211">
            <v>5</v>
          </cell>
          <cell r="AR211">
            <v>120</v>
          </cell>
        </row>
        <row r="212">
          <cell r="H212">
            <v>190</v>
          </cell>
          <cell r="I212">
            <v>125</v>
          </cell>
          <cell r="O212">
            <v>375</v>
          </cell>
          <cell r="R212">
            <v>100</v>
          </cell>
          <cell r="S212">
            <v>60</v>
          </cell>
          <cell r="T212">
            <v>36</v>
          </cell>
          <cell r="V212">
            <v>0</v>
          </cell>
          <cell r="Y212">
            <v>3.5</v>
          </cell>
          <cell r="Z212">
            <v>115</v>
          </cell>
          <cell r="AE212">
            <v>1.1000000000000001</v>
          </cell>
          <cell r="AF212">
            <v>275</v>
          </cell>
          <cell r="AJ212">
            <v>90</v>
          </cell>
          <cell r="AK212">
            <v>14</v>
          </cell>
          <cell r="AL212">
            <v>45</v>
          </cell>
          <cell r="AO212">
            <v>19</v>
          </cell>
          <cell r="AP212">
            <v>9.5</v>
          </cell>
          <cell r="AQ212">
            <v>5</v>
          </cell>
          <cell r="AR212">
            <v>120</v>
          </cell>
        </row>
        <row r="213">
          <cell r="H213">
            <v>190</v>
          </cell>
          <cell r="I213">
            <v>125</v>
          </cell>
          <cell r="O213">
            <v>375</v>
          </cell>
          <cell r="R213">
            <v>100</v>
          </cell>
          <cell r="S213">
            <v>60</v>
          </cell>
          <cell r="T213">
            <v>36</v>
          </cell>
          <cell r="V213">
            <v>0</v>
          </cell>
          <cell r="Y213">
            <v>3.5</v>
          </cell>
          <cell r="Z213">
            <v>115</v>
          </cell>
          <cell r="AE213">
            <v>1.1000000000000001</v>
          </cell>
          <cell r="AF213">
            <v>275</v>
          </cell>
          <cell r="AJ213">
            <v>90</v>
          </cell>
          <cell r="AK213">
            <v>14</v>
          </cell>
          <cell r="AL213">
            <v>45</v>
          </cell>
          <cell r="AO213">
            <v>19</v>
          </cell>
          <cell r="AP213">
            <v>19</v>
          </cell>
          <cell r="AQ213">
            <v>5</v>
          </cell>
          <cell r="AR213">
            <v>120</v>
          </cell>
        </row>
        <row r="214">
          <cell r="H214">
            <v>190</v>
          </cell>
          <cell r="I214">
            <v>125</v>
          </cell>
          <cell r="O214">
            <v>375</v>
          </cell>
          <cell r="R214">
            <v>100</v>
          </cell>
          <cell r="S214">
            <v>60</v>
          </cell>
          <cell r="T214">
            <v>36</v>
          </cell>
          <cell r="V214">
            <v>0</v>
          </cell>
          <cell r="Y214">
            <v>3.5</v>
          </cell>
          <cell r="Z214">
            <v>115</v>
          </cell>
          <cell r="AE214">
            <v>1.1000000000000001</v>
          </cell>
          <cell r="AF214">
            <v>275</v>
          </cell>
          <cell r="AJ214">
            <v>90</v>
          </cell>
          <cell r="AK214">
            <v>14</v>
          </cell>
          <cell r="AL214">
            <v>45</v>
          </cell>
          <cell r="AO214">
            <v>19</v>
          </cell>
          <cell r="AP214">
            <v>19</v>
          </cell>
          <cell r="AQ214">
            <v>5</v>
          </cell>
          <cell r="AR214">
            <v>120</v>
          </cell>
        </row>
        <row r="215">
          <cell r="H215">
            <v>190</v>
          </cell>
          <cell r="I215">
            <v>125</v>
          </cell>
          <cell r="O215">
            <v>375</v>
          </cell>
          <cell r="R215">
            <v>100</v>
          </cell>
          <cell r="S215">
            <v>60</v>
          </cell>
          <cell r="T215">
            <v>36</v>
          </cell>
          <cell r="V215">
            <v>0</v>
          </cell>
          <cell r="Y215">
            <v>3.5</v>
          </cell>
          <cell r="Z215">
            <v>115</v>
          </cell>
          <cell r="AE215">
            <v>1.1000000000000001</v>
          </cell>
          <cell r="AF215">
            <v>275</v>
          </cell>
          <cell r="AJ215">
            <v>90</v>
          </cell>
          <cell r="AK215">
            <v>14</v>
          </cell>
          <cell r="AL215">
            <v>45</v>
          </cell>
          <cell r="AO215">
            <v>19</v>
          </cell>
          <cell r="AP215">
            <v>19</v>
          </cell>
          <cell r="AQ215">
            <v>5</v>
          </cell>
          <cell r="AR215">
            <v>120</v>
          </cell>
        </row>
        <row r="216">
          <cell r="H216">
            <v>190</v>
          </cell>
          <cell r="I216">
            <v>125</v>
          </cell>
          <cell r="O216">
            <v>375</v>
          </cell>
          <cell r="R216">
            <v>100</v>
          </cell>
          <cell r="S216">
            <v>60</v>
          </cell>
          <cell r="T216">
            <v>36</v>
          </cell>
          <cell r="V216">
            <v>0</v>
          </cell>
          <cell r="Y216">
            <v>3.5</v>
          </cell>
          <cell r="Z216">
            <v>115</v>
          </cell>
          <cell r="AE216">
            <v>1.1000000000000001</v>
          </cell>
          <cell r="AF216">
            <v>275</v>
          </cell>
          <cell r="AJ216">
            <v>90</v>
          </cell>
          <cell r="AK216">
            <v>14</v>
          </cell>
          <cell r="AL216">
            <v>45</v>
          </cell>
          <cell r="AO216">
            <v>19</v>
          </cell>
          <cell r="AP216">
            <v>19</v>
          </cell>
          <cell r="AQ216">
            <v>5</v>
          </cell>
          <cell r="AR216">
            <v>120</v>
          </cell>
        </row>
        <row r="217">
          <cell r="H217">
            <v>190</v>
          </cell>
          <cell r="I217">
            <v>250</v>
          </cell>
          <cell r="O217">
            <v>375</v>
          </cell>
          <cell r="R217">
            <v>100</v>
          </cell>
          <cell r="S217">
            <v>60</v>
          </cell>
          <cell r="T217">
            <v>36</v>
          </cell>
          <cell r="V217">
            <v>0</v>
          </cell>
          <cell r="Y217">
            <v>3.5</v>
          </cell>
          <cell r="Z217">
            <v>115</v>
          </cell>
          <cell r="AE217">
            <v>1.1000000000000001</v>
          </cell>
          <cell r="AF217">
            <v>275</v>
          </cell>
          <cell r="AJ217">
            <v>90</v>
          </cell>
          <cell r="AK217">
            <v>14</v>
          </cell>
          <cell r="AL217">
            <v>45</v>
          </cell>
          <cell r="AO217">
            <v>19</v>
          </cell>
          <cell r="AP217">
            <v>19</v>
          </cell>
          <cell r="AQ217">
            <v>5</v>
          </cell>
          <cell r="AR217">
            <v>120</v>
          </cell>
        </row>
        <row r="218">
          <cell r="H218">
            <v>190</v>
          </cell>
          <cell r="I218">
            <v>250</v>
          </cell>
          <cell r="O218">
            <v>375</v>
          </cell>
          <cell r="R218">
            <v>100</v>
          </cell>
          <cell r="S218">
            <v>60</v>
          </cell>
          <cell r="T218">
            <v>36</v>
          </cell>
          <cell r="V218">
            <v>0</v>
          </cell>
          <cell r="Y218">
            <v>3.5</v>
          </cell>
          <cell r="Z218">
            <v>133.75</v>
          </cell>
          <cell r="AE218">
            <v>1.1000000000000001</v>
          </cell>
          <cell r="AF218">
            <v>275</v>
          </cell>
          <cell r="AJ218">
            <v>90</v>
          </cell>
          <cell r="AK218">
            <v>14</v>
          </cell>
          <cell r="AL218">
            <v>45</v>
          </cell>
          <cell r="AO218">
            <v>19</v>
          </cell>
          <cell r="AP218">
            <v>19</v>
          </cell>
          <cell r="AQ218">
            <v>5</v>
          </cell>
          <cell r="AR218">
            <v>120</v>
          </cell>
        </row>
        <row r="219">
          <cell r="H219">
            <v>190</v>
          </cell>
          <cell r="I219">
            <v>250</v>
          </cell>
          <cell r="O219">
            <v>375</v>
          </cell>
          <cell r="R219">
            <v>100</v>
          </cell>
          <cell r="S219">
            <v>60</v>
          </cell>
          <cell r="T219">
            <v>36</v>
          </cell>
          <cell r="V219">
            <v>0</v>
          </cell>
          <cell r="Y219">
            <v>3.5</v>
          </cell>
          <cell r="Z219">
            <v>172.5</v>
          </cell>
          <cell r="AE219">
            <v>1.1000000000000001</v>
          </cell>
          <cell r="AF219">
            <v>275</v>
          </cell>
          <cell r="AJ219">
            <v>90</v>
          </cell>
          <cell r="AK219">
            <v>14</v>
          </cell>
          <cell r="AL219">
            <v>45</v>
          </cell>
          <cell r="AO219">
            <v>19</v>
          </cell>
          <cell r="AP219">
            <v>19</v>
          </cell>
          <cell r="AQ219">
            <v>5</v>
          </cell>
          <cell r="AR219">
            <v>120</v>
          </cell>
        </row>
        <row r="220">
          <cell r="H220">
            <v>190</v>
          </cell>
          <cell r="I220">
            <v>250</v>
          </cell>
          <cell r="O220">
            <v>375</v>
          </cell>
          <cell r="R220">
            <v>100</v>
          </cell>
          <cell r="S220">
            <v>60</v>
          </cell>
          <cell r="T220">
            <v>36</v>
          </cell>
          <cell r="V220">
            <v>0</v>
          </cell>
          <cell r="Y220">
            <v>3.5</v>
          </cell>
          <cell r="Z220">
            <v>172.5</v>
          </cell>
          <cell r="AE220">
            <v>1.1000000000000001</v>
          </cell>
          <cell r="AF220">
            <v>275</v>
          </cell>
          <cell r="AJ220">
            <v>90</v>
          </cell>
          <cell r="AK220">
            <v>14</v>
          </cell>
          <cell r="AL220">
            <v>45</v>
          </cell>
          <cell r="AO220">
            <v>19</v>
          </cell>
          <cell r="AP220">
            <v>19</v>
          </cell>
          <cell r="AQ220">
            <v>5</v>
          </cell>
          <cell r="AR220">
            <v>120</v>
          </cell>
        </row>
        <row r="221">
          <cell r="H221">
            <v>190</v>
          </cell>
          <cell r="I221">
            <v>250</v>
          </cell>
          <cell r="O221">
            <v>375</v>
          </cell>
          <cell r="R221">
            <v>100</v>
          </cell>
          <cell r="S221">
            <v>60</v>
          </cell>
          <cell r="T221">
            <v>36</v>
          </cell>
          <cell r="V221">
            <v>0</v>
          </cell>
          <cell r="Y221">
            <v>3.5</v>
          </cell>
          <cell r="Z221">
            <v>172.5</v>
          </cell>
          <cell r="AE221">
            <v>1.1000000000000001</v>
          </cell>
          <cell r="AF221">
            <v>275</v>
          </cell>
          <cell r="AJ221">
            <v>90</v>
          </cell>
          <cell r="AK221">
            <v>14</v>
          </cell>
          <cell r="AL221">
            <v>45</v>
          </cell>
          <cell r="AO221">
            <v>19</v>
          </cell>
          <cell r="AP221">
            <v>19</v>
          </cell>
          <cell r="AQ221">
            <v>5</v>
          </cell>
          <cell r="AR221">
            <v>120</v>
          </cell>
        </row>
        <row r="222">
          <cell r="H222">
            <v>190</v>
          </cell>
          <cell r="I222">
            <v>250</v>
          </cell>
          <cell r="O222">
            <v>375</v>
          </cell>
          <cell r="R222">
            <v>100</v>
          </cell>
          <cell r="S222">
            <v>60</v>
          </cell>
          <cell r="T222">
            <v>36</v>
          </cell>
          <cell r="V222">
            <v>0</v>
          </cell>
          <cell r="Y222">
            <v>3.5</v>
          </cell>
          <cell r="Z222">
            <v>172.5</v>
          </cell>
          <cell r="AE222">
            <v>1.1000000000000001</v>
          </cell>
          <cell r="AF222">
            <v>275</v>
          </cell>
          <cell r="AJ222">
            <v>90</v>
          </cell>
          <cell r="AK222">
            <v>14</v>
          </cell>
          <cell r="AL222">
            <v>45</v>
          </cell>
          <cell r="AO222">
            <v>19</v>
          </cell>
          <cell r="AP222">
            <v>19</v>
          </cell>
          <cell r="AQ222">
            <v>5</v>
          </cell>
          <cell r="AR222">
            <v>120</v>
          </cell>
        </row>
        <row r="223">
          <cell r="H223">
            <v>190</v>
          </cell>
          <cell r="I223">
            <v>250</v>
          </cell>
          <cell r="O223">
            <v>375</v>
          </cell>
          <cell r="R223">
            <v>100</v>
          </cell>
          <cell r="S223">
            <v>60</v>
          </cell>
          <cell r="T223">
            <v>36</v>
          </cell>
          <cell r="V223">
            <v>0</v>
          </cell>
          <cell r="Y223">
            <v>3.5</v>
          </cell>
          <cell r="Z223">
            <v>172.5</v>
          </cell>
          <cell r="AE223">
            <v>1.1000000000000001</v>
          </cell>
          <cell r="AF223">
            <v>275</v>
          </cell>
          <cell r="AJ223">
            <v>90</v>
          </cell>
          <cell r="AK223">
            <v>14</v>
          </cell>
          <cell r="AL223">
            <v>45</v>
          </cell>
          <cell r="AO223">
            <v>19</v>
          </cell>
          <cell r="AP223">
            <v>19</v>
          </cell>
          <cell r="AQ223">
            <v>5</v>
          </cell>
          <cell r="AR223">
            <v>120</v>
          </cell>
        </row>
        <row r="224">
          <cell r="H224">
            <v>190</v>
          </cell>
          <cell r="I224">
            <v>250</v>
          </cell>
          <cell r="O224">
            <v>375</v>
          </cell>
          <cell r="R224">
            <v>100</v>
          </cell>
          <cell r="S224">
            <v>60</v>
          </cell>
          <cell r="T224">
            <v>36</v>
          </cell>
          <cell r="V224">
            <v>0</v>
          </cell>
          <cell r="Y224">
            <v>3.5</v>
          </cell>
          <cell r="Z224">
            <v>172.5</v>
          </cell>
          <cell r="AE224">
            <v>1.1000000000000001</v>
          </cell>
          <cell r="AF224">
            <v>275</v>
          </cell>
          <cell r="AJ224">
            <v>90</v>
          </cell>
          <cell r="AK224">
            <v>14</v>
          </cell>
          <cell r="AL224">
            <v>45</v>
          </cell>
          <cell r="AO224">
            <v>19</v>
          </cell>
          <cell r="AP224">
            <v>19</v>
          </cell>
          <cell r="AQ224">
            <v>5</v>
          </cell>
          <cell r="AR224">
            <v>120</v>
          </cell>
        </row>
        <row r="225">
          <cell r="H225">
            <v>190</v>
          </cell>
          <cell r="I225">
            <v>250</v>
          </cell>
          <cell r="O225">
            <v>375</v>
          </cell>
          <cell r="R225">
            <v>100</v>
          </cell>
          <cell r="S225">
            <v>60</v>
          </cell>
          <cell r="T225">
            <v>36</v>
          </cell>
          <cell r="V225">
            <v>0</v>
          </cell>
          <cell r="Y225">
            <v>3.5</v>
          </cell>
          <cell r="Z225">
            <v>172.5</v>
          </cell>
          <cell r="AE225">
            <v>1.1000000000000001</v>
          </cell>
          <cell r="AF225">
            <v>275</v>
          </cell>
          <cell r="AJ225">
            <v>90</v>
          </cell>
          <cell r="AK225">
            <v>14</v>
          </cell>
          <cell r="AL225">
            <v>45</v>
          </cell>
          <cell r="AO225">
            <v>19</v>
          </cell>
          <cell r="AP225">
            <v>19</v>
          </cell>
          <cell r="AQ225">
            <v>5</v>
          </cell>
          <cell r="AR225">
            <v>120</v>
          </cell>
        </row>
        <row r="226">
          <cell r="H226">
            <v>190</v>
          </cell>
          <cell r="I226">
            <v>250</v>
          </cell>
          <cell r="O226">
            <v>375</v>
          </cell>
          <cell r="R226">
            <v>100</v>
          </cell>
          <cell r="S226">
            <v>60</v>
          </cell>
          <cell r="T226">
            <v>36</v>
          </cell>
          <cell r="V226">
            <v>0</v>
          </cell>
          <cell r="Y226">
            <v>3.5</v>
          </cell>
          <cell r="Z226">
            <v>172.5</v>
          </cell>
          <cell r="AE226">
            <v>1.1000000000000001</v>
          </cell>
          <cell r="AF226">
            <v>275</v>
          </cell>
          <cell r="AJ226">
            <v>90</v>
          </cell>
          <cell r="AK226">
            <v>14</v>
          </cell>
          <cell r="AL226">
            <v>45</v>
          </cell>
          <cell r="AO226">
            <v>19</v>
          </cell>
          <cell r="AP226">
            <v>19</v>
          </cell>
          <cell r="AQ226">
            <v>5</v>
          </cell>
          <cell r="AR226">
            <v>120</v>
          </cell>
        </row>
        <row r="227">
          <cell r="H227">
            <v>190</v>
          </cell>
          <cell r="I227">
            <v>250</v>
          </cell>
          <cell r="O227">
            <v>375</v>
          </cell>
          <cell r="R227">
            <v>100</v>
          </cell>
          <cell r="S227">
            <v>60</v>
          </cell>
          <cell r="T227">
            <v>36</v>
          </cell>
          <cell r="V227">
            <v>0</v>
          </cell>
          <cell r="Y227">
            <v>3.5</v>
          </cell>
          <cell r="Z227">
            <v>172.5</v>
          </cell>
          <cell r="AE227">
            <v>1.1000000000000001</v>
          </cell>
          <cell r="AF227">
            <v>275</v>
          </cell>
          <cell r="AJ227">
            <v>90</v>
          </cell>
          <cell r="AK227">
            <v>14</v>
          </cell>
          <cell r="AL227">
            <v>45</v>
          </cell>
          <cell r="AO227">
            <v>19</v>
          </cell>
          <cell r="AP227">
            <v>19</v>
          </cell>
          <cell r="AQ227">
            <v>5</v>
          </cell>
          <cell r="AR227">
            <v>120</v>
          </cell>
        </row>
        <row r="228">
          <cell r="H228">
            <v>190</v>
          </cell>
          <cell r="I228">
            <v>250</v>
          </cell>
          <cell r="O228">
            <v>375</v>
          </cell>
          <cell r="R228">
            <v>100</v>
          </cell>
          <cell r="S228">
            <v>60</v>
          </cell>
          <cell r="T228">
            <v>36</v>
          </cell>
          <cell r="V228">
            <v>0</v>
          </cell>
          <cell r="Y228">
            <v>3.5</v>
          </cell>
          <cell r="Z228">
            <v>172.5</v>
          </cell>
          <cell r="AE228">
            <v>1.1000000000000001</v>
          </cell>
          <cell r="AF228">
            <v>275</v>
          </cell>
          <cell r="AJ228">
            <v>90</v>
          </cell>
          <cell r="AK228">
            <v>14</v>
          </cell>
          <cell r="AL228">
            <v>45</v>
          </cell>
          <cell r="AO228">
            <v>19</v>
          </cell>
          <cell r="AP228">
            <v>19</v>
          </cell>
          <cell r="AQ228">
            <v>5</v>
          </cell>
          <cell r="AR228">
            <v>120</v>
          </cell>
        </row>
        <row r="229">
          <cell r="H229">
            <v>190</v>
          </cell>
          <cell r="I229">
            <v>250</v>
          </cell>
          <cell r="O229">
            <v>375</v>
          </cell>
          <cell r="R229">
            <v>100</v>
          </cell>
          <cell r="S229">
            <v>60</v>
          </cell>
          <cell r="T229">
            <v>36</v>
          </cell>
          <cell r="V229">
            <v>0</v>
          </cell>
          <cell r="Y229">
            <v>3.5</v>
          </cell>
          <cell r="Z229">
            <v>172.5</v>
          </cell>
          <cell r="AE229">
            <v>1.1000000000000001</v>
          </cell>
          <cell r="AF229">
            <v>275</v>
          </cell>
          <cell r="AJ229">
            <v>90</v>
          </cell>
          <cell r="AK229">
            <v>14</v>
          </cell>
          <cell r="AL229">
            <v>45</v>
          </cell>
          <cell r="AO229">
            <v>19</v>
          </cell>
          <cell r="AP229">
            <v>19</v>
          </cell>
          <cell r="AQ229">
            <v>5</v>
          </cell>
          <cell r="AR229">
            <v>120</v>
          </cell>
        </row>
        <row r="230">
          <cell r="H230">
            <v>190</v>
          </cell>
          <cell r="I230">
            <v>250</v>
          </cell>
          <cell r="O230">
            <v>375</v>
          </cell>
          <cell r="R230">
            <v>100</v>
          </cell>
          <cell r="S230">
            <v>60</v>
          </cell>
          <cell r="T230">
            <v>36</v>
          </cell>
          <cell r="V230">
            <v>0</v>
          </cell>
          <cell r="Y230">
            <v>3.5</v>
          </cell>
          <cell r="Z230">
            <v>172.5</v>
          </cell>
          <cell r="AE230">
            <v>1.1000000000000001</v>
          </cell>
          <cell r="AF230">
            <v>275</v>
          </cell>
          <cell r="AJ230">
            <v>90</v>
          </cell>
          <cell r="AK230">
            <v>14</v>
          </cell>
          <cell r="AL230">
            <v>45</v>
          </cell>
          <cell r="AO230">
            <v>19</v>
          </cell>
          <cell r="AP230">
            <v>19</v>
          </cell>
          <cell r="AQ230">
            <v>5</v>
          </cell>
          <cell r="AR230">
            <v>120</v>
          </cell>
        </row>
        <row r="231">
          <cell r="H231">
            <v>190</v>
          </cell>
          <cell r="I231">
            <v>250</v>
          </cell>
          <cell r="O231">
            <v>375</v>
          </cell>
          <cell r="R231">
            <v>100</v>
          </cell>
          <cell r="S231">
            <v>60</v>
          </cell>
          <cell r="T231">
            <v>36</v>
          </cell>
          <cell r="V231">
            <v>0</v>
          </cell>
          <cell r="Y231">
            <v>3.5</v>
          </cell>
          <cell r="Z231">
            <v>172.5</v>
          </cell>
          <cell r="AE231">
            <v>1.1000000000000001</v>
          </cell>
          <cell r="AF231">
            <v>275</v>
          </cell>
          <cell r="AJ231">
            <v>90</v>
          </cell>
          <cell r="AK231">
            <v>14</v>
          </cell>
          <cell r="AL231">
            <v>45</v>
          </cell>
          <cell r="AO231">
            <v>19</v>
          </cell>
          <cell r="AP231">
            <v>19</v>
          </cell>
          <cell r="AQ231">
            <v>5</v>
          </cell>
          <cell r="AR231">
            <v>120</v>
          </cell>
        </row>
        <row r="232">
          <cell r="H232">
            <v>190</v>
          </cell>
          <cell r="I232">
            <v>250</v>
          </cell>
          <cell r="O232">
            <v>375</v>
          </cell>
          <cell r="R232">
            <v>100</v>
          </cell>
          <cell r="S232">
            <v>60</v>
          </cell>
          <cell r="T232">
            <v>36</v>
          </cell>
          <cell r="V232">
            <v>0</v>
          </cell>
          <cell r="Y232">
            <v>3.5</v>
          </cell>
          <cell r="Z232">
            <v>172.5</v>
          </cell>
          <cell r="AE232">
            <v>1.1000000000000001</v>
          </cell>
          <cell r="AF232">
            <v>275</v>
          </cell>
          <cell r="AJ232">
            <v>90</v>
          </cell>
          <cell r="AK232">
            <v>14</v>
          </cell>
          <cell r="AL232">
            <v>45</v>
          </cell>
          <cell r="AO232">
            <v>19</v>
          </cell>
          <cell r="AP232">
            <v>19</v>
          </cell>
          <cell r="AQ232">
            <v>5</v>
          </cell>
          <cell r="AR232">
            <v>120</v>
          </cell>
        </row>
        <row r="233">
          <cell r="H233">
            <v>190</v>
          </cell>
          <cell r="I233">
            <v>250</v>
          </cell>
          <cell r="O233">
            <v>375</v>
          </cell>
          <cell r="R233">
            <v>100</v>
          </cell>
          <cell r="S233">
            <v>60</v>
          </cell>
          <cell r="T233">
            <v>36</v>
          </cell>
          <cell r="V233">
            <v>0</v>
          </cell>
          <cell r="Y233">
            <v>3.5</v>
          </cell>
          <cell r="Z233">
            <v>172.5</v>
          </cell>
          <cell r="AE233">
            <v>1.1000000000000001</v>
          </cell>
          <cell r="AF233">
            <v>275</v>
          </cell>
          <cell r="AJ233">
            <v>90</v>
          </cell>
          <cell r="AK233">
            <v>14</v>
          </cell>
          <cell r="AL233">
            <v>45</v>
          </cell>
          <cell r="AO233">
            <v>19</v>
          </cell>
          <cell r="AP233">
            <v>19</v>
          </cell>
          <cell r="AQ233">
            <v>5</v>
          </cell>
          <cell r="AR233">
            <v>120</v>
          </cell>
        </row>
        <row r="234">
          <cell r="H234">
            <v>190</v>
          </cell>
          <cell r="I234">
            <v>250</v>
          </cell>
          <cell r="O234">
            <v>375</v>
          </cell>
          <cell r="R234">
            <v>100</v>
          </cell>
          <cell r="S234">
            <v>60</v>
          </cell>
          <cell r="T234">
            <v>36</v>
          </cell>
          <cell r="V234">
            <v>0</v>
          </cell>
          <cell r="Y234">
            <v>3.5</v>
          </cell>
          <cell r="Z234">
            <v>172.5</v>
          </cell>
          <cell r="AE234">
            <v>1.1000000000000001</v>
          </cell>
          <cell r="AF234">
            <v>275</v>
          </cell>
          <cell r="AJ234">
            <v>90</v>
          </cell>
          <cell r="AK234">
            <v>14</v>
          </cell>
          <cell r="AL234">
            <v>45</v>
          </cell>
          <cell r="AO234">
            <v>19</v>
          </cell>
          <cell r="AP234">
            <v>19</v>
          </cell>
          <cell r="AQ234">
            <v>5</v>
          </cell>
          <cell r="AR234">
            <v>120</v>
          </cell>
        </row>
        <row r="235">
          <cell r="H235">
            <v>190</v>
          </cell>
          <cell r="I235">
            <v>250</v>
          </cell>
          <cell r="O235">
            <v>375</v>
          </cell>
          <cell r="R235">
            <v>100</v>
          </cell>
          <cell r="S235">
            <v>60</v>
          </cell>
          <cell r="T235">
            <v>36</v>
          </cell>
          <cell r="V235">
            <v>0</v>
          </cell>
          <cell r="Y235">
            <v>3.5</v>
          </cell>
          <cell r="Z235">
            <v>172.5</v>
          </cell>
          <cell r="AE235">
            <v>1.1000000000000001</v>
          </cell>
          <cell r="AF235">
            <v>275</v>
          </cell>
          <cell r="AJ235">
            <v>90</v>
          </cell>
          <cell r="AK235">
            <v>14</v>
          </cell>
          <cell r="AL235">
            <v>45</v>
          </cell>
          <cell r="AO235">
            <v>19</v>
          </cell>
          <cell r="AP235">
            <v>19</v>
          </cell>
          <cell r="AQ235">
            <v>5</v>
          </cell>
          <cell r="AR235">
            <v>120</v>
          </cell>
        </row>
        <row r="236">
          <cell r="H236">
            <v>190</v>
          </cell>
          <cell r="I236">
            <v>250</v>
          </cell>
          <cell r="O236">
            <v>375</v>
          </cell>
          <cell r="R236">
            <v>100</v>
          </cell>
          <cell r="S236">
            <v>60</v>
          </cell>
          <cell r="T236">
            <v>36</v>
          </cell>
          <cell r="V236">
            <v>0</v>
          </cell>
          <cell r="Y236">
            <v>3.5</v>
          </cell>
          <cell r="Z236">
            <v>172.5</v>
          </cell>
          <cell r="AE236">
            <v>1.1000000000000001</v>
          </cell>
          <cell r="AF236">
            <v>275</v>
          </cell>
          <cell r="AJ236">
            <v>90</v>
          </cell>
          <cell r="AK236">
            <v>14</v>
          </cell>
          <cell r="AL236">
            <v>45</v>
          </cell>
          <cell r="AO236">
            <v>19</v>
          </cell>
          <cell r="AP236">
            <v>19</v>
          </cell>
          <cell r="AQ236">
            <v>5</v>
          </cell>
          <cell r="AR236">
            <v>120</v>
          </cell>
        </row>
        <row r="237">
          <cell r="H237">
            <v>190</v>
          </cell>
          <cell r="I237">
            <v>250</v>
          </cell>
          <cell r="O237">
            <v>375</v>
          </cell>
          <cell r="R237">
            <v>100</v>
          </cell>
          <cell r="S237">
            <v>60</v>
          </cell>
          <cell r="T237">
            <v>36</v>
          </cell>
          <cell r="V237">
            <v>0</v>
          </cell>
          <cell r="Y237">
            <v>3.5</v>
          </cell>
          <cell r="Z237">
            <v>172.5</v>
          </cell>
          <cell r="AE237">
            <v>1.1000000000000001</v>
          </cell>
          <cell r="AF237">
            <v>275</v>
          </cell>
          <cell r="AJ237">
            <v>90</v>
          </cell>
          <cell r="AK237">
            <v>14</v>
          </cell>
          <cell r="AL237">
            <v>45</v>
          </cell>
          <cell r="AO237">
            <v>19</v>
          </cell>
          <cell r="AP237">
            <v>19</v>
          </cell>
          <cell r="AQ237">
            <v>5</v>
          </cell>
          <cell r="AR237">
            <v>120</v>
          </cell>
        </row>
        <row r="238">
          <cell r="H238">
            <v>190</v>
          </cell>
          <cell r="I238">
            <v>250</v>
          </cell>
          <cell r="O238">
            <v>375</v>
          </cell>
          <cell r="R238">
            <v>100</v>
          </cell>
          <cell r="S238">
            <v>60</v>
          </cell>
          <cell r="T238">
            <v>36</v>
          </cell>
          <cell r="V238">
            <v>0</v>
          </cell>
          <cell r="Y238">
            <v>3.5</v>
          </cell>
          <cell r="Z238">
            <v>172.5</v>
          </cell>
          <cell r="AE238">
            <v>1.1000000000000001</v>
          </cell>
          <cell r="AF238">
            <v>275</v>
          </cell>
          <cell r="AJ238">
            <v>90</v>
          </cell>
          <cell r="AK238">
            <v>14</v>
          </cell>
          <cell r="AL238">
            <v>45</v>
          </cell>
          <cell r="AO238">
            <v>19</v>
          </cell>
          <cell r="AP238">
            <v>19</v>
          </cell>
          <cell r="AQ238">
            <v>5</v>
          </cell>
          <cell r="AR238">
            <v>120</v>
          </cell>
        </row>
        <row r="239">
          <cell r="H239">
            <v>190</v>
          </cell>
          <cell r="I239">
            <v>250</v>
          </cell>
          <cell r="O239">
            <v>375</v>
          </cell>
          <cell r="R239">
            <v>100</v>
          </cell>
          <cell r="S239">
            <v>60</v>
          </cell>
          <cell r="T239">
            <v>36</v>
          </cell>
          <cell r="V239">
            <v>0</v>
          </cell>
          <cell r="Y239">
            <v>3.5</v>
          </cell>
          <cell r="Z239">
            <v>172.5</v>
          </cell>
          <cell r="AE239">
            <v>1.1000000000000001</v>
          </cell>
          <cell r="AF239">
            <v>275</v>
          </cell>
          <cell r="AJ239">
            <v>90</v>
          </cell>
          <cell r="AK239">
            <v>14</v>
          </cell>
          <cell r="AL239">
            <v>45</v>
          </cell>
          <cell r="AO239">
            <v>19</v>
          </cell>
          <cell r="AP239">
            <v>19</v>
          </cell>
          <cell r="AQ239">
            <v>5</v>
          </cell>
          <cell r="AR239">
            <v>120</v>
          </cell>
        </row>
        <row r="240">
          <cell r="H240">
            <v>190</v>
          </cell>
          <cell r="I240">
            <v>250</v>
          </cell>
          <cell r="O240">
            <v>375</v>
          </cell>
          <cell r="R240">
            <v>100</v>
          </cell>
          <cell r="S240">
            <v>60</v>
          </cell>
          <cell r="T240">
            <v>36</v>
          </cell>
          <cell r="V240">
            <v>0</v>
          </cell>
          <cell r="Y240">
            <v>3.5</v>
          </cell>
          <cell r="Z240">
            <v>172.5</v>
          </cell>
          <cell r="AE240">
            <v>1.1000000000000001</v>
          </cell>
          <cell r="AF240">
            <v>275</v>
          </cell>
          <cell r="AJ240">
            <v>90</v>
          </cell>
          <cell r="AK240">
            <v>14</v>
          </cell>
          <cell r="AL240">
            <v>45</v>
          </cell>
          <cell r="AO240">
            <v>19</v>
          </cell>
          <cell r="AP240">
            <v>19</v>
          </cell>
          <cell r="AQ240">
            <v>5</v>
          </cell>
          <cell r="AR240">
            <v>120</v>
          </cell>
        </row>
        <row r="241">
          <cell r="H241">
            <v>190</v>
          </cell>
          <cell r="I241">
            <v>250</v>
          </cell>
          <cell r="O241">
            <v>375</v>
          </cell>
          <cell r="R241">
            <v>100</v>
          </cell>
          <cell r="S241">
            <v>60</v>
          </cell>
          <cell r="T241">
            <v>36</v>
          </cell>
          <cell r="V241">
            <v>0</v>
          </cell>
          <cell r="Y241">
            <v>3.5</v>
          </cell>
          <cell r="Z241">
            <v>172.5</v>
          </cell>
          <cell r="AE241">
            <v>1.1000000000000001</v>
          </cell>
          <cell r="AF241">
            <v>275</v>
          </cell>
          <cell r="AJ241">
            <v>90</v>
          </cell>
          <cell r="AK241">
            <v>14</v>
          </cell>
          <cell r="AL241">
            <v>45</v>
          </cell>
          <cell r="AO241">
            <v>19</v>
          </cell>
          <cell r="AP241">
            <v>19</v>
          </cell>
          <cell r="AQ241">
            <v>5</v>
          </cell>
          <cell r="AR241">
            <v>120</v>
          </cell>
        </row>
        <row r="242">
          <cell r="H242">
            <v>190</v>
          </cell>
          <cell r="I242">
            <v>250</v>
          </cell>
          <cell r="O242">
            <v>375</v>
          </cell>
          <cell r="R242">
            <v>100</v>
          </cell>
          <cell r="S242">
            <v>60</v>
          </cell>
          <cell r="T242">
            <v>36</v>
          </cell>
          <cell r="V242">
            <v>0</v>
          </cell>
          <cell r="Y242">
            <v>3.5</v>
          </cell>
          <cell r="Z242">
            <v>172.5</v>
          </cell>
          <cell r="AE242">
            <v>1.1000000000000001</v>
          </cell>
          <cell r="AF242">
            <v>275</v>
          </cell>
          <cell r="AJ242">
            <v>90</v>
          </cell>
          <cell r="AK242">
            <v>14</v>
          </cell>
          <cell r="AL242">
            <v>45</v>
          </cell>
          <cell r="AO242">
            <v>19</v>
          </cell>
          <cell r="AP242">
            <v>19</v>
          </cell>
          <cell r="AQ242">
            <v>5</v>
          </cell>
          <cell r="AR242">
            <v>120</v>
          </cell>
        </row>
        <row r="243">
          <cell r="H243">
            <v>190</v>
          </cell>
          <cell r="I243">
            <v>250</v>
          </cell>
          <cell r="O243">
            <v>375</v>
          </cell>
          <cell r="R243">
            <v>100</v>
          </cell>
          <cell r="S243">
            <v>60</v>
          </cell>
          <cell r="T243">
            <v>36</v>
          </cell>
          <cell r="V243">
            <v>0</v>
          </cell>
          <cell r="Y243">
            <v>3.5</v>
          </cell>
          <cell r="Z243">
            <v>172.5</v>
          </cell>
          <cell r="AE243">
            <v>1.1000000000000001</v>
          </cell>
          <cell r="AF243">
            <v>275</v>
          </cell>
          <cell r="AJ243">
            <v>90</v>
          </cell>
          <cell r="AK243">
            <v>14</v>
          </cell>
          <cell r="AL243">
            <v>45</v>
          </cell>
          <cell r="AO243">
            <v>19</v>
          </cell>
          <cell r="AP243">
            <v>19</v>
          </cell>
          <cell r="AQ243">
            <v>5</v>
          </cell>
          <cell r="AR243">
            <v>120</v>
          </cell>
        </row>
        <row r="244">
          <cell r="H244">
            <v>190</v>
          </cell>
          <cell r="I244">
            <v>250</v>
          </cell>
          <cell r="O244">
            <v>375</v>
          </cell>
          <cell r="R244">
            <v>100</v>
          </cell>
          <cell r="S244">
            <v>60</v>
          </cell>
          <cell r="T244">
            <v>36</v>
          </cell>
          <cell r="V244">
            <v>0</v>
          </cell>
          <cell r="Y244">
            <v>3.5</v>
          </cell>
          <cell r="Z244">
            <v>172.5</v>
          </cell>
          <cell r="AE244">
            <v>1.1000000000000001</v>
          </cell>
          <cell r="AF244">
            <v>275</v>
          </cell>
          <cell r="AJ244">
            <v>90</v>
          </cell>
          <cell r="AK244">
            <v>14</v>
          </cell>
          <cell r="AL244">
            <v>45</v>
          </cell>
          <cell r="AO244">
            <v>19</v>
          </cell>
          <cell r="AP244">
            <v>19</v>
          </cell>
          <cell r="AQ244">
            <v>5</v>
          </cell>
          <cell r="AR244">
            <v>120</v>
          </cell>
        </row>
        <row r="245">
          <cell r="H245">
            <v>190</v>
          </cell>
          <cell r="I245">
            <v>250</v>
          </cell>
          <cell r="O245">
            <v>375</v>
          </cell>
          <cell r="R245">
            <v>100</v>
          </cell>
          <cell r="S245">
            <v>60</v>
          </cell>
          <cell r="T245">
            <v>36</v>
          </cell>
          <cell r="V245">
            <v>0</v>
          </cell>
          <cell r="Y245">
            <v>3.5</v>
          </cell>
          <cell r="Z245">
            <v>172.5</v>
          </cell>
          <cell r="AE245">
            <v>1.1000000000000001</v>
          </cell>
          <cell r="AF245">
            <v>275</v>
          </cell>
          <cell r="AJ245">
            <v>90</v>
          </cell>
          <cell r="AK245">
            <v>14</v>
          </cell>
          <cell r="AL245">
            <v>45</v>
          </cell>
          <cell r="AO245">
            <v>19</v>
          </cell>
          <cell r="AP245">
            <v>19</v>
          </cell>
          <cell r="AQ245">
            <v>5</v>
          </cell>
          <cell r="AR245">
            <v>120</v>
          </cell>
        </row>
        <row r="246">
          <cell r="H246">
            <v>190</v>
          </cell>
          <cell r="I246">
            <v>250</v>
          </cell>
          <cell r="O246">
            <v>375</v>
          </cell>
          <cell r="R246">
            <v>100</v>
          </cell>
          <cell r="S246">
            <v>60</v>
          </cell>
          <cell r="T246">
            <v>36</v>
          </cell>
          <cell r="V246">
            <v>0</v>
          </cell>
          <cell r="Y246">
            <v>3.5</v>
          </cell>
          <cell r="Z246">
            <v>172.5</v>
          </cell>
          <cell r="AE246">
            <v>1.1000000000000001</v>
          </cell>
          <cell r="AF246">
            <v>275</v>
          </cell>
          <cell r="AJ246">
            <v>90</v>
          </cell>
          <cell r="AK246">
            <v>14</v>
          </cell>
          <cell r="AL246">
            <v>45</v>
          </cell>
          <cell r="AO246">
            <v>19</v>
          </cell>
          <cell r="AP246">
            <v>19</v>
          </cell>
          <cell r="AQ246">
            <v>5</v>
          </cell>
          <cell r="AR246">
            <v>120</v>
          </cell>
        </row>
        <row r="247">
          <cell r="H247">
            <v>190</v>
          </cell>
          <cell r="I247">
            <v>250</v>
          </cell>
          <cell r="O247">
            <v>375</v>
          </cell>
          <cell r="R247">
            <v>100</v>
          </cell>
          <cell r="S247">
            <v>60</v>
          </cell>
          <cell r="T247">
            <v>36</v>
          </cell>
          <cell r="V247">
            <v>0</v>
          </cell>
          <cell r="Y247">
            <v>3.5</v>
          </cell>
          <cell r="Z247">
            <v>172.5</v>
          </cell>
          <cell r="AE247">
            <v>1.1000000000000001</v>
          </cell>
          <cell r="AF247">
            <v>275</v>
          </cell>
          <cell r="AJ247">
            <v>90</v>
          </cell>
          <cell r="AK247">
            <v>14</v>
          </cell>
          <cell r="AL247">
            <v>45</v>
          </cell>
          <cell r="AO247">
            <v>19</v>
          </cell>
          <cell r="AP247">
            <v>19</v>
          </cell>
          <cell r="AQ247">
            <v>5</v>
          </cell>
          <cell r="AR247">
            <v>120</v>
          </cell>
        </row>
        <row r="248">
          <cell r="H248">
            <v>190</v>
          </cell>
          <cell r="I248">
            <v>250</v>
          </cell>
          <cell r="O248">
            <v>375</v>
          </cell>
          <cell r="R248">
            <v>100</v>
          </cell>
          <cell r="S248">
            <v>60</v>
          </cell>
          <cell r="T248">
            <v>36</v>
          </cell>
          <cell r="V248">
            <v>0</v>
          </cell>
          <cell r="Y248">
            <v>3.5</v>
          </cell>
          <cell r="Z248">
            <v>172.5</v>
          </cell>
          <cell r="AE248">
            <v>1.1000000000000001</v>
          </cell>
          <cell r="AF248">
            <v>275</v>
          </cell>
          <cell r="AJ248">
            <v>90</v>
          </cell>
          <cell r="AK248">
            <v>14</v>
          </cell>
          <cell r="AL248">
            <v>45</v>
          </cell>
          <cell r="AO248">
            <v>19</v>
          </cell>
          <cell r="AP248">
            <v>19</v>
          </cell>
          <cell r="AQ248">
            <v>5</v>
          </cell>
          <cell r="AR248">
            <v>120</v>
          </cell>
        </row>
        <row r="249">
          <cell r="H249">
            <v>190</v>
          </cell>
          <cell r="I249">
            <v>250</v>
          </cell>
          <cell r="O249">
            <v>375</v>
          </cell>
          <cell r="R249">
            <v>100</v>
          </cell>
          <cell r="S249">
            <v>60</v>
          </cell>
          <cell r="T249">
            <v>36</v>
          </cell>
          <cell r="V249">
            <v>0</v>
          </cell>
          <cell r="Y249">
            <v>3.5</v>
          </cell>
          <cell r="Z249">
            <v>172.5</v>
          </cell>
          <cell r="AE249">
            <v>1.1000000000000001</v>
          </cell>
          <cell r="AF249">
            <v>275</v>
          </cell>
          <cell r="AJ249">
            <v>90</v>
          </cell>
          <cell r="AK249">
            <v>14</v>
          </cell>
          <cell r="AL249">
            <v>45</v>
          </cell>
          <cell r="AO249">
            <v>19</v>
          </cell>
          <cell r="AP249">
            <v>19</v>
          </cell>
          <cell r="AQ249">
            <v>5</v>
          </cell>
          <cell r="AR249">
            <v>120</v>
          </cell>
        </row>
        <row r="250">
          <cell r="H250">
            <v>190</v>
          </cell>
          <cell r="I250">
            <v>250</v>
          </cell>
          <cell r="O250">
            <v>375</v>
          </cell>
          <cell r="R250">
            <v>100</v>
          </cell>
          <cell r="S250">
            <v>60</v>
          </cell>
          <cell r="T250">
            <v>36</v>
          </cell>
          <cell r="V250">
            <v>0</v>
          </cell>
          <cell r="Y250">
            <v>3.5</v>
          </cell>
          <cell r="Z250">
            <v>172.5</v>
          </cell>
          <cell r="AE250">
            <v>1.1000000000000001</v>
          </cell>
          <cell r="AF250">
            <v>275</v>
          </cell>
          <cell r="AJ250">
            <v>90</v>
          </cell>
          <cell r="AK250">
            <v>14</v>
          </cell>
          <cell r="AL250">
            <v>45</v>
          </cell>
          <cell r="AO250">
            <v>19</v>
          </cell>
          <cell r="AP250">
            <v>19</v>
          </cell>
          <cell r="AQ250">
            <v>5</v>
          </cell>
          <cell r="AR250">
            <v>120</v>
          </cell>
        </row>
        <row r="251">
          <cell r="H251">
            <v>190</v>
          </cell>
          <cell r="I251">
            <v>250</v>
          </cell>
          <cell r="O251">
            <v>375</v>
          </cell>
          <cell r="R251">
            <v>100</v>
          </cell>
          <cell r="S251">
            <v>60</v>
          </cell>
          <cell r="T251">
            <v>36</v>
          </cell>
          <cell r="V251">
            <v>0</v>
          </cell>
          <cell r="Y251">
            <v>3.5</v>
          </cell>
          <cell r="Z251">
            <v>172.5</v>
          </cell>
          <cell r="AE251">
            <v>1.1000000000000001</v>
          </cell>
          <cell r="AF251">
            <v>275</v>
          </cell>
          <cell r="AJ251">
            <v>90</v>
          </cell>
          <cell r="AK251">
            <v>14</v>
          </cell>
          <cell r="AL251">
            <v>45</v>
          </cell>
          <cell r="AO251">
            <v>19</v>
          </cell>
          <cell r="AP251">
            <v>19</v>
          </cell>
          <cell r="AQ251">
            <v>5</v>
          </cell>
          <cell r="AR251">
            <v>120</v>
          </cell>
        </row>
        <row r="252">
          <cell r="H252">
            <v>190</v>
          </cell>
          <cell r="I252">
            <v>250</v>
          </cell>
          <cell r="O252">
            <v>375</v>
          </cell>
          <cell r="R252">
            <v>100</v>
          </cell>
          <cell r="S252">
            <v>60</v>
          </cell>
          <cell r="T252">
            <v>36</v>
          </cell>
          <cell r="V252">
            <v>0</v>
          </cell>
          <cell r="Y252">
            <v>3.5</v>
          </cell>
          <cell r="Z252">
            <v>172.5</v>
          </cell>
          <cell r="AE252">
            <v>1.1000000000000001</v>
          </cell>
          <cell r="AF252">
            <v>275</v>
          </cell>
          <cell r="AJ252">
            <v>90</v>
          </cell>
          <cell r="AK252">
            <v>14</v>
          </cell>
          <cell r="AL252">
            <v>45</v>
          </cell>
          <cell r="AO252">
            <v>19</v>
          </cell>
          <cell r="AP252">
            <v>19</v>
          </cell>
          <cell r="AQ252">
            <v>5</v>
          </cell>
          <cell r="AR252">
            <v>120</v>
          </cell>
        </row>
        <row r="253">
          <cell r="H253">
            <v>190</v>
          </cell>
          <cell r="I253">
            <v>250</v>
          </cell>
          <cell r="O253">
            <v>375</v>
          </cell>
          <cell r="R253">
            <v>100</v>
          </cell>
          <cell r="S253">
            <v>60</v>
          </cell>
          <cell r="T253">
            <v>36</v>
          </cell>
          <cell r="V253">
            <v>0</v>
          </cell>
          <cell r="Y253">
            <v>3.5</v>
          </cell>
          <cell r="Z253">
            <v>172.5</v>
          </cell>
          <cell r="AE253">
            <v>1.1000000000000001</v>
          </cell>
          <cell r="AF253">
            <v>275</v>
          </cell>
          <cell r="AJ253">
            <v>90</v>
          </cell>
          <cell r="AK253">
            <v>14</v>
          </cell>
          <cell r="AL253">
            <v>45</v>
          </cell>
          <cell r="AO253">
            <v>19</v>
          </cell>
          <cell r="AP253">
            <v>19</v>
          </cell>
          <cell r="AQ253">
            <v>5</v>
          </cell>
          <cell r="AR253">
            <v>120</v>
          </cell>
        </row>
        <row r="254">
          <cell r="H254">
            <v>190</v>
          </cell>
          <cell r="I254">
            <v>250</v>
          </cell>
          <cell r="O254">
            <v>375</v>
          </cell>
          <cell r="R254">
            <v>100</v>
          </cell>
          <cell r="S254">
            <v>60</v>
          </cell>
          <cell r="T254">
            <v>36</v>
          </cell>
          <cell r="V254">
            <v>0</v>
          </cell>
          <cell r="Y254">
            <v>3.5</v>
          </cell>
          <cell r="Z254">
            <v>191.25</v>
          </cell>
          <cell r="AE254">
            <v>1.1000000000000001</v>
          </cell>
          <cell r="AF254">
            <v>275</v>
          </cell>
          <cell r="AJ254">
            <v>90</v>
          </cell>
          <cell r="AK254">
            <v>14</v>
          </cell>
          <cell r="AL254">
            <v>45</v>
          </cell>
          <cell r="AO254">
            <v>19</v>
          </cell>
          <cell r="AP254">
            <v>19</v>
          </cell>
          <cell r="AQ254">
            <v>5</v>
          </cell>
          <cell r="AR254">
            <v>120</v>
          </cell>
        </row>
        <row r="255">
          <cell r="H255">
            <v>190</v>
          </cell>
          <cell r="I255">
            <v>250</v>
          </cell>
          <cell r="O255">
            <v>375</v>
          </cell>
          <cell r="R255">
            <v>100</v>
          </cell>
          <cell r="S255">
            <v>60</v>
          </cell>
          <cell r="T255">
            <v>36</v>
          </cell>
          <cell r="V255">
            <v>0</v>
          </cell>
          <cell r="Y255">
            <v>3.5</v>
          </cell>
          <cell r="Z255">
            <v>230</v>
          </cell>
          <cell r="AE255">
            <v>1.1000000000000001</v>
          </cell>
          <cell r="AF255">
            <v>275</v>
          </cell>
          <cell r="AJ255">
            <v>90</v>
          </cell>
          <cell r="AK255">
            <v>14</v>
          </cell>
          <cell r="AL255">
            <v>45</v>
          </cell>
          <cell r="AO255">
            <v>19</v>
          </cell>
          <cell r="AP255">
            <v>19</v>
          </cell>
          <cell r="AQ255">
            <v>5</v>
          </cell>
          <cell r="AR255">
            <v>120</v>
          </cell>
        </row>
        <row r="256">
          <cell r="H256">
            <v>190</v>
          </cell>
          <cell r="I256">
            <v>250</v>
          </cell>
          <cell r="O256">
            <v>375</v>
          </cell>
          <cell r="R256">
            <v>100</v>
          </cell>
          <cell r="S256">
            <v>60</v>
          </cell>
          <cell r="T256">
            <v>36</v>
          </cell>
          <cell r="V256">
            <v>0</v>
          </cell>
          <cell r="Y256">
            <v>3.5</v>
          </cell>
          <cell r="Z256">
            <v>230</v>
          </cell>
          <cell r="AE256">
            <v>1.1000000000000001</v>
          </cell>
          <cell r="AF256">
            <v>275</v>
          </cell>
          <cell r="AJ256">
            <v>90</v>
          </cell>
          <cell r="AK256">
            <v>14</v>
          </cell>
          <cell r="AL256">
            <v>45</v>
          </cell>
          <cell r="AO256">
            <v>19</v>
          </cell>
          <cell r="AP256">
            <v>19</v>
          </cell>
          <cell r="AQ256">
            <v>5</v>
          </cell>
          <cell r="AR256">
            <v>120</v>
          </cell>
        </row>
        <row r="257">
          <cell r="H257">
            <v>190</v>
          </cell>
          <cell r="I257">
            <v>250</v>
          </cell>
          <cell r="O257">
            <v>375</v>
          </cell>
          <cell r="R257">
            <v>100</v>
          </cell>
          <cell r="S257">
            <v>60</v>
          </cell>
          <cell r="T257">
            <v>36</v>
          </cell>
          <cell r="V257">
            <v>0</v>
          </cell>
          <cell r="Y257">
            <v>3.5</v>
          </cell>
          <cell r="Z257">
            <v>230</v>
          </cell>
          <cell r="AE257">
            <v>1.1000000000000001</v>
          </cell>
          <cell r="AF257">
            <v>275</v>
          </cell>
          <cell r="AJ257">
            <v>90</v>
          </cell>
          <cell r="AK257">
            <v>14</v>
          </cell>
          <cell r="AL257">
            <v>45</v>
          </cell>
          <cell r="AO257">
            <v>19</v>
          </cell>
          <cell r="AP257">
            <v>19</v>
          </cell>
          <cell r="AQ257">
            <v>5</v>
          </cell>
          <cell r="AR257">
            <v>120</v>
          </cell>
        </row>
        <row r="258">
          <cell r="H258">
            <v>190</v>
          </cell>
          <cell r="I258">
            <v>250</v>
          </cell>
          <cell r="O258">
            <v>375</v>
          </cell>
          <cell r="R258">
            <v>100</v>
          </cell>
          <cell r="S258">
            <v>60</v>
          </cell>
          <cell r="T258">
            <v>36</v>
          </cell>
          <cell r="V258">
            <v>0</v>
          </cell>
          <cell r="Y258">
            <v>3.5</v>
          </cell>
          <cell r="Z258">
            <v>230</v>
          </cell>
          <cell r="AE258">
            <v>1.1000000000000001</v>
          </cell>
          <cell r="AF258">
            <v>275</v>
          </cell>
          <cell r="AJ258">
            <v>90</v>
          </cell>
          <cell r="AK258">
            <v>14</v>
          </cell>
          <cell r="AL258">
            <v>45</v>
          </cell>
          <cell r="AO258">
            <v>19</v>
          </cell>
          <cell r="AP258">
            <v>19</v>
          </cell>
          <cell r="AQ258">
            <v>5</v>
          </cell>
          <cell r="AR258">
            <v>120</v>
          </cell>
        </row>
        <row r="259">
          <cell r="H259">
            <v>190</v>
          </cell>
          <cell r="I259">
            <v>250</v>
          </cell>
          <cell r="O259">
            <v>375</v>
          </cell>
          <cell r="R259">
            <v>100</v>
          </cell>
          <cell r="S259">
            <v>60</v>
          </cell>
          <cell r="T259">
            <v>36</v>
          </cell>
          <cell r="V259">
            <v>0</v>
          </cell>
          <cell r="Y259">
            <v>3.5</v>
          </cell>
          <cell r="Z259">
            <v>230</v>
          </cell>
          <cell r="AE259">
            <v>1.1000000000000001</v>
          </cell>
          <cell r="AF259">
            <v>275</v>
          </cell>
          <cell r="AJ259">
            <v>90</v>
          </cell>
          <cell r="AK259">
            <v>14</v>
          </cell>
          <cell r="AL259">
            <v>45</v>
          </cell>
          <cell r="AO259">
            <v>19</v>
          </cell>
          <cell r="AP259">
            <v>19</v>
          </cell>
          <cell r="AQ259">
            <v>5</v>
          </cell>
          <cell r="AR259">
            <v>120</v>
          </cell>
        </row>
        <row r="260">
          <cell r="H260">
            <v>190</v>
          </cell>
          <cell r="I260">
            <v>250</v>
          </cell>
          <cell r="O260">
            <v>375</v>
          </cell>
          <cell r="R260">
            <v>100</v>
          </cell>
          <cell r="S260">
            <v>60</v>
          </cell>
          <cell r="T260">
            <v>36</v>
          </cell>
          <cell r="V260">
            <v>0</v>
          </cell>
          <cell r="Y260">
            <v>3.5</v>
          </cell>
          <cell r="Z260">
            <v>230</v>
          </cell>
          <cell r="AE260">
            <v>1.1000000000000001</v>
          </cell>
          <cell r="AF260">
            <v>275</v>
          </cell>
          <cell r="AJ260">
            <v>90</v>
          </cell>
          <cell r="AK260">
            <v>14</v>
          </cell>
          <cell r="AL260">
            <v>45</v>
          </cell>
          <cell r="AO260">
            <v>19</v>
          </cell>
          <cell r="AP260">
            <v>19</v>
          </cell>
          <cell r="AQ260">
            <v>5</v>
          </cell>
          <cell r="AR260">
            <v>120</v>
          </cell>
        </row>
        <row r="261">
          <cell r="H261">
            <v>190</v>
          </cell>
          <cell r="I261">
            <v>250</v>
          </cell>
          <cell r="O261">
            <v>375</v>
          </cell>
          <cell r="R261">
            <v>100</v>
          </cell>
          <cell r="S261">
            <v>60</v>
          </cell>
          <cell r="T261">
            <v>36</v>
          </cell>
          <cell r="V261">
            <v>0</v>
          </cell>
          <cell r="Y261">
            <v>3.5</v>
          </cell>
          <cell r="Z261">
            <v>230</v>
          </cell>
          <cell r="AE261">
            <v>1.1000000000000001</v>
          </cell>
          <cell r="AF261">
            <v>275</v>
          </cell>
          <cell r="AJ261">
            <v>90</v>
          </cell>
          <cell r="AK261">
            <v>14</v>
          </cell>
          <cell r="AL261">
            <v>45</v>
          </cell>
          <cell r="AO261">
            <v>19</v>
          </cell>
          <cell r="AP261">
            <v>19</v>
          </cell>
          <cell r="AQ261">
            <v>5</v>
          </cell>
          <cell r="AR261">
            <v>120</v>
          </cell>
        </row>
        <row r="262">
          <cell r="H262">
            <v>190</v>
          </cell>
          <cell r="I262">
            <v>250</v>
          </cell>
          <cell r="O262">
            <v>375</v>
          </cell>
          <cell r="R262">
            <v>100</v>
          </cell>
          <cell r="S262">
            <v>60</v>
          </cell>
          <cell r="T262">
            <v>36</v>
          </cell>
          <cell r="V262">
            <v>0</v>
          </cell>
          <cell r="Y262">
            <v>3.5</v>
          </cell>
          <cell r="Z262">
            <v>230</v>
          </cell>
          <cell r="AE262">
            <v>1.1000000000000001</v>
          </cell>
          <cell r="AF262">
            <v>275</v>
          </cell>
          <cell r="AJ262">
            <v>90</v>
          </cell>
          <cell r="AK262">
            <v>14</v>
          </cell>
          <cell r="AL262">
            <v>45</v>
          </cell>
          <cell r="AO262">
            <v>19</v>
          </cell>
          <cell r="AP262">
            <v>19</v>
          </cell>
          <cell r="AQ262">
            <v>5</v>
          </cell>
          <cell r="AR262">
            <v>120</v>
          </cell>
        </row>
        <row r="263">
          <cell r="H263">
            <v>190</v>
          </cell>
          <cell r="I263">
            <v>250</v>
          </cell>
          <cell r="O263">
            <v>375</v>
          </cell>
          <cell r="R263">
            <v>100</v>
          </cell>
          <cell r="S263">
            <v>60</v>
          </cell>
          <cell r="T263">
            <v>36</v>
          </cell>
          <cell r="V263">
            <v>0</v>
          </cell>
          <cell r="Y263">
            <v>3.5</v>
          </cell>
          <cell r="Z263">
            <v>230</v>
          </cell>
          <cell r="AE263">
            <v>1.1000000000000001</v>
          </cell>
          <cell r="AF263">
            <v>275</v>
          </cell>
          <cell r="AJ263">
            <v>90</v>
          </cell>
          <cell r="AK263">
            <v>14</v>
          </cell>
          <cell r="AL263">
            <v>45</v>
          </cell>
          <cell r="AO263">
            <v>19</v>
          </cell>
          <cell r="AP263">
            <v>19</v>
          </cell>
          <cell r="AQ263">
            <v>5</v>
          </cell>
          <cell r="AR263">
            <v>120</v>
          </cell>
        </row>
        <row r="264">
          <cell r="H264">
            <v>190</v>
          </cell>
          <cell r="I264">
            <v>250</v>
          </cell>
          <cell r="O264">
            <v>375</v>
          </cell>
          <cell r="R264">
            <v>100</v>
          </cell>
          <cell r="S264">
            <v>60</v>
          </cell>
          <cell r="T264">
            <v>36</v>
          </cell>
          <cell r="V264">
            <v>0</v>
          </cell>
          <cell r="Y264">
            <v>3.5</v>
          </cell>
          <cell r="Z264">
            <v>230</v>
          </cell>
          <cell r="AE264">
            <v>1.1000000000000001</v>
          </cell>
          <cell r="AF264">
            <v>275</v>
          </cell>
          <cell r="AJ264">
            <v>90</v>
          </cell>
          <cell r="AK264">
            <v>14</v>
          </cell>
          <cell r="AL264">
            <v>45</v>
          </cell>
          <cell r="AO264">
            <v>19</v>
          </cell>
          <cell r="AP264">
            <v>19</v>
          </cell>
          <cell r="AQ264">
            <v>5</v>
          </cell>
          <cell r="AR264">
            <v>120</v>
          </cell>
        </row>
        <row r="265">
          <cell r="H265">
            <v>190</v>
          </cell>
          <cell r="I265">
            <v>250</v>
          </cell>
          <cell r="O265">
            <v>375</v>
          </cell>
          <cell r="R265">
            <v>100</v>
          </cell>
          <cell r="S265">
            <v>60</v>
          </cell>
          <cell r="T265">
            <v>36</v>
          </cell>
          <cell r="V265">
            <v>0</v>
          </cell>
          <cell r="Y265">
            <v>3.5</v>
          </cell>
          <cell r="Z265">
            <v>230</v>
          </cell>
          <cell r="AE265">
            <v>1.1000000000000001</v>
          </cell>
          <cell r="AF265">
            <v>275</v>
          </cell>
          <cell r="AJ265">
            <v>90</v>
          </cell>
          <cell r="AK265">
            <v>14</v>
          </cell>
          <cell r="AL265">
            <v>45</v>
          </cell>
          <cell r="AO265">
            <v>19</v>
          </cell>
          <cell r="AP265">
            <v>19</v>
          </cell>
          <cell r="AQ265">
            <v>5</v>
          </cell>
          <cell r="AR265">
            <v>120</v>
          </cell>
        </row>
        <row r="266">
          <cell r="H266">
            <v>190</v>
          </cell>
          <cell r="I266">
            <v>250</v>
          </cell>
          <cell r="O266">
            <v>375</v>
          </cell>
          <cell r="R266">
            <v>100</v>
          </cell>
          <cell r="S266">
            <v>60</v>
          </cell>
          <cell r="T266">
            <v>36</v>
          </cell>
          <cell r="V266">
            <v>0</v>
          </cell>
          <cell r="Y266">
            <v>3.5</v>
          </cell>
          <cell r="Z266">
            <v>230</v>
          </cell>
          <cell r="AE266">
            <v>1.1000000000000001</v>
          </cell>
          <cell r="AF266">
            <v>275</v>
          </cell>
          <cell r="AJ266">
            <v>90</v>
          </cell>
          <cell r="AK266">
            <v>14</v>
          </cell>
          <cell r="AL266">
            <v>45</v>
          </cell>
          <cell r="AO266">
            <v>19</v>
          </cell>
          <cell r="AP266">
            <v>19</v>
          </cell>
          <cell r="AQ266">
            <v>5</v>
          </cell>
          <cell r="AR266">
            <v>120</v>
          </cell>
        </row>
        <row r="267">
          <cell r="H267">
            <v>190</v>
          </cell>
          <cell r="I267">
            <v>250</v>
          </cell>
          <cell r="O267">
            <v>375</v>
          </cell>
          <cell r="R267">
            <v>100</v>
          </cell>
          <cell r="S267">
            <v>60</v>
          </cell>
          <cell r="T267">
            <v>36</v>
          </cell>
          <cell r="V267">
            <v>0</v>
          </cell>
          <cell r="Y267">
            <v>3.5</v>
          </cell>
          <cell r="Z267">
            <v>230</v>
          </cell>
          <cell r="AE267">
            <v>1.1000000000000001</v>
          </cell>
          <cell r="AF267">
            <v>275</v>
          </cell>
          <cell r="AJ267">
            <v>90</v>
          </cell>
          <cell r="AK267">
            <v>14</v>
          </cell>
          <cell r="AL267">
            <v>45</v>
          </cell>
          <cell r="AO267">
            <v>19</v>
          </cell>
          <cell r="AP267">
            <v>19</v>
          </cell>
          <cell r="AQ267">
            <v>5</v>
          </cell>
          <cell r="AR267">
            <v>120</v>
          </cell>
        </row>
        <row r="268">
          <cell r="H268">
            <v>190</v>
          </cell>
          <cell r="I268">
            <v>250</v>
          </cell>
          <cell r="O268">
            <v>375</v>
          </cell>
          <cell r="R268">
            <v>100</v>
          </cell>
          <cell r="S268">
            <v>60</v>
          </cell>
          <cell r="T268">
            <v>36</v>
          </cell>
          <cell r="V268">
            <v>0</v>
          </cell>
          <cell r="Y268">
            <v>3.5</v>
          </cell>
          <cell r="Z268">
            <v>230</v>
          </cell>
          <cell r="AE268">
            <v>1.1000000000000001</v>
          </cell>
          <cell r="AF268">
            <v>275</v>
          </cell>
          <cell r="AJ268">
            <v>90</v>
          </cell>
          <cell r="AK268">
            <v>14</v>
          </cell>
          <cell r="AL268">
            <v>45</v>
          </cell>
          <cell r="AO268">
            <v>19</v>
          </cell>
          <cell r="AP268">
            <v>19</v>
          </cell>
          <cell r="AQ268">
            <v>5</v>
          </cell>
          <cell r="AR268">
            <v>120</v>
          </cell>
        </row>
        <row r="269">
          <cell r="H269">
            <v>190</v>
          </cell>
          <cell r="I269">
            <v>250</v>
          </cell>
          <cell r="O269">
            <v>375</v>
          </cell>
          <cell r="R269">
            <v>100</v>
          </cell>
          <cell r="S269">
            <v>60</v>
          </cell>
          <cell r="T269">
            <v>36</v>
          </cell>
          <cell r="V269">
            <v>0</v>
          </cell>
          <cell r="Y269">
            <v>3.5</v>
          </cell>
          <cell r="Z269">
            <v>230</v>
          </cell>
          <cell r="AE269">
            <v>1.1000000000000001</v>
          </cell>
          <cell r="AF269">
            <v>275</v>
          </cell>
          <cell r="AJ269">
            <v>90</v>
          </cell>
          <cell r="AK269">
            <v>14</v>
          </cell>
          <cell r="AL269">
            <v>45</v>
          </cell>
          <cell r="AO269">
            <v>19</v>
          </cell>
          <cell r="AP269">
            <v>19</v>
          </cell>
          <cell r="AQ269">
            <v>5</v>
          </cell>
          <cell r="AR269">
            <v>120</v>
          </cell>
        </row>
        <row r="270">
          <cell r="H270">
            <v>190</v>
          </cell>
          <cell r="I270">
            <v>250</v>
          </cell>
          <cell r="O270">
            <v>375</v>
          </cell>
          <cell r="R270">
            <v>100</v>
          </cell>
          <cell r="S270">
            <v>60</v>
          </cell>
          <cell r="T270">
            <v>36</v>
          </cell>
          <cell r="V270">
            <v>0</v>
          </cell>
          <cell r="Y270">
            <v>3.5</v>
          </cell>
          <cell r="Z270">
            <v>230</v>
          </cell>
          <cell r="AE270">
            <v>1.1000000000000001</v>
          </cell>
          <cell r="AF270">
            <v>275</v>
          </cell>
          <cell r="AJ270">
            <v>90</v>
          </cell>
          <cell r="AK270">
            <v>14</v>
          </cell>
          <cell r="AL270">
            <v>45</v>
          </cell>
          <cell r="AO270">
            <v>19</v>
          </cell>
          <cell r="AP270">
            <v>19</v>
          </cell>
          <cell r="AQ270">
            <v>5</v>
          </cell>
          <cell r="AR270">
            <v>120</v>
          </cell>
        </row>
        <row r="271">
          <cell r="H271">
            <v>190</v>
          </cell>
          <cell r="I271">
            <v>250</v>
          </cell>
          <cell r="O271">
            <v>375</v>
          </cell>
          <cell r="R271">
            <v>100</v>
          </cell>
          <cell r="S271">
            <v>60</v>
          </cell>
          <cell r="T271">
            <v>36</v>
          </cell>
          <cell r="V271">
            <v>0</v>
          </cell>
          <cell r="Y271">
            <v>3.5</v>
          </cell>
          <cell r="Z271">
            <v>230</v>
          </cell>
          <cell r="AE271">
            <v>1.1000000000000001</v>
          </cell>
          <cell r="AF271">
            <v>275</v>
          </cell>
          <cell r="AJ271">
            <v>90</v>
          </cell>
          <cell r="AK271">
            <v>14</v>
          </cell>
          <cell r="AL271">
            <v>45</v>
          </cell>
          <cell r="AO271">
            <v>19</v>
          </cell>
          <cell r="AP271">
            <v>19</v>
          </cell>
          <cell r="AQ271">
            <v>5</v>
          </cell>
          <cell r="AR271">
            <v>120</v>
          </cell>
        </row>
        <row r="272">
          <cell r="H272">
            <v>190</v>
          </cell>
          <cell r="I272">
            <v>250</v>
          </cell>
          <cell r="O272">
            <v>375</v>
          </cell>
          <cell r="R272">
            <v>100</v>
          </cell>
          <cell r="S272">
            <v>60</v>
          </cell>
          <cell r="T272">
            <v>36</v>
          </cell>
          <cell r="V272">
            <v>0</v>
          </cell>
          <cell r="Y272">
            <v>3.5</v>
          </cell>
          <cell r="Z272">
            <v>230</v>
          </cell>
          <cell r="AE272">
            <v>1.1000000000000001</v>
          </cell>
          <cell r="AF272">
            <v>275</v>
          </cell>
          <cell r="AJ272">
            <v>90</v>
          </cell>
          <cell r="AK272">
            <v>14</v>
          </cell>
          <cell r="AL272">
            <v>45</v>
          </cell>
          <cell r="AO272">
            <v>19</v>
          </cell>
          <cell r="AP272">
            <v>19</v>
          </cell>
          <cell r="AQ272">
            <v>5</v>
          </cell>
          <cell r="AR272">
            <v>120</v>
          </cell>
        </row>
        <row r="273">
          <cell r="H273">
            <v>190</v>
          </cell>
          <cell r="I273">
            <v>250</v>
          </cell>
          <cell r="O273">
            <v>375</v>
          </cell>
          <cell r="R273">
            <v>100</v>
          </cell>
          <cell r="S273">
            <v>60</v>
          </cell>
          <cell r="T273">
            <v>36</v>
          </cell>
          <cell r="V273">
            <v>0</v>
          </cell>
          <cell r="Y273">
            <v>3.5</v>
          </cell>
          <cell r="Z273">
            <v>230</v>
          </cell>
          <cell r="AE273">
            <v>1.1000000000000001</v>
          </cell>
          <cell r="AF273">
            <v>275</v>
          </cell>
          <cell r="AJ273">
            <v>90</v>
          </cell>
          <cell r="AK273">
            <v>14</v>
          </cell>
          <cell r="AL273">
            <v>45</v>
          </cell>
          <cell r="AO273">
            <v>19</v>
          </cell>
          <cell r="AP273">
            <v>19</v>
          </cell>
          <cell r="AQ273">
            <v>5</v>
          </cell>
          <cell r="AR273">
            <v>120</v>
          </cell>
        </row>
        <row r="274">
          <cell r="H274">
            <v>190</v>
          </cell>
          <cell r="I274">
            <v>250</v>
          </cell>
          <cell r="O274">
            <v>375</v>
          </cell>
          <cell r="R274">
            <v>100</v>
          </cell>
          <cell r="S274">
            <v>60</v>
          </cell>
          <cell r="T274">
            <v>36</v>
          </cell>
          <cell r="V274">
            <v>0</v>
          </cell>
          <cell r="Y274">
            <v>3.5</v>
          </cell>
          <cell r="Z274">
            <v>230</v>
          </cell>
          <cell r="AE274">
            <v>1.1000000000000001</v>
          </cell>
          <cell r="AF274">
            <v>275</v>
          </cell>
          <cell r="AJ274">
            <v>90</v>
          </cell>
          <cell r="AK274">
            <v>14</v>
          </cell>
          <cell r="AL274">
            <v>45</v>
          </cell>
          <cell r="AO274">
            <v>19</v>
          </cell>
          <cell r="AP274">
            <v>19</v>
          </cell>
          <cell r="AQ274">
            <v>5</v>
          </cell>
          <cell r="AR274">
            <v>120</v>
          </cell>
        </row>
        <row r="275">
          <cell r="H275">
            <v>190</v>
          </cell>
          <cell r="I275">
            <v>250</v>
          </cell>
          <cell r="O275">
            <v>375</v>
          </cell>
          <cell r="R275">
            <v>100</v>
          </cell>
          <cell r="S275">
            <v>60</v>
          </cell>
          <cell r="T275">
            <v>36</v>
          </cell>
          <cell r="V275">
            <v>0</v>
          </cell>
          <cell r="Y275">
            <v>3.5</v>
          </cell>
          <cell r="Z275">
            <v>230</v>
          </cell>
          <cell r="AE275">
            <v>1.1000000000000001</v>
          </cell>
          <cell r="AF275">
            <v>275</v>
          </cell>
          <cell r="AJ275">
            <v>90</v>
          </cell>
          <cell r="AK275">
            <v>14</v>
          </cell>
          <cell r="AL275">
            <v>45</v>
          </cell>
          <cell r="AO275">
            <v>19</v>
          </cell>
          <cell r="AP275">
            <v>19</v>
          </cell>
          <cell r="AQ275">
            <v>5</v>
          </cell>
          <cell r="AR275">
            <v>120</v>
          </cell>
        </row>
        <row r="276">
          <cell r="H276">
            <v>190</v>
          </cell>
          <cell r="I276">
            <v>250</v>
          </cell>
          <cell r="O276">
            <v>375</v>
          </cell>
          <cell r="R276">
            <v>100</v>
          </cell>
          <cell r="S276">
            <v>60</v>
          </cell>
          <cell r="T276">
            <v>36</v>
          </cell>
          <cell r="V276">
            <v>0</v>
          </cell>
          <cell r="Y276">
            <v>3.5</v>
          </cell>
          <cell r="Z276">
            <v>230</v>
          </cell>
          <cell r="AE276">
            <v>1.1000000000000001</v>
          </cell>
          <cell r="AF276">
            <v>275</v>
          </cell>
          <cell r="AJ276">
            <v>90</v>
          </cell>
          <cell r="AK276">
            <v>14</v>
          </cell>
          <cell r="AL276">
            <v>45</v>
          </cell>
          <cell r="AO276">
            <v>19</v>
          </cell>
          <cell r="AP276">
            <v>19</v>
          </cell>
          <cell r="AQ276">
            <v>5</v>
          </cell>
          <cell r="AR276">
            <v>120</v>
          </cell>
        </row>
        <row r="277">
          <cell r="H277">
            <v>190</v>
          </cell>
          <cell r="I277">
            <v>250</v>
          </cell>
          <cell r="O277">
            <v>375</v>
          </cell>
          <cell r="R277">
            <v>100</v>
          </cell>
          <cell r="S277">
            <v>60</v>
          </cell>
          <cell r="T277">
            <v>36</v>
          </cell>
          <cell r="V277">
            <v>0</v>
          </cell>
          <cell r="Y277">
            <v>3.5</v>
          </cell>
          <cell r="Z277">
            <v>230</v>
          </cell>
          <cell r="AE277">
            <v>1.1000000000000001</v>
          </cell>
          <cell r="AF277">
            <v>275</v>
          </cell>
          <cell r="AJ277">
            <v>90</v>
          </cell>
          <cell r="AK277">
            <v>14</v>
          </cell>
          <cell r="AL277">
            <v>45</v>
          </cell>
          <cell r="AO277">
            <v>19</v>
          </cell>
          <cell r="AP277">
            <v>19</v>
          </cell>
          <cell r="AQ277">
            <v>5</v>
          </cell>
          <cell r="AR277">
            <v>120</v>
          </cell>
        </row>
        <row r="278">
          <cell r="H278">
            <v>190</v>
          </cell>
          <cell r="I278">
            <v>250</v>
          </cell>
          <cell r="O278">
            <v>375</v>
          </cell>
          <cell r="R278">
            <v>100</v>
          </cell>
          <cell r="S278">
            <v>60</v>
          </cell>
          <cell r="T278">
            <v>36</v>
          </cell>
          <cell r="V278">
            <v>0</v>
          </cell>
          <cell r="Y278">
            <v>3.5</v>
          </cell>
          <cell r="Z278">
            <v>230</v>
          </cell>
          <cell r="AE278">
            <v>1.1000000000000001</v>
          </cell>
          <cell r="AF278">
            <v>275</v>
          </cell>
          <cell r="AJ278">
            <v>90</v>
          </cell>
          <cell r="AK278">
            <v>14</v>
          </cell>
          <cell r="AL278">
            <v>45</v>
          </cell>
          <cell r="AO278">
            <v>19</v>
          </cell>
          <cell r="AP278">
            <v>19</v>
          </cell>
          <cell r="AQ278">
            <v>5</v>
          </cell>
          <cell r="AR278">
            <v>120</v>
          </cell>
        </row>
        <row r="279">
          <cell r="H279">
            <v>190</v>
          </cell>
          <cell r="I279">
            <v>250</v>
          </cell>
          <cell r="O279">
            <v>375</v>
          </cell>
          <cell r="R279">
            <v>100</v>
          </cell>
          <cell r="S279">
            <v>60</v>
          </cell>
          <cell r="T279">
            <v>36</v>
          </cell>
          <cell r="V279">
            <v>0</v>
          </cell>
          <cell r="Y279">
            <v>3.5</v>
          </cell>
          <cell r="Z279">
            <v>230</v>
          </cell>
          <cell r="AE279">
            <v>1.1000000000000001</v>
          </cell>
          <cell r="AF279">
            <v>275</v>
          </cell>
          <cell r="AJ279">
            <v>90</v>
          </cell>
          <cell r="AK279">
            <v>14</v>
          </cell>
          <cell r="AL279">
            <v>45</v>
          </cell>
          <cell r="AO279">
            <v>19</v>
          </cell>
          <cell r="AP279">
            <v>19</v>
          </cell>
          <cell r="AQ279">
            <v>5</v>
          </cell>
          <cell r="AR279">
            <v>120</v>
          </cell>
        </row>
        <row r="280">
          <cell r="H280">
            <v>190</v>
          </cell>
          <cell r="I280">
            <v>250</v>
          </cell>
          <cell r="O280">
            <v>375</v>
          </cell>
          <cell r="R280">
            <v>100</v>
          </cell>
          <cell r="S280">
            <v>60</v>
          </cell>
          <cell r="T280">
            <v>36</v>
          </cell>
          <cell r="V280">
            <v>0</v>
          </cell>
          <cell r="Y280">
            <v>3.5</v>
          </cell>
          <cell r="Z280">
            <v>230</v>
          </cell>
          <cell r="AE280">
            <v>1.1000000000000001</v>
          </cell>
          <cell r="AF280">
            <v>275</v>
          </cell>
          <cell r="AJ280">
            <v>90</v>
          </cell>
          <cell r="AK280">
            <v>14</v>
          </cell>
          <cell r="AL280">
            <v>45</v>
          </cell>
          <cell r="AO280">
            <v>19</v>
          </cell>
          <cell r="AP280">
            <v>19</v>
          </cell>
          <cell r="AQ280">
            <v>5</v>
          </cell>
          <cell r="AR280">
            <v>120</v>
          </cell>
        </row>
        <row r="281">
          <cell r="H281">
            <v>190</v>
          </cell>
          <cell r="I281">
            <v>250</v>
          </cell>
          <cell r="O281">
            <v>375</v>
          </cell>
          <cell r="R281">
            <v>100</v>
          </cell>
          <cell r="S281">
            <v>60</v>
          </cell>
          <cell r="T281">
            <v>36</v>
          </cell>
          <cell r="V281">
            <v>0</v>
          </cell>
          <cell r="Y281">
            <v>3.5</v>
          </cell>
          <cell r="Z281">
            <v>230</v>
          </cell>
          <cell r="AE281">
            <v>1.1000000000000001</v>
          </cell>
          <cell r="AF281">
            <v>275</v>
          </cell>
          <cell r="AJ281">
            <v>90</v>
          </cell>
          <cell r="AK281">
            <v>14</v>
          </cell>
          <cell r="AL281">
            <v>45</v>
          </cell>
          <cell r="AO281">
            <v>19</v>
          </cell>
          <cell r="AP281">
            <v>19</v>
          </cell>
          <cell r="AQ281">
            <v>5</v>
          </cell>
          <cell r="AR281">
            <v>120</v>
          </cell>
        </row>
        <row r="282">
          <cell r="H282">
            <v>190</v>
          </cell>
          <cell r="I282">
            <v>250</v>
          </cell>
          <cell r="O282">
            <v>375</v>
          </cell>
          <cell r="R282">
            <v>100</v>
          </cell>
          <cell r="S282">
            <v>60</v>
          </cell>
          <cell r="T282">
            <v>36</v>
          </cell>
          <cell r="V282">
            <v>0</v>
          </cell>
          <cell r="Y282">
            <v>3.5</v>
          </cell>
          <cell r="Z282">
            <v>230</v>
          </cell>
          <cell r="AE282">
            <v>1.1000000000000001</v>
          </cell>
          <cell r="AF282">
            <v>275</v>
          </cell>
          <cell r="AJ282">
            <v>90</v>
          </cell>
          <cell r="AK282">
            <v>14</v>
          </cell>
          <cell r="AL282">
            <v>45</v>
          </cell>
          <cell r="AO282">
            <v>19</v>
          </cell>
          <cell r="AP282">
            <v>19</v>
          </cell>
          <cell r="AQ282">
            <v>5</v>
          </cell>
          <cell r="AR282">
            <v>120</v>
          </cell>
        </row>
        <row r="283">
          <cell r="H283">
            <v>190</v>
          </cell>
          <cell r="I283">
            <v>250</v>
          </cell>
          <cell r="O283">
            <v>375</v>
          </cell>
          <cell r="R283">
            <v>100</v>
          </cell>
          <cell r="S283">
            <v>60</v>
          </cell>
          <cell r="T283">
            <v>36</v>
          </cell>
          <cell r="V283">
            <v>0</v>
          </cell>
          <cell r="Y283">
            <v>3.5</v>
          </cell>
          <cell r="Z283">
            <v>230</v>
          </cell>
          <cell r="AE283">
            <v>1.1000000000000001</v>
          </cell>
          <cell r="AF283">
            <v>275</v>
          </cell>
          <cell r="AJ283">
            <v>90</v>
          </cell>
          <cell r="AK283">
            <v>14</v>
          </cell>
          <cell r="AL283">
            <v>45</v>
          </cell>
          <cell r="AO283">
            <v>19</v>
          </cell>
          <cell r="AP283">
            <v>19</v>
          </cell>
          <cell r="AQ283">
            <v>5</v>
          </cell>
          <cell r="AR283">
            <v>120</v>
          </cell>
        </row>
        <row r="284">
          <cell r="H284">
            <v>190</v>
          </cell>
          <cell r="I284">
            <v>250</v>
          </cell>
          <cell r="O284">
            <v>375</v>
          </cell>
          <cell r="R284">
            <v>100</v>
          </cell>
          <cell r="S284">
            <v>60</v>
          </cell>
          <cell r="T284">
            <v>36</v>
          </cell>
          <cell r="V284">
            <v>0</v>
          </cell>
          <cell r="Y284">
            <v>3.5</v>
          </cell>
          <cell r="Z284">
            <v>230</v>
          </cell>
          <cell r="AE284">
            <v>1.1000000000000001</v>
          </cell>
          <cell r="AF284">
            <v>275</v>
          </cell>
          <cell r="AJ284">
            <v>90</v>
          </cell>
          <cell r="AK284">
            <v>14</v>
          </cell>
          <cell r="AL284">
            <v>45</v>
          </cell>
          <cell r="AO284">
            <v>19</v>
          </cell>
          <cell r="AP284">
            <v>19</v>
          </cell>
          <cell r="AQ284">
            <v>5</v>
          </cell>
          <cell r="AR284">
            <v>120</v>
          </cell>
        </row>
        <row r="285">
          <cell r="H285">
            <v>190</v>
          </cell>
          <cell r="I285">
            <v>250</v>
          </cell>
          <cell r="O285">
            <v>375</v>
          </cell>
          <cell r="R285">
            <v>100</v>
          </cell>
          <cell r="S285">
            <v>60</v>
          </cell>
          <cell r="T285">
            <v>36</v>
          </cell>
          <cell r="V285">
            <v>0</v>
          </cell>
          <cell r="Y285">
            <v>3.5</v>
          </cell>
          <cell r="Z285">
            <v>230</v>
          </cell>
          <cell r="AE285">
            <v>1.1000000000000001</v>
          </cell>
          <cell r="AF285">
            <v>275</v>
          </cell>
          <cell r="AJ285">
            <v>90</v>
          </cell>
          <cell r="AK285">
            <v>14</v>
          </cell>
          <cell r="AL285">
            <v>45</v>
          </cell>
          <cell r="AO285">
            <v>19</v>
          </cell>
          <cell r="AP285">
            <v>19</v>
          </cell>
          <cell r="AQ285">
            <v>5</v>
          </cell>
          <cell r="AR285">
            <v>120</v>
          </cell>
        </row>
        <row r="286">
          <cell r="H286">
            <v>190</v>
          </cell>
          <cell r="I286">
            <v>250</v>
          </cell>
          <cell r="O286">
            <v>375</v>
          </cell>
          <cell r="R286">
            <v>100</v>
          </cell>
          <cell r="S286">
            <v>60</v>
          </cell>
          <cell r="T286">
            <v>36</v>
          </cell>
          <cell r="V286">
            <v>0</v>
          </cell>
          <cell r="Y286">
            <v>3.5</v>
          </cell>
          <cell r="Z286">
            <v>230</v>
          </cell>
          <cell r="AE286">
            <v>1.1000000000000001</v>
          </cell>
          <cell r="AF286">
            <v>275</v>
          </cell>
          <cell r="AJ286">
            <v>90</v>
          </cell>
          <cell r="AK286">
            <v>14</v>
          </cell>
          <cell r="AL286">
            <v>45</v>
          </cell>
          <cell r="AO286">
            <v>19</v>
          </cell>
          <cell r="AP286">
            <v>19</v>
          </cell>
          <cell r="AQ286">
            <v>5</v>
          </cell>
          <cell r="AR286">
            <v>120</v>
          </cell>
        </row>
        <row r="287">
          <cell r="H287">
            <v>190</v>
          </cell>
          <cell r="I287">
            <v>250</v>
          </cell>
          <cell r="O287">
            <v>375</v>
          </cell>
          <cell r="R287">
            <v>100</v>
          </cell>
          <cell r="S287">
            <v>60</v>
          </cell>
          <cell r="T287">
            <v>36</v>
          </cell>
          <cell r="V287">
            <v>0</v>
          </cell>
          <cell r="Y287">
            <v>3.5</v>
          </cell>
          <cell r="Z287">
            <v>230</v>
          </cell>
          <cell r="AE287">
            <v>1.1000000000000001</v>
          </cell>
          <cell r="AF287">
            <v>275</v>
          </cell>
          <cell r="AJ287">
            <v>90</v>
          </cell>
          <cell r="AK287">
            <v>14</v>
          </cell>
          <cell r="AL287">
            <v>45</v>
          </cell>
          <cell r="AO287">
            <v>19</v>
          </cell>
          <cell r="AP287">
            <v>19</v>
          </cell>
          <cell r="AQ287">
            <v>5</v>
          </cell>
          <cell r="AR287">
            <v>120</v>
          </cell>
        </row>
        <row r="288">
          <cell r="H288">
            <v>190</v>
          </cell>
          <cell r="I288">
            <v>250</v>
          </cell>
          <cell r="O288">
            <v>375</v>
          </cell>
          <cell r="R288">
            <v>100</v>
          </cell>
          <cell r="S288">
            <v>60</v>
          </cell>
          <cell r="T288">
            <v>36</v>
          </cell>
          <cell r="V288">
            <v>0</v>
          </cell>
          <cell r="Y288">
            <v>3.5</v>
          </cell>
          <cell r="Z288">
            <v>230</v>
          </cell>
          <cell r="AE288">
            <v>1.1000000000000001</v>
          </cell>
          <cell r="AF288">
            <v>275</v>
          </cell>
          <cell r="AJ288">
            <v>90</v>
          </cell>
          <cell r="AK288">
            <v>14</v>
          </cell>
          <cell r="AL288">
            <v>45</v>
          </cell>
          <cell r="AO288">
            <v>19</v>
          </cell>
          <cell r="AP288">
            <v>19</v>
          </cell>
          <cell r="AQ288">
            <v>5</v>
          </cell>
          <cell r="AR288">
            <v>120</v>
          </cell>
        </row>
        <row r="289">
          <cell r="H289">
            <v>190</v>
          </cell>
          <cell r="I289">
            <v>250</v>
          </cell>
          <cell r="O289">
            <v>375</v>
          </cell>
          <cell r="R289">
            <v>100</v>
          </cell>
          <cell r="S289">
            <v>60</v>
          </cell>
          <cell r="T289">
            <v>36</v>
          </cell>
          <cell r="V289">
            <v>0</v>
          </cell>
          <cell r="Y289">
            <v>3.5</v>
          </cell>
          <cell r="Z289">
            <v>230</v>
          </cell>
          <cell r="AE289">
            <v>1.1000000000000001</v>
          </cell>
          <cell r="AF289">
            <v>275</v>
          </cell>
          <cell r="AJ289">
            <v>90</v>
          </cell>
          <cell r="AK289">
            <v>14</v>
          </cell>
          <cell r="AL289">
            <v>45</v>
          </cell>
          <cell r="AO289">
            <v>19</v>
          </cell>
          <cell r="AP289">
            <v>19</v>
          </cell>
          <cell r="AQ289">
            <v>5</v>
          </cell>
          <cell r="AR289">
            <v>120</v>
          </cell>
        </row>
        <row r="290">
          <cell r="H290">
            <v>190</v>
          </cell>
          <cell r="I290">
            <v>250</v>
          </cell>
          <cell r="O290">
            <v>375</v>
          </cell>
          <cell r="R290">
            <v>100</v>
          </cell>
          <cell r="S290">
            <v>60</v>
          </cell>
          <cell r="T290">
            <v>36</v>
          </cell>
          <cell r="V290">
            <v>0</v>
          </cell>
          <cell r="Y290">
            <v>3.5</v>
          </cell>
          <cell r="Z290">
            <v>230</v>
          </cell>
          <cell r="AE290">
            <v>1.1000000000000001</v>
          </cell>
          <cell r="AF290">
            <v>275</v>
          </cell>
          <cell r="AJ290">
            <v>90</v>
          </cell>
          <cell r="AK290">
            <v>14</v>
          </cell>
          <cell r="AL290">
            <v>45</v>
          </cell>
          <cell r="AO290">
            <v>19</v>
          </cell>
          <cell r="AP290">
            <v>19</v>
          </cell>
          <cell r="AQ290">
            <v>5</v>
          </cell>
          <cell r="AR290">
            <v>120</v>
          </cell>
        </row>
        <row r="291">
          <cell r="H291">
            <v>190</v>
          </cell>
          <cell r="I291">
            <v>250</v>
          </cell>
          <cell r="O291">
            <v>375</v>
          </cell>
          <cell r="R291">
            <v>100</v>
          </cell>
          <cell r="S291">
            <v>60</v>
          </cell>
          <cell r="T291">
            <v>36</v>
          </cell>
          <cell r="V291">
            <v>0</v>
          </cell>
          <cell r="Y291">
            <v>3.5</v>
          </cell>
          <cell r="Z291">
            <v>230</v>
          </cell>
          <cell r="AE291">
            <v>1.1000000000000001</v>
          </cell>
          <cell r="AF291">
            <v>275</v>
          </cell>
          <cell r="AJ291">
            <v>90</v>
          </cell>
          <cell r="AK291">
            <v>14</v>
          </cell>
          <cell r="AL291">
            <v>45</v>
          </cell>
          <cell r="AO291">
            <v>19</v>
          </cell>
          <cell r="AP291">
            <v>19</v>
          </cell>
          <cell r="AQ291">
            <v>5</v>
          </cell>
          <cell r="AR291">
            <v>120</v>
          </cell>
        </row>
        <row r="292">
          <cell r="H292">
            <v>190</v>
          </cell>
          <cell r="I292">
            <v>250</v>
          </cell>
          <cell r="O292">
            <v>375</v>
          </cell>
          <cell r="R292">
            <v>100</v>
          </cell>
          <cell r="S292">
            <v>60</v>
          </cell>
          <cell r="T292">
            <v>36</v>
          </cell>
          <cell r="V292">
            <v>0</v>
          </cell>
          <cell r="Y292">
            <v>3.5</v>
          </cell>
          <cell r="Z292">
            <v>230</v>
          </cell>
          <cell r="AE292">
            <v>1.1000000000000001</v>
          </cell>
          <cell r="AF292">
            <v>275</v>
          </cell>
          <cell r="AJ292">
            <v>90</v>
          </cell>
          <cell r="AK292">
            <v>14</v>
          </cell>
          <cell r="AL292">
            <v>45</v>
          </cell>
          <cell r="AO292">
            <v>19</v>
          </cell>
          <cell r="AP292">
            <v>19</v>
          </cell>
          <cell r="AQ292">
            <v>5</v>
          </cell>
          <cell r="AR292">
            <v>120</v>
          </cell>
        </row>
        <row r="293">
          <cell r="H293">
            <v>190</v>
          </cell>
          <cell r="I293">
            <v>250</v>
          </cell>
          <cell r="O293">
            <v>375</v>
          </cell>
          <cell r="R293">
            <v>100</v>
          </cell>
          <cell r="S293">
            <v>60</v>
          </cell>
          <cell r="T293">
            <v>36</v>
          </cell>
          <cell r="V293">
            <v>0</v>
          </cell>
          <cell r="Y293">
            <v>3.5</v>
          </cell>
          <cell r="Z293">
            <v>230</v>
          </cell>
          <cell r="AE293">
            <v>1.1000000000000001</v>
          </cell>
          <cell r="AF293">
            <v>275</v>
          </cell>
          <cell r="AJ293">
            <v>90</v>
          </cell>
          <cell r="AK293">
            <v>14</v>
          </cell>
          <cell r="AL293">
            <v>45</v>
          </cell>
          <cell r="AO293">
            <v>19</v>
          </cell>
          <cell r="AP293">
            <v>19</v>
          </cell>
          <cell r="AQ293">
            <v>5</v>
          </cell>
          <cell r="AR293">
            <v>120</v>
          </cell>
        </row>
        <row r="294">
          <cell r="H294">
            <v>190</v>
          </cell>
          <cell r="I294">
            <v>250</v>
          </cell>
          <cell r="O294">
            <v>375</v>
          </cell>
          <cell r="R294">
            <v>100</v>
          </cell>
          <cell r="S294">
            <v>60</v>
          </cell>
          <cell r="T294">
            <v>36</v>
          </cell>
          <cell r="V294">
            <v>0</v>
          </cell>
          <cell r="Y294">
            <v>3.5</v>
          </cell>
          <cell r="Z294">
            <v>230</v>
          </cell>
          <cell r="AE294">
            <v>1.1000000000000001</v>
          </cell>
          <cell r="AF294">
            <v>275</v>
          </cell>
          <cell r="AJ294">
            <v>90</v>
          </cell>
          <cell r="AK294">
            <v>14</v>
          </cell>
          <cell r="AL294">
            <v>45</v>
          </cell>
          <cell r="AO294">
            <v>19</v>
          </cell>
          <cell r="AP294">
            <v>19</v>
          </cell>
          <cell r="AQ294">
            <v>5</v>
          </cell>
          <cell r="AR294">
            <v>120</v>
          </cell>
        </row>
        <row r="295">
          <cell r="H295">
            <v>190</v>
          </cell>
          <cell r="I295">
            <v>250</v>
          </cell>
          <cell r="O295">
            <v>375</v>
          </cell>
          <cell r="R295">
            <v>100</v>
          </cell>
          <cell r="S295">
            <v>60</v>
          </cell>
          <cell r="T295">
            <v>36</v>
          </cell>
          <cell r="V295">
            <v>0</v>
          </cell>
          <cell r="Y295">
            <v>3.5</v>
          </cell>
          <cell r="Z295">
            <v>230</v>
          </cell>
          <cell r="AE295">
            <v>1.1000000000000001</v>
          </cell>
          <cell r="AF295">
            <v>275</v>
          </cell>
          <cell r="AJ295">
            <v>90</v>
          </cell>
          <cell r="AK295">
            <v>14</v>
          </cell>
          <cell r="AL295">
            <v>45</v>
          </cell>
          <cell r="AO295">
            <v>19</v>
          </cell>
          <cell r="AP295">
            <v>19</v>
          </cell>
          <cell r="AQ295">
            <v>5</v>
          </cell>
          <cell r="AR295">
            <v>120</v>
          </cell>
        </row>
        <row r="296">
          <cell r="H296">
            <v>190</v>
          </cell>
          <cell r="I296">
            <v>250</v>
          </cell>
          <cell r="O296">
            <v>375</v>
          </cell>
          <cell r="R296">
            <v>100</v>
          </cell>
          <cell r="S296">
            <v>60</v>
          </cell>
          <cell r="T296">
            <v>36</v>
          </cell>
          <cell r="V296">
            <v>0</v>
          </cell>
          <cell r="Y296">
            <v>3.5</v>
          </cell>
          <cell r="Z296">
            <v>230</v>
          </cell>
          <cell r="AE296">
            <v>1.1000000000000001</v>
          </cell>
          <cell r="AF296">
            <v>275</v>
          </cell>
          <cell r="AJ296">
            <v>90</v>
          </cell>
          <cell r="AK296">
            <v>14</v>
          </cell>
          <cell r="AL296">
            <v>45</v>
          </cell>
          <cell r="AO296">
            <v>19</v>
          </cell>
          <cell r="AP296">
            <v>19</v>
          </cell>
          <cell r="AQ296">
            <v>5</v>
          </cell>
          <cell r="AR296">
            <v>120</v>
          </cell>
        </row>
        <row r="297">
          <cell r="H297">
            <v>190</v>
          </cell>
          <cell r="I297">
            <v>250</v>
          </cell>
          <cell r="O297">
            <v>375</v>
          </cell>
          <cell r="R297">
            <v>100</v>
          </cell>
          <cell r="S297">
            <v>60</v>
          </cell>
          <cell r="T297">
            <v>36</v>
          </cell>
          <cell r="V297">
            <v>0</v>
          </cell>
          <cell r="Y297">
            <v>3.5</v>
          </cell>
          <cell r="Z297">
            <v>230</v>
          </cell>
          <cell r="AE297">
            <v>1.1000000000000001</v>
          </cell>
          <cell r="AF297">
            <v>275</v>
          </cell>
          <cell r="AJ297">
            <v>90</v>
          </cell>
          <cell r="AK297">
            <v>14</v>
          </cell>
          <cell r="AL297">
            <v>45</v>
          </cell>
          <cell r="AO297">
            <v>19</v>
          </cell>
          <cell r="AP297">
            <v>19</v>
          </cell>
          <cell r="AQ297">
            <v>5</v>
          </cell>
          <cell r="AR297">
            <v>120</v>
          </cell>
        </row>
        <row r="298">
          <cell r="H298">
            <v>190</v>
          </cell>
          <cell r="I298">
            <v>250</v>
          </cell>
          <cell r="O298">
            <v>375</v>
          </cell>
          <cell r="R298">
            <v>100</v>
          </cell>
          <cell r="S298">
            <v>60</v>
          </cell>
          <cell r="T298">
            <v>36</v>
          </cell>
          <cell r="V298">
            <v>0</v>
          </cell>
          <cell r="Y298">
            <v>3.5</v>
          </cell>
          <cell r="Z298">
            <v>230</v>
          </cell>
          <cell r="AE298">
            <v>1.1000000000000001</v>
          </cell>
          <cell r="AF298">
            <v>275</v>
          </cell>
          <cell r="AJ298">
            <v>90</v>
          </cell>
          <cell r="AK298">
            <v>14</v>
          </cell>
          <cell r="AL298">
            <v>45</v>
          </cell>
          <cell r="AO298">
            <v>19</v>
          </cell>
          <cell r="AP298">
            <v>19</v>
          </cell>
          <cell r="AQ298">
            <v>5</v>
          </cell>
          <cell r="AR298">
            <v>120</v>
          </cell>
        </row>
        <row r="299">
          <cell r="H299">
            <v>190</v>
          </cell>
          <cell r="I299">
            <v>250</v>
          </cell>
          <cell r="O299">
            <v>375</v>
          </cell>
          <cell r="R299">
            <v>100</v>
          </cell>
          <cell r="S299">
            <v>60</v>
          </cell>
          <cell r="T299">
            <v>36</v>
          </cell>
          <cell r="V299">
            <v>0</v>
          </cell>
          <cell r="Y299">
            <v>3.5</v>
          </cell>
          <cell r="Z299">
            <v>230</v>
          </cell>
          <cell r="AE299">
            <v>1.1000000000000001</v>
          </cell>
          <cell r="AF299">
            <v>275</v>
          </cell>
          <cell r="AJ299">
            <v>90</v>
          </cell>
          <cell r="AK299">
            <v>14</v>
          </cell>
          <cell r="AL299">
            <v>45</v>
          </cell>
          <cell r="AO299">
            <v>19</v>
          </cell>
          <cell r="AP299">
            <v>19</v>
          </cell>
          <cell r="AQ299">
            <v>5</v>
          </cell>
          <cell r="AR299">
            <v>120</v>
          </cell>
        </row>
        <row r="300">
          <cell r="H300">
            <v>190</v>
          </cell>
          <cell r="I300">
            <v>250</v>
          </cell>
          <cell r="O300">
            <v>375</v>
          </cell>
          <cell r="R300">
            <v>100</v>
          </cell>
          <cell r="S300">
            <v>60</v>
          </cell>
          <cell r="T300">
            <v>36</v>
          </cell>
          <cell r="V300">
            <v>0</v>
          </cell>
          <cell r="Y300">
            <v>3.5</v>
          </cell>
          <cell r="Z300">
            <v>230</v>
          </cell>
          <cell r="AE300">
            <v>1.1000000000000001</v>
          </cell>
          <cell r="AF300">
            <v>275</v>
          </cell>
          <cell r="AJ300">
            <v>90</v>
          </cell>
          <cell r="AK300">
            <v>14</v>
          </cell>
          <cell r="AL300">
            <v>45</v>
          </cell>
          <cell r="AO300">
            <v>19</v>
          </cell>
          <cell r="AP300">
            <v>19</v>
          </cell>
          <cell r="AQ300">
            <v>5</v>
          </cell>
          <cell r="AR300">
            <v>120</v>
          </cell>
        </row>
        <row r="301">
          <cell r="H301">
            <v>190</v>
          </cell>
          <cell r="I301">
            <v>250</v>
          </cell>
          <cell r="O301">
            <v>375</v>
          </cell>
          <cell r="R301">
            <v>100</v>
          </cell>
          <cell r="S301">
            <v>60</v>
          </cell>
          <cell r="T301">
            <v>36</v>
          </cell>
          <cell r="V301">
            <v>0</v>
          </cell>
          <cell r="Y301">
            <v>3.5</v>
          </cell>
          <cell r="Z301">
            <v>230</v>
          </cell>
          <cell r="AE301">
            <v>1.1000000000000001</v>
          </cell>
          <cell r="AF301">
            <v>275</v>
          </cell>
          <cell r="AJ301">
            <v>90</v>
          </cell>
          <cell r="AK301">
            <v>14</v>
          </cell>
          <cell r="AL301">
            <v>45</v>
          </cell>
          <cell r="AO301">
            <v>19</v>
          </cell>
          <cell r="AP301">
            <v>19</v>
          </cell>
          <cell r="AQ301">
            <v>5</v>
          </cell>
          <cell r="AR301">
            <v>120</v>
          </cell>
        </row>
        <row r="302">
          <cell r="H302">
            <v>190</v>
          </cell>
          <cell r="I302">
            <v>250</v>
          </cell>
          <cell r="O302">
            <v>375</v>
          </cell>
          <cell r="R302">
            <v>100</v>
          </cell>
          <cell r="S302">
            <v>60</v>
          </cell>
          <cell r="T302">
            <v>36</v>
          </cell>
          <cell r="V302">
            <v>0</v>
          </cell>
          <cell r="Y302">
            <v>3.5</v>
          </cell>
          <cell r="Z302">
            <v>230</v>
          </cell>
          <cell r="AE302">
            <v>1.1000000000000001</v>
          </cell>
          <cell r="AF302">
            <v>275</v>
          </cell>
          <cell r="AJ302">
            <v>90</v>
          </cell>
          <cell r="AK302">
            <v>14</v>
          </cell>
          <cell r="AL302">
            <v>45</v>
          </cell>
          <cell r="AO302">
            <v>19</v>
          </cell>
          <cell r="AP302">
            <v>19</v>
          </cell>
          <cell r="AQ302">
            <v>5</v>
          </cell>
          <cell r="AR302">
            <v>120</v>
          </cell>
        </row>
        <row r="303">
          <cell r="H303">
            <v>190</v>
          </cell>
          <cell r="I303">
            <v>250</v>
          </cell>
          <cell r="O303">
            <v>375</v>
          </cell>
          <cell r="R303">
            <v>100</v>
          </cell>
          <cell r="S303">
            <v>60</v>
          </cell>
          <cell r="T303">
            <v>36</v>
          </cell>
          <cell r="V303">
            <v>0</v>
          </cell>
          <cell r="Y303">
            <v>3.5</v>
          </cell>
          <cell r="Z303">
            <v>230</v>
          </cell>
          <cell r="AE303">
            <v>1.1000000000000001</v>
          </cell>
          <cell r="AF303">
            <v>275</v>
          </cell>
          <cell r="AJ303">
            <v>90</v>
          </cell>
          <cell r="AK303">
            <v>14</v>
          </cell>
          <cell r="AL303">
            <v>45</v>
          </cell>
          <cell r="AO303">
            <v>19</v>
          </cell>
          <cell r="AP303">
            <v>19</v>
          </cell>
          <cell r="AQ303">
            <v>5</v>
          </cell>
          <cell r="AR303">
            <v>120</v>
          </cell>
        </row>
        <row r="304">
          <cell r="H304">
            <v>190</v>
          </cell>
          <cell r="I304">
            <v>250</v>
          </cell>
          <cell r="O304">
            <v>375</v>
          </cell>
          <cell r="R304">
            <v>100</v>
          </cell>
          <cell r="S304">
            <v>60</v>
          </cell>
          <cell r="T304">
            <v>36</v>
          </cell>
          <cell r="V304">
            <v>0</v>
          </cell>
          <cell r="Y304">
            <v>3.5</v>
          </cell>
          <cell r="Z304">
            <v>230</v>
          </cell>
          <cell r="AE304">
            <v>1.1000000000000001</v>
          </cell>
          <cell r="AF304">
            <v>275</v>
          </cell>
          <cell r="AJ304">
            <v>90</v>
          </cell>
          <cell r="AK304">
            <v>14</v>
          </cell>
          <cell r="AL304">
            <v>45</v>
          </cell>
          <cell r="AO304">
            <v>19</v>
          </cell>
          <cell r="AP304">
            <v>19</v>
          </cell>
          <cell r="AQ304">
            <v>5</v>
          </cell>
          <cell r="AR304">
            <v>120</v>
          </cell>
        </row>
        <row r="305">
          <cell r="H305">
            <v>190</v>
          </cell>
          <cell r="I305">
            <v>250</v>
          </cell>
          <cell r="O305">
            <v>375</v>
          </cell>
          <cell r="R305">
            <v>100</v>
          </cell>
          <cell r="S305">
            <v>60</v>
          </cell>
          <cell r="T305">
            <v>36</v>
          </cell>
          <cell r="V305">
            <v>0</v>
          </cell>
          <cell r="Y305">
            <v>3.5</v>
          </cell>
          <cell r="Z305">
            <v>230</v>
          </cell>
          <cell r="AE305">
            <v>1.1000000000000001</v>
          </cell>
          <cell r="AF305">
            <v>275</v>
          </cell>
          <cell r="AJ305">
            <v>90</v>
          </cell>
          <cell r="AK305">
            <v>14</v>
          </cell>
          <cell r="AL305">
            <v>45</v>
          </cell>
          <cell r="AO305">
            <v>19</v>
          </cell>
          <cell r="AP305">
            <v>19</v>
          </cell>
          <cell r="AQ305">
            <v>5</v>
          </cell>
          <cell r="AR305">
            <v>120</v>
          </cell>
        </row>
        <row r="306">
          <cell r="H306">
            <v>190</v>
          </cell>
          <cell r="I306">
            <v>250</v>
          </cell>
          <cell r="O306">
            <v>375</v>
          </cell>
          <cell r="R306">
            <v>100</v>
          </cell>
          <cell r="S306">
            <v>60</v>
          </cell>
          <cell r="T306">
            <v>36</v>
          </cell>
          <cell r="V306">
            <v>0</v>
          </cell>
          <cell r="Y306">
            <v>3.5</v>
          </cell>
          <cell r="Z306">
            <v>230</v>
          </cell>
          <cell r="AE306">
            <v>1.1000000000000001</v>
          </cell>
          <cell r="AF306">
            <v>275</v>
          </cell>
          <cell r="AJ306">
            <v>90</v>
          </cell>
          <cell r="AK306">
            <v>14</v>
          </cell>
          <cell r="AL306">
            <v>45</v>
          </cell>
          <cell r="AO306">
            <v>19</v>
          </cell>
          <cell r="AP306">
            <v>19</v>
          </cell>
          <cell r="AQ306">
            <v>5</v>
          </cell>
          <cell r="AR306">
            <v>120</v>
          </cell>
        </row>
        <row r="307">
          <cell r="H307">
            <v>190</v>
          </cell>
          <cell r="I307">
            <v>250</v>
          </cell>
          <cell r="O307">
            <v>375</v>
          </cell>
          <cell r="R307">
            <v>100</v>
          </cell>
          <cell r="S307">
            <v>60</v>
          </cell>
          <cell r="T307">
            <v>36</v>
          </cell>
          <cell r="V307">
            <v>0</v>
          </cell>
          <cell r="Y307">
            <v>3.5</v>
          </cell>
          <cell r="Z307">
            <v>230</v>
          </cell>
          <cell r="AE307">
            <v>1.1000000000000001</v>
          </cell>
          <cell r="AF307">
            <v>275</v>
          </cell>
          <cell r="AJ307">
            <v>90</v>
          </cell>
          <cell r="AK307">
            <v>14</v>
          </cell>
          <cell r="AL307">
            <v>45</v>
          </cell>
          <cell r="AO307">
            <v>19</v>
          </cell>
          <cell r="AP307">
            <v>19</v>
          </cell>
          <cell r="AQ307">
            <v>5</v>
          </cell>
          <cell r="AR307">
            <v>120</v>
          </cell>
        </row>
        <row r="308">
          <cell r="H308">
            <v>190</v>
          </cell>
          <cell r="I308">
            <v>250</v>
          </cell>
          <cell r="O308">
            <v>375</v>
          </cell>
          <cell r="R308">
            <v>100</v>
          </cell>
          <cell r="S308">
            <v>60</v>
          </cell>
          <cell r="T308">
            <v>36</v>
          </cell>
          <cell r="V308">
            <v>0</v>
          </cell>
          <cell r="Y308">
            <v>3.5</v>
          </cell>
          <cell r="Z308">
            <v>230</v>
          </cell>
          <cell r="AE308">
            <v>1.1000000000000001</v>
          </cell>
          <cell r="AF308">
            <v>275</v>
          </cell>
          <cell r="AJ308">
            <v>90</v>
          </cell>
          <cell r="AK308">
            <v>14</v>
          </cell>
          <cell r="AL308">
            <v>45</v>
          </cell>
          <cell r="AO308">
            <v>19</v>
          </cell>
          <cell r="AP308">
            <v>19</v>
          </cell>
          <cell r="AQ308">
            <v>5</v>
          </cell>
          <cell r="AR308">
            <v>120</v>
          </cell>
        </row>
        <row r="309">
          <cell r="H309">
            <v>190</v>
          </cell>
          <cell r="I309">
            <v>250</v>
          </cell>
          <cell r="O309">
            <v>375</v>
          </cell>
          <cell r="R309">
            <v>100</v>
          </cell>
          <cell r="S309">
            <v>60</v>
          </cell>
          <cell r="T309">
            <v>36</v>
          </cell>
          <cell r="V309">
            <v>0</v>
          </cell>
          <cell r="Y309">
            <v>3.5</v>
          </cell>
          <cell r="Z309">
            <v>230</v>
          </cell>
          <cell r="AE309">
            <v>1.1000000000000001</v>
          </cell>
          <cell r="AF309">
            <v>275</v>
          </cell>
          <cell r="AJ309">
            <v>90</v>
          </cell>
          <cell r="AK309">
            <v>14</v>
          </cell>
          <cell r="AL309">
            <v>45</v>
          </cell>
          <cell r="AO309">
            <v>19</v>
          </cell>
          <cell r="AP309">
            <v>19</v>
          </cell>
          <cell r="AQ309">
            <v>5</v>
          </cell>
          <cell r="AR309">
            <v>120</v>
          </cell>
        </row>
        <row r="310">
          <cell r="H310">
            <v>190</v>
          </cell>
          <cell r="I310">
            <v>250</v>
          </cell>
          <cell r="O310">
            <v>375</v>
          </cell>
          <cell r="R310">
            <v>100</v>
          </cell>
          <cell r="S310">
            <v>60</v>
          </cell>
          <cell r="T310">
            <v>36</v>
          </cell>
          <cell r="V310">
            <v>0</v>
          </cell>
          <cell r="Y310">
            <v>3.5</v>
          </cell>
          <cell r="Z310">
            <v>230</v>
          </cell>
          <cell r="AE310">
            <v>1.1000000000000001</v>
          </cell>
          <cell r="AF310">
            <v>275</v>
          </cell>
          <cell r="AJ310">
            <v>90</v>
          </cell>
          <cell r="AK310">
            <v>14</v>
          </cell>
          <cell r="AL310">
            <v>45</v>
          </cell>
          <cell r="AO310">
            <v>19</v>
          </cell>
          <cell r="AP310">
            <v>19</v>
          </cell>
          <cell r="AQ310">
            <v>5</v>
          </cell>
          <cell r="AR310">
            <v>120</v>
          </cell>
        </row>
        <row r="311">
          <cell r="H311">
            <v>190</v>
          </cell>
          <cell r="I311">
            <v>250</v>
          </cell>
          <cell r="O311">
            <v>375</v>
          </cell>
          <cell r="R311">
            <v>100</v>
          </cell>
          <cell r="S311">
            <v>60</v>
          </cell>
          <cell r="T311">
            <v>36</v>
          </cell>
          <cell r="V311">
            <v>0</v>
          </cell>
          <cell r="Y311">
            <v>3.5</v>
          </cell>
          <cell r="Z311">
            <v>230</v>
          </cell>
          <cell r="AE311">
            <v>1.1000000000000001</v>
          </cell>
          <cell r="AF311">
            <v>275</v>
          </cell>
          <cell r="AJ311">
            <v>90</v>
          </cell>
          <cell r="AK311">
            <v>14</v>
          </cell>
          <cell r="AL311">
            <v>45</v>
          </cell>
          <cell r="AO311">
            <v>19</v>
          </cell>
          <cell r="AP311">
            <v>19</v>
          </cell>
          <cell r="AQ311">
            <v>5</v>
          </cell>
          <cell r="AR311">
            <v>120</v>
          </cell>
        </row>
        <row r="312">
          <cell r="H312">
            <v>190</v>
          </cell>
          <cell r="I312">
            <v>250</v>
          </cell>
          <cell r="O312">
            <v>375</v>
          </cell>
          <cell r="R312">
            <v>100</v>
          </cell>
          <cell r="S312">
            <v>60</v>
          </cell>
          <cell r="T312">
            <v>36</v>
          </cell>
          <cell r="V312">
            <v>0</v>
          </cell>
          <cell r="Y312">
            <v>3.5</v>
          </cell>
          <cell r="Z312">
            <v>230</v>
          </cell>
          <cell r="AE312">
            <v>1.1000000000000001</v>
          </cell>
          <cell r="AF312">
            <v>275</v>
          </cell>
          <cell r="AJ312">
            <v>90</v>
          </cell>
          <cell r="AK312">
            <v>14</v>
          </cell>
          <cell r="AL312">
            <v>45</v>
          </cell>
          <cell r="AO312">
            <v>19</v>
          </cell>
          <cell r="AP312">
            <v>19</v>
          </cell>
          <cell r="AQ312">
            <v>5</v>
          </cell>
          <cell r="AR312">
            <v>120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els"/>
      <sheetName val="Feedstocks"/>
      <sheetName val="Vegetable Oil"/>
      <sheetName val="Fat and Grease"/>
      <sheetName val="Soybean Complex"/>
      <sheetName val="Canola Complex"/>
      <sheetName val="Inedible Tallow"/>
      <sheetName val="DCO"/>
      <sheetName val="UCO"/>
      <sheetName val="Choice White Grease"/>
      <sheetName val="Poultry Fat"/>
      <sheetName val="Soybean Trade"/>
      <sheetName val="Soy Meal Trade"/>
      <sheetName val="Soy Oil Trade"/>
      <sheetName val="Canola Trade"/>
      <sheetName val="Canola Meal Trade"/>
      <sheetName val="Canola Oil Trade"/>
      <sheetName val="Inedible Tallow Trade"/>
      <sheetName val="Choice White Grease Trade"/>
      <sheetName val="Poultry Fat Trade"/>
      <sheetName val="DCO Trade"/>
      <sheetName val="UCO Trade "/>
      <sheetName val="Page012"/>
      <sheetName val="Table009 (Page 13)"/>
    </sheetNames>
    <sheetDataSet>
      <sheetData sheetId="0"/>
      <sheetData sheetId="1">
        <row r="6">
          <cell r="AC6">
            <v>66858.339626031404</v>
          </cell>
          <cell r="AD6">
            <v>70042.098119612943</v>
          </cell>
          <cell r="AE6">
            <v>73070.367835375087</v>
          </cell>
          <cell r="AF6">
            <v>72075.169717785844</v>
          </cell>
          <cell r="AG6">
            <v>75711.906694384379</v>
          </cell>
          <cell r="AH6">
            <v>77359.063439550722</v>
          </cell>
          <cell r="AI6">
            <v>79284.410100467823</v>
          </cell>
          <cell r="AJ6">
            <v>81091.134255544748</v>
          </cell>
          <cell r="AK6">
            <v>84937.91012926132</v>
          </cell>
          <cell r="AL6">
            <v>87053.461992306809</v>
          </cell>
          <cell r="AM6">
            <v>90284.895750911033</v>
          </cell>
          <cell r="AN6">
            <v>91487.999702948466</v>
          </cell>
          <cell r="AO6">
            <v>95409.451036417231</v>
          </cell>
        </row>
        <row r="7">
          <cell r="AC7">
            <v>2397.7502294069523</v>
          </cell>
          <cell r="AD7">
            <v>2446.2785324858851</v>
          </cell>
          <cell r="AE7">
            <v>3719.8043659643804</v>
          </cell>
          <cell r="AF7">
            <v>4880.5559917756227</v>
          </cell>
          <cell r="AG7">
            <v>6674.5945207967343</v>
          </cell>
          <cell r="AH7">
            <v>8767.5198381324317</v>
          </cell>
          <cell r="AI7">
            <v>8576.983346977202</v>
          </cell>
          <cell r="AJ7">
            <v>9225.3904715353929</v>
          </cell>
          <cell r="AK7">
            <v>10034.990314970535</v>
          </cell>
          <cell r="AL7">
            <v>10885.128904731135</v>
          </cell>
          <cell r="AM7">
            <v>13083.878975755835</v>
          </cell>
          <cell r="AN7">
            <v>14856.748831856738</v>
          </cell>
          <cell r="AO7">
            <v>6296.6843723309266</v>
          </cell>
        </row>
        <row r="10">
          <cell r="AC10">
            <v>28520.725358270691</v>
          </cell>
          <cell r="AD10">
            <v>38622.427397764157</v>
          </cell>
          <cell r="AE10">
            <v>44682.917288556571</v>
          </cell>
          <cell r="AF10">
            <v>41482.956805755617</v>
          </cell>
          <cell r="AG10">
            <v>45805.038049763789</v>
          </cell>
          <cell r="AH10">
            <v>55958.129418978482</v>
          </cell>
          <cell r="AI10">
            <v>56754.721289660098</v>
          </cell>
          <cell r="AJ10">
            <v>62099.410978980726</v>
          </cell>
          <cell r="AK10">
            <v>68960.12899730455</v>
          </cell>
          <cell r="AL10">
            <v>75268.036777984875</v>
          </cell>
          <cell r="AM10">
            <v>88308.814763419825</v>
          </cell>
          <cell r="AN10">
            <v>87920.1077722763</v>
          </cell>
          <cell r="AO10">
            <v>91385.208771793521</v>
          </cell>
        </row>
        <row r="13">
          <cell r="AC13">
            <v>40464.506859383691</v>
          </cell>
          <cell r="AD13">
            <v>33778.596745392046</v>
          </cell>
          <cell r="AE13">
            <v>31717.256029224773</v>
          </cell>
          <cell r="AF13">
            <v>35296.617838499034</v>
          </cell>
          <cell r="AG13">
            <v>35401.881479755124</v>
          </cell>
          <cell r="AH13">
            <v>29694.167237704576</v>
          </cell>
          <cell r="AI13">
            <v>30906.886563110427</v>
          </cell>
          <cell r="AJ13">
            <v>27693.236367458871</v>
          </cell>
          <cell r="AK13">
            <v>25614.109127789518</v>
          </cell>
          <cell r="AL13">
            <v>22206.598022816237</v>
          </cell>
          <cell r="AM13">
            <v>14401.393520903046</v>
          </cell>
          <cell r="AN13">
            <v>17357.353163797437</v>
          </cell>
          <cell r="AO13">
            <v>9989.7961793290888</v>
          </cell>
        </row>
      </sheetData>
      <sheetData sheetId="2"/>
      <sheetData sheetId="3"/>
      <sheetData sheetId="4">
        <row r="38">
          <cell r="AC38">
            <v>29333.738695877906</v>
          </cell>
          <cell r="AD38">
            <v>29948.239574686253</v>
          </cell>
          <cell r="AE38">
            <v>31159.031570356248</v>
          </cell>
          <cell r="AF38">
            <v>29884.651186058385</v>
          </cell>
          <cell r="AG38">
            <v>32263.095428623063</v>
          </cell>
          <cell r="AH38">
            <v>32579.970150861711</v>
          </cell>
          <cell r="AI38">
            <v>33326.935203574714</v>
          </cell>
          <cell r="AJ38">
            <v>34353.742645973784</v>
          </cell>
          <cell r="AK38">
            <v>36338.883137591285</v>
          </cell>
          <cell r="AL38">
            <v>37032.337839258122</v>
          </cell>
          <cell r="AM38">
            <v>38677.07692898385</v>
          </cell>
          <cell r="AN38">
            <v>38671.133689235154</v>
          </cell>
          <cell r="AO38">
            <v>40163.504643123255</v>
          </cell>
        </row>
        <row r="39">
          <cell r="AC39">
            <v>486.3299868155944</v>
          </cell>
          <cell r="AD39">
            <v>816.0753872206086</v>
          </cell>
          <cell r="AE39">
            <v>459.47510135357732</v>
          </cell>
          <cell r="AF39">
            <v>472.70088703713338</v>
          </cell>
          <cell r="AG39">
            <v>670.20731758017359</v>
          </cell>
          <cell r="AH39">
            <v>768.42630217350677</v>
          </cell>
          <cell r="AI39">
            <v>792.10322689848977</v>
          </cell>
          <cell r="AJ39">
            <v>831.34603363014048</v>
          </cell>
          <cell r="AK39">
            <v>817.94749187722095</v>
          </cell>
          <cell r="AL39">
            <v>802.74949260085555</v>
          </cell>
          <cell r="AM39">
            <v>821.30108078534943</v>
          </cell>
          <cell r="AN39">
            <v>849.09888376362471</v>
          </cell>
          <cell r="AO39">
            <v>965.50236705844975</v>
          </cell>
        </row>
      </sheetData>
      <sheetData sheetId="5">
        <row r="75">
          <cell r="AC75">
            <v>1514.9749999999999</v>
          </cell>
          <cell r="AD75">
            <v>1826.5900000000001</v>
          </cell>
          <cell r="AE75">
            <v>1936.962</v>
          </cell>
          <cell r="AF75">
            <v>1941.4909780103906</v>
          </cell>
          <cell r="AG75">
            <v>2011.548485468094</v>
          </cell>
          <cell r="AH75">
            <v>2010.6541349744341</v>
          </cell>
          <cell r="AI75">
            <v>2087.0762027557007</v>
          </cell>
          <cell r="AJ75">
            <v>2138.9283817895653</v>
          </cell>
          <cell r="AK75">
            <v>2162.8048383664091</v>
          </cell>
          <cell r="AL75">
            <v>2177.8697435468807</v>
          </cell>
          <cell r="AM75">
            <v>2203.9819952744165</v>
          </cell>
          <cell r="AN75">
            <v>2202.4892556466239</v>
          </cell>
          <cell r="AO75">
            <v>2231.8347920081014</v>
          </cell>
        </row>
        <row r="76">
          <cell r="AC76">
            <v>4641.3443995380003</v>
          </cell>
          <cell r="AD76">
            <v>6382.7533760799997</v>
          </cell>
          <cell r="AE76">
            <v>7463.9024063212</v>
          </cell>
          <cell r="AF76">
            <v>6087.6758827316853</v>
          </cell>
          <cell r="AG76">
            <v>6143.8301147521261</v>
          </cell>
          <cell r="AH76">
            <v>6733.5244231737079</v>
          </cell>
          <cell r="AI76">
            <v>7073.3052042840536</v>
          </cell>
          <cell r="AJ76">
            <v>7489.3514083616146</v>
          </cell>
          <cell r="AK76">
            <v>7966.8426075251718</v>
          </cell>
          <cell r="AL76">
            <v>8247.4164374412248</v>
          </cell>
          <cell r="AM76">
            <v>9189.8291657778718</v>
          </cell>
          <cell r="AN76">
            <v>9472.9807818656645</v>
          </cell>
          <cell r="AO76">
            <v>9636.6547347157048</v>
          </cell>
        </row>
      </sheetData>
      <sheetData sheetId="6">
        <row r="6">
          <cell r="AC6">
            <v>5490.815989631792</v>
          </cell>
          <cell r="AD6">
            <v>5389.4421393702814</v>
          </cell>
          <cell r="AE6">
            <v>5442.860568989593</v>
          </cell>
          <cell r="AF6">
            <v>4990.9108907715245</v>
          </cell>
          <cell r="AG6">
            <v>5186.7944781048373</v>
          </cell>
          <cell r="AH6">
            <v>5192.0680520061314</v>
          </cell>
          <cell r="AI6">
            <v>5209.1636138767535</v>
          </cell>
          <cell r="AJ6">
            <v>5209.5290762027889</v>
          </cell>
          <cell r="AK6">
            <v>5272.854404533492</v>
          </cell>
          <cell r="AL6">
            <v>5304.9018527584194</v>
          </cell>
          <cell r="AM6">
            <v>5406.7222933835201</v>
          </cell>
          <cell r="AN6">
            <v>5366.4225551199297</v>
          </cell>
          <cell r="AO6">
            <v>5358.0226870950755</v>
          </cell>
        </row>
        <row r="7">
          <cell r="AC7">
            <v>1539.671111078</v>
          </cell>
          <cell r="AD7">
            <v>1974.103134272</v>
          </cell>
          <cell r="AE7">
            <v>2561.6645731469603</v>
          </cell>
          <cell r="AF7">
            <v>4258.9619057098134</v>
          </cell>
          <cell r="AG7">
            <v>4479.560317173974</v>
          </cell>
          <cell r="AH7">
            <v>6164.1954098631431</v>
          </cell>
          <cell r="AI7">
            <v>6317.9896905129208</v>
          </cell>
          <cell r="AJ7">
            <v>6215.7701129787847</v>
          </cell>
          <cell r="AK7">
            <v>6712.5216112644994</v>
          </cell>
          <cell r="AL7">
            <v>7450.1135062707908</v>
          </cell>
          <cell r="AM7">
            <v>8916.9316910044945</v>
          </cell>
          <cell r="AN7">
            <v>9936.9564756897798</v>
          </cell>
          <cell r="AO7">
            <v>10009.614651470401</v>
          </cell>
        </row>
      </sheetData>
      <sheetData sheetId="7">
        <row r="6">
          <cell r="AC6">
            <v>4370.4074985573379</v>
          </cell>
          <cell r="AD6">
            <v>4520.042280018527</v>
          </cell>
          <cell r="AE6">
            <v>4732.3509163176132</v>
          </cell>
          <cell r="AF6">
            <v>4770.5562969603952</v>
          </cell>
          <cell r="AG6">
            <v>4777.7264236868787</v>
          </cell>
          <cell r="AH6">
            <v>4839.4539122264459</v>
          </cell>
          <cell r="AI6">
            <v>4958.472302280531</v>
          </cell>
          <cell r="AJ6">
            <v>5049.4344221644606</v>
          </cell>
          <cell r="AK6">
            <v>5373.3046161203838</v>
          </cell>
          <cell r="AL6">
            <v>5488.5458307455419</v>
          </cell>
          <cell r="AM6">
            <v>5493.7104179570006</v>
          </cell>
          <cell r="AN6">
            <v>5617.6979763552208</v>
          </cell>
          <cell r="AO6">
            <v>5735.7153386120281</v>
          </cell>
        </row>
      </sheetData>
      <sheetData sheetId="8">
        <row r="23">
          <cell r="AC23">
            <v>5412.9545705882347</v>
          </cell>
          <cell r="AD23">
            <v>6573.5245588235302</v>
          </cell>
          <cell r="AE23">
            <v>7063.0174588235295</v>
          </cell>
          <cell r="AF23">
            <v>7203.4704987238965</v>
          </cell>
          <cell r="AG23">
            <v>7668.2708760689056</v>
          </cell>
          <cell r="AH23">
            <v>8306.6873206277687</v>
          </cell>
          <cell r="AI23">
            <v>8752.3607662306513</v>
          </cell>
          <cell r="AJ23">
            <v>8941.277199380309</v>
          </cell>
          <cell r="AK23">
            <v>9987.7059698614503</v>
          </cell>
          <cell r="AL23">
            <v>10782.994605568889</v>
          </cell>
          <cell r="AM23">
            <v>11987.335952269514</v>
          </cell>
          <cell r="AN23">
            <v>12628.896777398068</v>
          </cell>
          <cell r="AO23">
            <v>14173.123819594384</v>
          </cell>
        </row>
        <row r="24">
          <cell r="AC24">
            <v>725.9360180000001</v>
          </cell>
          <cell r="AD24">
            <v>3019.642902</v>
          </cell>
          <cell r="AE24">
            <v>5396.4669739999999</v>
          </cell>
          <cell r="AF24">
            <v>5746.3887930213605</v>
          </cell>
          <cell r="AG24">
            <v>7041.363879524506</v>
          </cell>
          <cell r="AH24">
            <v>9025.4772328838299</v>
          </cell>
          <cell r="AI24">
            <v>10137.972196507686</v>
          </cell>
          <cell r="AJ24">
            <v>13061.109397358821</v>
          </cell>
          <cell r="AK24">
            <v>16757.79634301614</v>
          </cell>
          <cell r="AL24">
            <v>19034.634445795306</v>
          </cell>
          <cell r="AM24">
            <v>22067.25877988966</v>
          </cell>
          <cell r="AN24">
            <v>24013.384903717379</v>
          </cell>
          <cell r="AO24">
            <v>22187.474231932421</v>
          </cell>
        </row>
      </sheetData>
      <sheetData sheetId="9">
        <row r="6">
          <cell r="AC6">
            <v>2037.2998382109975</v>
          </cell>
          <cell r="AD6">
            <v>1968.2961476659257</v>
          </cell>
          <cell r="AE6">
            <v>2028.3715780913185</v>
          </cell>
          <cell r="AF6">
            <v>2108.9390732472812</v>
          </cell>
          <cell r="AG6">
            <v>2151.4757318530192</v>
          </cell>
          <cell r="AH6">
            <v>2174.5719491382865</v>
          </cell>
          <cell r="AI6">
            <v>2203.0591439094187</v>
          </cell>
          <cell r="AJ6">
            <v>2231.675567283728</v>
          </cell>
          <cell r="AK6">
            <v>2264.1121367403275</v>
          </cell>
          <cell r="AL6">
            <v>2290.7300162128599</v>
          </cell>
          <cell r="AM6">
            <v>2307.3499703120451</v>
          </cell>
          <cell r="AN6">
            <v>2326.5672277450053</v>
          </cell>
          <cell r="AO6">
            <v>2346.3195711712851</v>
          </cell>
        </row>
        <row r="7">
          <cell r="AC7">
            <v>101.28878257200003</v>
          </cell>
          <cell r="AD7">
            <v>183.02653450253999</v>
          </cell>
          <cell r="AE7">
            <v>172.44272117599999</v>
          </cell>
          <cell r="AF7">
            <v>142.57491467748011</v>
          </cell>
          <cell r="AG7">
            <v>262.31604577978692</v>
          </cell>
          <cell r="AH7">
            <v>302.32416846771412</v>
          </cell>
          <cell r="AI7">
            <v>262.30546295982708</v>
          </cell>
          <cell r="AJ7">
            <v>442.2642866040992</v>
          </cell>
          <cell r="AK7">
            <v>668.35697569778142</v>
          </cell>
          <cell r="AL7">
            <v>825.31338790184168</v>
          </cell>
          <cell r="AM7">
            <v>891.3128563262527</v>
          </cell>
          <cell r="AN7">
            <v>557.31059389796042</v>
          </cell>
          <cell r="AO7">
            <v>597.31162008558704</v>
          </cell>
        </row>
      </sheetData>
      <sheetData sheetId="10">
        <row r="6">
          <cell r="AC6">
            <v>3299.8560185806145</v>
          </cell>
          <cell r="AD6">
            <v>3616.6743892211243</v>
          </cell>
          <cell r="AE6">
            <v>3544.9859844842913</v>
          </cell>
          <cell r="AF6">
            <v>3648.9819902097843</v>
          </cell>
          <cell r="AG6">
            <v>3737.8491996757684</v>
          </cell>
          <cell r="AH6">
            <v>3826.2943266380189</v>
          </cell>
          <cell r="AI6">
            <v>3936.3148908336707</v>
          </cell>
          <cell r="AJ6">
            <v>3996.562215157669</v>
          </cell>
          <cell r="AK6">
            <v>4092.8934396254781</v>
          </cell>
          <cell r="AL6">
            <v>4203.4905930285195</v>
          </cell>
          <cell r="AM6">
            <v>4314.9344897459541</v>
          </cell>
          <cell r="AN6">
            <v>4392.7853278406574</v>
          </cell>
          <cell r="AO6">
            <v>4504.9990173119477</v>
          </cell>
        </row>
        <row r="7">
          <cell r="AC7">
            <v>16.028356916</v>
          </cell>
          <cell r="AD7">
            <v>15.727954246000001</v>
          </cell>
          <cell r="AE7">
            <v>16.367077335200001</v>
          </cell>
          <cell r="AF7">
            <v>17.686021725010242</v>
          </cell>
          <cell r="AG7">
            <v>16.126986145168033</v>
          </cell>
          <cell r="AH7">
            <v>16.502209944555279</v>
          </cell>
          <cell r="AI7">
            <v>16.477981159633433</v>
          </cell>
          <cell r="AJ7">
            <v>16.284518715283376</v>
          </cell>
          <cell r="AK7">
            <v>16.312516317207454</v>
          </cell>
          <cell r="AL7">
            <v>16.582474207930073</v>
          </cell>
          <cell r="AM7">
            <v>16.340842456369515</v>
          </cell>
          <cell r="AN7">
            <v>16.431940068921921</v>
          </cell>
          <cell r="AO7">
            <v>16.399666571284769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F"/>
      <sheetName val="US SAF Imports"/>
      <sheetName val="US SAF Exports"/>
      <sheetName val="US Jet Fuel Imports"/>
      <sheetName val="US Jet Fuel Exports"/>
      <sheetName val="US RD Imports"/>
      <sheetName val="US RD Exports"/>
      <sheetName val="US Diesel Imports"/>
      <sheetName val="US Diesel Exports"/>
    </sheetNames>
    <sheetDataSet>
      <sheetData sheetId="0"/>
      <sheetData sheetId="1">
        <row r="290">
          <cell r="LX290">
            <v>0</v>
          </cell>
          <cell r="LY290">
            <v>0</v>
          </cell>
          <cell r="LZ290">
            <v>0</v>
          </cell>
          <cell r="MA290">
            <v>0</v>
          </cell>
          <cell r="MB290">
            <v>0</v>
          </cell>
          <cell r="MC290">
            <v>0</v>
          </cell>
          <cell r="MD290">
            <v>0</v>
          </cell>
          <cell r="ME290">
            <v>0</v>
          </cell>
          <cell r="MF290">
            <v>0</v>
          </cell>
          <cell r="MG290">
            <v>0</v>
          </cell>
          <cell r="MH290">
            <v>0</v>
          </cell>
          <cell r="MI290">
            <v>0</v>
          </cell>
          <cell r="MJ290">
            <v>0</v>
          </cell>
          <cell r="MK290">
            <v>0</v>
          </cell>
          <cell r="ML290">
            <v>0</v>
          </cell>
          <cell r="MM290">
            <v>0</v>
          </cell>
          <cell r="MN290">
            <v>0</v>
          </cell>
          <cell r="MO290">
            <v>0</v>
          </cell>
          <cell r="MP290">
            <v>0</v>
          </cell>
          <cell r="MQ290">
            <v>0</v>
          </cell>
          <cell r="MR290">
            <v>0</v>
          </cell>
          <cell r="MS290">
            <v>0</v>
          </cell>
          <cell r="MT290">
            <v>0</v>
          </cell>
          <cell r="MU290">
            <v>0</v>
          </cell>
          <cell r="MV290">
            <v>0</v>
          </cell>
          <cell r="MW290">
            <v>0</v>
          </cell>
          <cell r="MX290">
            <v>0</v>
          </cell>
          <cell r="MY290">
            <v>0</v>
          </cell>
          <cell r="MZ290">
            <v>0</v>
          </cell>
          <cell r="NA290">
            <v>0</v>
          </cell>
          <cell r="NB290">
            <v>0</v>
          </cell>
          <cell r="NC290">
            <v>0</v>
          </cell>
          <cell r="ND290">
            <v>0</v>
          </cell>
          <cell r="NE290">
            <v>0</v>
          </cell>
          <cell r="NF290">
            <v>0</v>
          </cell>
          <cell r="NG290">
            <v>0</v>
          </cell>
          <cell r="NH290">
            <v>0</v>
          </cell>
          <cell r="NI290">
            <v>0</v>
          </cell>
          <cell r="NJ290">
            <v>0</v>
          </cell>
          <cell r="NK290">
            <v>0</v>
          </cell>
          <cell r="NL290">
            <v>6536.8379999999997</v>
          </cell>
          <cell r="NM290">
            <v>0</v>
          </cell>
          <cell r="NN290">
            <v>0</v>
          </cell>
          <cell r="NO290">
            <v>0</v>
          </cell>
          <cell r="NP290">
            <v>0</v>
          </cell>
          <cell r="NQ290">
            <v>0</v>
          </cell>
          <cell r="NR290">
            <v>0</v>
          </cell>
          <cell r="NS290">
            <v>0</v>
          </cell>
          <cell r="NT290">
            <v>0</v>
          </cell>
          <cell r="NU290">
            <v>0</v>
          </cell>
          <cell r="NV290">
            <v>0</v>
          </cell>
          <cell r="NW290">
            <v>0</v>
          </cell>
          <cell r="NX290">
            <v>146.83199999999999</v>
          </cell>
          <cell r="NY290">
            <v>0</v>
          </cell>
          <cell r="NZ290">
            <v>0</v>
          </cell>
          <cell r="OA290">
            <v>0</v>
          </cell>
          <cell r="OB290">
            <v>0</v>
          </cell>
          <cell r="OC290">
            <v>0</v>
          </cell>
          <cell r="OD290">
            <v>0</v>
          </cell>
          <cell r="OE290">
            <v>0</v>
          </cell>
          <cell r="OF290">
            <v>0</v>
          </cell>
          <cell r="OG290">
            <v>0</v>
          </cell>
          <cell r="OH290">
            <v>0</v>
          </cell>
          <cell r="OI290">
            <v>0</v>
          </cell>
          <cell r="OJ290">
            <v>210</v>
          </cell>
          <cell r="OK290">
            <v>0</v>
          </cell>
          <cell r="OL290">
            <v>0</v>
          </cell>
          <cell r="OM290">
            <v>0</v>
          </cell>
          <cell r="ON290">
            <v>0</v>
          </cell>
          <cell r="OO290">
            <v>1.512</v>
          </cell>
          <cell r="OP290">
            <v>0</v>
          </cell>
          <cell r="OQ290">
            <v>0</v>
          </cell>
          <cell r="OR290">
            <v>0</v>
          </cell>
        </row>
      </sheetData>
      <sheetData sheetId="2">
        <row r="290">
          <cell r="LX290"/>
          <cell r="LY290"/>
          <cell r="LZ290"/>
          <cell r="MA290"/>
          <cell r="MB290"/>
          <cell r="MC290"/>
          <cell r="MD290"/>
          <cell r="ME290"/>
          <cell r="MF290"/>
          <cell r="MG290"/>
          <cell r="MH290"/>
          <cell r="MI290"/>
          <cell r="MJ290"/>
          <cell r="MK290"/>
          <cell r="ML290"/>
          <cell r="MM290"/>
          <cell r="MN290"/>
          <cell r="MO290"/>
          <cell r="MP290"/>
          <cell r="MQ290"/>
          <cell r="MR290"/>
          <cell r="MS290"/>
          <cell r="MT290"/>
          <cell r="MU290"/>
          <cell r="MV290"/>
          <cell r="MW290"/>
          <cell r="MX290"/>
          <cell r="MY290"/>
          <cell r="MZ290"/>
          <cell r="NA290"/>
          <cell r="NB290"/>
          <cell r="NC290"/>
          <cell r="ND290"/>
          <cell r="NE290"/>
          <cell r="NF290"/>
          <cell r="NG290"/>
          <cell r="NH290"/>
          <cell r="NI290"/>
          <cell r="NJ290"/>
          <cell r="NK290"/>
          <cell r="NL290"/>
          <cell r="NM290"/>
          <cell r="NN290"/>
          <cell r="NO290"/>
          <cell r="NP290"/>
          <cell r="NQ290"/>
          <cell r="NR290"/>
          <cell r="NS290"/>
          <cell r="NT290"/>
          <cell r="NU290"/>
          <cell r="NV290"/>
          <cell r="NW290"/>
          <cell r="NX290"/>
          <cell r="NY290"/>
          <cell r="NZ290"/>
          <cell r="OA290"/>
          <cell r="OB290"/>
          <cell r="OC290"/>
          <cell r="OD290"/>
          <cell r="OE290"/>
          <cell r="OF290"/>
          <cell r="OG290"/>
          <cell r="OH290"/>
          <cell r="OI290"/>
          <cell r="OJ290"/>
          <cell r="OK290"/>
          <cell r="OL290"/>
          <cell r="OM290"/>
          <cell r="ON290"/>
          <cell r="OO290"/>
          <cell r="OP290"/>
          <cell r="OQ290"/>
          <cell r="OR290"/>
        </row>
      </sheetData>
      <sheetData sheetId="3">
        <row r="290">
          <cell r="LX290">
            <v>154517.95800000001</v>
          </cell>
          <cell r="LY290">
            <v>149843.90400000001</v>
          </cell>
          <cell r="LZ290">
            <v>79076.801999999996</v>
          </cell>
          <cell r="MA290">
            <v>138008.682</v>
          </cell>
          <cell r="MB290">
            <v>211833.38399999999</v>
          </cell>
          <cell r="MC290">
            <v>213121.734</v>
          </cell>
          <cell r="MD290">
            <v>210491.31599999999</v>
          </cell>
          <cell r="ME290">
            <v>265239.15600000002</v>
          </cell>
          <cell r="MF290">
            <v>286745.08799999999</v>
          </cell>
          <cell r="MG290">
            <v>200529.67199999999</v>
          </cell>
          <cell r="MH290">
            <v>141044.52600000001</v>
          </cell>
          <cell r="MI290">
            <v>148511.66399999999</v>
          </cell>
          <cell r="MJ290">
            <v>230120.73</v>
          </cell>
          <cell r="MK290">
            <v>245219.81400000001</v>
          </cell>
          <cell r="ML290">
            <v>267120.79800000001</v>
          </cell>
          <cell r="MM290">
            <v>290244.44400000002</v>
          </cell>
          <cell r="MN290">
            <v>251117.03400000001</v>
          </cell>
          <cell r="MO290">
            <v>249527.166</v>
          </cell>
          <cell r="MP290">
            <v>287361.01799999998</v>
          </cell>
          <cell r="MQ290">
            <v>234922.8</v>
          </cell>
          <cell r="MR290">
            <v>211672.524</v>
          </cell>
          <cell r="MS290">
            <v>239374.17</v>
          </cell>
          <cell r="MT290">
            <v>201038.92199999999</v>
          </cell>
          <cell r="MU290">
            <v>209279.91</v>
          </cell>
          <cell r="MV290">
            <v>180702.48</v>
          </cell>
          <cell r="MW290">
            <v>192061.08600000001</v>
          </cell>
          <cell r="MX290">
            <v>209128.37400000001</v>
          </cell>
          <cell r="MY290">
            <v>219768.696</v>
          </cell>
          <cell r="MZ290">
            <v>188809.236</v>
          </cell>
          <cell r="NA290">
            <v>230542.66200000001</v>
          </cell>
          <cell r="NB290">
            <v>234577.51800000001</v>
          </cell>
          <cell r="NC290">
            <v>259910.15400000001</v>
          </cell>
          <cell r="ND290">
            <v>276535.05599999998</v>
          </cell>
          <cell r="NE290">
            <v>207273.19200000001</v>
          </cell>
          <cell r="NF290">
            <v>160316.56200000001</v>
          </cell>
          <cell r="NG290">
            <v>168920.55600000001</v>
          </cell>
          <cell r="NH290">
            <v>178320.61799999999</v>
          </cell>
          <cell r="NI290">
            <v>100219.98</v>
          </cell>
          <cell r="NJ290">
            <v>140321.454</v>
          </cell>
          <cell r="NK290">
            <v>147267.45600000001</v>
          </cell>
          <cell r="NL290">
            <v>269837.23200000002</v>
          </cell>
          <cell r="NM290">
            <v>204490.272</v>
          </cell>
          <cell r="NN290">
            <v>215764.962</v>
          </cell>
          <cell r="NO290">
            <v>232722.71400000001</v>
          </cell>
          <cell r="NP290">
            <v>264203.81400000001</v>
          </cell>
          <cell r="NQ290">
            <v>244590.318</v>
          </cell>
          <cell r="NR290">
            <v>161113.554</v>
          </cell>
          <cell r="NS290">
            <v>181268.514</v>
          </cell>
          <cell r="NT290">
            <v>182539.89600000001</v>
          </cell>
          <cell r="NU290">
            <v>91587.384000000005</v>
          </cell>
          <cell r="NV290">
            <v>127923.936</v>
          </cell>
          <cell r="NW290">
            <v>134336.37</v>
          </cell>
          <cell r="NX290">
            <v>157410.288</v>
          </cell>
          <cell r="NY290">
            <v>134932.35</v>
          </cell>
          <cell r="NZ290">
            <v>131608.302</v>
          </cell>
          <cell r="OA290">
            <v>80648.357999999993</v>
          </cell>
          <cell r="OB290">
            <v>77822.346000000005</v>
          </cell>
          <cell r="OC290">
            <v>139892.67600000001</v>
          </cell>
          <cell r="OD290">
            <v>153298.36199999999</v>
          </cell>
          <cell r="OE290">
            <v>110735.394</v>
          </cell>
          <cell r="OF290">
            <v>112710.738</v>
          </cell>
          <cell r="OG290">
            <v>195534.52799999999</v>
          </cell>
          <cell r="OH290">
            <v>151597.19399999999</v>
          </cell>
          <cell r="OI290">
            <v>154759.584</v>
          </cell>
          <cell r="OJ290">
            <v>164564.35800000001</v>
          </cell>
          <cell r="OK290">
            <v>143126.424</v>
          </cell>
          <cell r="OL290">
            <v>108863.874</v>
          </cell>
          <cell r="OM290">
            <v>78787.505999999994</v>
          </cell>
          <cell r="ON290">
            <v>125478.822</v>
          </cell>
          <cell r="OO290">
            <v>143330.25</v>
          </cell>
          <cell r="OP290">
            <v>76997.885999999999</v>
          </cell>
          <cell r="OQ290">
            <v>118728.708</v>
          </cell>
          <cell r="OR290">
            <v>92163.96</v>
          </cell>
        </row>
      </sheetData>
      <sheetData sheetId="4">
        <row r="290">
          <cell r="LX290">
            <v>264080.33399999997</v>
          </cell>
          <cell r="LY290">
            <v>197163.87599999999</v>
          </cell>
          <cell r="LZ290">
            <v>312952.83600000001</v>
          </cell>
          <cell r="MA290">
            <v>266827.59600000002</v>
          </cell>
          <cell r="MB290">
            <v>324783.85800000001</v>
          </cell>
          <cell r="MC290">
            <v>261756.30600000001</v>
          </cell>
          <cell r="MD290">
            <v>320839.092</v>
          </cell>
          <cell r="ME290">
            <v>274531.65600000002</v>
          </cell>
          <cell r="MF290">
            <v>208718.16</v>
          </cell>
          <cell r="MG290">
            <v>352617.88799999998</v>
          </cell>
          <cell r="MH290">
            <v>280713.67800000001</v>
          </cell>
          <cell r="MI290">
            <v>253637.03400000001</v>
          </cell>
          <cell r="MJ290">
            <v>332906.7</v>
          </cell>
          <cell r="MK290">
            <v>239637.804</v>
          </cell>
          <cell r="ML290">
            <v>228186.04199999999</v>
          </cell>
          <cell r="MM290">
            <v>254988.46799999999</v>
          </cell>
          <cell r="MN290">
            <v>264075</v>
          </cell>
          <cell r="MO290">
            <v>266457.19799999997</v>
          </cell>
          <cell r="MP290">
            <v>283542.33600000001</v>
          </cell>
          <cell r="MQ290">
            <v>325478.538</v>
          </cell>
          <cell r="MR290">
            <v>308587.23</v>
          </cell>
          <cell r="MS290">
            <v>277209.65999999997</v>
          </cell>
          <cell r="MT290">
            <v>296708.538</v>
          </cell>
          <cell r="MU290">
            <v>343859.41800000001</v>
          </cell>
          <cell r="MV290">
            <v>296538.77399999998</v>
          </cell>
          <cell r="MW290">
            <v>300905.34600000002</v>
          </cell>
          <cell r="MX290">
            <v>285273.49200000003</v>
          </cell>
          <cell r="MY290">
            <v>97750.043999999994</v>
          </cell>
          <cell r="MZ290">
            <v>27769.727999999999</v>
          </cell>
          <cell r="NA290">
            <v>42306.053999999996</v>
          </cell>
          <cell r="NB290">
            <v>45815.826000000001</v>
          </cell>
          <cell r="NC290">
            <v>52820.375999999997</v>
          </cell>
          <cell r="ND290">
            <v>58307.298000000003</v>
          </cell>
          <cell r="NE290">
            <v>57833.286</v>
          </cell>
          <cell r="NF290">
            <v>104319.558</v>
          </cell>
          <cell r="NG290">
            <v>115525.704</v>
          </cell>
          <cell r="NH290">
            <v>130913.32799999999</v>
          </cell>
          <cell r="NI290">
            <v>96140.351999999999</v>
          </cell>
          <cell r="NJ290">
            <v>89578.65</v>
          </cell>
          <cell r="NK290">
            <v>86455.278000000006</v>
          </cell>
          <cell r="NL290">
            <v>129298.512</v>
          </cell>
          <cell r="NM290">
            <v>110643.45600000001</v>
          </cell>
          <cell r="NN290">
            <v>112384.944</v>
          </cell>
          <cell r="NO290">
            <v>176061.606</v>
          </cell>
          <cell r="NP290">
            <v>139446.84599999999</v>
          </cell>
          <cell r="NQ290">
            <v>157602.984</v>
          </cell>
          <cell r="NR290">
            <v>177886.50599999999</v>
          </cell>
          <cell r="NS290">
            <v>231240.408</v>
          </cell>
          <cell r="NT290">
            <v>185240.622</v>
          </cell>
          <cell r="NU290">
            <v>181746.726</v>
          </cell>
          <cell r="NV290">
            <v>235036.2</v>
          </cell>
          <cell r="NW290">
            <v>257486.628</v>
          </cell>
          <cell r="NX290">
            <v>212915.976</v>
          </cell>
          <cell r="NY290">
            <v>237432.46799999999</v>
          </cell>
          <cell r="NZ290">
            <v>249143.58</v>
          </cell>
          <cell r="OA290">
            <v>266622.97200000001</v>
          </cell>
          <cell r="OB290">
            <v>263066.076</v>
          </cell>
          <cell r="OC290">
            <v>178104.10800000001</v>
          </cell>
          <cell r="OD290">
            <v>201116.16</v>
          </cell>
          <cell r="OE290">
            <v>224737.17</v>
          </cell>
          <cell r="OF290">
            <v>264859.39199999999</v>
          </cell>
          <cell r="OG290">
            <v>211133.076</v>
          </cell>
          <cell r="OH290">
            <v>266650.86</v>
          </cell>
          <cell r="OI290">
            <v>156670.5</v>
          </cell>
          <cell r="OJ290">
            <v>179268.30600000001</v>
          </cell>
          <cell r="OK290">
            <v>201379.5</v>
          </cell>
          <cell r="OL290">
            <v>192869.46</v>
          </cell>
          <cell r="OM290">
            <v>269516.64600000001</v>
          </cell>
          <cell r="ON290">
            <v>180472.48800000001</v>
          </cell>
          <cell r="OO290">
            <v>192544.17</v>
          </cell>
          <cell r="OP290">
            <v>255798.56400000001</v>
          </cell>
          <cell r="OQ290">
            <v>333239.55</v>
          </cell>
          <cell r="OR290">
            <v>288153.89399999997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inks"/>
      <sheetName val="Assumptions"/>
      <sheetName val="US Fuel Production"/>
      <sheetName val="US Jet Fuel"/>
    </sheetNames>
    <sheetDataSet>
      <sheetData sheetId="0"/>
      <sheetData sheetId="1">
        <row r="20">
          <cell r="BC20">
            <v>722415.33364099998</v>
          </cell>
          <cell r="BD20">
            <v>754450.05571900005</v>
          </cell>
          <cell r="BE20">
            <v>306058.02996800002</v>
          </cell>
          <cell r="BF20">
            <v>573403.84113099996</v>
          </cell>
          <cell r="BG20">
            <v>708959.95827800001</v>
          </cell>
          <cell r="BH20">
            <v>773411.55941999995</v>
          </cell>
          <cell r="BI20">
            <v>785786.14437071991</v>
          </cell>
          <cell r="BJ20">
            <v>807002.37026872928</v>
          </cell>
          <cell r="BK20">
            <v>828791.43426598492</v>
          </cell>
          <cell r="BL20">
            <v>851168.80299116648</v>
          </cell>
          <cell r="BM20">
            <v>874150.36067192792</v>
          </cell>
          <cell r="BN20">
            <v>897752.42041006987</v>
          </cell>
          <cell r="BO20">
            <v>921991.73576114164</v>
          </cell>
          <cell r="BP20">
            <v>946885.51262669242</v>
          </cell>
          <cell r="BQ20">
            <v>972451.42146761308</v>
          </cell>
          <cell r="BR20">
            <v>998707.60984723852</v>
          </cell>
          <cell r="BS20">
            <v>1025672.7153131139</v>
          </cell>
          <cell r="BT20">
            <v>1053365.8786265678</v>
          </cell>
          <cell r="BU20">
            <v>1081806.7573494851</v>
          </cell>
          <cell r="BV20">
            <v>1111015.539797921</v>
          </cell>
          <cell r="BW20">
            <v>1141012.9593724648</v>
          </cell>
          <cell r="BX20">
            <v>1171820.3092755212</v>
          </cell>
          <cell r="BY20">
            <v>1203459.4576259602</v>
          </cell>
          <cell r="BZ20">
            <v>1235952.862981861</v>
          </cell>
          <cell r="CA20">
            <v>1269323.590282371</v>
          </cell>
          <cell r="CB20">
            <v>1303595.327219995</v>
          </cell>
          <cell r="CC20">
            <v>1338792.4010549348</v>
          </cell>
          <cell r="CD20">
            <v>1374939.7958834181</v>
          </cell>
          <cell r="CE20">
            <v>1412063.1703722703</v>
          </cell>
          <cell r="CF20">
            <v>1450188.8759723215</v>
          </cell>
          <cell r="CG20">
            <v>1489343.9756235741</v>
          </cell>
          <cell r="CH20">
            <v>1529556.2629654105</v>
          </cell>
          <cell r="CI20">
            <v>1570854.2820654765</v>
          </cell>
        </row>
      </sheetData>
      <sheetData sheetId="2"/>
      <sheetData sheetId="3">
        <row r="639">
          <cell r="B639">
            <v>24037440</v>
          </cell>
          <cell r="C639">
            <v>1790922</v>
          </cell>
        </row>
        <row r="640">
          <cell r="B640">
            <v>24374700</v>
          </cell>
          <cell r="C640">
            <v>1808226</v>
          </cell>
        </row>
        <row r="641">
          <cell r="B641">
            <v>26152980</v>
          </cell>
          <cell r="C641">
            <v>1694532</v>
          </cell>
        </row>
        <row r="642">
          <cell r="B642">
            <v>24987900</v>
          </cell>
          <cell r="C642">
            <v>1729980</v>
          </cell>
        </row>
        <row r="643">
          <cell r="B643">
            <v>25831050</v>
          </cell>
          <cell r="C643">
            <v>1748544</v>
          </cell>
        </row>
        <row r="644">
          <cell r="B644">
            <v>28467810</v>
          </cell>
          <cell r="C644">
            <v>1717548</v>
          </cell>
        </row>
        <row r="645">
          <cell r="B645">
            <v>27180090</v>
          </cell>
          <cell r="C645">
            <v>1721412</v>
          </cell>
        </row>
        <row r="646">
          <cell r="B646">
            <v>28483140</v>
          </cell>
          <cell r="C646">
            <v>1754676</v>
          </cell>
        </row>
        <row r="647">
          <cell r="B647">
            <v>26122320</v>
          </cell>
          <cell r="C647">
            <v>1965054</v>
          </cell>
        </row>
        <row r="648">
          <cell r="B648">
            <v>25677750</v>
          </cell>
          <cell r="C648">
            <v>1776180</v>
          </cell>
        </row>
        <row r="649">
          <cell r="B649">
            <v>26919480</v>
          </cell>
          <cell r="C649">
            <v>1651230</v>
          </cell>
        </row>
        <row r="650">
          <cell r="B650">
            <v>25693080</v>
          </cell>
          <cell r="C650">
            <v>1746570</v>
          </cell>
        </row>
        <row r="651">
          <cell r="B651">
            <v>24849930</v>
          </cell>
          <cell r="C651">
            <v>1728636</v>
          </cell>
        </row>
        <row r="652">
          <cell r="B652">
            <v>24635310</v>
          </cell>
          <cell r="C652">
            <v>1764798</v>
          </cell>
        </row>
        <row r="653">
          <cell r="B653">
            <v>26229630</v>
          </cell>
          <cell r="C653">
            <v>1749132</v>
          </cell>
        </row>
        <row r="654">
          <cell r="B654">
            <v>26919480</v>
          </cell>
          <cell r="C654">
            <v>1716582</v>
          </cell>
        </row>
        <row r="655">
          <cell r="B655">
            <v>27180090</v>
          </cell>
          <cell r="C655">
            <v>1650306</v>
          </cell>
        </row>
        <row r="656">
          <cell r="B656">
            <v>27624660</v>
          </cell>
          <cell r="C656">
            <v>1702974</v>
          </cell>
        </row>
        <row r="657">
          <cell r="B657">
            <v>28314510</v>
          </cell>
          <cell r="C657">
            <v>1807218</v>
          </cell>
        </row>
        <row r="658">
          <cell r="B658">
            <v>28222530</v>
          </cell>
          <cell r="C658">
            <v>1812300</v>
          </cell>
        </row>
        <row r="659">
          <cell r="B659">
            <v>26091660</v>
          </cell>
          <cell r="C659">
            <v>1861902</v>
          </cell>
        </row>
        <row r="660">
          <cell r="B660">
            <v>26474910</v>
          </cell>
          <cell r="C660">
            <v>1670844</v>
          </cell>
        </row>
        <row r="661">
          <cell r="B661">
            <v>26229630</v>
          </cell>
          <cell r="C661">
            <v>1706124</v>
          </cell>
        </row>
        <row r="662">
          <cell r="B662">
            <v>27731970</v>
          </cell>
          <cell r="C662">
            <v>1699614</v>
          </cell>
        </row>
        <row r="663">
          <cell r="B663">
            <v>25647090</v>
          </cell>
          <cell r="C663">
            <v>1832628</v>
          </cell>
        </row>
        <row r="664">
          <cell r="B664">
            <v>24819270</v>
          </cell>
          <cell r="C664">
            <v>1790502</v>
          </cell>
        </row>
        <row r="665">
          <cell r="B665">
            <v>21278040</v>
          </cell>
          <cell r="C665">
            <v>1674666</v>
          </cell>
        </row>
        <row r="666">
          <cell r="B666">
            <v>10393740</v>
          </cell>
          <cell r="C666">
            <v>1679706</v>
          </cell>
        </row>
        <row r="667">
          <cell r="B667">
            <v>9152010</v>
          </cell>
          <cell r="C667">
            <v>1694910</v>
          </cell>
        </row>
        <row r="668">
          <cell r="B668">
            <v>12018720</v>
          </cell>
          <cell r="C668">
            <v>1747662</v>
          </cell>
        </row>
        <row r="669">
          <cell r="B669">
            <v>14839440</v>
          </cell>
          <cell r="C669">
            <v>1721706</v>
          </cell>
        </row>
        <row r="670">
          <cell r="B670">
            <v>15575280</v>
          </cell>
          <cell r="C670">
            <v>1683780</v>
          </cell>
        </row>
        <row r="671">
          <cell r="B671">
            <v>14118930</v>
          </cell>
          <cell r="C671">
            <v>1685670</v>
          </cell>
        </row>
        <row r="672">
          <cell r="B672">
            <v>15421980</v>
          </cell>
          <cell r="C672">
            <v>1580712</v>
          </cell>
        </row>
        <row r="673">
          <cell r="B673">
            <v>17322900</v>
          </cell>
          <cell r="C673">
            <v>1581846</v>
          </cell>
        </row>
        <row r="674">
          <cell r="B674">
            <v>17598840</v>
          </cell>
          <cell r="C674">
            <v>1622334</v>
          </cell>
        </row>
        <row r="675">
          <cell r="B675">
            <v>17338230</v>
          </cell>
          <cell r="C675">
            <v>1788822</v>
          </cell>
        </row>
        <row r="676">
          <cell r="B676">
            <v>16663710</v>
          </cell>
          <cell r="C676">
            <v>1679874</v>
          </cell>
        </row>
        <row r="677">
          <cell r="B677">
            <v>17629500</v>
          </cell>
          <cell r="C677">
            <v>1642998</v>
          </cell>
        </row>
        <row r="678">
          <cell r="B678">
            <v>19806360</v>
          </cell>
          <cell r="C678">
            <v>1702344</v>
          </cell>
        </row>
        <row r="679">
          <cell r="B679">
            <v>19806360</v>
          </cell>
          <cell r="C679">
            <v>1824606</v>
          </cell>
        </row>
        <row r="680">
          <cell r="B680">
            <v>21860580</v>
          </cell>
          <cell r="C680">
            <v>1878660</v>
          </cell>
        </row>
        <row r="681">
          <cell r="B681">
            <v>23010330</v>
          </cell>
          <cell r="C681">
            <v>1840398</v>
          </cell>
        </row>
        <row r="682">
          <cell r="B682">
            <v>23960790</v>
          </cell>
          <cell r="C682">
            <v>1784034</v>
          </cell>
        </row>
        <row r="683">
          <cell r="B683">
            <v>22765050</v>
          </cell>
          <cell r="C683">
            <v>1763496</v>
          </cell>
        </row>
        <row r="684">
          <cell r="B684">
            <v>22489110</v>
          </cell>
          <cell r="C684">
            <v>1694868</v>
          </cell>
        </row>
        <row r="685">
          <cell r="B685">
            <v>23102310</v>
          </cell>
          <cell r="C685">
            <v>1544592</v>
          </cell>
        </row>
        <row r="686">
          <cell r="B686">
            <v>23255610</v>
          </cell>
          <cell r="C686">
            <v>1503516</v>
          </cell>
        </row>
        <row r="687">
          <cell r="B687">
            <v>21737940</v>
          </cell>
          <cell r="C687">
            <v>1620486</v>
          </cell>
        </row>
        <row r="688">
          <cell r="B688">
            <v>21737940</v>
          </cell>
          <cell r="C688">
            <v>1674036</v>
          </cell>
        </row>
        <row r="689">
          <cell r="B689">
            <v>23301600</v>
          </cell>
          <cell r="C689">
            <v>1495494</v>
          </cell>
        </row>
        <row r="690">
          <cell r="B690">
            <v>23715510</v>
          </cell>
          <cell r="C690">
            <v>1583778</v>
          </cell>
        </row>
        <row r="691">
          <cell r="B691">
            <v>24390030</v>
          </cell>
          <cell r="C691">
            <v>1736364</v>
          </cell>
        </row>
        <row r="692">
          <cell r="B692">
            <v>25846380</v>
          </cell>
          <cell r="C692">
            <v>1653792</v>
          </cell>
        </row>
        <row r="693">
          <cell r="B693">
            <v>24573990</v>
          </cell>
          <cell r="C693">
            <v>1731660</v>
          </cell>
        </row>
        <row r="694">
          <cell r="B694">
            <v>25355820</v>
          </cell>
          <cell r="C694">
            <v>1613178</v>
          </cell>
        </row>
        <row r="695">
          <cell r="B695">
            <v>23516220</v>
          </cell>
          <cell r="C695">
            <v>1533840</v>
          </cell>
        </row>
        <row r="696">
          <cell r="B696">
            <v>23884140</v>
          </cell>
          <cell r="C696">
            <v>1531320</v>
          </cell>
        </row>
        <row r="697">
          <cell r="B697">
            <v>24282720</v>
          </cell>
          <cell r="C697">
            <v>1588104</v>
          </cell>
        </row>
        <row r="698">
          <cell r="B698">
            <v>24420690</v>
          </cell>
          <cell r="C698">
            <v>1471638</v>
          </cell>
        </row>
        <row r="699">
          <cell r="B699">
            <v>23424240</v>
          </cell>
          <cell r="C699">
            <v>1506288</v>
          </cell>
        </row>
        <row r="700">
          <cell r="B700">
            <v>23240280</v>
          </cell>
          <cell r="C700">
            <v>1576008</v>
          </cell>
        </row>
        <row r="701">
          <cell r="B701">
            <v>24727290</v>
          </cell>
          <cell r="C701">
            <v>1585458</v>
          </cell>
        </row>
        <row r="702">
          <cell r="B702">
            <v>24619980</v>
          </cell>
          <cell r="C702">
            <v>1729140</v>
          </cell>
        </row>
        <row r="703">
          <cell r="B703">
            <v>25601100</v>
          </cell>
          <cell r="C703">
            <v>1784748</v>
          </cell>
        </row>
        <row r="704">
          <cell r="B704">
            <v>26904150</v>
          </cell>
          <cell r="C704">
            <v>1795290</v>
          </cell>
        </row>
        <row r="705">
          <cell r="B705">
            <v>26873490</v>
          </cell>
          <cell r="C705">
            <v>1792812</v>
          </cell>
        </row>
        <row r="706">
          <cell r="B706">
            <v>26183640</v>
          </cell>
          <cell r="C706">
            <v>1790334</v>
          </cell>
        </row>
        <row r="707">
          <cell r="B707">
            <v>25923030</v>
          </cell>
          <cell r="C707">
            <v>1826076</v>
          </cell>
        </row>
        <row r="708">
          <cell r="B708">
            <v>26015010</v>
          </cell>
          <cell r="C708">
            <v>1660470</v>
          </cell>
        </row>
        <row r="709">
          <cell r="B709">
            <v>24880590</v>
          </cell>
          <cell r="C709">
            <v>1634136</v>
          </cell>
        </row>
        <row r="710">
          <cell r="B710">
            <v>25570440</v>
          </cell>
          <cell r="C710">
            <v>1670004</v>
          </cell>
        </row>
        <row r="711">
          <cell r="B711">
            <v>23546880</v>
          </cell>
          <cell r="C711">
            <v>1745856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4A02-BB9F-4715-BC54-F0955D7BB30D}">
  <dimension ref="A1:AR37"/>
  <sheetViews>
    <sheetView workbookViewId="0">
      <selection activeCell="M17" sqref="M17"/>
    </sheetView>
  </sheetViews>
  <sheetFormatPr defaultRowHeight="12.75"/>
  <cols>
    <col min="1" max="1" width="57" customWidth="1"/>
  </cols>
  <sheetData>
    <row r="1" spans="1:15" ht="13.5" thickBot="1"/>
    <row r="2" spans="1:15" ht="23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8.75" thickBot="1">
      <c r="A3" s="3"/>
      <c r="B3" s="4">
        <v>2023</v>
      </c>
      <c r="C3" s="4">
        <v>2024</v>
      </c>
      <c r="D3" s="4">
        <v>2025</v>
      </c>
      <c r="E3" s="4">
        <v>2026</v>
      </c>
      <c r="F3" s="4">
        <v>2027</v>
      </c>
      <c r="G3" s="4">
        <v>2028</v>
      </c>
      <c r="H3" s="4">
        <v>2029</v>
      </c>
      <c r="I3" s="4">
        <v>2030</v>
      </c>
      <c r="J3" s="4">
        <v>2031</v>
      </c>
      <c r="K3" s="4">
        <v>2032</v>
      </c>
      <c r="L3" s="4">
        <v>2033</v>
      </c>
      <c r="M3" s="4">
        <v>2034</v>
      </c>
      <c r="N3" s="4">
        <v>2035</v>
      </c>
    </row>
    <row r="4" spans="1:15" ht="16.5">
      <c r="A4" s="5" t="s">
        <v>1</v>
      </c>
      <c r="B4" s="6">
        <v>2240.6133830558811</v>
      </c>
      <c r="C4" s="6">
        <v>2104.4268291197482</v>
      </c>
      <c r="D4" s="6">
        <v>2445.2680852058252</v>
      </c>
      <c r="E4" s="6">
        <v>2040.8706123427905</v>
      </c>
      <c r="F4" s="6">
        <v>2018.8092160848541</v>
      </c>
      <c r="G4" s="6">
        <v>1988.0496292944049</v>
      </c>
      <c r="H4" s="6">
        <v>2189.0229706954578</v>
      </c>
      <c r="I4" s="6">
        <v>2247.4956130865194</v>
      </c>
      <c r="J4" s="6">
        <v>2446.4701763912822</v>
      </c>
      <c r="K4" s="6">
        <v>2638.3399843316251</v>
      </c>
      <c r="L4" s="6">
        <v>2432.1378960989696</v>
      </c>
      <c r="M4" s="6">
        <v>2485.8313027617669</v>
      </c>
      <c r="N4" s="6">
        <v>2607.5331376389677</v>
      </c>
      <c r="O4" s="6">
        <v>2607.5331376389677</v>
      </c>
    </row>
    <row r="5" spans="1:15" ht="16.5">
      <c r="A5" s="5" t="s">
        <v>2</v>
      </c>
      <c r="B5" s="6">
        <v>27571.207113333341</v>
      </c>
      <c r="C5" s="6">
        <v>29144.350000000002</v>
      </c>
      <c r="D5" s="6">
        <v>31619.9</v>
      </c>
      <c r="E5" s="6">
        <v>32564.149999999998</v>
      </c>
      <c r="F5" s="6">
        <v>33448.350000000006</v>
      </c>
      <c r="G5" s="6">
        <v>33446.600000000006</v>
      </c>
      <c r="H5" s="6">
        <v>34687.899999999994</v>
      </c>
      <c r="I5" s="6">
        <v>36877.199999999997</v>
      </c>
      <c r="J5" s="6">
        <v>38912.199999999997</v>
      </c>
      <c r="K5" s="6">
        <v>40544.1</v>
      </c>
      <c r="L5" s="6">
        <v>42580</v>
      </c>
      <c r="M5" s="6">
        <v>45051.6</v>
      </c>
      <c r="N5" s="6">
        <v>47986.25</v>
      </c>
      <c r="O5" s="6">
        <v>49356</v>
      </c>
    </row>
    <row r="6" spans="1:15" ht="16.5">
      <c r="A6" s="5" t="s">
        <v>3</v>
      </c>
      <c r="B6" s="6">
        <v>500</v>
      </c>
      <c r="C6" s="6">
        <v>500</v>
      </c>
      <c r="D6" s="6">
        <v>500</v>
      </c>
      <c r="E6" s="6">
        <v>500</v>
      </c>
      <c r="F6" s="6">
        <v>500</v>
      </c>
      <c r="G6" s="6">
        <v>500</v>
      </c>
      <c r="H6" s="6">
        <v>500</v>
      </c>
      <c r="I6" s="6">
        <v>500</v>
      </c>
      <c r="J6" s="6">
        <v>500</v>
      </c>
      <c r="K6" s="6">
        <v>500</v>
      </c>
      <c r="L6" s="6">
        <v>500</v>
      </c>
      <c r="M6" s="6">
        <v>500</v>
      </c>
      <c r="N6" s="6">
        <v>500</v>
      </c>
      <c r="O6" s="6">
        <v>500</v>
      </c>
    </row>
    <row r="7" spans="1:15" ht="16.5">
      <c r="A7" s="7" t="s">
        <v>4</v>
      </c>
      <c r="B7" s="8">
        <v>30311.82049638922</v>
      </c>
      <c r="C7" s="8">
        <v>31748.77682911975</v>
      </c>
      <c r="D7" s="8">
        <v>34565.168085205827</v>
      </c>
      <c r="E7" s="8">
        <v>35105.020612342785</v>
      </c>
      <c r="F7" s="8">
        <v>35967.15921608486</v>
      </c>
      <c r="G7" s="8">
        <v>35934.649629294414</v>
      </c>
      <c r="H7" s="8">
        <v>37376.92297069545</v>
      </c>
      <c r="I7" s="8">
        <v>39624.695613086515</v>
      </c>
      <c r="J7" s="8">
        <v>41858.670176391279</v>
      </c>
      <c r="K7" s="8">
        <v>43682.439984331621</v>
      </c>
      <c r="L7" s="8">
        <v>45512.137896098968</v>
      </c>
      <c r="M7" s="8">
        <v>48037.431302761768</v>
      </c>
      <c r="N7" s="8">
        <v>51093.783137638966</v>
      </c>
    </row>
    <row r="8" spans="1:15" ht="16.5">
      <c r="A8" s="5" t="s">
        <v>5</v>
      </c>
      <c r="B8" s="6">
        <v>26962.393667269462</v>
      </c>
      <c r="C8" s="6">
        <v>28038.508743913924</v>
      </c>
      <c r="D8" s="6">
        <v>31279.29747286304</v>
      </c>
      <c r="E8" s="6">
        <v>31821.211396257939</v>
      </c>
      <c r="F8" s="6">
        <v>32754.109586790448</v>
      </c>
      <c r="G8" s="6">
        <v>32550.626658598951</v>
      </c>
      <c r="H8" s="6">
        <v>34134.427357608933</v>
      </c>
      <c r="I8" s="6">
        <v>36173.225436695233</v>
      </c>
      <c r="J8" s="6">
        <v>38225.330192059657</v>
      </c>
      <c r="K8" s="6">
        <v>40245.30208823266</v>
      </c>
      <c r="L8" s="6">
        <v>42031.306593337205</v>
      </c>
      <c r="M8" s="6">
        <v>44494.898165122802</v>
      </c>
      <c r="N8" s="6">
        <v>47791.769853047095</v>
      </c>
    </row>
    <row r="9" spans="1:15" ht="16.5">
      <c r="A9" s="5" t="s">
        <v>6</v>
      </c>
      <c r="B9" s="6">
        <v>12437.743667269464</v>
      </c>
      <c r="C9" s="6">
        <v>13304.408743913924</v>
      </c>
      <c r="D9" s="6">
        <v>17375.097472863039</v>
      </c>
      <c r="E9" s="6">
        <v>17218.011396257942</v>
      </c>
      <c r="F9" s="6">
        <v>18403.759586790446</v>
      </c>
      <c r="G9" s="6">
        <v>18799.67665859895</v>
      </c>
      <c r="H9" s="6">
        <v>20740.477357608939</v>
      </c>
      <c r="I9" s="6">
        <v>23148.425436695237</v>
      </c>
      <c r="J9" s="6">
        <v>25104.930192059655</v>
      </c>
      <c r="K9" s="6">
        <v>27262.352088232659</v>
      </c>
      <c r="L9" s="6">
        <v>29061.656593337204</v>
      </c>
      <c r="M9" s="6">
        <v>31838.348165122799</v>
      </c>
      <c r="N9" s="6">
        <v>35462.869853047094</v>
      </c>
    </row>
    <row r="10" spans="1:15" ht="16.5">
      <c r="A10" s="5" t="s">
        <v>7</v>
      </c>
      <c r="B10" s="6">
        <v>5293.962822932267</v>
      </c>
      <c r="C10" s="6">
        <v>1817.1353015665522</v>
      </c>
      <c r="D10" s="6">
        <v>2211.291717004266</v>
      </c>
      <c r="E10" s="6">
        <v>1864.8250213971751</v>
      </c>
      <c r="F10" s="6">
        <v>1748.4307061282318</v>
      </c>
      <c r="G10" s="6">
        <v>1601.7344135228486</v>
      </c>
      <c r="H10" s="6">
        <v>1471.6861305815983</v>
      </c>
      <c r="I10" s="6">
        <v>1468.4240639490281</v>
      </c>
      <c r="J10" s="6">
        <v>1424.8780246042381</v>
      </c>
      <c r="K10" s="6">
        <v>1416.0547901287971</v>
      </c>
      <c r="L10" s="6">
        <v>843.27777285837783</v>
      </c>
      <c r="M10" s="6">
        <v>1047.5383542239595</v>
      </c>
      <c r="N10" s="6">
        <v>1648.8507716451018</v>
      </c>
    </row>
    <row r="11" spans="1:15" ht="16.5">
      <c r="A11" s="5" t="s">
        <v>8</v>
      </c>
      <c r="B11" s="6">
        <v>6874.6325256854261</v>
      </c>
      <c r="C11" s="6">
        <v>11201.811079222014</v>
      </c>
      <c r="D11" s="6">
        <v>14842.854030884624</v>
      </c>
      <c r="E11" s="6">
        <v>15041.984806647355</v>
      </c>
      <c r="F11" s="6">
        <v>16338.496462298071</v>
      </c>
      <c r="G11" s="6">
        <v>16874.755106111224</v>
      </c>
      <c r="H11" s="6">
        <v>18930.262955711682</v>
      </c>
      <c r="I11" s="6">
        <v>21328.308600800032</v>
      </c>
      <c r="J11" s="6">
        <v>23322.624194576067</v>
      </c>
      <c r="K11" s="6">
        <v>25479.882730640991</v>
      </c>
      <c r="L11" s="6">
        <v>27842.271616564864</v>
      </c>
      <c r="M11" s="6">
        <v>30404.307806011617</v>
      </c>
      <c r="N11" s="6">
        <v>33418.158233144321</v>
      </c>
    </row>
    <row r="12" spans="1:15" ht="16.5">
      <c r="A12" s="5" t="s">
        <v>9</v>
      </c>
      <c r="B12" s="6">
        <v>269.14831865176996</v>
      </c>
      <c r="C12" s="6">
        <v>285.46236312535768</v>
      </c>
      <c r="D12" s="6">
        <v>320.95172497414683</v>
      </c>
      <c r="E12" s="6">
        <v>311.20156821341021</v>
      </c>
      <c r="F12" s="6">
        <v>316.83241836414163</v>
      </c>
      <c r="G12" s="6">
        <v>323.18713896487765</v>
      </c>
      <c r="H12" s="6">
        <v>338.52827131565965</v>
      </c>
      <c r="I12" s="6">
        <v>351.69277194617808</v>
      </c>
      <c r="J12" s="6">
        <v>357.42797287935002</v>
      </c>
      <c r="K12" s="6">
        <v>366.41456746287014</v>
      </c>
      <c r="L12" s="6">
        <v>376.10720391396273</v>
      </c>
      <c r="M12" s="6">
        <v>386.50200488722436</v>
      </c>
      <c r="N12" s="6">
        <v>395.86084825767495</v>
      </c>
    </row>
    <row r="13" spans="1:15" ht="16.5">
      <c r="A13" s="5" t="s">
        <v>10</v>
      </c>
      <c r="B13" s="6">
        <v>14524.65</v>
      </c>
      <c r="C13" s="6">
        <v>14734.100000000002</v>
      </c>
      <c r="D13" s="6">
        <v>13904.2</v>
      </c>
      <c r="E13" s="6">
        <v>14603.199999999997</v>
      </c>
      <c r="F13" s="6">
        <v>14350.350000000002</v>
      </c>
      <c r="G13" s="6">
        <v>13750.95</v>
      </c>
      <c r="H13" s="6">
        <v>13393.949999999997</v>
      </c>
      <c r="I13" s="6">
        <v>13024.799999999997</v>
      </c>
      <c r="J13" s="6">
        <v>13120.400000000001</v>
      </c>
      <c r="K13" s="6">
        <v>12982.950000000003</v>
      </c>
      <c r="L13" s="6">
        <v>12969.65</v>
      </c>
      <c r="M13" s="6">
        <v>12656.550000000001</v>
      </c>
      <c r="N13" s="6">
        <v>12328.900000000001</v>
      </c>
    </row>
    <row r="14" spans="1:15" ht="16.5">
      <c r="A14" s="5" t="s">
        <v>11</v>
      </c>
      <c r="B14" s="6">
        <v>1245</v>
      </c>
      <c r="C14" s="6">
        <v>1265</v>
      </c>
      <c r="D14" s="6">
        <v>1245</v>
      </c>
      <c r="E14" s="6">
        <v>1265</v>
      </c>
      <c r="F14" s="6">
        <v>1225</v>
      </c>
      <c r="G14" s="6">
        <v>1195</v>
      </c>
      <c r="H14" s="6">
        <v>995</v>
      </c>
      <c r="I14" s="6">
        <v>1005</v>
      </c>
      <c r="J14" s="6">
        <v>995</v>
      </c>
      <c r="K14" s="6">
        <v>1005</v>
      </c>
      <c r="L14" s="6">
        <v>995</v>
      </c>
      <c r="M14" s="6">
        <v>935</v>
      </c>
      <c r="N14" s="6">
        <v>750</v>
      </c>
    </row>
    <row r="15" spans="1:15" ht="16.5">
      <c r="A15" s="7" t="s">
        <v>12</v>
      </c>
      <c r="B15" s="8">
        <v>28207.393667269462</v>
      </c>
      <c r="C15" s="8">
        <v>29303.508743913924</v>
      </c>
      <c r="D15" s="8">
        <v>32524.29747286304</v>
      </c>
      <c r="E15" s="8">
        <v>33086.211396257939</v>
      </c>
      <c r="F15" s="8">
        <v>33979.109586790451</v>
      </c>
      <c r="G15" s="8">
        <v>33745.626658598951</v>
      </c>
      <c r="H15" s="8">
        <v>35129.427357608933</v>
      </c>
      <c r="I15" s="8">
        <v>37178.225436695233</v>
      </c>
      <c r="J15" s="8">
        <v>39220.330192059657</v>
      </c>
      <c r="K15" s="8">
        <v>41250.30208823266</v>
      </c>
      <c r="L15" s="8">
        <v>43026.306593337205</v>
      </c>
      <c r="M15" s="8">
        <v>45429.898165122802</v>
      </c>
      <c r="N15" s="8">
        <v>48541.769853047095</v>
      </c>
    </row>
    <row r="16" spans="1:15" ht="17.25" thickBot="1">
      <c r="A16" s="5" t="s">
        <v>13</v>
      </c>
      <c r="B16" s="6">
        <v>2104.4268291197482</v>
      </c>
      <c r="C16" s="6">
        <v>2445.2680852058252</v>
      </c>
      <c r="D16" s="6">
        <v>2040.8706123427905</v>
      </c>
      <c r="E16" s="6">
        <v>2018.8092160848541</v>
      </c>
      <c r="F16" s="6">
        <v>1988.0496292944049</v>
      </c>
      <c r="G16" s="6">
        <v>2189.0229706954578</v>
      </c>
      <c r="H16" s="6">
        <v>2247.4956130865194</v>
      </c>
      <c r="I16" s="6">
        <v>2446.4701763912822</v>
      </c>
      <c r="J16" s="6">
        <v>2638.3399843316251</v>
      </c>
      <c r="K16" s="6">
        <v>2432.1378960989696</v>
      </c>
      <c r="L16" s="6">
        <v>2485.8313027617669</v>
      </c>
      <c r="M16" s="6">
        <v>2607.5331376389677</v>
      </c>
      <c r="N16" s="6">
        <v>2552.013284591867</v>
      </c>
    </row>
    <row r="17" spans="1:15" ht="16.5">
      <c r="A17" s="9" t="s">
        <v>14</v>
      </c>
      <c r="B17" s="10">
        <v>82.9</v>
      </c>
      <c r="C17" s="10">
        <v>73.8</v>
      </c>
      <c r="D17" s="10">
        <v>69.400000000000006</v>
      </c>
      <c r="E17" s="10">
        <v>112.80000000000001</v>
      </c>
      <c r="F17" s="10">
        <v>113.10000000000001</v>
      </c>
      <c r="G17" s="10">
        <v>79.400000000000006</v>
      </c>
      <c r="H17" s="10">
        <v>79.5</v>
      </c>
      <c r="I17" s="10">
        <v>91.7</v>
      </c>
      <c r="J17" s="10">
        <v>98.2</v>
      </c>
      <c r="K17" s="10">
        <v>99.2</v>
      </c>
      <c r="L17" s="10">
        <v>92.7</v>
      </c>
      <c r="M17" s="10">
        <v>92</v>
      </c>
      <c r="N17" s="10">
        <v>114.4</v>
      </c>
    </row>
    <row r="18" spans="1:15" ht="16.5">
      <c r="A18" s="5" t="s">
        <v>15</v>
      </c>
      <c r="B18" s="11">
        <v>86.47</v>
      </c>
      <c r="C18" s="11">
        <v>77.319999999999993</v>
      </c>
      <c r="D18" s="11">
        <v>73.010000000000005</v>
      </c>
      <c r="E18" s="11">
        <v>116.50000000000001</v>
      </c>
      <c r="F18" s="11">
        <v>116.83000000000001</v>
      </c>
      <c r="G18" s="11">
        <v>83.210000000000008</v>
      </c>
      <c r="H18" s="11">
        <v>83.38</v>
      </c>
      <c r="I18" s="11">
        <v>95.63000000000001</v>
      </c>
      <c r="J18" s="11">
        <v>102.22</v>
      </c>
      <c r="K18" s="11">
        <v>103.26</v>
      </c>
      <c r="L18" s="11">
        <v>96.83</v>
      </c>
      <c r="M18" s="11">
        <v>96.18</v>
      </c>
      <c r="N18" s="11">
        <v>118.62</v>
      </c>
      <c r="O18" s="12"/>
    </row>
    <row r="19" spans="1:1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2"/>
    </row>
    <row r="20" spans="1:15" ht="13.5" thickBo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/>
    </row>
    <row r="21" spans="1:15" ht="15">
      <c r="A21" s="14" t="s">
        <v>16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8.75" thickBot="1">
      <c r="A22" s="15"/>
      <c r="B22" s="4" t="s">
        <v>17</v>
      </c>
      <c r="C22" s="4" t="s">
        <v>18</v>
      </c>
      <c r="D22" s="4" t="s">
        <v>19</v>
      </c>
      <c r="E22" s="4" t="s">
        <v>20</v>
      </c>
      <c r="F22" s="4" t="s">
        <v>21</v>
      </c>
      <c r="G22" s="4" t="s">
        <v>22</v>
      </c>
      <c r="H22" s="4" t="s">
        <v>23</v>
      </c>
      <c r="I22" s="4" t="s">
        <v>24</v>
      </c>
      <c r="J22" s="4" t="s">
        <v>25</v>
      </c>
      <c r="K22" s="4" t="s">
        <v>26</v>
      </c>
      <c r="L22" s="4" t="s">
        <v>27</v>
      </c>
      <c r="M22" s="4" t="s">
        <v>28</v>
      </c>
      <c r="N22" s="4" t="s">
        <v>29</v>
      </c>
      <c r="O22" s="4" t="s">
        <v>30</v>
      </c>
    </row>
    <row r="23" spans="1:15" ht="16.5">
      <c r="A23" s="16" t="s">
        <v>31</v>
      </c>
      <c r="B23" s="6">
        <v>2368.344748</v>
      </c>
      <c r="C23" s="6">
        <v>2414.2441485983582</v>
      </c>
      <c r="D23" s="6">
        <v>2383.1082143822887</v>
      </c>
      <c r="E23" s="6">
        <v>2114.5434089303867</v>
      </c>
      <c r="F23" s="6">
        <v>2135.5229518768133</v>
      </c>
      <c r="G23" s="6">
        <v>2485.1920923104649</v>
      </c>
      <c r="H23" s="6">
        <v>2551.0529514740369</v>
      </c>
      <c r="I23" s="6">
        <v>2541.8705163253476</v>
      </c>
      <c r="J23" s="6">
        <v>2684.5704909776337</v>
      </c>
      <c r="K23" s="6">
        <v>2931.3634296950358</v>
      </c>
      <c r="L23" s="6">
        <v>2714.3748238718463</v>
      </c>
      <c r="M23" s="6">
        <v>2954.4814199927168</v>
      </c>
      <c r="N23" s="6">
        <v>3005.2532328556326</v>
      </c>
      <c r="O23" s="6">
        <v>2671.4297153677203</v>
      </c>
    </row>
    <row r="24" spans="1:15" ht="16.5">
      <c r="A24" s="16" t="s">
        <v>2</v>
      </c>
      <c r="B24" s="6">
        <v>30481.100748491746</v>
      </c>
      <c r="C24" s="6">
        <v>31760.48104986105</v>
      </c>
      <c r="D24" s="6">
        <v>34936.662023614546</v>
      </c>
      <c r="E24" s="6">
        <v>35784.965453284982</v>
      </c>
      <c r="F24" s="6">
        <v>36967.478117416365</v>
      </c>
      <c r="G24" s="6">
        <v>37028.18722901123</v>
      </c>
      <c r="H24" s="6">
        <v>37574.645494903445</v>
      </c>
      <c r="I24" s="6">
        <v>40149.528503326495</v>
      </c>
      <c r="J24" s="6">
        <v>42028.120942864269</v>
      </c>
      <c r="K24" s="6">
        <v>43764.085740997907</v>
      </c>
      <c r="L24" s="6">
        <v>45914.130758957501</v>
      </c>
      <c r="M24" s="6">
        <v>47851.372114159836</v>
      </c>
      <c r="N24" s="6">
        <v>51266.414048006409</v>
      </c>
      <c r="O24" s="6">
        <v>53452.954575453026</v>
      </c>
    </row>
    <row r="25" spans="1:15" ht="16.5">
      <c r="A25" s="16" t="s">
        <v>3</v>
      </c>
      <c r="B25" s="6">
        <v>55.046550854430933</v>
      </c>
      <c r="C25" s="6">
        <v>86.126300570990111</v>
      </c>
      <c r="D25" s="6">
        <v>120.59862515350093</v>
      </c>
      <c r="E25" s="6">
        <v>154.98379259902632</v>
      </c>
      <c r="F25" s="6">
        <v>159.36912885756757</v>
      </c>
      <c r="G25" s="6">
        <v>160.04284292615523</v>
      </c>
      <c r="H25" s="6">
        <v>178.6809484160824</v>
      </c>
      <c r="I25" s="6">
        <v>188.24668998879949</v>
      </c>
      <c r="J25" s="6">
        <v>202.77180644011494</v>
      </c>
      <c r="K25" s="6">
        <v>213.51546454958944</v>
      </c>
      <c r="L25" s="6">
        <v>220.09536897000007</v>
      </c>
      <c r="M25" s="6">
        <v>235.05249523008183</v>
      </c>
      <c r="N25" s="6">
        <v>251.71246106806399</v>
      </c>
      <c r="O25" s="6">
        <v>259.48348817512033</v>
      </c>
    </row>
    <row r="26" spans="1:15" ht="16.5">
      <c r="A26" s="16" t="s">
        <v>4</v>
      </c>
      <c r="B26" s="6">
        <v>32904.492047346175</v>
      </c>
      <c r="C26" s="6">
        <v>34260.851499030396</v>
      </c>
      <c r="D26" s="6">
        <v>37440.368863150332</v>
      </c>
      <c r="E26" s="6">
        <v>38054.492654814399</v>
      </c>
      <c r="F26" s="6">
        <v>39262.37019815074</v>
      </c>
      <c r="G26" s="6">
        <v>39673.422164247844</v>
      </c>
      <c r="H26" s="6">
        <v>40304.379394793563</v>
      </c>
      <c r="I26" s="6">
        <v>42879.645709640645</v>
      </c>
      <c r="J26" s="6">
        <v>44915.463240282013</v>
      </c>
      <c r="K26" s="6">
        <v>46908.964635242526</v>
      </c>
      <c r="L26" s="6">
        <v>48848.600951799352</v>
      </c>
      <c r="M26" s="6">
        <v>51040.906029382641</v>
      </c>
      <c r="N26" s="6">
        <v>54523.379741930105</v>
      </c>
      <c r="O26" s="6">
        <v>56383.867778995867</v>
      </c>
    </row>
    <row r="27" spans="1:15" ht="16.5">
      <c r="A27" s="17" t="s">
        <v>32</v>
      </c>
      <c r="B27" s="6">
        <v>29407.559785729514</v>
      </c>
      <c r="C27" s="6">
        <v>30791.768228697369</v>
      </c>
      <c r="D27" s="6">
        <v>34235.156753196345</v>
      </c>
      <c r="E27" s="6">
        <v>34846.020265194966</v>
      </c>
      <c r="F27" s="6">
        <v>35708.304219736361</v>
      </c>
      <c r="G27" s="6">
        <v>36041.194750632807</v>
      </c>
      <c r="H27" s="6">
        <v>36893.090842867066</v>
      </c>
      <c r="I27" s="6">
        <v>39326.047995303248</v>
      </c>
      <c r="J27" s="6">
        <v>41116.924045574429</v>
      </c>
      <c r="K27" s="6">
        <v>43327.15161847353</v>
      </c>
      <c r="L27" s="6">
        <v>45023.403982367592</v>
      </c>
      <c r="M27" s="6">
        <v>47166.191947347957</v>
      </c>
      <c r="N27" s="6">
        <v>51191.671962059256</v>
      </c>
      <c r="O27" s="6">
        <v>52951.51740932322</v>
      </c>
    </row>
    <row r="28" spans="1:15" ht="16.5">
      <c r="A28" s="16" t="s">
        <v>33</v>
      </c>
      <c r="B28" s="6">
        <v>11800.516175947243</v>
      </c>
      <c r="C28" s="6">
        <v>12910.021064898352</v>
      </c>
      <c r="D28" s="6">
        <v>16323.486012287098</v>
      </c>
      <c r="E28" s="6">
        <v>17120.610191441945</v>
      </c>
      <c r="F28" s="6">
        <v>18453.349174175237</v>
      </c>
      <c r="G28" s="6">
        <v>18796.111846730157</v>
      </c>
      <c r="H28" s="6">
        <v>20152.074271382393</v>
      </c>
      <c r="I28" s="6">
        <v>22774.119794500646</v>
      </c>
      <c r="J28" s="6">
        <v>24786.821431085184</v>
      </c>
      <c r="K28" s="6">
        <v>26967.316246239709</v>
      </c>
      <c r="L28" s="6">
        <v>28857.789695952775</v>
      </c>
      <c r="M28" s="6">
        <v>30970.136993132124</v>
      </c>
      <c r="N28" s="6">
        <v>35251.759849535272</v>
      </c>
      <c r="O28" s="6">
        <v>36946.178330310686</v>
      </c>
    </row>
    <row r="29" spans="1:15" ht="16.5">
      <c r="A29" s="16" t="s">
        <v>34</v>
      </c>
      <c r="B29" s="6">
        <v>17607.043609782271</v>
      </c>
      <c r="C29" s="6">
        <v>17881.747163799017</v>
      </c>
      <c r="D29" s="6">
        <v>17911.670740909249</v>
      </c>
      <c r="E29" s="6">
        <v>17725.410073753021</v>
      </c>
      <c r="F29" s="6">
        <v>17254.955045561124</v>
      </c>
      <c r="G29" s="6">
        <v>17245.08290390265</v>
      </c>
      <c r="H29" s="6">
        <v>16741.016571484673</v>
      </c>
      <c r="I29" s="6">
        <v>16551.928200802602</v>
      </c>
      <c r="J29" s="6">
        <v>16330.102614489246</v>
      </c>
      <c r="K29" s="6">
        <v>16359.835372233822</v>
      </c>
      <c r="L29" s="6">
        <v>16165.614286414817</v>
      </c>
      <c r="M29" s="6">
        <v>16196.054954215833</v>
      </c>
      <c r="N29" s="6">
        <v>15939.912112523984</v>
      </c>
      <c r="O29" s="6">
        <v>16005.339079012534</v>
      </c>
    </row>
    <row r="30" spans="1:15" ht="16.5">
      <c r="A30" s="16" t="s">
        <v>35</v>
      </c>
      <c r="B30" s="6">
        <v>17150.234711675748</v>
      </c>
      <c r="C30" s="6">
        <v>17503.522179293781</v>
      </c>
      <c r="D30" s="6">
        <v>17602.626160465003</v>
      </c>
      <c r="E30" s="6">
        <v>17458.448510965765</v>
      </c>
      <c r="F30" s="6">
        <v>17058.57830346562</v>
      </c>
      <c r="G30" s="6">
        <v>17131.869259368097</v>
      </c>
      <c r="H30" s="6">
        <v>16721.299194623713</v>
      </c>
      <c r="I30" s="6">
        <v>16554.227733286545</v>
      </c>
      <c r="J30" s="6">
        <v>16384.008281579754</v>
      </c>
      <c r="K30" s="6">
        <v>16454.005849916673</v>
      </c>
      <c r="L30" s="6">
        <v>16284.939367498042</v>
      </c>
      <c r="M30" s="6">
        <v>16354.251786399727</v>
      </c>
      <c r="N30" s="6">
        <v>16185.357510012462</v>
      </c>
      <c r="O30" s="6">
        <v>16210.864656247384</v>
      </c>
    </row>
    <row r="31" spans="1:15" ht="16.5">
      <c r="A31" s="16" t="s">
        <v>36</v>
      </c>
      <c r="B31" s="6">
        <v>764.3693278216823</v>
      </c>
      <c r="C31" s="6">
        <v>762.17196754689803</v>
      </c>
      <c r="D31" s="6">
        <v>758.20677377014522</v>
      </c>
      <c r="E31" s="6">
        <v>746.03891828624296</v>
      </c>
      <c r="F31" s="6">
        <v>728.93641818861875</v>
      </c>
      <c r="G31" s="6">
        <v>717.47349997568324</v>
      </c>
      <c r="H31" s="6">
        <v>694.13294065333389</v>
      </c>
      <c r="I31" s="6">
        <v>685.55344807989843</v>
      </c>
      <c r="J31" s="6">
        <v>670.5438726467529</v>
      </c>
      <c r="K31" s="6">
        <v>655.1714198772313</v>
      </c>
      <c r="L31" s="6">
        <v>659.58372781007063</v>
      </c>
      <c r="M31" s="6">
        <v>658.21403155784992</v>
      </c>
      <c r="N31" s="6">
        <v>640.33003270540985</v>
      </c>
      <c r="O31" s="6">
        <v>701.78335274517599</v>
      </c>
    </row>
    <row r="32" spans="1:15" ht="16.5">
      <c r="A32" s="16" t="s">
        <v>37</v>
      </c>
      <c r="B32" s="6">
        <v>-307.56042971515933</v>
      </c>
      <c r="C32" s="6">
        <v>-383.94698304166241</v>
      </c>
      <c r="D32" s="6">
        <v>-449.16219332589912</v>
      </c>
      <c r="E32" s="6">
        <v>-479.07735549898757</v>
      </c>
      <c r="F32" s="6">
        <v>-532.55967609311415</v>
      </c>
      <c r="G32" s="6">
        <v>-604.25985544113007</v>
      </c>
      <c r="H32" s="6">
        <v>-674.41556379237295</v>
      </c>
      <c r="I32" s="6">
        <v>-687.85298056384147</v>
      </c>
      <c r="J32" s="6">
        <v>-724.44953973726126</v>
      </c>
      <c r="K32" s="6">
        <v>-749.34189756008323</v>
      </c>
      <c r="L32" s="6">
        <v>-778.90880889329571</v>
      </c>
      <c r="M32" s="6">
        <v>-816.41086374174392</v>
      </c>
      <c r="N32" s="6">
        <v>-885.77543019388804</v>
      </c>
      <c r="O32" s="6">
        <v>-907.30892998002605</v>
      </c>
    </row>
    <row r="33" spans="1:44" ht="16.5">
      <c r="A33" s="16" t="s">
        <v>11</v>
      </c>
      <c r="B33" s="6">
        <v>1082.6881130183044</v>
      </c>
      <c r="C33" s="6">
        <v>1085.9750559507372</v>
      </c>
      <c r="D33" s="6">
        <v>1090.668701023598</v>
      </c>
      <c r="E33" s="6">
        <v>1072.9494377426236</v>
      </c>
      <c r="F33" s="6">
        <v>1068.873886103916</v>
      </c>
      <c r="G33" s="6">
        <v>1081.174462141001</v>
      </c>
      <c r="H33" s="6">
        <v>869.41803560115113</v>
      </c>
      <c r="I33" s="6">
        <v>869.02722335976614</v>
      </c>
      <c r="J33" s="6">
        <v>867.17576501254757</v>
      </c>
      <c r="K33" s="6">
        <v>867.43819289714543</v>
      </c>
      <c r="L33" s="6">
        <v>870.7155494390413</v>
      </c>
      <c r="M33" s="6">
        <v>869.46084917904682</v>
      </c>
      <c r="N33" s="6">
        <v>660.27806450313335</v>
      </c>
      <c r="O33" s="6">
        <v>659.78568510034449</v>
      </c>
    </row>
    <row r="34" spans="1:44" ht="16.5">
      <c r="A34" s="16" t="s">
        <v>12</v>
      </c>
      <c r="B34" s="6">
        <v>30490.247898747817</v>
      </c>
      <c r="C34" s="6">
        <v>31877.743284648106</v>
      </c>
      <c r="D34" s="6">
        <v>35325.825454219943</v>
      </c>
      <c r="E34" s="6">
        <v>35918.969702937589</v>
      </c>
      <c r="F34" s="6">
        <v>36777.178105840278</v>
      </c>
      <c r="G34" s="6">
        <v>37122.36921277381</v>
      </c>
      <c r="H34" s="6">
        <v>37762.508878468216</v>
      </c>
      <c r="I34" s="6">
        <v>40195.075218663012</v>
      </c>
      <c r="J34" s="6">
        <v>41984.09981058698</v>
      </c>
      <c r="K34" s="6">
        <v>44194.589811370679</v>
      </c>
      <c r="L34" s="6">
        <v>45894.119531806631</v>
      </c>
      <c r="M34" s="6">
        <v>48035.652796527007</v>
      </c>
      <c r="N34" s="6">
        <v>51851.950026562386</v>
      </c>
      <c r="O34" s="6">
        <v>53611.303094423565</v>
      </c>
    </row>
    <row r="35" spans="1:44" ht="17.25" thickBot="1">
      <c r="A35" s="17" t="s">
        <v>38</v>
      </c>
      <c r="B35" s="6">
        <v>2414.2441485983582</v>
      </c>
      <c r="C35" s="6">
        <v>2383.1082143822887</v>
      </c>
      <c r="D35" s="6">
        <v>2114.5434089303867</v>
      </c>
      <c r="E35" s="6">
        <v>2135.5229518768133</v>
      </c>
      <c r="F35" s="6">
        <v>2485.1920923104649</v>
      </c>
      <c r="G35" s="6">
        <v>2551.0529514740369</v>
      </c>
      <c r="H35" s="6">
        <v>2541.8705163253476</v>
      </c>
      <c r="I35" s="6">
        <v>2684.5704909776337</v>
      </c>
      <c r="J35" s="6">
        <v>2931.3634296950358</v>
      </c>
      <c r="K35" s="6">
        <v>2714.3748238718463</v>
      </c>
      <c r="L35" s="6">
        <v>2954.4814199927168</v>
      </c>
      <c r="M35" s="6">
        <v>3005.2532328556326</v>
      </c>
      <c r="N35" s="6">
        <v>2671.4297153677203</v>
      </c>
      <c r="O35" s="6">
        <v>2772.5646845722995</v>
      </c>
    </row>
    <row r="36" spans="1:44">
      <c r="A36" s="18" t="s">
        <v>39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44"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0866-8F92-448F-9C9F-92B3E0792CA8}">
  <dimension ref="A1:O38"/>
  <sheetViews>
    <sheetView topLeftCell="A16" workbookViewId="0">
      <selection activeCell="M17" sqref="M17"/>
    </sheetView>
  </sheetViews>
  <sheetFormatPr defaultRowHeight="12.75"/>
  <cols>
    <col min="1" max="1" width="55.33203125" customWidth="1"/>
  </cols>
  <sheetData>
    <row r="1" spans="1:15" ht="13.5" thickBot="1"/>
    <row r="2" spans="1:15" ht="23.25">
      <c r="A2" s="1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8.75" thickBot="1">
      <c r="A3" s="3"/>
      <c r="B3" s="4">
        <v>2023</v>
      </c>
      <c r="C3" s="4">
        <v>2024</v>
      </c>
      <c r="D3" s="4">
        <v>2025</v>
      </c>
      <c r="E3" s="4">
        <v>2026</v>
      </c>
      <c r="F3" s="4">
        <v>2027</v>
      </c>
      <c r="G3" s="4">
        <v>2028</v>
      </c>
      <c r="H3" s="4">
        <v>2029</v>
      </c>
      <c r="I3" s="4">
        <v>2030</v>
      </c>
      <c r="J3" s="4">
        <v>2031</v>
      </c>
      <c r="K3" s="4">
        <v>2032</v>
      </c>
      <c r="L3" s="4">
        <v>2033</v>
      </c>
      <c r="M3" s="4">
        <v>2034</v>
      </c>
      <c r="N3" s="4">
        <v>2035</v>
      </c>
    </row>
    <row r="4" spans="1:15" ht="16.5">
      <c r="A4" s="5" t="s">
        <v>1</v>
      </c>
      <c r="B4" s="6">
        <v>158.21929443812741</v>
      </c>
      <c r="C4" s="6">
        <v>145.13983080156436</v>
      </c>
      <c r="D4" s="6">
        <v>134.11853118904889</v>
      </c>
      <c r="E4" s="6">
        <v>163.81918728504377</v>
      </c>
      <c r="F4" s="6">
        <v>165.02617704542661</v>
      </c>
      <c r="G4" s="6">
        <v>172.40236796509839</v>
      </c>
      <c r="H4" s="6">
        <v>177.69181124801344</v>
      </c>
      <c r="I4" s="6">
        <v>156.93608126791798</v>
      </c>
      <c r="J4" s="6">
        <v>159.48565150076558</v>
      </c>
      <c r="K4" s="6">
        <v>189.43838952816168</v>
      </c>
      <c r="L4" s="6">
        <v>188.74219112395303</v>
      </c>
      <c r="M4" s="6">
        <v>199.15984476310291</v>
      </c>
      <c r="N4" s="6">
        <v>203.19073673682749</v>
      </c>
    </row>
    <row r="5" spans="1:15" ht="16.5">
      <c r="A5" s="5" t="s">
        <v>2</v>
      </c>
      <c r="B5" s="6">
        <v>1907.7243132400356</v>
      </c>
      <c r="C5" s="6">
        <v>1960.2570650690911</v>
      </c>
      <c r="D5" s="6">
        <v>2076.080021647987</v>
      </c>
      <c r="E5" s="6">
        <v>2123.1145037557253</v>
      </c>
      <c r="F5" s="6">
        <v>2121.1320408600313</v>
      </c>
      <c r="G5" s="6">
        <v>2180.4341430540253</v>
      </c>
      <c r="H5" s="6">
        <v>2251.124076015597</v>
      </c>
      <c r="I5" s="6">
        <v>2330.0057720069462</v>
      </c>
      <c r="J5" s="6">
        <v>2359.1182221331755</v>
      </c>
      <c r="K5" s="6">
        <v>2359.6747939607435</v>
      </c>
      <c r="L5" s="6">
        <v>2359.419643110607</v>
      </c>
      <c r="M5" s="6">
        <v>2350.2896091371854</v>
      </c>
      <c r="N5" s="6">
        <v>2346.6662558078865</v>
      </c>
      <c r="O5" s="6">
        <v>2350</v>
      </c>
    </row>
    <row r="6" spans="1:15" ht="16.5">
      <c r="A6" s="5" t="s">
        <v>3</v>
      </c>
      <c r="B6" s="6">
        <v>4373.1408718738712</v>
      </c>
      <c r="C6" s="6">
        <v>4117.8942901705959</v>
      </c>
      <c r="D6" s="6">
        <v>3970.3621003980288</v>
      </c>
      <c r="E6" s="6">
        <v>4012.94221314373</v>
      </c>
      <c r="F6" s="6">
        <v>4251.328748154926</v>
      </c>
      <c r="G6" s="6">
        <v>4416.6708368182326</v>
      </c>
      <c r="H6" s="6">
        <v>4550.8112245134525</v>
      </c>
      <c r="I6" s="6">
        <v>4653.1852521294204</v>
      </c>
      <c r="J6" s="6">
        <v>4789.4060797175898</v>
      </c>
      <c r="K6" s="6">
        <v>4935.6768350702941</v>
      </c>
      <c r="L6" s="6">
        <v>5100.9264360501802</v>
      </c>
      <c r="M6" s="6">
        <v>5271.5282239949329</v>
      </c>
      <c r="N6" s="6">
        <v>5411.642845351811</v>
      </c>
      <c r="O6" s="6">
        <v>5637</v>
      </c>
    </row>
    <row r="7" spans="1:15" ht="16.5">
      <c r="A7" s="7" t="s">
        <v>4</v>
      </c>
      <c r="B7" s="8">
        <v>6439.0844795520343</v>
      </c>
      <c r="C7" s="8">
        <v>6223.2911860412514</v>
      </c>
      <c r="D7" s="8">
        <v>6180.5606532350648</v>
      </c>
      <c r="E7" s="8">
        <v>6299.8759041844987</v>
      </c>
      <c r="F7" s="8">
        <v>6537.4869660603836</v>
      </c>
      <c r="G7" s="8">
        <v>6769.5073478373561</v>
      </c>
      <c r="H7" s="8">
        <v>6979.627111777063</v>
      </c>
      <c r="I7" s="8">
        <v>7140.1271054042845</v>
      </c>
      <c r="J7" s="8">
        <v>7308.0099533515313</v>
      </c>
      <c r="K7" s="8">
        <v>7484.7900185591989</v>
      </c>
      <c r="L7" s="8">
        <v>7649.0882702847402</v>
      </c>
      <c r="M7" s="8">
        <v>7820.9776778952209</v>
      </c>
      <c r="N7" s="8">
        <v>7961.4998378965247</v>
      </c>
    </row>
    <row r="8" spans="1:15" ht="16.5">
      <c r="A8" s="5" t="s">
        <v>5</v>
      </c>
      <c r="B8" s="6">
        <v>6013.8577886119165</v>
      </c>
      <c r="C8" s="6">
        <v>5826.953426820116</v>
      </c>
      <c r="D8" s="6">
        <v>5866.156778139688</v>
      </c>
      <c r="E8" s="6">
        <v>5997.667919586158</v>
      </c>
      <c r="F8" s="6">
        <v>6263.9560305451641</v>
      </c>
      <c r="G8" s="6">
        <v>6493.8402617725133</v>
      </c>
      <c r="H8" s="6">
        <v>6722.4335231483874</v>
      </c>
      <c r="I8" s="6">
        <v>6880.3056604320172</v>
      </c>
      <c r="J8" s="6">
        <v>7018.475738260935</v>
      </c>
      <c r="K8" s="6">
        <v>7195.9826156280933</v>
      </c>
      <c r="L8" s="6">
        <v>7349.9698317693092</v>
      </c>
      <c r="M8" s="6">
        <v>7518.041018554658</v>
      </c>
      <c r="N8" s="6">
        <v>7691.4910397193962</v>
      </c>
    </row>
    <row r="9" spans="1:15" ht="16.5">
      <c r="A9" s="5" t="s">
        <v>6</v>
      </c>
      <c r="B9" s="6">
        <v>1487.6258172921082</v>
      </c>
      <c r="C9" s="6">
        <v>821.00654636340255</v>
      </c>
      <c r="D9" s="6">
        <v>901.52239585497023</v>
      </c>
      <c r="E9" s="6">
        <v>859.28938234520751</v>
      </c>
      <c r="F9" s="6">
        <v>971.19663169153398</v>
      </c>
      <c r="G9" s="6">
        <v>1009.6829424293089</v>
      </c>
      <c r="H9" s="6">
        <v>1079.787263647069</v>
      </c>
      <c r="I9" s="6">
        <v>1079.1953086118949</v>
      </c>
      <c r="J9" s="6">
        <v>1094.3876984356598</v>
      </c>
      <c r="K9" s="6">
        <v>1103.6192541521832</v>
      </c>
      <c r="L9" s="6">
        <v>1115.9587341791398</v>
      </c>
      <c r="M9" s="6">
        <v>1129.0681850368937</v>
      </c>
      <c r="N9" s="6">
        <v>1140.9206289448152</v>
      </c>
    </row>
    <row r="10" spans="1:15" ht="16.5">
      <c r="A10" s="5" t="s">
        <v>7</v>
      </c>
      <c r="B10" s="6">
        <v>1333.5869660233111</v>
      </c>
      <c r="C10" s="6">
        <v>595.02849564201972</v>
      </c>
      <c r="D10" s="6">
        <v>485.6290773244603</v>
      </c>
      <c r="E10" s="6">
        <v>414.78649941297402</v>
      </c>
      <c r="F10" s="6">
        <v>338.11894797460127</v>
      </c>
      <c r="G10" s="6">
        <v>307.55472637302495</v>
      </c>
      <c r="H10" s="6">
        <v>270.06189765781005</v>
      </c>
      <c r="I10" s="6">
        <v>232.44338856147618</v>
      </c>
      <c r="J10" s="6">
        <v>215.03510021403451</v>
      </c>
      <c r="K10" s="6">
        <v>197.42702087160126</v>
      </c>
      <c r="L10" s="6">
        <v>183.08570576138459</v>
      </c>
      <c r="M10" s="6">
        <v>167.63449682061469</v>
      </c>
      <c r="N10" s="6">
        <v>155.00472728493469</v>
      </c>
    </row>
    <row r="11" spans="1:15" ht="16.5">
      <c r="A11" s="5" t="s">
        <v>8</v>
      </c>
      <c r="B11" s="6">
        <v>154.03885126879703</v>
      </c>
      <c r="C11" s="6">
        <v>225.9780507213828</v>
      </c>
      <c r="D11" s="6">
        <v>415.89331853050999</v>
      </c>
      <c r="E11" s="6">
        <v>444.50288293223343</v>
      </c>
      <c r="F11" s="6">
        <v>633.07768371693271</v>
      </c>
      <c r="G11" s="6">
        <v>702.12821605628403</v>
      </c>
      <c r="H11" s="6">
        <v>809.72536598925899</v>
      </c>
      <c r="I11" s="6">
        <v>846.75192005041879</v>
      </c>
      <c r="J11" s="6">
        <v>879.35259822162516</v>
      </c>
      <c r="K11" s="6">
        <v>906.19223328058206</v>
      </c>
      <c r="L11" s="6">
        <v>932.87302841775534</v>
      </c>
      <c r="M11" s="6">
        <v>961.43368821627917</v>
      </c>
      <c r="N11" s="6">
        <v>985.91590165988055</v>
      </c>
    </row>
    <row r="12" spans="1:15" ht="16.5">
      <c r="A12" s="5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5" ht="16.5">
      <c r="A13" s="5" t="s">
        <v>10</v>
      </c>
      <c r="B13" s="6">
        <v>4526.2319713198085</v>
      </c>
      <c r="C13" s="6">
        <v>5005.9468804567132</v>
      </c>
      <c r="D13" s="6">
        <v>4964.6343822847175</v>
      </c>
      <c r="E13" s="6">
        <v>5138.3785372409502</v>
      </c>
      <c r="F13" s="6">
        <v>5292.75939885363</v>
      </c>
      <c r="G13" s="6">
        <v>5484.1573193432041</v>
      </c>
      <c r="H13" s="6">
        <v>5642.6462595013181</v>
      </c>
      <c r="I13" s="6">
        <v>5801.1103518201226</v>
      </c>
      <c r="J13" s="6">
        <v>5924.0880398252748</v>
      </c>
      <c r="K13" s="6">
        <v>6092.3633614759101</v>
      </c>
      <c r="L13" s="6">
        <v>6234.0110975901698</v>
      </c>
      <c r="M13" s="6">
        <v>6388.9728335177642</v>
      </c>
      <c r="N13" s="6">
        <v>6550.5704107745814</v>
      </c>
    </row>
    <row r="14" spans="1:15" ht="16.5">
      <c r="A14" s="5" t="s">
        <v>11</v>
      </c>
      <c r="B14" s="6">
        <v>280.08686013855322</v>
      </c>
      <c r="C14" s="6">
        <v>262.21922803208656</v>
      </c>
      <c r="D14" s="6">
        <v>150.58468781033361</v>
      </c>
      <c r="E14" s="6">
        <v>137.18180755291476</v>
      </c>
      <c r="F14" s="6">
        <v>101.12856755012056</v>
      </c>
      <c r="G14" s="6">
        <v>97.975274816828232</v>
      </c>
      <c r="H14" s="6">
        <v>100.25750736075827</v>
      </c>
      <c r="I14" s="6">
        <v>100.33579347150143</v>
      </c>
      <c r="J14" s="6">
        <v>100.09582556243404</v>
      </c>
      <c r="K14" s="6">
        <v>100.06521180715444</v>
      </c>
      <c r="L14" s="6">
        <v>99.958593752328511</v>
      </c>
      <c r="M14" s="6">
        <v>99.745922603735295</v>
      </c>
      <c r="N14" s="6">
        <v>100.14258639083535</v>
      </c>
    </row>
    <row r="15" spans="1:15" ht="16.5">
      <c r="A15" s="7" t="s">
        <v>12</v>
      </c>
      <c r="B15" s="8">
        <v>6293.9446487504702</v>
      </c>
      <c r="C15" s="8">
        <v>6089.1726548522029</v>
      </c>
      <c r="D15" s="8">
        <v>6016.7414659500218</v>
      </c>
      <c r="E15" s="8">
        <v>6134.8497271390725</v>
      </c>
      <c r="F15" s="8">
        <v>6365.0845980952845</v>
      </c>
      <c r="G15" s="8">
        <v>6591.8155365893417</v>
      </c>
      <c r="H15" s="8">
        <v>6822.691030509146</v>
      </c>
      <c r="I15" s="8">
        <v>6980.6414539035186</v>
      </c>
      <c r="J15" s="8">
        <v>7118.5715638233687</v>
      </c>
      <c r="K15" s="8">
        <v>7296.0478274352481</v>
      </c>
      <c r="L15" s="8">
        <v>7449.928425521638</v>
      </c>
      <c r="M15" s="8">
        <v>7617.7869411583933</v>
      </c>
      <c r="N15" s="8">
        <v>7791.6336261102315</v>
      </c>
    </row>
    <row r="16" spans="1:15" ht="17.25" thickBot="1">
      <c r="A16" s="5" t="s">
        <v>13</v>
      </c>
      <c r="B16" s="6">
        <v>145.13983080156436</v>
      </c>
      <c r="C16" s="6">
        <v>134.11853118904889</v>
      </c>
      <c r="D16" s="6">
        <v>163.81918728504377</v>
      </c>
      <c r="E16" s="6">
        <v>165.02617704542661</v>
      </c>
      <c r="F16" s="6">
        <v>172.40236796509839</v>
      </c>
      <c r="G16" s="6">
        <v>177.69181124801344</v>
      </c>
      <c r="H16" s="6">
        <v>156.93608126791798</v>
      </c>
      <c r="I16" s="6">
        <v>159.48565150076558</v>
      </c>
      <c r="J16" s="6">
        <v>189.43838952816168</v>
      </c>
      <c r="K16" s="6">
        <v>188.74219112395303</v>
      </c>
      <c r="L16" s="6">
        <v>199.15984476310291</v>
      </c>
      <c r="M16" s="6">
        <v>203.19073673682749</v>
      </c>
      <c r="N16" s="6">
        <v>169.86621178629321</v>
      </c>
    </row>
    <row r="17" spans="1:15" ht="16.5">
      <c r="A17" s="9" t="s">
        <v>41</v>
      </c>
      <c r="B17" s="10">
        <v>92.9</v>
      </c>
      <c r="C17" s="10">
        <v>84.9</v>
      </c>
      <c r="D17" s="10">
        <v>78.5</v>
      </c>
      <c r="E17" s="10">
        <v>121.4</v>
      </c>
      <c r="F17" s="10">
        <v>121</v>
      </c>
      <c r="G17" s="10">
        <v>85</v>
      </c>
      <c r="H17" s="10">
        <v>85.7</v>
      </c>
      <c r="I17" s="10">
        <v>97.300000000000011</v>
      </c>
      <c r="J17" s="10">
        <v>104.9</v>
      </c>
      <c r="K17" s="10">
        <v>106</v>
      </c>
      <c r="L17" s="10">
        <v>96.100000000000009</v>
      </c>
      <c r="M17" s="10">
        <v>97.9</v>
      </c>
      <c r="N17" s="10">
        <v>122.80000000000001</v>
      </c>
    </row>
    <row r="18" spans="1:15" ht="16.5">
      <c r="A18" s="5" t="s">
        <v>42</v>
      </c>
      <c r="B18" s="20">
        <v>83.11979316680447</v>
      </c>
      <c r="C18" s="20">
        <v>77.808820098305759</v>
      </c>
      <c r="D18" s="20">
        <v>75.620626296579047</v>
      </c>
      <c r="E18" s="20">
        <v>104.75628542208763</v>
      </c>
      <c r="F18" s="20">
        <v>101.55794539347492</v>
      </c>
      <c r="G18" s="20">
        <v>79.116547424514792</v>
      </c>
      <c r="H18" s="20">
        <v>81.626668258371225</v>
      </c>
      <c r="I18" s="20">
        <v>89.944745485899631</v>
      </c>
      <c r="J18" s="20">
        <v>95.279540157383551</v>
      </c>
      <c r="K18" s="20">
        <v>100.49699531338166</v>
      </c>
      <c r="L18" s="20">
        <v>94.945817852164168</v>
      </c>
      <c r="M18" s="11">
        <v>96.724199456054848</v>
      </c>
      <c r="N18" s="11">
        <v>121.32514497654276</v>
      </c>
    </row>
    <row r="19" spans="1:15">
      <c r="A19" s="12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5" ht="13.5" thickBot="1"/>
    <row r="21" spans="1:15" ht="15">
      <c r="A21" s="14" t="s">
        <v>43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ht="13.5" thickBot="1">
      <c r="A22" s="22"/>
      <c r="B22" s="22" t="s">
        <v>17</v>
      </c>
      <c r="C22" s="22" t="s">
        <v>18</v>
      </c>
      <c r="D22" s="22" t="s">
        <v>19</v>
      </c>
      <c r="E22" s="22" t="s">
        <v>20</v>
      </c>
      <c r="F22" s="22" t="s">
        <v>21</v>
      </c>
      <c r="G22" s="22" t="s">
        <v>22</v>
      </c>
      <c r="H22" s="22" t="s">
        <v>23</v>
      </c>
      <c r="I22" s="22" t="s">
        <v>24</v>
      </c>
      <c r="J22" s="22" t="s">
        <v>25</v>
      </c>
      <c r="K22" s="22" t="s">
        <v>26</v>
      </c>
      <c r="L22" s="22" t="s">
        <v>27</v>
      </c>
      <c r="M22" s="22" t="s">
        <v>28</v>
      </c>
      <c r="N22" s="22" t="s">
        <v>29</v>
      </c>
      <c r="O22" s="22" t="s">
        <v>30</v>
      </c>
    </row>
    <row r="23" spans="1:15" ht="14.25">
      <c r="A23" s="16" t="s">
        <v>31</v>
      </c>
      <c r="B23" s="23">
        <v>471.13396999999992</v>
      </c>
      <c r="C23" s="23">
        <v>443.68255161883701</v>
      </c>
      <c r="D23" s="23">
        <v>410.23047743712584</v>
      </c>
      <c r="E23" s="23">
        <v>421.55693334400428</v>
      </c>
      <c r="F23" s="23">
        <v>412.89330162655904</v>
      </c>
      <c r="G23" s="23">
        <v>422.37326578062664</v>
      </c>
      <c r="H23" s="23">
        <v>425.23166069796559</v>
      </c>
      <c r="I23" s="23">
        <v>408.79114616605864</v>
      </c>
      <c r="J23" s="23">
        <v>411.33369494496208</v>
      </c>
      <c r="K23" s="23">
        <v>433.25869491228957</v>
      </c>
      <c r="L23" s="23">
        <v>442.8592072892078</v>
      </c>
      <c r="M23" s="23">
        <v>444.60813225441825</v>
      </c>
      <c r="N23" s="23">
        <v>472.25050537569928</v>
      </c>
      <c r="O23" s="23">
        <v>435.56642291322055</v>
      </c>
    </row>
    <row r="24" spans="1:15" ht="14.25">
      <c r="A24" s="16" t="s">
        <v>2</v>
      </c>
      <c r="B24" s="23">
        <v>13807.197217283277</v>
      </c>
      <c r="C24" s="23">
        <v>14904.603513951966</v>
      </c>
      <c r="D24" s="23">
        <v>18198.615246093952</v>
      </c>
      <c r="E24" s="23">
        <v>18567.45409835691</v>
      </c>
      <c r="F24" s="23">
        <v>19415.149810306732</v>
      </c>
      <c r="G24" s="23">
        <v>19504.339328637208</v>
      </c>
      <c r="H24" s="23">
        <v>19941.051061123922</v>
      </c>
      <c r="I24" s="23">
        <v>20277.500796376404</v>
      </c>
      <c r="J24" s="23">
        <v>20618.811481309262</v>
      </c>
      <c r="K24" s="23">
        <v>20915.381482834637</v>
      </c>
      <c r="L24" s="23">
        <v>21170.461987574668</v>
      </c>
      <c r="M24" s="23">
        <v>21203.249217242661</v>
      </c>
      <c r="N24" s="23">
        <v>21276.69546511364</v>
      </c>
      <c r="O24" s="23">
        <v>21287.907756099874</v>
      </c>
    </row>
    <row r="25" spans="1:15" ht="14.25">
      <c r="A25" s="16" t="s">
        <v>3</v>
      </c>
      <c r="B25" s="23">
        <v>4776.3131592471045</v>
      </c>
      <c r="C25" s="23">
        <v>4586.2243820335134</v>
      </c>
      <c r="D25" s="23">
        <v>4382.6226167019859</v>
      </c>
      <c r="E25" s="23">
        <v>4420.9215593185909</v>
      </c>
      <c r="F25" s="23">
        <v>4633.9820687828915</v>
      </c>
      <c r="G25" s="23">
        <v>4861.1551942903507</v>
      </c>
      <c r="H25" s="23">
        <v>4987.5730394817401</v>
      </c>
      <c r="I25" s="23">
        <v>5090.6634518702494</v>
      </c>
      <c r="J25" s="23">
        <v>5217.7298352631069</v>
      </c>
      <c r="K25" s="23">
        <v>5369.9535864309391</v>
      </c>
      <c r="L25" s="23">
        <v>5533.0669626330991</v>
      </c>
      <c r="M25" s="23">
        <v>5735.2106612865309</v>
      </c>
      <c r="N25" s="23">
        <v>5848.3404400268382</v>
      </c>
      <c r="O25" s="23">
        <v>6111.6554650014659</v>
      </c>
    </row>
    <row r="26" spans="1:15" ht="14.25">
      <c r="A26" s="16" t="s">
        <v>4</v>
      </c>
      <c r="B26" s="23">
        <v>19054.644346530382</v>
      </c>
      <c r="C26" s="23">
        <v>19934.510447604316</v>
      </c>
      <c r="D26" s="23">
        <v>22991.468340233063</v>
      </c>
      <c r="E26" s="23">
        <v>23409.932591019504</v>
      </c>
      <c r="F26" s="23">
        <v>24462.02518071618</v>
      </c>
      <c r="G26" s="23">
        <v>24787.867788708183</v>
      </c>
      <c r="H26" s="23">
        <v>25353.855761303628</v>
      </c>
      <c r="I26" s="23">
        <v>25776.955394412711</v>
      </c>
      <c r="J26" s="23">
        <v>26247.875011517332</v>
      </c>
      <c r="K26" s="23">
        <v>26718.593764177866</v>
      </c>
      <c r="L26" s="23">
        <v>27146.388157496975</v>
      </c>
      <c r="M26" s="23">
        <v>27383.068010783612</v>
      </c>
      <c r="N26" s="23">
        <v>27597.286410516175</v>
      </c>
      <c r="O26" s="23">
        <v>27835.12964401456</v>
      </c>
    </row>
    <row r="27" spans="1:15" ht="14.25">
      <c r="A27" s="17" t="s">
        <v>32</v>
      </c>
      <c r="B27" s="24">
        <v>10846.434109998168</v>
      </c>
      <c r="C27" s="24">
        <v>10891.438748231267</v>
      </c>
      <c r="D27" s="24">
        <v>11651.990365292557</v>
      </c>
      <c r="E27" s="24">
        <v>12276.205741584945</v>
      </c>
      <c r="F27" s="24">
        <v>12890.258600906029</v>
      </c>
      <c r="G27" s="24">
        <v>13583.347900689985</v>
      </c>
      <c r="H27" s="24">
        <v>14106.778783427104</v>
      </c>
      <c r="I27" s="24">
        <v>14399.080532952676</v>
      </c>
      <c r="J27" s="24">
        <v>14763.267982954327</v>
      </c>
      <c r="K27" s="24">
        <v>15042.523658954329</v>
      </c>
      <c r="L27" s="24">
        <v>15307.216647874146</v>
      </c>
      <c r="M27" s="24">
        <v>15619.848835374731</v>
      </c>
      <c r="N27" s="24">
        <v>15940.28242213321</v>
      </c>
      <c r="O27" s="24">
        <v>16679.89957372818</v>
      </c>
    </row>
    <row r="28" spans="1:15" ht="14.25">
      <c r="A28" s="16" t="s">
        <v>33</v>
      </c>
      <c r="B28" s="23">
        <v>2221.470881055026</v>
      </c>
      <c r="C28" s="23">
        <v>2442.7074078863393</v>
      </c>
      <c r="D28" s="23">
        <v>2776.2440172242273</v>
      </c>
      <c r="E28" s="23">
        <v>3123.3024632487918</v>
      </c>
      <c r="F28" s="23">
        <v>3516.0675792191682</v>
      </c>
      <c r="G28" s="23">
        <v>4031.3833224811196</v>
      </c>
      <c r="H28" s="23">
        <v>4246.433892349728</v>
      </c>
      <c r="I28" s="23">
        <v>4332.1034102498934</v>
      </c>
      <c r="J28" s="23">
        <v>4486.2692186743134</v>
      </c>
      <c r="K28" s="23">
        <v>4537.8885641289398</v>
      </c>
      <c r="L28" s="23">
        <v>4598.1601685344795</v>
      </c>
      <c r="M28" s="23">
        <v>4699.0845336172988</v>
      </c>
      <c r="N28" s="23">
        <v>4761.2409411653043</v>
      </c>
      <c r="O28" s="23">
        <v>4186.6759375415131</v>
      </c>
    </row>
    <row r="29" spans="1:15" ht="14.25">
      <c r="A29" s="16" t="s">
        <v>34</v>
      </c>
      <c r="B29" s="23">
        <v>8624.9632289431429</v>
      </c>
      <c r="C29" s="23">
        <v>8448.731340344928</v>
      </c>
      <c r="D29" s="23">
        <v>8875.7463480683291</v>
      </c>
      <c r="E29" s="23">
        <v>9152.9032783361527</v>
      </c>
      <c r="F29" s="23">
        <v>9374.19102168686</v>
      </c>
      <c r="G29" s="23">
        <v>9551.9645782088664</v>
      </c>
      <c r="H29" s="23">
        <v>9860.3448910773768</v>
      </c>
      <c r="I29" s="23">
        <v>10066.977122702781</v>
      </c>
      <c r="J29" s="23">
        <v>10276.998764280013</v>
      </c>
      <c r="K29" s="23">
        <v>10504.635094825389</v>
      </c>
      <c r="L29" s="23">
        <v>10709.056479339666</v>
      </c>
      <c r="M29" s="23">
        <v>10920.764301757432</v>
      </c>
      <c r="N29" s="23">
        <v>11179.041480967906</v>
      </c>
      <c r="O29" s="23">
        <v>12493.223636186667</v>
      </c>
    </row>
    <row r="30" spans="1:15" ht="14.25">
      <c r="A30" s="16" t="s">
        <v>35</v>
      </c>
      <c r="B30" s="23">
        <v>7688.7361690052676</v>
      </c>
      <c r="C30" s="23">
        <v>7995.2983383087312</v>
      </c>
      <c r="D30" s="23">
        <v>8105.00928443259</v>
      </c>
      <c r="E30" s="23">
        <v>8316.1273907298055</v>
      </c>
      <c r="F30" s="23">
        <v>8575.6873124574522</v>
      </c>
      <c r="G30" s="23">
        <v>8806.2225028190642</v>
      </c>
      <c r="H30" s="23">
        <v>9016.7247211524718</v>
      </c>
      <c r="I30" s="23">
        <v>9169.7498116562183</v>
      </c>
      <c r="J30" s="23">
        <v>9406.8735717819018</v>
      </c>
      <c r="K30" s="23">
        <v>9610.6577028925967</v>
      </c>
      <c r="L30" s="23">
        <v>9817.4353397536397</v>
      </c>
      <c r="M30" s="23">
        <v>10016.745453796482</v>
      </c>
      <c r="N30" s="23">
        <v>10243.049978378807</v>
      </c>
      <c r="O30" s="23">
        <v>10503.128234754846</v>
      </c>
    </row>
    <row r="31" spans="1:15" ht="14.25">
      <c r="A31" s="16" t="s">
        <v>36</v>
      </c>
      <c r="B31" s="23">
        <v>936.22705993787531</v>
      </c>
      <c r="C31" s="23">
        <v>453.43300203619674</v>
      </c>
      <c r="D31" s="23">
        <v>770.7370636357391</v>
      </c>
      <c r="E31" s="23">
        <v>836.77588760634717</v>
      </c>
      <c r="F31" s="23">
        <v>798.50370922940783</v>
      </c>
      <c r="G31" s="23">
        <v>745.74207538980227</v>
      </c>
      <c r="H31" s="23">
        <v>843.62016992490499</v>
      </c>
      <c r="I31" s="23">
        <v>897.22731104656305</v>
      </c>
      <c r="J31" s="23">
        <v>870.12519249811157</v>
      </c>
      <c r="K31" s="23">
        <v>893.97739193279267</v>
      </c>
      <c r="L31" s="23">
        <v>891.6211395860264</v>
      </c>
      <c r="M31" s="23">
        <v>904.01884796094964</v>
      </c>
      <c r="N31" s="23">
        <v>935.99150258909867</v>
      </c>
      <c r="O31" s="23">
        <v>1990.0954014318213</v>
      </c>
    </row>
    <row r="32" spans="1:15" ht="14.25">
      <c r="A32" s="16" t="s">
        <v>11</v>
      </c>
      <c r="B32" s="23">
        <v>7764.527684913377</v>
      </c>
      <c r="C32" s="23">
        <v>8632.8412219359234</v>
      </c>
      <c r="D32" s="23">
        <v>10917.921041596503</v>
      </c>
      <c r="E32" s="23">
        <v>10720.833547808001</v>
      </c>
      <c r="F32" s="23">
        <v>11149.393314029527</v>
      </c>
      <c r="G32" s="23">
        <v>10779.288227320232</v>
      </c>
      <c r="H32" s="23">
        <v>10838.285831710466</v>
      </c>
      <c r="I32" s="23">
        <v>10966.541166515073</v>
      </c>
      <c r="J32" s="23">
        <v>11051.348333650716</v>
      </c>
      <c r="K32" s="23">
        <v>11233.21089793433</v>
      </c>
      <c r="L32" s="23">
        <v>11394.563377368409</v>
      </c>
      <c r="M32" s="23">
        <v>11290.968670033184</v>
      </c>
      <c r="N32" s="23">
        <v>11221.437565469745</v>
      </c>
      <c r="O32" s="23">
        <v>10729.758906634344</v>
      </c>
    </row>
    <row r="33" spans="1:15" ht="14.25">
      <c r="A33" s="16" t="s">
        <v>12</v>
      </c>
      <c r="B33" s="23">
        <v>18610.961794911545</v>
      </c>
      <c r="C33" s="23">
        <v>19524.27997016719</v>
      </c>
      <c r="D33" s="23">
        <v>22569.911406889059</v>
      </c>
      <c r="E33" s="23">
        <v>22997.039289392946</v>
      </c>
      <c r="F33" s="23">
        <v>24039.651914935555</v>
      </c>
      <c r="G33" s="23">
        <v>24362.636128010217</v>
      </c>
      <c r="H33" s="23">
        <v>24945.064615137569</v>
      </c>
      <c r="I33" s="23">
        <v>25365.621699467749</v>
      </c>
      <c r="J33" s="23">
        <v>25814.616316605043</v>
      </c>
      <c r="K33" s="23">
        <v>26275.734556888659</v>
      </c>
      <c r="L33" s="23">
        <v>26701.780025242555</v>
      </c>
      <c r="M33" s="23">
        <v>26910.817505407915</v>
      </c>
      <c r="N33" s="23">
        <v>27161.719987602955</v>
      </c>
      <c r="O33" s="23">
        <v>27409.658480362526</v>
      </c>
    </row>
    <row r="34" spans="1:15" ht="15" thickBot="1">
      <c r="A34" s="17" t="s">
        <v>38</v>
      </c>
      <c r="B34" s="24">
        <v>443.68255161883701</v>
      </c>
      <c r="C34" s="24">
        <v>410.23047743712584</v>
      </c>
      <c r="D34" s="24">
        <v>421.55693334400428</v>
      </c>
      <c r="E34" s="24">
        <v>412.89330162655904</v>
      </c>
      <c r="F34" s="24">
        <v>422.37326578062664</v>
      </c>
      <c r="G34" s="24">
        <v>425.23166069796559</v>
      </c>
      <c r="H34" s="24">
        <v>408.79114616605864</v>
      </c>
      <c r="I34" s="24">
        <v>411.33369494496208</v>
      </c>
      <c r="J34" s="24">
        <v>433.25869491228957</v>
      </c>
      <c r="K34" s="24">
        <v>442.8592072892078</v>
      </c>
      <c r="L34" s="24">
        <v>444.60813225441825</v>
      </c>
      <c r="M34" s="24">
        <v>472.25050537569928</v>
      </c>
      <c r="N34" s="24">
        <v>435.56642291322055</v>
      </c>
      <c r="O34" s="24">
        <v>425.47116365203215</v>
      </c>
    </row>
    <row r="35" spans="1:15">
      <c r="A35" s="2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8" spans="1:15"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36C7-FBD8-4A45-9680-3637F54B880B}">
  <dimension ref="A1:O18"/>
  <sheetViews>
    <sheetView workbookViewId="0">
      <selection activeCell="M17" sqref="M17"/>
    </sheetView>
  </sheetViews>
  <sheetFormatPr defaultRowHeight="12.75"/>
  <cols>
    <col min="1" max="1" width="45.33203125" customWidth="1"/>
  </cols>
  <sheetData>
    <row r="1" spans="1:15" ht="13.5" thickBot="1"/>
    <row r="2" spans="1:15" ht="23.25">
      <c r="A2" s="1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8.75" thickBot="1">
      <c r="A3" s="3"/>
      <c r="B3" s="4">
        <v>2023</v>
      </c>
      <c r="C3" s="4">
        <v>2024</v>
      </c>
      <c r="D3" s="4">
        <v>2025</v>
      </c>
      <c r="E3" s="4">
        <v>2026</v>
      </c>
      <c r="F3" s="4">
        <v>2027</v>
      </c>
      <c r="G3" s="4">
        <v>2028</v>
      </c>
      <c r="H3" s="4">
        <v>2029</v>
      </c>
      <c r="I3" s="4">
        <v>2030</v>
      </c>
      <c r="J3" s="4">
        <v>2031</v>
      </c>
      <c r="K3" s="4">
        <v>2032</v>
      </c>
      <c r="L3" s="4">
        <v>2033</v>
      </c>
      <c r="M3" s="4">
        <v>2034</v>
      </c>
      <c r="N3" s="4">
        <v>2035</v>
      </c>
    </row>
    <row r="4" spans="1:15" ht="16.5">
      <c r="A4" s="5" t="s">
        <v>1</v>
      </c>
      <c r="B4" s="6">
        <v>73.348121690719864</v>
      </c>
      <c r="C4" s="6">
        <v>77.155834139436138</v>
      </c>
      <c r="D4" s="6">
        <v>91.217599014790835</v>
      </c>
      <c r="E4" s="6">
        <v>97.832214689441571</v>
      </c>
      <c r="F4" s="6">
        <v>82.006895948092449</v>
      </c>
      <c r="G4" s="6">
        <v>70.610571513310447</v>
      </c>
      <c r="H4" s="6">
        <v>70.929201823266055</v>
      </c>
      <c r="I4" s="6">
        <v>80.516142774755053</v>
      </c>
      <c r="J4" s="6">
        <v>105.93044538968508</v>
      </c>
      <c r="K4" s="6">
        <v>96.972637038424295</v>
      </c>
      <c r="L4" s="6">
        <v>93.752799456585706</v>
      </c>
      <c r="M4" s="6">
        <v>96.911335313785401</v>
      </c>
      <c r="N4" s="6">
        <v>110.46478083859233</v>
      </c>
    </row>
    <row r="5" spans="1:15" ht="16.5">
      <c r="A5" s="5" t="s">
        <v>2</v>
      </c>
      <c r="B5" s="6">
        <v>2367.6785904726617</v>
      </c>
      <c r="C5" s="6">
        <v>2535.2103143365885</v>
      </c>
      <c r="D5" s="6">
        <v>2732.1892174335153</v>
      </c>
      <c r="E5" s="6">
        <v>2936.8014344664507</v>
      </c>
      <c r="F5" s="6">
        <v>3156.9886168085313</v>
      </c>
      <c r="G5" s="6">
        <v>3381.9083254406282</v>
      </c>
      <c r="H5" s="6">
        <v>3654.6015816331774</v>
      </c>
      <c r="I5" s="6">
        <v>3918.2330289728134</v>
      </c>
      <c r="J5" s="6">
        <v>4215.4758334384715</v>
      </c>
      <c r="K5" s="6">
        <v>4526.8970579177994</v>
      </c>
      <c r="L5" s="6">
        <v>4870.6083366489256</v>
      </c>
      <c r="M5" s="6">
        <v>5234.7854094965905</v>
      </c>
      <c r="N5" s="6">
        <v>5627.4048854487637</v>
      </c>
      <c r="O5" s="6">
        <v>6173</v>
      </c>
    </row>
    <row r="6" spans="1:15" ht="16.5">
      <c r="A6" s="5" t="s">
        <v>3</v>
      </c>
      <c r="B6" s="6">
        <v>677.44154529577429</v>
      </c>
      <c r="C6" s="6">
        <v>717.18421343917851</v>
      </c>
      <c r="D6" s="6">
        <v>1165.9062652920825</v>
      </c>
      <c r="E6" s="6">
        <v>1391.6827883390777</v>
      </c>
      <c r="F6" s="6">
        <v>1385.5689136301994</v>
      </c>
      <c r="G6" s="6">
        <v>1499.7863219501364</v>
      </c>
      <c r="H6" s="6">
        <v>1499.5722217745745</v>
      </c>
      <c r="I6" s="6">
        <v>1499.6631534198129</v>
      </c>
      <c r="J6" s="6">
        <v>1500.5632050724291</v>
      </c>
      <c r="K6" s="6">
        <v>1499.9653907903119</v>
      </c>
      <c r="L6" s="6">
        <v>1499.9100586014531</v>
      </c>
      <c r="M6" s="6">
        <v>1499.934805931716</v>
      </c>
      <c r="N6" s="6">
        <v>1500.0073227631444</v>
      </c>
      <c r="O6" s="6">
        <v>2000</v>
      </c>
    </row>
    <row r="7" spans="1:15" ht="16.5">
      <c r="A7" s="7" t="s">
        <v>4</v>
      </c>
      <c r="B7" s="8">
        <v>3118.4682574591557</v>
      </c>
      <c r="C7" s="8">
        <v>3329.5503619152032</v>
      </c>
      <c r="D7" s="8">
        <v>3989.3130817403885</v>
      </c>
      <c r="E7" s="8">
        <v>4426.3164374949702</v>
      </c>
      <c r="F7" s="8">
        <v>4624.5644263868235</v>
      </c>
      <c r="G7" s="8">
        <v>4952.3052189040754</v>
      </c>
      <c r="H7" s="8">
        <v>5225.103005231018</v>
      </c>
      <c r="I7" s="8">
        <v>5498.4123251673818</v>
      </c>
      <c r="J7" s="8">
        <v>5821.9694839005851</v>
      </c>
      <c r="K7" s="8">
        <v>6123.8350857465357</v>
      </c>
      <c r="L7" s="8">
        <v>6464.2711947069638</v>
      </c>
      <c r="M7" s="8">
        <v>6831.6315507420923</v>
      </c>
      <c r="N7" s="8">
        <v>7237.8769890505009</v>
      </c>
    </row>
    <row r="8" spans="1:15" ht="16.5">
      <c r="A8" s="5" t="s">
        <v>5</v>
      </c>
      <c r="B8" s="6">
        <v>2480.2483890027847</v>
      </c>
      <c r="C8" s="6">
        <v>2685.6787318002089</v>
      </c>
      <c r="D8" s="6">
        <v>3338.0495961884239</v>
      </c>
      <c r="E8" s="6">
        <v>3768.2244190400515</v>
      </c>
      <c r="F8" s="6">
        <v>4017.6555113178397</v>
      </c>
      <c r="G8" s="6">
        <v>4343.8756404629257</v>
      </c>
      <c r="H8" s="6">
        <v>4588.6803019878298</v>
      </c>
      <c r="I8" s="6">
        <v>4841.2880508490734</v>
      </c>
      <c r="J8" s="6">
        <v>5173.1525120598944</v>
      </c>
      <c r="K8" s="6">
        <v>5478.6854398744636</v>
      </c>
      <c r="L8" s="6">
        <v>5820.8111705186038</v>
      </c>
      <c r="M8" s="6">
        <v>6171.5983804569614</v>
      </c>
      <c r="N8" s="6">
        <v>6583.0050804531802</v>
      </c>
    </row>
    <row r="9" spans="1:15" ht="16.5">
      <c r="A9" s="5" t="s">
        <v>6</v>
      </c>
      <c r="B9" s="6">
        <v>2289.4142052062862</v>
      </c>
      <c r="C9" s="6">
        <v>2382.6846918920432</v>
      </c>
      <c r="D9" s="6">
        <v>3329.1345645702895</v>
      </c>
      <c r="E9" s="6">
        <v>3457.375000968822</v>
      </c>
      <c r="F9" s="6">
        <v>3827.5334385133415</v>
      </c>
      <c r="G9" s="6">
        <v>4117.4536020961477</v>
      </c>
      <c r="H9" s="6">
        <v>4361.7870548693572</v>
      </c>
      <c r="I9" s="6">
        <v>4713.3692756135615</v>
      </c>
      <c r="J9" s="6">
        <v>4846.0943767838489</v>
      </c>
      <c r="K9" s="6">
        <v>5280.0720827506739</v>
      </c>
      <c r="L9" s="6">
        <v>5624.3975693568391</v>
      </c>
      <c r="M9" s="6">
        <v>5952.8104766038814</v>
      </c>
      <c r="N9" s="6">
        <v>6340.2580115647634</v>
      </c>
    </row>
    <row r="10" spans="1:15" ht="16.5">
      <c r="A10" s="5" t="s">
        <v>7</v>
      </c>
      <c r="B10" s="6">
        <v>711.50735667731544</v>
      </c>
      <c r="C10" s="6">
        <v>198.89011904840527</v>
      </c>
      <c r="D10" s="6">
        <v>225.89234993397619</v>
      </c>
      <c r="E10" s="6">
        <v>221.73988606886456</v>
      </c>
      <c r="F10" s="6">
        <v>201.91158459723599</v>
      </c>
      <c r="G10" s="6">
        <v>184.46837524644474</v>
      </c>
      <c r="H10" s="6">
        <v>162.82950428353058</v>
      </c>
      <c r="I10" s="6">
        <v>149.73882522541146</v>
      </c>
      <c r="J10" s="6">
        <v>131.73839546214782</v>
      </c>
      <c r="K10" s="6">
        <v>111.29705127810986</v>
      </c>
      <c r="L10" s="6">
        <v>96.984892619205837</v>
      </c>
      <c r="M10" s="6">
        <v>79.092655477044516</v>
      </c>
      <c r="N10" s="6">
        <v>41.409554209840131</v>
      </c>
    </row>
    <row r="11" spans="1:15" ht="16.5">
      <c r="A11" s="5" t="s">
        <v>8</v>
      </c>
      <c r="B11" s="6">
        <v>1577.9068485289708</v>
      </c>
      <c r="C11" s="6">
        <v>2183.794572843638</v>
      </c>
      <c r="D11" s="6">
        <v>3103.2422146363133</v>
      </c>
      <c r="E11" s="6">
        <v>3235.6351148999574</v>
      </c>
      <c r="F11" s="6">
        <v>3625.6218539161055</v>
      </c>
      <c r="G11" s="6">
        <v>3932.9852268497034</v>
      </c>
      <c r="H11" s="6">
        <v>4198.9575505858265</v>
      </c>
      <c r="I11" s="6">
        <v>4563.6304503881502</v>
      </c>
      <c r="J11" s="6">
        <v>4714.3559813217007</v>
      </c>
      <c r="K11" s="6">
        <v>5168.7750314725636</v>
      </c>
      <c r="L11" s="6">
        <v>5527.4126767376329</v>
      </c>
      <c r="M11" s="6">
        <v>5873.7178211268365</v>
      </c>
      <c r="N11" s="6">
        <v>6298.8484573549231</v>
      </c>
    </row>
    <row r="12" spans="1:15" ht="16.5">
      <c r="A12" s="5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5" ht="16.5">
      <c r="A13" s="5" t="s">
        <v>10</v>
      </c>
      <c r="B13" s="6">
        <v>190.83418379649862</v>
      </c>
      <c r="C13" s="6">
        <v>302.9940399081654</v>
      </c>
      <c r="D13" s="6">
        <v>8.9150316181345488</v>
      </c>
      <c r="E13" s="6">
        <v>310.84941807122937</v>
      </c>
      <c r="F13" s="6">
        <v>190.12207280449832</v>
      </c>
      <c r="G13" s="6">
        <v>226.42203836677783</v>
      </c>
      <c r="H13" s="6">
        <v>226.89324711847252</v>
      </c>
      <c r="I13" s="6">
        <v>127.91877523551216</v>
      </c>
      <c r="J13" s="6">
        <v>327.05813527604516</v>
      </c>
      <c r="K13" s="6">
        <v>198.61335712378968</v>
      </c>
      <c r="L13" s="6">
        <v>196.4136011617644</v>
      </c>
      <c r="M13" s="6">
        <v>218.78790385308037</v>
      </c>
      <c r="N13" s="6">
        <v>242.74706888841729</v>
      </c>
    </row>
    <row r="14" spans="1:15" ht="16.5">
      <c r="A14" s="5" t="s">
        <v>11</v>
      </c>
      <c r="B14" s="6">
        <v>561.06403431693434</v>
      </c>
      <c r="C14" s="6">
        <v>552.65403110020327</v>
      </c>
      <c r="D14" s="6">
        <v>553.43127086252321</v>
      </c>
      <c r="E14" s="6">
        <v>576.08512250682656</v>
      </c>
      <c r="F14" s="6">
        <v>536.29834355567402</v>
      </c>
      <c r="G14" s="6">
        <v>537.50037661788281</v>
      </c>
      <c r="H14" s="6">
        <v>555.90656046843219</v>
      </c>
      <c r="I14" s="6">
        <v>551.19382892862188</v>
      </c>
      <c r="J14" s="6">
        <v>551.84433480226778</v>
      </c>
      <c r="K14" s="6">
        <v>551.39684641548752</v>
      </c>
      <c r="L14" s="6">
        <v>546.54868887457576</v>
      </c>
      <c r="M14" s="6">
        <v>549.5683894465385</v>
      </c>
      <c r="N14" s="6">
        <v>551.37805189787696</v>
      </c>
    </row>
    <row r="15" spans="1:15" ht="16.5">
      <c r="A15" s="7" t="s">
        <v>12</v>
      </c>
      <c r="B15" s="8">
        <v>3041.3124233197191</v>
      </c>
      <c r="C15" s="8">
        <v>3238.332762900412</v>
      </c>
      <c r="D15" s="8">
        <v>3891.4808670509474</v>
      </c>
      <c r="E15" s="8">
        <v>4344.3095415468779</v>
      </c>
      <c r="F15" s="8">
        <v>4553.9538548735136</v>
      </c>
      <c r="G15" s="8">
        <v>4881.3760170808082</v>
      </c>
      <c r="H15" s="8">
        <v>5144.5868624562618</v>
      </c>
      <c r="I15" s="8">
        <v>5392.4818797776952</v>
      </c>
      <c r="J15" s="8">
        <v>5724.9968468621619</v>
      </c>
      <c r="K15" s="8">
        <v>6030.0822862899513</v>
      </c>
      <c r="L15" s="8">
        <v>6367.3598593931792</v>
      </c>
      <c r="M15" s="8">
        <v>6721.1667699034997</v>
      </c>
      <c r="N15" s="8">
        <v>7134.3831323510567</v>
      </c>
    </row>
    <row r="16" spans="1:15" ht="17.25" thickBot="1">
      <c r="A16" s="5" t="s">
        <v>13</v>
      </c>
      <c r="B16" s="6">
        <v>77.155834139436138</v>
      </c>
      <c r="C16" s="6">
        <v>91.217599014790835</v>
      </c>
      <c r="D16" s="6">
        <v>97.832214689441571</v>
      </c>
      <c r="E16" s="6">
        <v>82.006895948092449</v>
      </c>
      <c r="F16" s="6">
        <v>70.610571513310447</v>
      </c>
      <c r="G16" s="6">
        <v>70.929201823266055</v>
      </c>
      <c r="H16" s="6">
        <v>80.516142774755053</v>
      </c>
      <c r="I16" s="6">
        <v>105.93044538968508</v>
      </c>
      <c r="J16" s="6">
        <v>96.972637038424295</v>
      </c>
      <c r="K16" s="6">
        <v>93.752799456585706</v>
      </c>
      <c r="L16" s="6">
        <v>96.911335313785401</v>
      </c>
      <c r="M16" s="6">
        <v>110.46478083859233</v>
      </c>
      <c r="N16" s="6">
        <v>103.49385669944405</v>
      </c>
    </row>
    <row r="17" spans="1:14" ht="16.5">
      <c r="A17" s="9" t="s">
        <v>45</v>
      </c>
      <c r="B17" s="10">
        <v>75.25</v>
      </c>
      <c r="C17" s="10">
        <v>69.55</v>
      </c>
      <c r="D17" s="10">
        <v>65.349999999999994</v>
      </c>
      <c r="E17" s="10">
        <v>101.35000000000001</v>
      </c>
      <c r="F17" s="10">
        <v>102.75</v>
      </c>
      <c r="G17" s="10">
        <v>69.75</v>
      </c>
      <c r="H17" s="10">
        <v>70.45</v>
      </c>
      <c r="I17" s="10">
        <v>81.350000000000009</v>
      </c>
      <c r="J17" s="10">
        <v>87.25</v>
      </c>
      <c r="K17" s="10">
        <v>92.550000000000011</v>
      </c>
      <c r="L17" s="10">
        <v>88.850000000000009</v>
      </c>
      <c r="M17" s="10">
        <v>82.350000000000009</v>
      </c>
      <c r="N17" s="10">
        <v>102.85000000000001</v>
      </c>
    </row>
    <row r="18" spans="1:14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AC02-51C6-4C72-A6EB-EFD77AC8F52F}">
  <dimension ref="A1:N18"/>
  <sheetViews>
    <sheetView workbookViewId="0">
      <selection activeCell="M17" sqref="M17"/>
    </sheetView>
  </sheetViews>
  <sheetFormatPr defaultRowHeight="12.75"/>
  <cols>
    <col min="1" max="1" width="45.1640625" customWidth="1"/>
  </cols>
  <sheetData>
    <row r="1" spans="1:14" ht="13.5" thickBot="1"/>
    <row r="2" spans="1:14" ht="23.25">
      <c r="A2" s="1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75" thickBot="1">
      <c r="A3" s="3"/>
      <c r="B3" s="4">
        <v>2023</v>
      </c>
      <c r="C3" s="4">
        <v>2024</v>
      </c>
      <c r="D3" s="4">
        <v>2025</v>
      </c>
      <c r="E3" s="4">
        <v>2026</v>
      </c>
      <c r="F3" s="4">
        <v>2027</v>
      </c>
      <c r="G3" s="4">
        <v>2028</v>
      </c>
      <c r="H3" s="4">
        <v>2029</v>
      </c>
      <c r="I3" s="4">
        <v>2030</v>
      </c>
      <c r="J3" s="4">
        <v>2031</v>
      </c>
      <c r="K3" s="4">
        <v>2032</v>
      </c>
      <c r="L3" s="4">
        <v>2033</v>
      </c>
      <c r="M3" s="4">
        <v>2034</v>
      </c>
      <c r="N3" s="4">
        <v>2035</v>
      </c>
    </row>
    <row r="4" spans="1:14" ht="16.5">
      <c r="A4" s="5" t="s">
        <v>1</v>
      </c>
      <c r="B4" s="6">
        <v>105.49720784630756</v>
      </c>
      <c r="C4" s="6">
        <v>101.44768001676124</v>
      </c>
      <c r="D4" s="6">
        <v>95.692022413809809</v>
      </c>
      <c r="E4" s="6">
        <v>96.305847197010394</v>
      </c>
      <c r="F4" s="6">
        <v>114.28809502185561</v>
      </c>
      <c r="G4" s="6">
        <v>84.304183973151396</v>
      </c>
      <c r="H4" s="6">
        <v>97.457454432519057</v>
      </c>
      <c r="I4" s="6">
        <v>101.16152721857418</v>
      </c>
      <c r="J4" s="6">
        <v>108.48053815524099</v>
      </c>
      <c r="K4" s="6">
        <v>96.019161115190343</v>
      </c>
      <c r="L4" s="6">
        <v>98.647693200082415</v>
      </c>
      <c r="M4" s="6">
        <v>90.344333543426217</v>
      </c>
      <c r="N4" s="6">
        <v>108.06753237960493</v>
      </c>
    </row>
    <row r="5" spans="1:14" ht="16.5">
      <c r="A5" s="5" t="s">
        <v>2</v>
      </c>
      <c r="B5" s="6">
        <v>3865.5400658906888</v>
      </c>
      <c r="C5" s="6">
        <v>3932.8992218214453</v>
      </c>
      <c r="D5" s="6">
        <v>3924.6061006087934</v>
      </c>
      <c r="E5" s="6">
        <v>4108.8562832774433</v>
      </c>
      <c r="F5" s="6">
        <v>4241.9124886818136</v>
      </c>
      <c r="G5" s="6">
        <v>4384.0354783164003</v>
      </c>
      <c r="H5" s="6">
        <v>4467.8162062826841</v>
      </c>
      <c r="I5" s="6">
        <v>4682.4335096734776</v>
      </c>
      <c r="J5" s="6">
        <v>5031.5545530878398</v>
      </c>
      <c r="K5" s="6">
        <v>5084.1489603254277</v>
      </c>
      <c r="L5" s="6">
        <v>5136.9008257918913</v>
      </c>
      <c r="M5" s="6">
        <v>5256.3371588190748</v>
      </c>
      <c r="N5" s="6">
        <v>5564.5069840262977</v>
      </c>
    </row>
    <row r="6" spans="1:14" ht="16.5">
      <c r="A6" s="5" t="s">
        <v>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ht="16.5">
      <c r="A7" s="7" t="s">
        <v>4</v>
      </c>
      <c r="B7" s="8">
        <v>3971.0372737369962</v>
      </c>
      <c r="C7" s="8">
        <v>4034.3469018382066</v>
      </c>
      <c r="D7" s="8">
        <v>4020.2981230226032</v>
      </c>
      <c r="E7" s="8">
        <v>4205.162130474454</v>
      </c>
      <c r="F7" s="8">
        <v>4356.2005837036695</v>
      </c>
      <c r="G7" s="8">
        <v>4468.3396622895516</v>
      </c>
      <c r="H7" s="8">
        <v>4565.2736607152028</v>
      </c>
      <c r="I7" s="8">
        <v>4783.5950368920521</v>
      </c>
      <c r="J7" s="8">
        <v>5140.0350912430804</v>
      </c>
      <c r="K7" s="8">
        <v>5180.1681214406181</v>
      </c>
      <c r="L7" s="8">
        <v>5235.5485189919737</v>
      </c>
      <c r="M7" s="8">
        <v>5346.6814923625006</v>
      </c>
      <c r="N7" s="8">
        <v>5672.5745164059026</v>
      </c>
    </row>
    <row r="8" spans="1:14" ht="16.5">
      <c r="A8" s="5" t="s">
        <v>5</v>
      </c>
      <c r="B8" s="6">
        <v>3770.14198955551</v>
      </c>
      <c r="C8" s="6">
        <v>3845.0430199839343</v>
      </c>
      <c r="D8" s="6">
        <v>3851.4827155133394</v>
      </c>
      <c r="E8" s="6">
        <v>4040.4340389039107</v>
      </c>
      <c r="F8" s="6">
        <v>4222.9474839174563</v>
      </c>
      <c r="G8" s="6">
        <v>4321.3669831626585</v>
      </c>
      <c r="H8" s="6">
        <v>4414.0128013130188</v>
      </c>
      <c r="I8" s="6">
        <v>4624.9667511174093</v>
      </c>
      <c r="J8" s="6">
        <v>4993.6198439457648</v>
      </c>
      <c r="K8" s="6">
        <v>5031.6901848687085</v>
      </c>
      <c r="L8" s="6">
        <v>5095.3827241500348</v>
      </c>
      <c r="M8" s="6">
        <v>5188.6162331726282</v>
      </c>
      <c r="N8" s="6">
        <v>5522.1198746255777</v>
      </c>
    </row>
    <row r="9" spans="1:14" ht="16.5">
      <c r="A9" s="5" t="s">
        <v>6</v>
      </c>
      <c r="B9" s="6">
        <v>2987.6052181011596</v>
      </c>
      <c r="C9" s="6">
        <v>3263.3733599322409</v>
      </c>
      <c r="D9" s="6">
        <v>3704.9678432226051</v>
      </c>
      <c r="E9" s="6">
        <v>3759.0125441617788</v>
      </c>
      <c r="F9" s="6">
        <v>3800.7715711404194</v>
      </c>
      <c r="G9" s="6">
        <v>4058.7034049579224</v>
      </c>
      <c r="H9" s="6">
        <v>4126.3498302407943</v>
      </c>
      <c r="I9" s="6">
        <v>4300.9221527973605</v>
      </c>
      <c r="J9" s="6">
        <v>4705.8531730364539</v>
      </c>
      <c r="K9" s="6">
        <v>4734.1298236748262</v>
      </c>
      <c r="L9" s="6">
        <v>4810.5068663318953</v>
      </c>
      <c r="M9" s="6">
        <v>4924.9687241712036</v>
      </c>
      <c r="N9" s="6">
        <v>5230.5408751770165</v>
      </c>
    </row>
    <row r="10" spans="1:14" ht="16.5">
      <c r="A10" s="5" t="s">
        <v>7</v>
      </c>
      <c r="B10" s="6">
        <v>616.8821947805618</v>
      </c>
      <c r="C10" s="6">
        <v>269.10621898601164</v>
      </c>
      <c r="D10" s="6">
        <v>329.70429150980868</v>
      </c>
      <c r="E10" s="6">
        <v>262.56755824996827</v>
      </c>
      <c r="F10" s="6">
        <v>227.43473635265735</v>
      </c>
      <c r="G10" s="6">
        <v>217.38876328869239</v>
      </c>
      <c r="H10" s="6">
        <v>206.42691226902153</v>
      </c>
      <c r="I10" s="6">
        <v>200.01149969528856</v>
      </c>
      <c r="J10" s="6">
        <v>193.47459115219792</v>
      </c>
      <c r="K10" s="6">
        <v>190.64068166200562</v>
      </c>
      <c r="L10" s="6">
        <v>164.32764021151246</v>
      </c>
      <c r="M10" s="6">
        <v>113.98554217657167</v>
      </c>
      <c r="N10" s="6">
        <v>163.2507626902586</v>
      </c>
    </row>
    <row r="11" spans="1:14" ht="16.5">
      <c r="A11" s="5" t="s">
        <v>8</v>
      </c>
      <c r="B11" s="6">
        <v>2370.7230233205978</v>
      </c>
      <c r="C11" s="6">
        <v>2994.2671409462291</v>
      </c>
      <c r="D11" s="6">
        <v>3375.2635517127965</v>
      </c>
      <c r="E11" s="6">
        <v>3496.4449859118104</v>
      </c>
      <c r="F11" s="6">
        <v>3573.3368347877622</v>
      </c>
      <c r="G11" s="6">
        <v>3841.3146416692302</v>
      </c>
      <c r="H11" s="6">
        <v>3919.9229179717731</v>
      </c>
      <c r="I11" s="6">
        <v>4100.9106531020716</v>
      </c>
      <c r="J11" s="6">
        <v>4512.3785818842562</v>
      </c>
      <c r="K11" s="6">
        <v>4543.4891420128206</v>
      </c>
      <c r="L11" s="6">
        <v>4646.1792261203827</v>
      </c>
      <c r="M11" s="6">
        <v>4810.9831819946321</v>
      </c>
      <c r="N11" s="6">
        <v>5067.2901124867576</v>
      </c>
    </row>
    <row r="12" spans="1:14" ht="16.5">
      <c r="A12" s="5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</row>
    <row r="13" spans="1:14" ht="16.5">
      <c r="A13" s="5" t="s">
        <v>10</v>
      </c>
      <c r="B13" s="6">
        <v>782.53677145435051</v>
      </c>
      <c r="C13" s="6">
        <v>581.66966005169343</v>
      </c>
      <c r="D13" s="6">
        <v>146.51487229073408</v>
      </c>
      <c r="E13" s="6">
        <v>281.4214947421317</v>
      </c>
      <c r="F13" s="6">
        <v>422.17591277703713</v>
      </c>
      <c r="G13" s="6">
        <v>262.66357820473587</v>
      </c>
      <c r="H13" s="6">
        <v>287.66297107222488</v>
      </c>
      <c r="I13" s="6">
        <v>324.04459832004852</v>
      </c>
      <c r="J13" s="6">
        <v>287.76667090931119</v>
      </c>
      <c r="K13" s="6">
        <v>297.56036119388216</v>
      </c>
      <c r="L13" s="6">
        <v>284.87585781813948</v>
      </c>
      <c r="M13" s="6">
        <v>263.64750900142502</v>
      </c>
      <c r="N13" s="6">
        <v>291.57899944856138</v>
      </c>
    </row>
    <row r="14" spans="1:14" ht="16.5">
      <c r="A14" s="5" t="s">
        <v>11</v>
      </c>
      <c r="B14" s="6">
        <v>99.447604164724353</v>
      </c>
      <c r="C14" s="6">
        <v>93.611859440462354</v>
      </c>
      <c r="D14" s="6">
        <v>72.509560312253626</v>
      </c>
      <c r="E14" s="6">
        <v>50.43999654868788</v>
      </c>
      <c r="F14" s="6">
        <v>48.948915813060644</v>
      </c>
      <c r="G14" s="6">
        <v>49.515224694373693</v>
      </c>
      <c r="H14" s="6">
        <v>50.099332183608546</v>
      </c>
      <c r="I14" s="6">
        <v>50.147747619402452</v>
      </c>
      <c r="J14" s="6">
        <v>50.396086182124662</v>
      </c>
      <c r="K14" s="6">
        <v>49.830243371826654</v>
      </c>
      <c r="L14" s="6">
        <v>49.821461298514002</v>
      </c>
      <c r="M14" s="6">
        <v>49.997726810267203</v>
      </c>
      <c r="N14" s="6">
        <v>50.058974131095262</v>
      </c>
    </row>
    <row r="15" spans="1:14" ht="16.5">
      <c r="A15" s="7" t="s">
        <v>12</v>
      </c>
      <c r="B15" s="8">
        <v>3869.5895937202345</v>
      </c>
      <c r="C15" s="8">
        <v>3938.6548794243968</v>
      </c>
      <c r="D15" s="8">
        <v>3923.992275825593</v>
      </c>
      <c r="E15" s="8">
        <v>4090.8740354525985</v>
      </c>
      <c r="F15" s="8">
        <v>4271.8963997305173</v>
      </c>
      <c r="G15" s="8">
        <v>4370.882207857032</v>
      </c>
      <c r="H15" s="8">
        <v>4464.1121334966274</v>
      </c>
      <c r="I15" s="8">
        <v>4675.1144987368116</v>
      </c>
      <c r="J15" s="8">
        <v>5044.0159301278891</v>
      </c>
      <c r="K15" s="8">
        <v>5081.5204282405348</v>
      </c>
      <c r="L15" s="8">
        <v>5145.2041854485487</v>
      </c>
      <c r="M15" s="8">
        <v>5238.6139599828957</v>
      </c>
      <c r="N15" s="8">
        <v>5572.1788487566728</v>
      </c>
    </row>
    <row r="16" spans="1:14" ht="17.25" thickBot="1">
      <c r="A16" s="5" t="s">
        <v>13</v>
      </c>
      <c r="B16" s="6">
        <v>101.44768001676124</v>
      </c>
      <c r="C16" s="6">
        <v>95.692022413809809</v>
      </c>
      <c r="D16" s="6">
        <v>96.305847197010394</v>
      </c>
      <c r="E16" s="6">
        <v>114.28809502185561</v>
      </c>
      <c r="F16" s="6">
        <v>84.304183973151396</v>
      </c>
      <c r="G16" s="6">
        <v>97.457454432519057</v>
      </c>
      <c r="H16" s="6">
        <v>101.16152721857418</v>
      </c>
      <c r="I16" s="6">
        <v>108.48053815524099</v>
      </c>
      <c r="J16" s="6">
        <v>96.019161115190343</v>
      </c>
      <c r="K16" s="6">
        <v>98.647693200082415</v>
      </c>
      <c r="L16" s="6">
        <v>90.344333543426217</v>
      </c>
      <c r="M16" s="6">
        <v>108.06753237960493</v>
      </c>
      <c r="N16" s="6">
        <v>100.39566764923035</v>
      </c>
    </row>
    <row r="17" spans="1:14" ht="16.5">
      <c r="A17" s="9" t="s">
        <v>45</v>
      </c>
      <c r="B17" s="10">
        <v>81.400000000000006</v>
      </c>
      <c r="C17" s="10">
        <v>72.3</v>
      </c>
      <c r="D17" s="10">
        <v>66</v>
      </c>
      <c r="E17" s="10">
        <v>110.80000000000001</v>
      </c>
      <c r="F17" s="10">
        <v>110.7</v>
      </c>
      <c r="G17" s="10">
        <v>77</v>
      </c>
      <c r="H17" s="10">
        <v>76.7</v>
      </c>
      <c r="I17" s="10">
        <v>89.100000000000009</v>
      </c>
      <c r="J17" s="10">
        <v>93.300000000000011</v>
      </c>
      <c r="K17" s="10">
        <v>95.2</v>
      </c>
      <c r="L17" s="10">
        <v>88.600000000000009</v>
      </c>
      <c r="M17" s="10">
        <v>89</v>
      </c>
      <c r="N17" s="10">
        <v>110.60000000000001</v>
      </c>
    </row>
    <row r="18" spans="1:14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48AD-7EE9-408D-969C-D9F6F78DBCB3}">
  <dimension ref="A1:N19"/>
  <sheetViews>
    <sheetView workbookViewId="0">
      <selection activeCell="M17" sqref="M17"/>
    </sheetView>
  </sheetViews>
  <sheetFormatPr defaultRowHeight="12.75"/>
  <cols>
    <col min="1" max="1" width="45.1640625" customWidth="1"/>
  </cols>
  <sheetData>
    <row r="1" spans="1:14" ht="13.5" thickBot="1"/>
    <row r="2" spans="1:14" ht="23.25">
      <c r="A2" s="1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75" thickBot="1">
      <c r="A3" s="3"/>
      <c r="B3" s="4">
        <v>2023</v>
      </c>
      <c r="C3" s="4">
        <v>2024</v>
      </c>
      <c r="D3" s="4">
        <v>2025</v>
      </c>
      <c r="E3" s="4">
        <v>2026</v>
      </c>
      <c r="F3" s="4">
        <v>2027</v>
      </c>
      <c r="G3" s="4">
        <v>2028</v>
      </c>
      <c r="H3" s="4">
        <v>2029</v>
      </c>
      <c r="I3" s="4">
        <v>2030</v>
      </c>
      <c r="J3" s="4">
        <v>2031</v>
      </c>
      <c r="K3" s="4">
        <v>2032</v>
      </c>
      <c r="L3" s="4">
        <v>2033</v>
      </c>
      <c r="M3" s="4">
        <v>2034</v>
      </c>
      <c r="N3" s="4">
        <v>2035</v>
      </c>
    </row>
    <row r="4" spans="1:14" ht="16.5">
      <c r="A4" s="5" t="s">
        <v>1</v>
      </c>
      <c r="B4" s="6">
        <v>99.238551427912739</v>
      </c>
      <c r="C4" s="6">
        <v>94.611061472608412</v>
      </c>
      <c r="D4" s="6">
        <v>129.13026777051482</v>
      </c>
      <c r="E4" s="6">
        <v>94.183479022919244</v>
      </c>
      <c r="F4" s="6">
        <v>98.390084902917067</v>
      </c>
      <c r="G4" s="6">
        <v>96.56412006879259</v>
      </c>
      <c r="H4" s="6">
        <v>86.015517374563728</v>
      </c>
      <c r="I4" s="6">
        <v>87.852418822585776</v>
      </c>
      <c r="J4" s="6">
        <v>96.734289412438386</v>
      </c>
      <c r="K4" s="6">
        <v>97.501731870158608</v>
      </c>
      <c r="L4" s="6">
        <v>88.314193330372802</v>
      </c>
      <c r="M4" s="6">
        <v>106.41954682802168</v>
      </c>
      <c r="N4" s="6">
        <v>100.56274027011256</v>
      </c>
    </row>
    <row r="5" spans="1:14" ht="16.5">
      <c r="A5" s="5" t="s">
        <v>2</v>
      </c>
      <c r="B5" s="6">
        <v>3731.5965042403623</v>
      </c>
      <c r="C5" s="6">
        <v>3764.8683833783116</v>
      </c>
      <c r="D5" s="6">
        <v>3698.1578807866481</v>
      </c>
      <c r="E5" s="6">
        <v>3671.8538419512124</v>
      </c>
      <c r="F5" s="6">
        <v>3686.7805266587407</v>
      </c>
      <c r="G5" s="6">
        <v>3697.839175037434</v>
      </c>
      <c r="H5" s="6">
        <v>3671.2845127282835</v>
      </c>
      <c r="I5" s="6">
        <v>3656.8306011224081</v>
      </c>
      <c r="J5" s="6">
        <v>3656.3927938186443</v>
      </c>
      <c r="K5" s="6">
        <v>3720.9662422161314</v>
      </c>
      <c r="L5" s="6">
        <v>3699.9333677446584</v>
      </c>
      <c r="M5" s="6">
        <v>3675.9829725260101</v>
      </c>
      <c r="N5" s="6">
        <v>3653.2394153113337</v>
      </c>
    </row>
    <row r="6" spans="1:14" ht="16.5">
      <c r="A6" s="5" t="s">
        <v>3</v>
      </c>
      <c r="B6" s="6">
        <v>927.83977057416757</v>
      </c>
      <c r="C6" s="6">
        <v>915.78780207508146</v>
      </c>
      <c r="D6" s="6">
        <v>949.82273858812925</v>
      </c>
      <c r="E6" s="6">
        <v>1027.4508634195486</v>
      </c>
      <c r="F6" s="6">
        <v>1023.0496293392883</v>
      </c>
      <c r="G6" s="6">
        <v>1050.5290798505989</v>
      </c>
      <c r="H6" s="6">
        <v>1052.7213336610846</v>
      </c>
      <c r="I6" s="6">
        <v>1078.9270832946108</v>
      </c>
      <c r="J6" s="6">
        <v>1091.5457764780249</v>
      </c>
      <c r="K6" s="6">
        <v>1114.0608169548</v>
      </c>
      <c r="L6" s="6">
        <v>1137.7297770830714</v>
      </c>
      <c r="M6" s="6">
        <v>1149.8070090064712</v>
      </c>
      <c r="N6" s="6">
        <v>1157.1741536265774</v>
      </c>
    </row>
    <row r="7" spans="1:14" ht="16.5">
      <c r="A7" s="7" t="s">
        <v>4</v>
      </c>
      <c r="B7" s="8">
        <v>4758.6748262424426</v>
      </c>
      <c r="C7" s="8">
        <v>4775.2672469260015</v>
      </c>
      <c r="D7" s="8">
        <v>4777.1108871452925</v>
      </c>
      <c r="E7" s="8">
        <v>4793.4881843936801</v>
      </c>
      <c r="F7" s="8">
        <v>4808.220240900946</v>
      </c>
      <c r="G7" s="8">
        <v>4844.9323749568248</v>
      </c>
      <c r="H7" s="8">
        <v>4810.0213637639317</v>
      </c>
      <c r="I7" s="8">
        <v>4823.6101032396045</v>
      </c>
      <c r="J7" s="8">
        <v>4844.6728597091078</v>
      </c>
      <c r="K7" s="8">
        <v>4932.5287910410898</v>
      </c>
      <c r="L7" s="8">
        <v>4925.9773381581026</v>
      </c>
      <c r="M7" s="8">
        <v>4932.2095283605031</v>
      </c>
      <c r="N7" s="8">
        <v>4910.9763092080238</v>
      </c>
    </row>
    <row r="8" spans="1:14" ht="16.5">
      <c r="A8" s="5" t="s">
        <v>5</v>
      </c>
      <c r="B8" s="6">
        <v>4321.742928762701</v>
      </c>
      <c r="C8" s="6">
        <v>4327.8910114424034</v>
      </c>
      <c r="D8" s="6">
        <v>4390.523138885339</v>
      </c>
      <c r="E8" s="6">
        <v>4427.745840950447</v>
      </c>
      <c r="F8" s="6">
        <v>4471.521353496827</v>
      </c>
      <c r="G8" s="6">
        <v>4538.0984124973475</v>
      </c>
      <c r="H8" s="6">
        <v>4529.8342655370343</v>
      </c>
      <c r="I8" s="6">
        <v>4559.0728094059741</v>
      </c>
      <c r="J8" s="6">
        <v>4604.4667414878313</v>
      </c>
      <c r="K8" s="6">
        <v>4726.4464622334981</v>
      </c>
      <c r="L8" s="6">
        <v>4719.6197682488555</v>
      </c>
      <c r="M8" s="6">
        <v>4731.3783082298369</v>
      </c>
      <c r="N8" s="6">
        <v>4709.5335788403172</v>
      </c>
    </row>
    <row r="9" spans="1:14" ht="16.5">
      <c r="A9" s="5" t="s">
        <v>6</v>
      </c>
      <c r="B9" s="6">
        <v>1687.8347475797964</v>
      </c>
      <c r="C9" s="6">
        <v>1868.2908620007236</v>
      </c>
      <c r="D9" s="6">
        <v>2634.2891427092659</v>
      </c>
      <c r="E9" s="6">
        <v>2888.6302554792396</v>
      </c>
      <c r="F9" s="6">
        <v>3130.6320429116108</v>
      </c>
      <c r="G9" s="6">
        <v>3136.9562250150625</v>
      </c>
      <c r="H9" s="6">
        <v>3318.7231169009087</v>
      </c>
      <c r="I9" s="6">
        <v>3529.4854319720257</v>
      </c>
      <c r="J9" s="6">
        <v>3540.4712670677245</v>
      </c>
      <c r="K9" s="6">
        <v>3668.6696897158954</v>
      </c>
      <c r="L9" s="6">
        <v>3672.8803744732231</v>
      </c>
      <c r="M9" s="6">
        <v>3694.5988981304945</v>
      </c>
      <c r="N9" s="6">
        <v>3802.4801698671949</v>
      </c>
    </row>
    <row r="10" spans="1:14" ht="16.5">
      <c r="A10" s="5" t="s">
        <v>7</v>
      </c>
      <c r="B10" s="6">
        <v>571.91096110950832</v>
      </c>
      <c r="C10" s="6">
        <v>192.99130206933157</v>
      </c>
      <c r="D10" s="6">
        <v>261.50434157054667</v>
      </c>
      <c r="E10" s="6">
        <v>243.26542279241713</v>
      </c>
      <c r="F10" s="6">
        <v>238.04290915391758</v>
      </c>
      <c r="G10" s="6">
        <v>226.25639120993554</v>
      </c>
      <c r="H10" s="6">
        <v>208.52342408357083</v>
      </c>
      <c r="I10" s="6">
        <v>196.29109704815409</v>
      </c>
      <c r="J10" s="6">
        <v>181.30322794432243</v>
      </c>
      <c r="K10" s="6">
        <v>172.00393731092899</v>
      </c>
      <c r="L10" s="6">
        <v>159.04501015247223</v>
      </c>
      <c r="M10" s="6">
        <v>135.98156064078032</v>
      </c>
      <c r="N10" s="6">
        <v>139.7737287218695</v>
      </c>
    </row>
    <row r="11" spans="1:14" ht="16.5">
      <c r="A11" s="5" t="s">
        <v>8</v>
      </c>
      <c r="B11" s="6">
        <v>857.26611273314984</v>
      </c>
      <c r="C11" s="6">
        <v>1400.9637173172559</v>
      </c>
      <c r="D11" s="6">
        <v>2064.3428722439544</v>
      </c>
      <c r="E11" s="6">
        <v>2346.2930268488826</v>
      </c>
      <c r="F11" s="6">
        <v>2588.1059524801949</v>
      </c>
      <c r="G11" s="6">
        <v>2600.1096210734868</v>
      </c>
      <c r="H11" s="6">
        <v>2784.866301951708</v>
      </c>
      <c r="I11" s="6">
        <v>2995.2095586583332</v>
      </c>
      <c r="J11" s="6">
        <v>3015.6716039360454</v>
      </c>
      <c r="K11" s="6">
        <v>3144.5329948306235</v>
      </c>
      <c r="L11" s="6">
        <v>3152.3877620192407</v>
      </c>
      <c r="M11" s="6">
        <v>3187.1800943382341</v>
      </c>
      <c r="N11" s="6">
        <v>3282.2751360312918</v>
      </c>
    </row>
    <row r="12" spans="1:14" ht="16.5">
      <c r="A12" s="5" t="s">
        <v>9</v>
      </c>
      <c r="B12" s="6">
        <v>258.65767373713845</v>
      </c>
      <c r="C12" s="6">
        <v>274.33584261413603</v>
      </c>
      <c r="D12" s="6">
        <v>308.44192889476454</v>
      </c>
      <c r="E12" s="6">
        <v>299.07180583793985</v>
      </c>
      <c r="F12" s="6">
        <v>304.48318127749815</v>
      </c>
      <c r="G12" s="6">
        <v>310.59021273164035</v>
      </c>
      <c r="H12" s="6">
        <v>325.33339086562995</v>
      </c>
      <c r="I12" s="6">
        <v>337.98477626553858</v>
      </c>
      <c r="J12" s="6">
        <v>343.49643518735661</v>
      </c>
      <c r="K12" s="6">
        <v>352.13275757434309</v>
      </c>
      <c r="L12" s="6">
        <v>361.44760230151059</v>
      </c>
      <c r="M12" s="6">
        <v>371.43724315148029</v>
      </c>
      <c r="N12" s="6">
        <v>380.43130511403331</v>
      </c>
    </row>
    <row r="13" spans="1:14" ht="16.5">
      <c r="A13" s="5" t="s">
        <v>10</v>
      </c>
      <c r="B13" s="6">
        <v>2633.9081811829046</v>
      </c>
      <c r="C13" s="6">
        <v>2459.6001494416796</v>
      </c>
      <c r="D13" s="6">
        <v>1756.2339961760727</v>
      </c>
      <c r="E13" s="6">
        <v>1539.1155854712079</v>
      </c>
      <c r="F13" s="6">
        <v>1340.889310585216</v>
      </c>
      <c r="G13" s="6">
        <v>1401.1421874822854</v>
      </c>
      <c r="H13" s="6">
        <v>1211.1111486361256</v>
      </c>
      <c r="I13" s="6">
        <v>1029.5873774339484</v>
      </c>
      <c r="J13" s="6">
        <v>1063.9954744201073</v>
      </c>
      <c r="K13" s="6">
        <v>1057.7767725176022</v>
      </c>
      <c r="L13" s="6">
        <v>1046.7393937756322</v>
      </c>
      <c r="M13" s="6">
        <v>1036.7794100993424</v>
      </c>
      <c r="N13" s="6">
        <v>907.05340897312226</v>
      </c>
    </row>
    <row r="14" spans="1:14" ht="16.5">
      <c r="A14" s="5" t="s">
        <v>11</v>
      </c>
      <c r="B14" s="6">
        <v>342.32083600713293</v>
      </c>
      <c r="C14" s="6">
        <v>318.24596771308325</v>
      </c>
      <c r="D14" s="6">
        <v>292.40426923703427</v>
      </c>
      <c r="E14" s="6">
        <v>267.35225854031683</v>
      </c>
      <c r="F14" s="6">
        <v>240.13476733532738</v>
      </c>
      <c r="G14" s="6">
        <v>220.81844508491352</v>
      </c>
      <c r="H14" s="6">
        <v>192.33467940431154</v>
      </c>
      <c r="I14" s="6">
        <v>167.80300442119176</v>
      </c>
      <c r="J14" s="6">
        <v>142.70438635111859</v>
      </c>
      <c r="K14" s="6">
        <v>117.76813547721888</v>
      </c>
      <c r="L14" s="6">
        <v>99.938023081225936</v>
      </c>
      <c r="M14" s="6">
        <v>100.26847986055346</v>
      </c>
      <c r="N14" s="6">
        <v>99.889948795067284</v>
      </c>
    </row>
    <row r="15" spans="1:14" ht="16.5">
      <c r="A15" s="7" t="s">
        <v>12</v>
      </c>
      <c r="B15" s="8">
        <v>4664.0637647698341</v>
      </c>
      <c r="C15" s="8">
        <v>4646.1369791554862</v>
      </c>
      <c r="D15" s="8">
        <v>4682.927408122373</v>
      </c>
      <c r="E15" s="8">
        <v>4695.0980994907641</v>
      </c>
      <c r="F15" s="8">
        <v>4711.6561208321546</v>
      </c>
      <c r="G15" s="8">
        <v>4758.9168575822614</v>
      </c>
      <c r="H15" s="8">
        <v>4722.1689449413461</v>
      </c>
      <c r="I15" s="8">
        <v>4726.875813827166</v>
      </c>
      <c r="J15" s="8">
        <v>4747.1711278389503</v>
      </c>
      <c r="K15" s="8">
        <v>4844.2145977107166</v>
      </c>
      <c r="L15" s="8">
        <v>4819.5577913300813</v>
      </c>
      <c r="M15" s="8">
        <v>4831.6467880903901</v>
      </c>
      <c r="N15" s="8">
        <v>4809.4235276353847</v>
      </c>
    </row>
    <row r="16" spans="1:14" ht="17.25" thickBot="1">
      <c r="A16" s="5" t="s">
        <v>13</v>
      </c>
      <c r="B16" s="6">
        <v>94.611061472608412</v>
      </c>
      <c r="C16" s="6">
        <v>129.13026777051482</v>
      </c>
      <c r="D16" s="6">
        <v>94.183479022919244</v>
      </c>
      <c r="E16" s="6">
        <v>98.390084902917067</v>
      </c>
      <c r="F16" s="6">
        <v>96.56412006879259</v>
      </c>
      <c r="G16" s="6">
        <v>86.015517374563728</v>
      </c>
      <c r="H16" s="6">
        <v>87.852418822585776</v>
      </c>
      <c r="I16" s="6">
        <v>96.734289412438386</v>
      </c>
      <c r="J16" s="6">
        <v>97.501731870158608</v>
      </c>
      <c r="K16" s="6">
        <v>88.314193330372802</v>
      </c>
      <c r="L16" s="6">
        <v>106.41954682802168</v>
      </c>
      <c r="M16" s="6">
        <v>100.56274027011256</v>
      </c>
      <c r="N16" s="6">
        <v>101.55278157263865</v>
      </c>
    </row>
    <row r="17" spans="1:14" ht="16.5">
      <c r="A17" s="9" t="s">
        <v>45</v>
      </c>
      <c r="B17" s="10">
        <v>80.2</v>
      </c>
      <c r="C17" s="10">
        <v>74.8</v>
      </c>
      <c r="D17" s="10">
        <v>70.3</v>
      </c>
      <c r="E17" s="10">
        <v>112</v>
      </c>
      <c r="F17" s="10">
        <v>111.4</v>
      </c>
      <c r="G17" s="10">
        <v>79.100000000000009</v>
      </c>
      <c r="H17" s="10">
        <v>79.7</v>
      </c>
      <c r="I17" s="10">
        <v>92.4</v>
      </c>
      <c r="J17" s="10">
        <v>96.5</v>
      </c>
      <c r="K17" s="10">
        <v>100.7</v>
      </c>
      <c r="L17" s="10">
        <v>93.300000000000011</v>
      </c>
      <c r="M17" s="10">
        <v>89.7</v>
      </c>
      <c r="N17" s="10">
        <v>119.10000000000001</v>
      </c>
    </row>
    <row r="19" spans="1:14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5587-A6A5-4835-8579-84076A35D870}">
  <dimension ref="A1:N7"/>
  <sheetViews>
    <sheetView workbookViewId="0">
      <selection activeCell="M17" sqref="M17"/>
    </sheetView>
  </sheetViews>
  <sheetFormatPr defaultRowHeight="12.75"/>
  <cols>
    <col min="1" max="1" width="15.33203125" customWidth="1"/>
  </cols>
  <sheetData>
    <row r="1" spans="1:14" ht="13.5" thickBot="1"/>
    <row r="2" spans="1:14" ht="23.25">
      <c r="A2" s="1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75" thickBot="1">
      <c r="A3" s="4"/>
      <c r="B3" s="4">
        <v>2023</v>
      </c>
      <c r="C3" s="4">
        <v>2024</v>
      </c>
      <c r="D3" s="4">
        <v>2025</v>
      </c>
      <c r="E3" s="4">
        <v>2026</v>
      </c>
      <c r="F3" s="4">
        <v>2027</v>
      </c>
      <c r="G3" s="4">
        <v>2028</v>
      </c>
      <c r="H3" s="4">
        <v>2029</v>
      </c>
      <c r="I3" s="4">
        <v>2030</v>
      </c>
      <c r="J3" s="4">
        <v>2031</v>
      </c>
      <c r="K3" s="4">
        <v>2032</v>
      </c>
      <c r="L3" s="4">
        <v>2033</v>
      </c>
      <c r="M3" s="4">
        <v>2034</v>
      </c>
      <c r="N3" s="4">
        <v>2035</v>
      </c>
    </row>
    <row r="4" spans="1:14" ht="16.5">
      <c r="A4" s="28" t="s">
        <v>49</v>
      </c>
      <c r="B4" s="6">
        <v>167.5</v>
      </c>
      <c r="C4" s="6">
        <v>141.25</v>
      </c>
      <c r="D4" s="6">
        <v>130</v>
      </c>
      <c r="E4" s="6">
        <v>151.25</v>
      </c>
      <c r="F4" s="6">
        <v>140</v>
      </c>
      <c r="G4" s="6">
        <v>128.75</v>
      </c>
      <c r="H4" s="6">
        <v>131.25</v>
      </c>
      <c r="I4" s="6">
        <v>150</v>
      </c>
      <c r="J4" s="6">
        <v>156.25</v>
      </c>
      <c r="K4" s="6">
        <v>165</v>
      </c>
      <c r="L4" s="6">
        <v>153.75</v>
      </c>
      <c r="M4" s="6">
        <v>153.75</v>
      </c>
      <c r="N4" s="6">
        <v>168.75</v>
      </c>
    </row>
    <row r="5" spans="1:14" ht="16.5">
      <c r="A5" s="28" t="s">
        <v>50</v>
      </c>
      <c r="B5" s="6">
        <v>55</v>
      </c>
      <c r="C5" s="6">
        <v>75</v>
      </c>
      <c r="D5" s="6">
        <v>100</v>
      </c>
      <c r="E5" s="6">
        <v>100</v>
      </c>
      <c r="F5" s="6">
        <v>125</v>
      </c>
      <c r="G5" s="6">
        <v>147.5</v>
      </c>
      <c r="H5" s="6">
        <v>117.5</v>
      </c>
      <c r="I5" s="6">
        <v>125</v>
      </c>
      <c r="J5" s="6">
        <v>127.5</v>
      </c>
      <c r="K5" s="6">
        <v>110</v>
      </c>
      <c r="L5" s="6">
        <v>120</v>
      </c>
      <c r="M5" s="6">
        <v>140</v>
      </c>
      <c r="N5" s="6">
        <v>170</v>
      </c>
    </row>
    <row r="6" spans="1:14" ht="17.25" thickBot="1">
      <c r="A6" s="28" t="s">
        <v>51</v>
      </c>
      <c r="B6" s="6">
        <v>100</v>
      </c>
      <c r="C6" s="6">
        <v>44.034447853662769</v>
      </c>
      <c r="D6" s="6">
        <v>43.98400564812647</v>
      </c>
      <c r="E6" s="6">
        <v>45.404080907359166</v>
      </c>
      <c r="F6" s="6">
        <v>45.682115737985427</v>
      </c>
      <c r="G6" s="6">
        <v>47.920032077219076</v>
      </c>
      <c r="H6" s="6">
        <v>47.822769604155091</v>
      </c>
      <c r="I6" s="6">
        <v>47.451220961428362</v>
      </c>
      <c r="J6" s="6">
        <v>48.556262778382973</v>
      </c>
      <c r="K6" s="6">
        <v>49.315690416024935</v>
      </c>
      <c r="L6" s="6">
        <v>49.591477730290393</v>
      </c>
      <c r="M6" s="6">
        <v>49.652415451793871</v>
      </c>
      <c r="N6" s="6">
        <v>48.671545763566549</v>
      </c>
    </row>
    <row r="7" spans="1:14" ht="16.5">
      <c r="A7" s="29" t="s">
        <v>52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5F93-3182-41F4-B0AE-4F133FBCF1C3}">
  <sheetPr>
    <tabColor rgb="FFFF0000"/>
  </sheetPr>
  <dimension ref="A1:N12"/>
  <sheetViews>
    <sheetView workbookViewId="0">
      <selection activeCell="M17" sqref="M17"/>
    </sheetView>
  </sheetViews>
  <sheetFormatPr defaultRowHeight="12.75"/>
  <cols>
    <col min="1" max="1" width="43.33203125" customWidth="1"/>
  </cols>
  <sheetData>
    <row r="1" spans="1:14" ht="13.5" thickBot="1"/>
    <row r="2" spans="1:14" ht="23.25">
      <c r="A2" s="1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75" thickBot="1">
      <c r="A3" s="3"/>
      <c r="B3" s="4">
        <v>2023</v>
      </c>
      <c r="C3" s="4">
        <v>2024</v>
      </c>
      <c r="D3" s="4">
        <v>2025</v>
      </c>
      <c r="E3" s="4">
        <v>2026</v>
      </c>
      <c r="F3" s="4">
        <v>2027</v>
      </c>
      <c r="G3" s="4">
        <v>2028</v>
      </c>
      <c r="H3" s="4">
        <v>2029</v>
      </c>
      <c r="I3" s="4">
        <v>2030</v>
      </c>
      <c r="J3" s="4">
        <v>2031</v>
      </c>
      <c r="K3" s="4">
        <v>2032</v>
      </c>
      <c r="L3" s="4">
        <v>2033</v>
      </c>
      <c r="M3" s="4">
        <v>2034</v>
      </c>
      <c r="N3" s="4">
        <v>2035</v>
      </c>
    </row>
    <row r="4" spans="1:14" ht="16.5">
      <c r="A4" s="28" t="s">
        <v>54</v>
      </c>
      <c r="B4" s="30">
        <v>100</v>
      </c>
      <c r="C4" s="30">
        <v>100</v>
      </c>
      <c r="D4" s="30">
        <v>100</v>
      </c>
      <c r="E4" s="30">
        <v>100</v>
      </c>
      <c r="F4" s="30">
        <v>100</v>
      </c>
      <c r="G4" s="30">
        <v>100</v>
      </c>
      <c r="H4" s="30">
        <v>100</v>
      </c>
      <c r="I4" s="30">
        <v>100</v>
      </c>
      <c r="J4" s="30">
        <v>100</v>
      </c>
      <c r="K4" s="30">
        <v>100</v>
      </c>
      <c r="L4" s="30">
        <v>100</v>
      </c>
      <c r="M4" s="30">
        <v>100</v>
      </c>
      <c r="N4" s="30">
        <v>100</v>
      </c>
    </row>
    <row r="5" spans="1:14" ht="16.5">
      <c r="A5" s="28" t="s">
        <v>2</v>
      </c>
      <c r="B5" s="30">
        <v>1649.1043913135829</v>
      </c>
      <c r="C5" s="30">
        <v>2520.2625328360514</v>
      </c>
      <c r="D5" s="30">
        <v>3349.9104764906324</v>
      </c>
      <c r="E5" s="30">
        <v>3378.6185909916744</v>
      </c>
      <c r="F5" s="30">
        <v>3559.8312559393489</v>
      </c>
      <c r="G5" s="30">
        <v>3644.6144035310872</v>
      </c>
      <c r="H5" s="30">
        <v>3869.3166739159014</v>
      </c>
      <c r="I5" s="30">
        <v>4046.2294301111974</v>
      </c>
      <c r="J5" s="30">
        <v>4125.2950209625415</v>
      </c>
      <c r="K5" s="30">
        <v>4241.6684998481314</v>
      </c>
      <c r="L5" s="30">
        <v>4366.2729605276181</v>
      </c>
      <c r="M5" s="30">
        <v>4499.6617041993113</v>
      </c>
      <c r="N5" s="30">
        <v>4621.4401854288062</v>
      </c>
    </row>
    <row r="6" spans="1:14" ht="16.5">
      <c r="A6" s="28" t="s">
        <v>3</v>
      </c>
      <c r="B6" s="30">
        <v>865.00000000000023</v>
      </c>
      <c r="C6" s="30">
        <v>884.99999999999989</v>
      </c>
      <c r="D6" s="30">
        <v>1225</v>
      </c>
      <c r="E6" s="30">
        <v>1500.0000000000002</v>
      </c>
      <c r="F6" s="30">
        <v>1500</v>
      </c>
      <c r="G6" s="30">
        <v>1500</v>
      </c>
      <c r="H6" s="30">
        <v>1499.9999999999998</v>
      </c>
      <c r="I6" s="30">
        <v>1499.9999999999995</v>
      </c>
      <c r="J6" s="30">
        <v>1500</v>
      </c>
      <c r="K6" s="30">
        <v>1500</v>
      </c>
      <c r="L6" s="30">
        <v>1500.0000000000005</v>
      </c>
      <c r="M6" s="30">
        <v>1500.0000000000002</v>
      </c>
      <c r="N6" s="30">
        <v>1500.0000000000002</v>
      </c>
    </row>
    <row r="7" spans="1:14" ht="16.5">
      <c r="A7" s="31" t="s">
        <v>55</v>
      </c>
      <c r="B7" s="32">
        <v>2614.1043913135832</v>
      </c>
      <c r="C7" s="32">
        <v>3505.2625328360514</v>
      </c>
      <c r="D7" s="32">
        <v>4674.9104764906324</v>
      </c>
      <c r="E7" s="32">
        <v>4978.6185909916749</v>
      </c>
      <c r="F7" s="32">
        <v>5159.8312559393489</v>
      </c>
      <c r="G7" s="32">
        <v>5244.6144035310872</v>
      </c>
      <c r="H7" s="32">
        <v>5469.3166739159014</v>
      </c>
      <c r="I7" s="32">
        <v>5646.2294301111979</v>
      </c>
      <c r="J7" s="32">
        <v>5725.2950209625415</v>
      </c>
      <c r="K7" s="32">
        <v>5841.6684998481314</v>
      </c>
      <c r="L7" s="32">
        <v>5966.2729605276181</v>
      </c>
      <c r="M7" s="32">
        <v>6099.6617041993113</v>
      </c>
      <c r="N7" s="32">
        <v>6221.4401854288062</v>
      </c>
    </row>
    <row r="8" spans="1:14" ht="16.5">
      <c r="A8" s="28" t="s">
        <v>56</v>
      </c>
      <c r="B8" s="30">
        <v>2264.1043913135832</v>
      </c>
      <c r="C8" s="30">
        <v>3155.2625328360514</v>
      </c>
      <c r="D8" s="30">
        <v>4324.9104764906324</v>
      </c>
      <c r="E8" s="30">
        <v>4628.6185909916749</v>
      </c>
      <c r="F8" s="30">
        <v>4809.8312559393489</v>
      </c>
      <c r="G8" s="30">
        <v>4894.6144035310872</v>
      </c>
      <c r="H8" s="30">
        <v>5119.3166739159014</v>
      </c>
      <c r="I8" s="30">
        <v>5296.2294301111979</v>
      </c>
      <c r="J8" s="30">
        <v>5375.2950209625415</v>
      </c>
      <c r="K8" s="30">
        <v>5491.6684998481314</v>
      </c>
      <c r="L8" s="30">
        <v>5616.2729605276181</v>
      </c>
      <c r="M8" s="30">
        <v>5749.6617041993113</v>
      </c>
      <c r="N8" s="30">
        <v>5871.4401854288062</v>
      </c>
    </row>
    <row r="9" spans="1:14" ht="16.5">
      <c r="A9" s="28" t="s">
        <v>11</v>
      </c>
      <c r="B9" s="30">
        <v>250</v>
      </c>
      <c r="C9" s="30">
        <v>250</v>
      </c>
      <c r="D9" s="30">
        <v>250</v>
      </c>
      <c r="E9" s="30">
        <v>250</v>
      </c>
      <c r="F9" s="30">
        <v>250</v>
      </c>
      <c r="G9" s="30">
        <v>250</v>
      </c>
      <c r="H9" s="30">
        <v>250</v>
      </c>
      <c r="I9" s="30">
        <v>250</v>
      </c>
      <c r="J9" s="30">
        <v>250</v>
      </c>
      <c r="K9" s="30">
        <v>250</v>
      </c>
      <c r="L9" s="30">
        <v>250</v>
      </c>
      <c r="M9" s="30">
        <v>250</v>
      </c>
      <c r="N9" s="30">
        <v>250</v>
      </c>
    </row>
    <row r="10" spans="1:14" ht="16.5">
      <c r="A10" s="31" t="s">
        <v>57</v>
      </c>
      <c r="B10" s="32">
        <v>2514.1043913135832</v>
      </c>
      <c r="C10" s="32">
        <v>3405.2625328360514</v>
      </c>
      <c r="D10" s="32">
        <v>4574.9104764906324</v>
      </c>
      <c r="E10" s="32">
        <v>4878.6185909916749</v>
      </c>
      <c r="F10" s="32">
        <v>5059.8312559393489</v>
      </c>
      <c r="G10" s="32">
        <v>5144.6144035310872</v>
      </c>
      <c r="H10" s="32">
        <v>5369.3166739159014</v>
      </c>
      <c r="I10" s="32">
        <v>5546.2294301111979</v>
      </c>
      <c r="J10" s="32">
        <v>5625.2950209625415</v>
      </c>
      <c r="K10" s="32">
        <v>5741.6684998481314</v>
      </c>
      <c r="L10" s="32">
        <v>5866.2729605276181</v>
      </c>
      <c r="M10" s="32">
        <v>5999.6617041993113</v>
      </c>
      <c r="N10" s="32">
        <v>6121.4401854288062</v>
      </c>
    </row>
    <row r="11" spans="1:14" ht="17.25" thickBot="1">
      <c r="A11" s="28" t="s">
        <v>58</v>
      </c>
      <c r="B11" s="30">
        <v>100</v>
      </c>
      <c r="C11" s="30">
        <v>100</v>
      </c>
      <c r="D11" s="30">
        <v>100</v>
      </c>
      <c r="E11" s="30">
        <v>100</v>
      </c>
      <c r="F11" s="30">
        <v>100</v>
      </c>
      <c r="G11" s="30">
        <v>100</v>
      </c>
      <c r="H11" s="30">
        <v>100</v>
      </c>
      <c r="I11" s="30">
        <v>100</v>
      </c>
      <c r="J11" s="30">
        <v>100</v>
      </c>
      <c r="K11" s="30">
        <v>100</v>
      </c>
      <c r="L11" s="30">
        <v>100</v>
      </c>
      <c r="M11" s="30">
        <v>100</v>
      </c>
      <c r="N11" s="30">
        <v>100</v>
      </c>
    </row>
    <row r="12" spans="1:14" ht="17.25" thickBot="1">
      <c r="A12" s="33" t="s">
        <v>59</v>
      </c>
      <c r="B12" s="34">
        <v>3.9722500000000003</v>
      </c>
      <c r="C12" s="34">
        <v>3.8113000000000001</v>
      </c>
      <c r="D12" s="34">
        <v>3.6464499999999997</v>
      </c>
      <c r="E12" s="34">
        <v>3.6601523183745508</v>
      </c>
      <c r="F12" s="34">
        <v>3.7572843536191765</v>
      </c>
      <c r="G12" s="34">
        <v>3.8636736070214086</v>
      </c>
      <c r="H12" s="34">
        <v>3.9735779763007777</v>
      </c>
      <c r="I12" s="34">
        <v>4.0861395999642856</v>
      </c>
      <c r="J12" s="34">
        <v>4.1966465782163889</v>
      </c>
      <c r="K12" s="34">
        <v>4.2954155127027729</v>
      </c>
      <c r="L12" s="34">
        <v>4.3761980224563821</v>
      </c>
      <c r="M12" s="34">
        <v>4.448160189715038</v>
      </c>
      <c r="N12" s="34">
        <v>4.5215774947603116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8A21-63F2-43B9-A379-AE168521C2C4}">
  <dimension ref="A2:AI97"/>
  <sheetViews>
    <sheetView topLeftCell="A3" workbookViewId="0">
      <pane xSplit="1" ySplit="2" topLeftCell="B54" activePane="bottomRight" state="frozen"/>
      <selection activeCell="M17" sqref="M17"/>
      <selection pane="topRight" activeCell="M17" sqref="M17"/>
      <selection pane="bottomLeft" activeCell="M17" sqref="M17"/>
      <selection pane="bottomRight" activeCell="E81" sqref="E81"/>
    </sheetView>
  </sheetViews>
  <sheetFormatPr defaultColWidth="9.33203125" defaultRowHeight="15"/>
  <cols>
    <col min="1" max="1" width="21.83203125" style="35" customWidth="1"/>
    <col min="2" max="34" width="15" style="35" customWidth="1"/>
    <col min="35" max="16384" width="9.33203125" style="35"/>
  </cols>
  <sheetData>
    <row r="2" spans="1:34" ht="15.75" thickBot="1"/>
    <row r="3" spans="1:34" ht="48" thickTop="1" thickBot="1">
      <c r="A3" s="63" t="s">
        <v>60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 spans="1:34" ht="16.5" thickBot="1">
      <c r="A4" s="37" t="s">
        <v>61</v>
      </c>
      <c r="B4" s="38">
        <v>2018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  <c r="Q4" s="38">
        <v>2033</v>
      </c>
      <c r="R4" s="38">
        <v>2034</v>
      </c>
      <c r="S4" s="38">
        <v>2035</v>
      </c>
      <c r="T4" s="38">
        <v>2036</v>
      </c>
      <c r="U4" s="38">
        <v>2037</v>
      </c>
      <c r="V4" s="38">
        <v>2038</v>
      </c>
      <c r="W4" s="38">
        <v>2039</v>
      </c>
      <c r="X4" s="38">
        <v>2040</v>
      </c>
      <c r="Y4" s="38">
        <v>2041</v>
      </c>
      <c r="Z4" s="38">
        <v>2042</v>
      </c>
      <c r="AA4" s="38">
        <v>2043</v>
      </c>
      <c r="AB4" s="38">
        <v>2044</v>
      </c>
      <c r="AC4" s="38">
        <v>2045</v>
      </c>
      <c r="AD4" s="38">
        <v>2046</v>
      </c>
      <c r="AE4" s="38">
        <v>2047</v>
      </c>
      <c r="AF4" s="38">
        <v>2048</v>
      </c>
      <c r="AG4" s="38">
        <v>2049</v>
      </c>
      <c r="AH4" s="38">
        <v>2050</v>
      </c>
    </row>
    <row r="5" spans="1:34" ht="15.75">
      <c r="A5" s="39" t="s">
        <v>54</v>
      </c>
      <c r="B5" s="40">
        <v>1734.768</v>
      </c>
      <c r="C5" s="40">
        <f>B12</f>
        <v>1746.57</v>
      </c>
      <c r="D5" s="40">
        <f t="shared" ref="D5:AH5" si="0">C12</f>
        <v>1699.614</v>
      </c>
      <c r="E5" s="40">
        <f t="shared" si="0"/>
        <v>1622.3340000000001</v>
      </c>
      <c r="F5" s="40">
        <f t="shared" si="0"/>
        <v>1503.5160000000001</v>
      </c>
      <c r="G5" s="40">
        <f t="shared" si="0"/>
        <v>1471.6379999999999</v>
      </c>
      <c r="H5" s="40">
        <f t="shared" si="0"/>
        <v>1670.0039999999999</v>
      </c>
      <c r="I5" s="41">
        <f t="shared" si="0"/>
        <v>1655</v>
      </c>
      <c r="J5" s="41">
        <f t="shared" si="0"/>
        <v>1630</v>
      </c>
      <c r="K5" s="41">
        <f t="shared" si="0"/>
        <v>1610</v>
      </c>
      <c r="L5" s="41">
        <f t="shared" si="0"/>
        <v>1660</v>
      </c>
      <c r="M5" s="41">
        <f t="shared" si="0"/>
        <v>1705</v>
      </c>
      <c r="N5" s="41">
        <f t="shared" si="0"/>
        <v>1680</v>
      </c>
      <c r="O5" s="41">
        <f t="shared" si="0"/>
        <v>1705</v>
      </c>
      <c r="P5" s="41">
        <f t="shared" si="0"/>
        <v>1735</v>
      </c>
      <c r="Q5" s="41">
        <f t="shared" si="0"/>
        <v>1760</v>
      </c>
      <c r="R5" s="41">
        <f t="shared" si="0"/>
        <v>1770</v>
      </c>
      <c r="S5" s="41">
        <f t="shared" si="0"/>
        <v>1790</v>
      </c>
      <c r="T5" s="41">
        <f t="shared" si="0"/>
        <v>1820</v>
      </c>
      <c r="U5" s="41">
        <f t="shared" si="0"/>
        <v>1840</v>
      </c>
      <c r="V5" s="41">
        <f t="shared" si="0"/>
        <v>1860</v>
      </c>
      <c r="W5" s="41">
        <f t="shared" si="0"/>
        <v>1885</v>
      </c>
      <c r="X5" s="41">
        <f t="shared" si="0"/>
        <v>1910</v>
      </c>
      <c r="Y5" s="41">
        <f t="shared" si="0"/>
        <v>1935</v>
      </c>
      <c r="Z5" s="41">
        <f t="shared" si="0"/>
        <v>1960</v>
      </c>
      <c r="AA5" s="41">
        <f t="shared" si="0"/>
        <v>1985</v>
      </c>
      <c r="AB5" s="41">
        <f t="shared" si="0"/>
        <v>2015</v>
      </c>
      <c r="AC5" s="41">
        <f t="shared" si="0"/>
        <v>2040</v>
      </c>
      <c r="AD5" s="41">
        <f t="shared" si="0"/>
        <v>2070</v>
      </c>
      <c r="AE5" s="41">
        <f t="shared" si="0"/>
        <v>2100</v>
      </c>
      <c r="AF5" s="41">
        <f t="shared" si="0"/>
        <v>2130</v>
      </c>
      <c r="AG5" s="41">
        <f t="shared" si="0"/>
        <v>2160</v>
      </c>
      <c r="AH5" s="41">
        <f t="shared" si="0"/>
        <v>2190</v>
      </c>
    </row>
    <row r="6" spans="1:34" ht="15.75">
      <c r="A6" s="39" t="s">
        <v>2</v>
      </c>
      <c r="B6" s="40">
        <f>B33/1000</f>
        <v>313927.74</v>
      </c>
      <c r="C6" s="40">
        <f t="shared" ref="C6:G6" si="1">C33/1000</f>
        <v>320504.31</v>
      </c>
      <c r="D6" s="40">
        <f t="shared" si="1"/>
        <v>198186.23999999999</v>
      </c>
      <c r="E6" s="40">
        <f t="shared" si="1"/>
        <v>251687.94</v>
      </c>
      <c r="F6" s="40">
        <f t="shared" si="1"/>
        <v>286762.98</v>
      </c>
      <c r="G6" s="40">
        <f t="shared" si="1"/>
        <v>303963.24</v>
      </c>
      <c r="H6" s="41">
        <f>MROUND(FORECAST(H17,B6:G6,B17:G17),100)</f>
        <v>316300</v>
      </c>
      <c r="I6" s="41">
        <f t="shared" ref="I6:AH6" si="2">MROUND(FORECAST(I17,C6:H6,C17:H17),100)</f>
        <v>318500</v>
      </c>
      <c r="J6" s="41">
        <f t="shared" si="2"/>
        <v>320100</v>
      </c>
      <c r="K6" s="41">
        <f t="shared" si="2"/>
        <v>329000</v>
      </c>
      <c r="L6" s="41">
        <f t="shared" si="2"/>
        <v>336300</v>
      </c>
      <c r="M6" s="41">
        <f t="shared" si="2"/>
        <v>342000</v>
      </c>
      <c r="N6" s="41">
        <f t="shared" si="2"/>
        <v>346900</v>
      </c>
      <c r="O6" s="41">
        <f t="shared" si="2"/>
        <v>354400</v>
      </c>
      <c r="P6" s="41">
        <f t="shared" si="2"/>
        <v>362000</v>
      </c>
      <c r="Q6" s="41">
        <f t="shared" si="2"/>
        <v>368300</v>
      </c>
      <c r="R6" s="41">
        <f t="shared" si="2"/>
        <v>375200</v>
      </c>
      <c r="S6" s="41">
        <f t="shared" si="2"/>
        <v>382800</v>
      </c>
      <c r="T6" s="41">
        <f t="shared" si="2"/>
        <v>390600</v>
      </c>
      <c r="U6" s="41">
        <f t="shared" si="2"/>
        <v>398200</v>
      </c>
      <c r="V6" s="41">
        <f t="shared" si="2"/>
        <v>406000</v>
      </c>
      <c r="W6" s="41">
        <f t="shared" si="2"/>
        <v>414300</v>
      </c>
      <c r="X6" s="41">
        <f t="shared" si="2"/>
        <v>422800</v>
      </c>
      <c r="Y6" s="41">
        <f t="shared" si="2"/>
        <v>431400</v>
      </c>
      <c r="Z6" s="41">
        <f t="shared" si="2"/>
        <v>440200</v>
      </c>
      <c r="AA6" s="41">
        <f t="shared" si="2"/>
        <v>449400</v>
      </c>
      <c r="AB6" s="41">
        <f t="shared" si="2"/>
        <v>458800</v>
      </c>
      <c r="AC6" s="41">
        <f t="shared" si="2"/>
        <v>468400</v>
      </c>
      <c r="AD6" s="41">
        <f t="shared" si="2"/>
        <v>478300</v>
      </c>
      <c r="AE6" s="41">
        <f t="shared" si="2"/>
        <v>488500</v>
      </c>
      <c r="AF6" s="41">
        <f t="shared" si="2"/>
        <v>498900</v>
      </c>
      <c r="AG6" s="41">
        <f t="shared" si="2"/>
        <v>509600</v>
      </c>
      <c r="AH6" s="41">
        <f t="shared" si="2"/>
        <v>520600</v>
      </c>
    </row>
    <row r="7" spans="1:34" ht="15.75">
      <c r="A7" s="39" t="s">
        <v>3</v>
      </c>
      <c r="B7" s="40">
        <f t="shared" ref="B7:F7" si="3">B49/1000</f>
        <v>2198.963886</v>
      </c>
      <c r="C7" s="40">
        <f t="shared" si="3"/>
        <v>2916.9993300000001</v>
      </c>
      <c r="D7" s="40">
        <f t="shared" si="3"/>
        <v>2528.5455719999995</v>
      </c>
      <c r="E7" s="40">
        <f t="shared" si="3"/>
        <v>2340.1208879999999</v>
      </c>
      <c r="F7" s="40">
        <f t="shared" si="3"/>
        <v>1522.735662</v>
      </c>
      <c r="G7" s="40">
        <f>G49/1000</f>
        <v>1574.4798719999999</v>
      </c>
      <c r="H7" s="41">
        <v>1550</v>
      </c>
      <c r="I7" s="41">
        <v>1550</v>
      </c>
      <c r="J7" s="41">
        <v>1550</v>
      </c>
      <c r="K7" s="41">
        <v>1550</v>
      </c>
      <c r="L7" s="41">
        <v>1550</v>
      </c>
      <c r="M7" s="41">
        <v>1550</v>
      </c>
      <c r="N7" s="41">
        <v>1550</v>
      </c>
      <c r="O7" s="41">
        <v>1550</v>
      </c>
      <c r="P7" s="41">
        <v>1550</v>
      </c>
      <c r="Q7" s="41">
        <v>1550</v>
      </c>
      <c r="R7" s="41">
        <v>1550</v>
      </c>
      <c r="S7" s="41">
        <v>1551</v>
      </c>
      <c r="T7" s="41">
        <v>1552</v>
      </c>
      <c r="U7" s="41">
        <v>1553</v>
      </c>
      <c r="V7" s="41">
        <v>1554</v>
      </c>
      <c r="W7" s="41">
        <v>1555</v>
      </c>
      <c r="X7" s="41">
        <v>1556</v>
      </c>
      <c r="Y7" s="41">
        <v>1557</v>
      </c>
      <c r="Z7" s="41">
        <v>1558</v>
      </c>
      <c r="AA7" s="41">
        <v>1559</v>
      </c>
      <c r="AB7" s="41">
        <v>1560</v>
      </c>
      <c r="AC7" s="41">
        <v>1561</v>
      </c>
      <c r="AD7" s="41">
        <v>1562</v>
      </c>
      <c r="AE7" s="41">
        <v>1563</v>
      </c>
      <c r="AF7" s="41">
        <v>1564</v>
      </c>
      <c r="AG7" s="41">
        <v>1565</v>
      </c>
      <c r="AH7" s="41">
        <v>1566</v>
      </c>
    </row>
    <row r="8" spans="1:34" ht="15.75">
      <c r="A8" s="39" t="s">
        <v>55</v>
      </c>
      <c r="B8" s="40">
        <f t="shared" ref="B8" si="4">SUM(B5:B7)</f>
        <v>317861.47188599996</v>
      </c>
      <c r="C8" s="40">
        <f t="shared" ref="C8:AH8" si="5">SUM(C5:C7)</f>
        <v>325167.87933000003</v>
      </c>
      <c r="D8" s="40">
        <f t="shared" si="5"/>
        <v>202414.39957199999</v>
      </c>
      <c r="E8" s="40">
        <f t="shared" si="5"/>
        <v>255650.39488800001</v>
      </c>
      <c r="F8" s="40">
        <f t="shared" si="5"/>
        <v>289789.23166200001</v>
      </c>
      <c r="G8" s="40">
        <f t="shared" si="5"/>
        <v>307009.35787199996</v>
      </c>
      <c r="H8" s="41">
        <f t="shared" si="5"/>
        <v>319520.00400000002</v>
      </c>
      <c r="I8" s="41">
        <f t="shared" si="5"/>
        <v>321705</v>
      </c>
      <c r="J8" s="41">
        <f t="shared" si="5"/>
        <v>323280</v>
      </c>
      <c r="K8" s="41">
        <f t="shared" si="5"/>
        <v>332160</v>
      </c>
      <c r="L8" s="41">
        <f t="shared" si="5"/>
        <v>339510</v>
      </c>
      <c r="M8" s="41">
        <f t="shared" si="5"/>
        <v>345255</v>
      </c>
      <c r="N8" s="41">
        <f t="shared" si="5"/>
        <v>350130</v>
      </c>
      <c r="O8" s="41">
        <f t="shared" si="5"/>
        <v>357655</v>
      </c>
      <c r="P8" s="41">
        <f t="shared" si="5"/>
        <v>365285</v>
      </c>
      <c r="Q8" s="41">
        <f t="shared" si="5"/>
        <v>371610</v>
      </c>
      <c r="R8" s="41">
        <f t="shared" si="5"/>
        <v>378520</v>
      </c>
      <c r="S8" s="41">
        <f t="shared" si="5"/>
        <v>386141</v>
      </c>
      <c r="T8" s="41">
        <f t="shared" si="5"/>
        <v>393972</v>
      </c>
      <c r="U8" s="41">
        <f t="shared" si="5"/>
        <v>401593</v>
      </c>
      <c r="V8" s="41">
        <f t="shared" si="5"/>
        <v>409414</v>
      </c>
      <c r="W8" s="41">
        <f t="shared" si="5"/>
        <v>417740</v>
      </c>
      <c r="X8" s="41">
        <f t="shared" si="5"/>
        <v>426266</v>
      </c>
      <c r="Y8" s="41">
        <f t="shared" si="5"/>
        <v>434892</v>
      </c>
      <c r="Z8" s="41">
        <f t="shared" si="5"/>
        <v>443718</v>
      </c>
      <c r="AA8" s="41">
        <f t="shared" si="5"/>
        <v>452944</v>
      </c>
      <c r="AB8" s="41">
        <f t="shared" si="5"/>
        <v>462375</v>
      </c>
      <c r="AC8" s="41">
        <f t="shared" si="5"/>
        <v>472001</v>
      </c>
      <c r="AD8" s="41">
        <f t="shared" si="5"/>
        <v>481932</v>
      </c>
      <c r="AE8" s="41">
        <f t="shared" si="5"/>
        <v>492163</v>
      </c>
      <c r="AF8" s="41">
        <f t="shared" si="5"/>
        <v>502594</v>
      </c>
      <c r="AG8" s="41">
        <f t="shared" si="5"/>
        <v>513325</v>
      </c>
      <c r="AH8" s="41">
        <f t="shared" si="5"/>
        <v>524356</v>
      </c>
    </row>
    <row r="9" spans="1:34" ht="15.75">
      <c r="A9" s="39" t="s">
        <v>32</v>
      </c>
      <c r="B9" s="40">
        <f t="shared" ref="B9:AH9" si="6">B11-B10</f>
        <v>312796.27957199997</v>
      </c>
      <c r="C9" s="40">
        <f t="shared" si="6"/>
        <v>320379.53509800002</v>
      </c>
      <c r="D9" s="40">
        <f t="shared" si="6"/>
        <v>199306.90008599998</v>
      </c>
      <c r="E9" s="40">
        <f t="shared" si="6"/>
        <v>252509.22601800002</v>
      </c>
      <c r="F9" s="40">
        <f t="shared" si="6"/>
        <v>285624.94497600006</v>
      </c>
      <c r="G9" s="40">
        <f t="shared" si="6"/>
        <v>302634.95135999995</v>
      </c>
      <c r="H9" s="41">
        <f t="shared" si="6"/>
        <v>315115.00400000002</v>
      </c>
      <c r="I9" s="41">
        <f t="shared" si="6"/>
        <v>317225</v>
      </c>
      <c r="J9" s="41">
        <f t="shared" si="6"/>
        <v>318720</v>
      </c>
      <c r="K9" s="41">
        <f t="shared" si="6"/>
        <v>328400</v>
      </c>
      <c r="L9" s="41">
        <f t="shared" si="6"/>
        <v>335505</v>
      </c>
      <c r="M9" s="41">
        <f t="shared" si="6"/>
        <v>341075</v>
      </c>
      <c r="N9" s="41">
        <f t="shared" si="6"/>
        <v>345675</v>
      </c>
      <c r="O9" s="41">
        <f t="shared" si="6"/>
        <v>352920</v>
      </c>
      <c r="P9" s="41">
        <f t="shared" si="6"/>
        <v>360275</v>
      </c>
      <c r="Q9" s="41">
        <f t="shared" si="6"/>
        <v>366340</v>
      </c>
      <c r="R9" s="41">
        <f t="shared" si="6"/>
        <v>372980</v>
      </c>
      <c r="S9" s="41">
        <f t="shared" si="6"/>
        <v>380570</v>
      </c>
      <c r="T9" s="41">
        <f t="shared" si="6"/>
        <v>388380</v>
      </c>
      <c r="U9" s="41">
        <f t="shared" si="6"/>
        <v>395980</v>
      </c>
      <c r="V9" s="41">
        <f t="shared" si="6"/>
        <v>403775</v>
      </c>
      <c r="W9" s="41">
        <f t="shared" si="6"/>
        <v>412075</v>
      </c>
      <c r="X9" s="41">
        <f t="shared" si="6"/>
        <v>420575</v>
      </c>
      <c r="Y9" s="41">
        <f t="shared" si="6"/>
        <v>429175</v>
      </c>
      <c r="Z9" s="41">
        <f t="shared" si="6"/>
        <v>437975</v>
      </c>
      <c r="AA9" s="41">
        <f t="shared" si="6"/>
        <v>447170</v>
      </c>
      <c r="AB9" s="41">
        <f t="shared" si="6"/>
        <v>456575</v>
      </c>
      <c r="AC9" s="41">
        <f t="shared" si="6"/>
        <v>466170</v>
      </c>
      <c r="AD9" s="41">
        <f t="shared" si="6"/>
        <v>476070</v>
      </c>
      <c r="AE9" s="41">
        <f t="shared" si="6"/>
        <v>486270</v>
      </c>
      <c r="AF9" s="41">
        <f t="shared" si="6"/>
        <v>496670</v>
      </c>
      <c r="AG9" s="41">
        <f t="shared" si="6"/>
        <v>507370</v>
      </c>
      <c r="AH9" s="41">
        <f t="shared" si="6"/>
        <v>518365</v>
      </c>
    </row>
    <row r="10" spans="1:34" ht="15.75">
      <c r="A10" s="39" t="s">
        <v>11</v>
      </c>
      <c r="B10" s="40">
        <f t="shared" ref="B10:F10" si="7">B65/1000</f>
        <v>3318.6223139999997</v>
      </c>
      <c r="C10" s="40">
        <f t="shared" si="7"/>
        <v>3088.7302320000008</v>
      </c>
      <c r="D10" s="40">
        <f t="shared" si="7"/>
        <v>1485.1654859999999</v>
      </c>
      <c r="E10" s="40">
        <f t="shared" si="7"/>
        <v>1637.6528700000001</v>
      </c>
      <c r="F10" s="40">
        <f t="shared" si="7"/>
        <v>2692.648686</v>
      </c>
      <c r="G10" s="40">
        <f>G65/1000</f>
        <v>2704.4025120000001</v>
      </c>
      <c r="H10" s="41">
        <v>2750</v>
      </c>
      <c r="I10" s="41">
        <v>2850</v>
      </c>
      <c r="J10" s="41">
        <v>2950</v>
      </c>
      <c r="K10" s="41">
        <v>2100</v>
      </c>
      <c r="L10" s="41">
        <v>2300</v>
      </c>
      <c r="M10" s="41">
        <v>2500</v>
      </c>
      <c r="N10" s="41">
        <v>2750</v>
      </c>
      <c r="O10" s="41">
        <v>3000</v>
      </c>
      <c r="P10" s="41">
        <v>3250</v>
      </c>
      <c r="Q10" s="41">
        <v>3500</v>
      </c>
      <c r="R10" s="41">
        <v>3750</v>
      </c>
      <c r="S10" s="41">
        <v>3751</v>
      </c>
      <c r="T10" s="41">
        <v>3752</v>
      </c>
      <c r="U10" s="41">
        <v>3753</v>
      </c>
      <c r="V10" s="41">
        <v>3754</v>
      </c>
      <c r="W10" s="41">
        <v>3755</v>
      </c>
      <c r="X10" s="41">
        <v>3756</v>
      </c>
      <c r="Y10" s="41">
        <v>3757</v>
      </c>
      <c r="Z10" s="41">
        <v>3758</v>
      </c>
      <c r="AA10" s="41">
        <v>3759</v>
      </c>
      <c r="AB10" s="41">
        <v>3760</v>
      </c>
      <c r="AC10" s="41">
        <v>3761</v>
      </c>
      <c r="AD10" s="41">
        <v>3762</v>
      </c>
      <c r="AE10" s="41">
        <v>3763</v>
      </c>
      <c r="AF10" s="41">
        <v>3764</v>
      </c>
      <c r="AG10" s="41">
        <v>3765</v>
      </c>
      <c r="AH10" s="41">
        <v>3766</v>
      </c>
    </row>
    <row r="11" spans="1:34" ht="15.75">
      <c r="A11" s="39" t="s">
        <v>57</v>
      </c>
      <c r="B11" s="40">
        <f>B8-B12</f>
        <v>316114.90188599995</v>
      </c>
      <c r="C11" s="40">
        <f>C8-C12</f>
        <v>323468.26533000002</v>
      </c>
      <c r="D11" s="40">
        <f t="shared" ref="D11:AH11" si="8">D8-D12</f>
        <v>200792.06557199999</v>
      </c>
      <c r="E11" s="40">
        <f t="shared" si="8"/>
        <v>254146.87888800001</v>
      </c>
      <c r="F11" s="40">
        <f t="shared" si="8"/>
        <v>288317.59366200003</v>
      </c>
      <c r="G11" s="40">
        <f t="shared" si="8"/>
        <v>305339.35387199995</v>
      </c>
      <c r="H11" s="41">
        <f t="shared" si="8"/>
        <v>317865.00400000002</v>
      </c>
      <c r="I11" s="41">
        <f t="shared" si="8"/>
        <v>320075</v>
      </c>
      <c r="J11" s="41">
        <f t="shared" si="8"/>
        <v>321670</v>
      </c>
      <c r="K11" s="41">
        <f t="shared" si="8"/>
        <v>330500</v>
      </c>
      <c r="L11" s="41">
        <f t="shared" si="8"/>
        <v>337805</v>
      </c>
      <c r="M11" s="41">
        <f t="shared" si="8"/>
        <v>343575</v>
      </c>
      <c r="N11" s="41">
        <f t="shared" si="8"/>
        <v>348425</v>
      </c>
      <c r="O11" s="41">
        <f t="shared" si="8"/>
        <v>355920</v>
      </c>
      <c r="P11" s="41">
        <f t="shared" si="8"/>
        <v>363525</v>
      </c>
      <c r="Q11" s="41">
        <f t="shared" si="8"/>
        <v>369840</v>
      </c>
      <c r="R11" s="41">
        <f t="shared" si="8"/>
        <v>376730</v>
      </c>
      <c r="S11" s="41">
        <f t="shared" si="8"/>
        <v>384321</v>
      </c>
      <c r="T11" s="41">
        <f t="shared" si="8"/>
        <v>392132</v>
      </c>
      <c r="U11" s="41">
        <f t="shared" si="8"/>
        <v>399733</v>
      </c>
      <c r="V11" s="41">
        <f t="shared" si="8"/>
        <v>407529</v>
      </c>
      <c r="W11" s="41">
        <f t="shared" si="8"/>
        <v>415830</v>
      </c>
      <c r="X11" s="41">
        <f t="shared" si="8"/>
        <v>424331</v>
      </c>
      <c r="Y11" s="41">
        <f t="shared" si="8"/>
        <v>432932</v>
      </c>
      <c r="Z11" s="41">
        <f t="shared" si="8"/>
        <v>441733</v>
      </c>
      <c r="AA11" s="41">
        <f t="shared" si="8"/>
        <v>450929</v>
      </c>
      <c r="AB11" s="41">
        <f t="shared" si="8"/>
        <v>460335</v>
      </c>
      <c r="AC11" s="41">
        <f t="shared" si="8"/>
        <v>469931</v>
      </c>
      <c r="AD11" s="41">
        <f t="shared" si="8"/>
        <v>479832</v>
      </c>
      <c r="AE11" s="41">
        <f t="shared" si="8"/>
        <v>490033</v>
      </c>
      <c r="AF11" s="41">
        <f t="shared" si="8"/>
        <v>500434</v>
      </c>
      <c r="AG11" s="41">
        <f t="shared" si="8"/>
        <v>511135</v>
      </c>
      <c r="AH11" s="41">
        <f t="shared" si="8"/>
        <v>522131</v>
      </c>
    </row>
    <row r="12" spans="1:34" ht="15.75">
      <c r="A12" s="39" t="s">
        <v>62</v>
      </c>
      <c r="B12" s="40">
        <f>B96/1000</f>
        <v>1746.57</v>
      </c>
      <c r="C12" s="40">
        <f t="shared" ref="C12:G12" si="9">C96/1000</f>
        <v>1699.614</v>
      </c>
      <c r="D12" s="40">
        <f t="shared" si="9"/>
        <v>1622.3340000000001</v>
      </c>
      <c r="E12" s="40">
        <f t="shared" si="9"/>
        <v>1503.5160000000001</v>
      </c>
      <c r="F12" s="40">
        <f t="shared" si="9"/>
        <v>1471.6379999999999</v>
      </c>
      <c r="G12" s="40">
        <f t="shared" si="9"/>
        <v>1670.0039999999999</v>
      </c>
      <c r="H12" s="41">
        <f>MROUND(FORECAST(H6,B12:G12,B6:G6),5)</f>
        <v>1655</v>
      </c>
      <c r="I12" s="41">
        <f t="shared" ref="I12:U12" si="10">MROUND(FORECAST(I6,C12:H12,C6:H6),5)</f>
        <v>1630</v>
      </c>
      <c r="J12" s="41">
        <f t="shared" si="10"/>
        <v>1610</v>
      </c>
      <c r="K12" s="41">
        <f t="shared" si="10"/>
        <v>1660</v>
      </c>
      <c r="L12" s="41">
        <f t="shared" si="10"/>
        <v>1705</v>
      </c>
      <c r="M12" s="41">
        <f t="shared" si="10"/>
        <v>1680</v>
      </c>
      <c r="N12" s="41">
        <f t="shared" si="10"/>
        <v>1705</v>
      </c>
      <c r="O12" s="41">
        <f t="shared" si="10"/>
        <v>1735</v>
      </c>
      <c r="P12" s="41">
        <f t="shared" si="10"/>
        <v>1760</v>
      </c>
      <c r="Q12" s="41">
        <f t="shared" si="10"/>
        <v>1770</v>
      </c>
      <c r="R12" s="41">
        <f t="shared" si="10"/>
        <v>1790</v>
      </c>
      <c r="S12" s="41">
        <f t="shared" si="10"/>
        <v>1820</v>
      </c>
      <c r="T12" s="41">
        <f t="shared" si="10"/>
        <v>1840</v>
      </c>
      <c r="U12" s="41">
        <f t="shared" si="10"/>
        <v>1860</v>
      </c>
      <c r="V12" s="41">
        <f>MROUND(FORECAST(V6,P12:U12,P6:U6),5)</f>
        <v>1885</v>
      </c>
      <c r="W12" s="41">
        <f t="shared" ref="W12:AH12" si="11">MROUND(FORECAST(W6,Q12:V12,Q6:V6),5)</f>
        <v>1910</v>
      </c>
      <c r="X12" s="41">
        <f t="shared" si="11"/>
        <v>1935</v>
      </c>
      <c r="Y12" s="41">
        <f t="shared" si="11"/>
        <v>1960</v>
      </c>
      <c r="Z12" s="41">
        <f t="shared" si="11"/>
        <v>1985</v>
      </c>
      <c r="AA12" s="41">
        <f t="shared" si="11"/>
        <v>2015</v>
      </c>
      <c r="AB12" s="41">
        <f t="shared" si="11"/>
        <v>2040</v>
      </c>
      <c r="AC12" s="41">
        <f t="shared" si="11"/>
        <v>2070</v>
      </c>
      <c r="AD12" s="41">
        <f t="shared" si="11"/>
        <v>2100</v>
      </c>
      <c r="AE12" s="41">
        <f t="shared" si="11"/>
        <v>2130</v>
      </c>
      <c r="AF12" s="41">
        <f t="shared" si="11"/>
        <v>2160</v>
      </c>
      <c r="AG12" s="41">
        <f t="shared" si="11"/>
        <v>2190</v>
      </c>
      <c r="AH12" s="41">
        <f t="shared" si="11"/>
        <v>2225</v>
      </c>
    </row>
    <row r="13" spans="1:34" ht="15.75">
      <c r="B13" s="42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spans="1:34" ht="15.75">
      <c r="A14" s="43" t="s">
        <v>63</v>
      </c>
      <c r="B14" s="44">
        <f>B12/(C11/365)</f>
        <v>1.9708209995488397</v>
      </c>
      <c r="C14" s="44">
        <f>C12/(D11/365)</f>
        <v>3.089559879932366</v>
      </c>
      <c r="D14" s="44">
        <f t="shared" ref="D14:Q14" si="12">D12/(E11/365)</f>
        <v>2.3299594021807977</v>
      </c>
      <c r="E14" s="44">
        <f t="shared" si="12"/>
        <v>1.9033987244057982</v>
      </c>
      <c r="F14" s="44">
        <f t="shared" si="12"/>
        <v>1.7591832274105601</v>
      </c>
      <c r="G14" s="44">
        <f t="shared" si="12"/>
        <v>1.9176425599843634</v>
      </c>
      <c r="H14" s="45">
        <f t="shared" si="12"/>
        <v>1.8872920409279077</v>
      </c>
      <c r="I14" s="45">
        <f t="shared" si="12"/>
        <v>1.849566325737557</v>
      </c>
      <c r="J14" s="45">
        <f t="shared" si="12"/>
        <v>1.7780635400907716</v>
      </c>
      <c r="K14" s="45">
        <f t="shared" si="12"/>
        <v>1.793638341646808</v>
      </c>
      <c r="L14" s="45">
        <f t="shared" si="12"/>
        <v>1.8113221276286109</v>
      </c>
      <c r="M14" s="45">
        <f t="shared" si="12"/>
        <v>1.7599196383726772</v>
      </c>
      <c r="N14" s="45">
        <f t="shared" si="12"/>
        <v>1.7484968532254439</v>
      </c>
      <c r="O14" s="45">
        <f t="shared" si="12"/>
        <v>1.7420397496733373</v>
      </c>
      <c r="P14" s="45">
        <f t="shared" si="12"/>
        <v>1.736967337226909</v>
      </c>
      <c r="Q14" s="45">
        <f t="shared" si="12"/>
        <v>1.7148886470416478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34" ht="16.5" thickBot="1">
      <c r="A15" s="43" t="s">
        <v>64</v>
      </c>
      <c r="B15" s="42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</row>
    <row r="16" spans="1:34" ht="15.75" thickTop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</row>
    <row r="17" spans="1:34">
      <c r="A17" s="35" t="s">
        <v>65</v>
      </c>
      <c r="B17" s="48">
        <f>[4]Assumptions!BC$20</f>
        <v>722415.33364099998</v>
      </c>
      <c r="C17" s="48">
        <f>[4]Assumptions!BD$20</f>
        <v>754450.05571900005</v>
      </c>
      <c r="D17" s="48">
        <f>[4]Assumptions!BE$20</f>
        <v>306058.02996800002</v>
      </c>
      <c r="E17" s="48">
        <f>[4]Assumptions!BF$20</f>
        <v>573403.84113099996</v>
      </c>
      <c r="F17" s="48">
        <f>[4]Assumptions!BG$20</f>
        <v>708959.95827800001</v>
      </c>
      <c r="G17" s="48">
        <f>[4]Assumptions!BH$20</f>
        <v>773411.55941999995</v>
      </c>
      <c r="H17" s="49">
        <f>[4]Assumptions!BI$20</f>
        <v>785786.14437071991</v>
      </c>
      <c r="I17" s="49">
        <f>[4]Assumptions!BJ$20</f>
        <v>807002.37026872928</v>
      </c>
      <c r="J17" s="49">
        <f>[4]Assumptions!BK$20</f>
        <v>828791.43426598492</v>
      </c>
      <c r="K17" s="49">
        <f>[4]Assumptions!BL$20</f>
        <v>851168.80299116648</v>
      </c>
      <c r="L17" s="49">
        <f>[4]Assumptions!BM$20</f>
        <v>874150.36067192792</v>
      </c>
      <c r="M17" s="49">
        <f>[4]Assumptions!BN$20</f>
        <v>897752.42041006987</v>
      </c>
      <c r="N17" s="49">
        <f>[4]Assumptions!BO$20</f>
        <v>921991.73576114164</v>
      </c>
      <c r="O17" s="49">
        <f>[4]Assumptions!BP$20</f>
        <v>946885.51262669242</v>
      </c>
      <c r="P17" s="49">
        <f>[4]Assumptions!BQ$20</f>
        <v>972451.42146761308</v>
      </c>
      <c r="Q17" s="49">
        <f>[4]Assumptions!BR$20</f>
        <v>998707.60984723852</v>
      </c>
      <c r="R17" s="49">
        <f>[4]Assumptions!BS$20</f>
        <v>1025672.7153131139</v>
      </c>
      <c r="S17" s="49">
        <f>[4]Assumptions!BT$20</f>
        <v>1053365.8786265678</v>
      </c>
      <c r="T17" s="49">
        <f>[4]Assumptions!BU$20</f>
        <v>1081806.7573494851</v>
      </c>
      <c r="U17" s="49">
        <f>[4]Assumptions!BV$20</f>
        <v>1111015.539797921</v>
      </c>
      <c r="V17" s="49">
        <f>[4]Assumptions!BW$20</f>
        <v>1141012.9593724648</v>
      </c>
      <c r="W17" s="49">
        <f>[4]Assumptions!BX$20</f>
        <v>1171820.3092755212</v>
      </c>
      <c r="X17" s="49">
        <f>[4]Assumptions!BY$20</f>
        <v>1203459.4576259602</v>
      </c>
      <c r="Y17" s="49">
        <f>[4]Assumptions!BZ$20</f>
        <v>1235952.862981861</v>
      </c>
      <c r="Z17" s="49">
        <f>[4]Assumptions!CA$20</f>
        <v>1269323.590282371</v>
      </c>
      <c r="AA17" s="49">
        <f>[4]Assumptions!CB$20</f>
        <v>1303595.327219995</v>
      </c>
      <c r="AB17" s="49">
        <f>[4]Assumptions!CC$20</f>
        <v>1338792.4010549348</v>
      </c>
      <c r="AC17" s="49">
        <f>[4]Assumptions!CD$20</f>
        <v>1374939.7958834181</v>
      </c>
      <c r="AD17" s="49">
        <f>[4]Assumptions!CE$20</f>
        <v>1412063.1703722703</v>
      </c>
      <c r="AE17" s="49">
        <f>[4]Assumptions!CF$20</f>
        <v>1450188.8759723215</v>
      </c>
      <c r="AF17" s="49">
        <f>[4]Assumptions!CG$20</f>
        <v>1489343.9756235741</v>
      </c>
      <c r="AG17" s="49">
        <f>[4]Assumptions!CH$20</f>
        <v>1529556.2629654105</v>
      </c>
      <c r="AH17" s="49">
        <f>[4]Assumptions!CI$20</f>
        <v>1570854.2820654765</v>
      </c>
    </row>
    <row r="19" spans="1:34" ht="15.75" thickBot="1">
      <c r="A19" s="43" t="s">
        <v>66</v>
      </c>
    </row>
    <row r="20" spans="1:34" ht="15.75" thickBot="1">
      <c r="A20" s="50" t="s">
        <v>67</v>
      </c>
      <c r="B20" s="51">
        <f>B4</f>
        <v>2018</v>
      </c>
      <c r="C20" s="51">
        <f t="shared" ref="C20:AH20" si="13">C4</f>
        <v>2019</v>
      </c>
      <c r="D20" s="51">
        <f t="shared" si="13"/>
        <v>2020</v>
      </c>
      <c r="E20" s="51">
        <f t="shared" si="13"/>
        <v>2021</v>
      </c>
      <c r="F20" s="51">
        <f t="shared" si="13"/>
        <v>2022</v>
      </c>
      <c r="G20" s="51">
        <f t="shared" si="13"/>
        <v>2023</v>
      </c>
      <c r="H20" s="51">
        <f t="shared" si="13"/>
        <v>2024</v>
      </c>
      <c r="I20" s="51">
        <f t="shared" si="13"/>
        <v>2025</v>
      </c>
      <c r="J20" s="51">
        <f t="shared" si="13"/>
        <v>2026</v>
      </c>
      <c r="K20" s="51">
        <f t="shared" si="13"/>
        <v>2027</v>
      </c>
      <c r="L20" s="51">
        <f t="shared" si="13"/>
        <v>2028</v>
      </c>
      <c r="M20" s="51">
        <f t="shared" si="13"/>
        <v>2029</v>
      </c>
      <c r="N20" s="51">
        <f t="shared" si="13"/>
        <v>2030</v>
      </c>
      <c r="O20" s="51">
        <f t="shared" si="13"/>
        <v>2031</v>
      </c>
      <c r="P20" s="51">
        <f t="shared" si="13"/>
        <v>2032</v>
      </c>
      <c r="Q20" s="51">
        <f t="shared" si="13"/>
        <v>2033</v>
      </c>
      <c r="R20" s="51">
        <f t="shared" si="13"/>
        <v>2034</v>
      </c>
      <c r="S20" s="51">
        <f t="shared" si="13"/>
        <v>2035</v>
      </c>
      <c r="T20" s="51">
        <f t="shared" si="13"/>
        <v>2036</v>
      </c>
      <c r="U20" s="51">
        <f t="shared" si="13"/>
        <v>2037</v>
      </c>
      <c r="V20" s="51">
        <f t="shared" si="13"/>
        <v>2038</v>
      </c>
      <c r="W20" s="51">
        <f t="shared" si="13"/>
        <v>2039</v>
      </c>
      <c r="X20" s="51">
        <f t="shared" si="13"/>
        <v>2040</v>
      </c>
      <c r="Y20" s="51">
        <f t="shared" si="13"/>
        <v>2041</v>
      </c>
      <c r="Z20" s="51">
        <f t="shared" si="13"/>
        <v>2042</v>
      </c>
      <c r="AA20" s="51">
        <f t="shared" si="13"/>
        <v>2043</v>
      </c>
      <c r="AB20" s="51">
        <f t="shared" si="13"/>
        <v>2044</v>
      </c>
      <c r="AC20" s="51">
        <f t="shared" si="13"/>
        <v>2045</v>
      </c>
      <c r="AD20" s="51">
        <f t="shared" si="13"/>
        <v>2046</v>
      </c>
      <c r="AE20" s="51">
        <f t="shared" si="13"/>
        <v>2047</v>
      </c>
      <c r="AF20" s="51">
        <f t="shared" si="13"/>
        <v>2048</v>
      </c>
      <c r="AG20" s="51">
        <f t="shared" si="13"/>
        <v>2049</v>
      </c>
      <c r="AH20" s="51">
        <f t="shared" si="13"/>
        <v>2050</v>
      </c>
    </row>
    <row r="21" spans="1:34">
      <c r="A21" s="43" t="s">
        <v>68</v>
      </c>
      <c r="B21" s="48">
        <f>'[4]US Jet Fuel'!$B639</f>
        <v>24037440</v>
      </c>
      <c r="C21" s="48">
        <f>'[4]US Jet Fuel'!$B651</f>
        <v>24849930</v>
      </c>
      <c r="D21" s="48">
        <f>'[4]US Jet Fuel'!$B663</f>
        <v>25647090</v>
      </c>
      <c r="E21" s="48">
        <f>'[4]US Jet Fuel'!$B675</f>
        <v>17338230</v>
      </c>
      <c r="F21" s="48">
        <f>'[4]US Jet Fuel'!$B687</f>
        <v>21737940</v>
      </c>
      <c r="G21" s="48">
        <f>'[4]US Jet Fuel'!$B699</f>
        <v>23424240</v>
      </c>
      <c r="H21" s="48">
        <f>'[4]US Jet Fuel'!$B711</f>
        <v>23546880</v>
      </c>
      <c r="I21" s="52">
        <f>I$33*(SUM(D21:H21)/SUM(D$33:H$33))</f>
        <v>26217591.232193608</v>
      </c>
      <c r="J21" s="52">
        <f t="shared" ref="J21:R21" si="14">J$33*(SUM(E21:I21)/SUM(E$33:I$33))</f>
        <v>24326864.347431637</v>
      </c>
      <c r="K21" s="52">
        <f t="shared" si="14"/>
        <v>25384149.23221004</v>
      </c>
      <c r="L21" s="52">
        <f t="shared" si="14"/>
        <v>26029431.510877602</v>
      </c>
      <c r="M21" s="52">
        <f t="shared" si="14"/>
        <v>26492211.691376258</v>
      </c>
      <c r="N21" s="52">
        <f t="shared" si="14"/>
        <v>27072963.749977231</v>
      </c>
      <c r="O21" s="52">
        <f t="shared" si="14"/>
        <v>27370191.672039483</v>
      </c>
      <c r="P21" s="52">
        <f t="shared" si="14"/>
        <v>28040687.770131093</v>
      </c>
      <c r="Q21" s="52">
        <f t="shared" si="14"/>
        <v>28549908.497392133</v>
      </c>
      <c r="R21" s="52">
        <f t="shared" si="14"/>
        <v>29093223.647113077</v>
      </c>
      <c r="S21" s="52">
        <f t="shared" ref="S21:S31" si="15">S$33*(SUM(N21:R21)/SUM(N$33:R$33))</f>
        <v>29688181.402961466</v>
      </c>
      <c r="T21" s="52">
        <f t="shared" ref="T21:AH31" si="16">T$33*(SUM(O21:S21)/SUM(O$33:S$33))</f>
        <v>30257285.820672009</v>
      </c>
      <c r="U21" s="52">
        <f t="shared" si="16"/>
        <v>30863580.892255589</v>
      </c>
      <c r="V21" s="52">
        <f t="shared" si="16"/>
        <v>31471769.195196111</v>
      </c>
      <c r="W21" s="52">
        <f t="shared" si="16"/>
        <v>32115047.710457567</v>
      </c>
      <c r="X21" s="52">
        <f t="shared" si="16"/>
        <v>32772012.516244933</v>
      </c>
      <c r="Y21" s="52">
        <f t="shared" si="16"/>
        <v>33435080.915676959</v>
      </c>
      <c r="Z21" s="52">
        <f t="shared" si="16"/>
        <v>34120435.972100005</v>
      </c>
      <c r="AA21" s="52">
        <f t="shared" si="16"/>
        <v>34833833.277329274</v>
      </c>
      <c r="AB21" s="52">
        <f t="shared" si="16"/>
        <v>35562030.067078382</v>
      </c>
      <c r="AC21" s="52">
        <f t="shared" si="16"/>
        <v>36305655.663018435</v>
      </c>
      <c r="AD21" s="52">
        <f t="shared" si="16"/>
        <v>37072831.718119219</v>
      </c>
      <c r="AE21" s="52">
        <f t="shared" si="16"/>
        <v>37863972.50742875</v>
      </c>
      <c r="AF21" s="52">
        <f t="shared" si="16"/>
        <v>38670034.761854887</v>
      </c>
      <c r="AG21" s="52">
        <f t="shared" si="16"/>
        <v>39499276.106831804</v>
      </c>
      <c r="AH21" s="52">
        <f t="shared" si="16"/>
        <v>40351830.36224822</v>
      </c>
    </row>
    <row r="22" spans="1:34">
      <c r="A22" s="43" t="s">
        <v>69</v>
      </c>
      <c r="B22" s="48">
        <f>'[4]US Jet Fuel'!$B640</f>
        <v>24374700</v>
      </c>
      <c r="C22" s="48">
        <f>'[4]US Jet Fuel'!$B652</f>
        <v>24635310</v>
      </c>
      <c r="D22" s="48">
        <f>'[4]US Jet Fuel'!$B664</f>
        <v>24819270</v>
      </c>
      <c r="E22" s="48">
        <f>'[4]US Jet Fuel'!$B676</f>
        <v>16663710</v>
      </c>
      <c r="F22" s="48">
        <f>'[4]US Jet Fuel'!$B688</f>
        <v>21737940</v>
      </c>
      <c r="G22" s="48">
        <f>'[4]US Jet Fuel'!$B700</f>
        <v>23240280</v>
      </c>
      <c r="H22" s="52">
        <f>H$33*(SUM(C22:G22)/SUM(C$33:G$33))</f>
        <v>25817136.517733451</v>
      </c>
      <c r="I22" s="52">
        <f>I$33*(SUM(D22:H22)/SUM(D$33:H$33))</f>
        <v>26354661.094431181</v>
      </c>
      <c r="J22" s="52">
        <f t="shared" ref="J22:R31" si="17">J$33*(SUM(E22:I22)/SUM(E$33:I$33))</f>
        <v>24662486.452644009</v>
      </c>
      <c r="K22" s="52">
        <f t="shared" si="17"/>
        <v>25928852.214555498</v>
      </c>
      <c r="L22" s="52">
        <f t="shared" si="17"/>
        <v>26686774.923229635</v>
      </c>
      <c r="M22" s="52">
        <f t="shared" si="17"/>
        <v>27324941.137691069</v>
      </c>
      <c r="N22" s="52">
        <f t="shared" si="17"/>
        <v>27601453.076640792</v>
      </c>
      <c r="O22" s="52">
        <f t="shared" si="17"/>
        <v>27983800.732250668</v>
      </c>
      <c r="P22" s="52">
        <f t="shared" si="17"/>
        <v>28713770.100983903</v>
      </c>
      <c r="Q22" s="52">
        <f t="shared" si="17"/>
        <v>29248877.774026286</v>
      </c>
      <c r="R22" s="52">
        <f t="shared" si="17"/>
        <v>29801246.406552538</v>
      </c>
      <c r="S22" s="52">
        <f t="shared" si="15"/>
        <v>30370851.167271342</v>
      </c>
      <c r="T22" s="52">
        <f t="shared" si="16"/>
        <v>30972976.685478747</v>
      </c>
      <c r="U22" s="52">
        <f t="shared" si="16"/>
        <v>31600774.364725828</v>
      </c>
      <c r="V22" s="52">
        <f t="shared" si="16"/>
        <v>32222786.756623793</v>
      </c>
      <c r="W22" s="52">
        <f t="shared" si="16"/>
        <v>32877665.730338093</v>
      </c>
      <c r="X22" s="52">
        <f t="shared" si="16"/>
        <v>33546588.246918168</v>
      </c>
      <c r="Y22" s="52">
        <f t="shared" si="16"/>
        <v>34229366.393845223</v>
      </c>
      <c r="Z22" s="52">
        <f t="shared" si="16"/>
        <v>34931661.742160939</v>
      </c>
      <c r="AA22" s="52">
        <f t="shared" si="16"/>
        <v>35661297.654573634</v>
      </c>
      <c r="AB22" s="52">
        <f t="shared" si="16"/>
        <v>36406065.890127048</v>
      </c>
      <c r="AC22" s="52">
        <f t="shared" si="16"/>
        <v>37167257.14977733</v>
      </c>
      <c r="AD22" s="52">
        <f t="shared" si="16"/>
        <v>37953313.244204514</v>
      </c>
      <c r="AE22" s="52">
        <f t="shared" si="16"/>
        <v>38763200.945532672</v>
      </c>
      <c r="AF22" s="52">
        <f t="shared" si="16"/>
        <v>39588214.215983167</v>
      </c>
      <c r="AG22" s="52">
        <f t="shared" si="16"/>
        <v>40437065.910272211</v>
      </c>
      <c r="AH22" s="52">
        <f t="shared" si="16"/>
        <v>41309920.281982161</v>
      </c>
    </row>
    <row r="23" spans="1:34">
      <c r="A23" s="43" t="s">
        <v>70</v>
      </c>
      <c r="B23" s="48">
        <f>'[4]US Jet Fuel'!$B641</f>
        <v>26152980</v>
      </c>
      <c r="C23" s="48">
        <f>'[4]US Jet Fuel'!$B653</f>
        <v>26229630</v>
      </c>
      <c r="D23" s="48">
        <f>'[4]US Jet Fuel'!$B665</f>
        <v>21278040</v>
      </c>
      <c r="E23" s="48">
        <f>'[4]US Jet Fuel'!$B677</f>
        <v>17629500</v>
      </c>
      <c r="F23" s="48">
        <f>'[4]US Jet Fuel'!$B689</f>
        <v>23301600</v>
      </c>
      <c r="G23" s="48">
        <f>'[4]US Jet Fuel'!$B701</f>
        <v>24727290</v>
      </c>
      <c r="H23" s="52">
        <f t="shared" ref="H23:I31" si="18">H$33*(SUM(C23:G23)/SUM(C$33:G$33))</f>
        <v>26298068.410916012</v>
      </c>
      <c r="I23" s="52">
        <f t="shared" si="18"/>
        <v>26579097.289584961</v>
      </c>
      <c r="J23" s="52">
        <f t="shared" si="17"/>
        <v>25685667.256080434</v>
      </c>
      <c r="K23" s="52">
        <f t="shared" si="17"/>
        <v>26946150.572364956</v>
      </c>
      <c r="L23" s="52">
        <f t="shared" si="17"/>
        <v>27583268.939322926</v>
      </c>
      <c r="M23" s="52">
        <f t="shared" si="17"/>
        <v>28093784.930346929</v>
      </c>
      <c r="N23" s="52">
        <f t="shared" si="17"/>
        <v>28429817.389776539</v>
      </c>
      <c r="O23" s="52">
        <f t="shared" si="17"/>
        <v>28943553.373200055</v>
      </c>
      <c r="P23" s="52">
        <f t="shared" si="17"/>
        <v>29660985.733474266</v>
      </c>
      <c r="Q23" s="52">
        <f t="shared" si="17"/>
        <v>30179497.265642088</v>
      </c>
      <c r="R23" s="52">
        <f t="shared" si="17"/>
        <v>30739414.770750698</v>
      </c>
      <c r="S23" s="52">
        <f t="shared" si="15"/>
        <v>31346309.051567715</v>
      </c>
      <c r="T23" s="52">
        <f t="shared" si="16"/>
        <v>31980098.948295631</v>
      </c>
      <c r="U23" s="52">
        <f t="shared" si="16"/>
        <v>32617750.256802727</v>
      </c>
      <c r="V23" s="52">
        <f t="shared" si="16"/>
        <v>33254872.6118646</v>
      </c>
      <c r="W23" s="52">
        <f t="shared" si="16"/>
        <v>33932045.282852456</v>
      </c>
      <c r="X23" s="52">
        <f t="shared" si="16"/>
        <v>34626145.387220636</v>
      </c>
      <c r="Y23" s="52">
        <f t="shared" si="16"/>
        <v>35331299.594914787</v>
      </c>
      <c r="Z23" s="52">
        <f t="shared" si="16"/>
        <v>36054075.457825549</v>
      </c>
      <c r="AA23" s="52">
        <f t="shared" si="16"/>
        <v>36806818.077081524</v>
      </c>
      <c r="AB23" s="52">
        <f t="shared" si="16"/>
        <v>37576143.870715819</v>
      </c>
      <c r="AC23" s="52">
        <f t="shared" si="16"/>
        <v>38362288.000738218</v>
      </c>
      <c r="AD23" s="52">
        <f t="shared" si="16"/>
        <v>39173417.817858845</v>
      </c>
      <c r="AE23" s="52">
        <f t="shared" si="16"/>
        <v>40009012.707520999</v>
      </c>
      <c r="AF23" s="52">
        <f t="shared" si="16"/>
        <v>40860595.625346243</v>
      </c>
      <c r="AG23" s="52">
        <f t="shared" si="16"/>
        <v>41736867.820679083</v>
      </c>
      <c r="AH23" s="52">
        <f t="shared" si="16"/>
        <v>42637811.488602474</v>
      </c>
    </row>
    <row r="24" spans="1:34">
      <c r="A24" s="43" t="s">
        <v>71</v>
      </c>
      <c r="B24" s="48">
        <f>'[4]US Jet Fuel'!$B642</f>
        <v>24987900</v>
      </c>
      <c r="C24" s="48">
        <f>'[4]US Jet Fuel'!$B654</f>
        <v>26919480</v>
      </c>
      <c r="D24" s="48">
        <f>'[4]US Jet Fuel'!$B666</f>
        <v>10393740</v>
      </c>
      <c r="E24" s="48">
        <f>'[4]US Jet Fuel'!$B678</f>
        <v>19806360</v>
      </c>
      <c r="F24" s="48">
        <f>'[4]US Jet Fuel'!$B690</f>
        <v>23715510</v>
      </c>
      <c r="G24" s="48">
        <f>'[4]US Jet Fuel'!$B702</f>
        <v>24619980</v>
      </c>
      <c r="H24" s="52">
        <f t="shared" si="18"/>
        <v>24506151.80150247</v>
      </c>
      <c r="I24" s="52">
        <f t="shared" si="18"/>
        <v>24186590.824041717</v>
      </c>
      <c r="J24" s="52">
        <f t="shared" si="17"/>
        <v>25317082.730534274</v>
      </c>
      <c r="K24" s="52">
        <f t="shared" si="17"/>
        <v>26042265.737540226</v>
      </c>
      <c r="L24" s="52">
        <f t="shared" si="17"/>
        <v>26404803.923028007</v>
      </c>
      <c r="M24" s="52">
        <f t="shared" si="17"/>
        <v>26693160.162753467</v>
      </c>
      <c r="N24" s="52">
        <f t="shared" si="17"/>
        <v>27113779.74469452</v>
      </c>
      <c r="O24" s="52">
        <f t="shared" si="17"/>
        <v>27849725.324378122</v>
      </c>
      <c r="P24" s="52">
        <f t="shared" si="17"/>
        <v>28412473.388181403</v>
      </c>
      <c r="Q24" s="52">
        <f t="shared" si="17"/>
        <v>28860446.163642615</v>
      </c>
      <c r="R24" s="52">
        <f t="shared" si="17"/>
        <v>29390155.734565593</v>
      </c>
      <c r="S24" s="52">
        <f t="shared" si="15"/>
        <v>30005897.14416147</v>
      </c>
      <c r="T24" s="52">
        <f t="shared" si="16"/>
        <v>30633854.313276898</v>
      </c>
      <c r="U24" s="52">
        <f t="shared" si="16"/>
        <v>31218258.347646121</v>
      </c>
      <c r="V24" s="52">
        <f t="shared" si="16"/>
        <v>31822931.623172075</v>
      </c>
      <c r="W24" s="52">
        <f t="shared" si="16"/>
        <v>32475089.898892473</v>
      </c>
      <c r="X24" s="52">
        <f t="shared" si="16"/>
        <v>33145624.803011507</v>
      </c>
      <c r="Y24" s="52">
        <f t="shared" si="16"/>
        <v>33820655.754003644</v>
      </c>
      <c r="Z24" s="52">
        <f t="shared" si="16"/>
        <v>34508044.14524278</v>
      </c>
      <c r="AA24" s="52">
        <f t="shared" si="16"/>
        <v>35228681.322745793</v>
      </c>
      <c r="AB24" s="52">
        <f t="shared" si="16"/>
        <v>35966317.784108043</v>
      </c>
      <c r="AC24" s="52">
        <f t="shared" si="16"/>
        <v>36719473.019244507</v>
      </c>
      <c r="AD24" s="52">
        <f t="shared" si="16"/>
        <v>37495378.160182551</v>
      </c>
      <c r="AE24" s="52">
        <f t="shared" si="16"/>
        <v>38294580.379852429</v>
      </c>
      <c r="AF24" s="52">
        <f t="shared" si="16"/>
        <v>39109900.341100082</v>
      </c>
      <c r="AG24" s="52">
        <f t="shared" si="16"/>
        <v>39948868.351880528</v>
      </c>
      <c r="AH24" s="52">
        <f t="shared" si="16"/>
        <v>40811230.941329375</v>
      </c>
    </row>
    <row r="25" spans="1:34">
      <c r="A25" s="43" t="s">
        <v>72</v>
      </c>
      <c r="B25" s="48">
        <f>'[4]US Jet Fuel'!$B643</f>
        <v>25831050</v>
      </c>
      <c r="C25" s="48">
        <f>'[4]US Jet Fuel'!$B655</f>
        <v>27180090</v>
      </c>
      <c r="D25" s="48">
        <f>'[4]US Jet Fuel'!$B667</f>
        <v>9152010</v>
      </c>
      <c r="E25" s="48">
        <f>'[4]US Jet Fuel'!$B679</f>
        <v>19806360</v>
      </c>
      <c r="F25" s="48">
        <f>'[4]US Jet Fuel'!$B691</f>
        <v>24390030</v>
      </c>
      <c r="G25" s="48">
        <f>'[4]US Jet Fuel'!$B703</f>
        <v>25601100</v>
      </c>
      <c r="H25" s="52">
        <f t="shared" si="18"/>
        <v>24662899.974095307</v>
      </c>
      <c r="I25" s="52">
        <f t="shared" si="18"/>
        <v>24320539.216989957</v>
      </c>
      <c r="J25" s="52">
        <f t="shared" si="17"/>
        <v>25738837.646984376</v>
      </c>
      <c r="K25" s="52">
        <f t="shared" si="17"/>
        <v>26546334.630454775</v>
      </c>
      <c r="L25" s="52">
        <f t="shared" si="17"/>
        <v>26870251.097232256</v>
      </c>
      <c r="M25" s="52">
        <f t="shared" si="17"/>
        <v>27048198.369021591</v>
      </c>
      <c r="N25" s="52">
        <f t="shared" si="17"/>
        <v>27510074.389246564</v>
      </c>
      <c r="O25" s="52">
        <f t="shared" si="17"/>
        <v>28303251.454048727</v>
      </c>
      <c r="P25" s="52">
        <f t="shared" si="17"/>
        <v>28873156.852558482</v>
      </c>
      <c r="Q25" s="52">
        <f t="shared" si="17"/>
        <v>29311091.246729583</v>
      </c>
      <c r="R25" s="52">
        <f t="shared" si="17"/>
        <v>29837829.144854631</v>
      </c>
      <c r="S25" s="52">
        <f t="shared" si="15"/>
        <v>30473872.206039</v>
      </c>
      <c r="T25" s="52">
        <f t="shared" si="16"/>
        <v>31117256.13132491</v>
      </c>
      <c r="U25" s="52">
        <f t="shared" si="16"/>
        <v>31707902.74232579</v>
      </c>
      <c r="V25" s="52">
        <f t="shared" si="16"/>
        <v>32318870.188155819</v>
      </c>
      <c r="W25" s="52">
        <f t="shared" si="16"/>
        <v>32981006.30375956</v>
      </c>
      <c r="X25" s="52">
        <f t="shared" si="16"/>
        <v>33664148.863534629</v>
      </c>
      <c r="Y25" s="52">
        <f t="shared" si="16"/>
        <v>34350043.838985212</v>
      </c>
      <c r="Z25" s="52">
        <f t="shared" si="16"/>
        <v>35047364.32988961</v>
      </c>
      <c r="AA25" s="52">
        <f t="shared" si="16"/>
        <v>35778894.512617201</v>
      </c>
      <c r="AB25" s="52">
        <f t="shared" si="16"/>
        <v>36528281.757575236</v>
      </c>
      <c r="AC25" s="52">
        <f t="shared" si="16"/>
        <v>37293523.41729717</v>
      </c>
      <c r="AD25" s="52">
        <f t="shared" si="16"/>
        <v>38081485.182679079</v>
      </c>
      <c r="AE25" s="52">
        <f t="shared" si="16"/>
        <v>38893026.353635348</v>
      </c>
      <c r="AF25" s="52">
        <f t="shared" si="16"/>
        <v>39721077.442841955</v>
      </c>
      <c r="AG25" s="52">
        <f t="shared" si="16"/>
        <v>40573222.475194559</v>
      </c>
      <c r="AH25" s="52">
        <f t="shared" si="16"/>
        <v>41449094.215402864</v>
      </c>
    </row>
    <row r="26" spans="1:34">
      <c r="A26" s="43" t="s">
        <v>73</v>
      </c>
      <c r="B26" s="48">
        <f>'[4]US Jet Fuel'!$B644</f>
        <v>28467810</v>
      </c>
      <c r="C26" s="48">
        <f>'[4]US Jet Fuel'!$B656</f>
        <v>27624660</v>
      </c>
      <c r="D26" s="48">
        <f>'[4]US Jet Fuel'!$B668</f>
        <v>12018720</v>
      </c>
      <c r="E26" s="48">
        <f>'[4]US Jet Fuel'!$B680</f>
        <v>21860580</v>
      </c>
      <c r="F26" s="48">
        <f>'[4]US Jet Fuel'!$B692</f>
        <v>25846380</v>
      </c>
      <c r="G26" s="48">
        <f>'[4]US Jet Fuel'!$B704</f>
        <v>26904150</v>
      </c>
      <c r="H26" s="52">
        <f t="shared" si="18"/>
        <v>26551002.962145358</v>
      </c>
      <c r="I26" s="52">
        <f t="shared" si="18"/>
        <v>26566500.605676949</v>
      </c>
      <c r="J26" s="52">
        <f t="shared" si="17"/>
        <v>27677726.297356855</v>
      </c>
      <c r="K26" s="52">
        <f t="shared" si="17"/>
        <v>28426377.88303303</v>
      </c>
      <c r="L26" s="52">
        <f t="shared" si="17"/>
        <v>28830626.704805985</v>
      </c>
      <c r="M26" s="52">
        <f t="shared" si="17"/>
        <v>29140762.981688816</v>
      </c>
      <c r="N26" s="52">
        <f t="shared" si="17"/>
        <v>29642571.16625046</v>
      </c>
      <c r="O26" s="52">
        <f t="shared" si="17"/>
        <v>30420881.710412171</v>
      </c>
      <c r="P26" s="52">
        <f t="shared" si="17"/>
        <v>31030646.026876364</v>
      </c>
      <c r="Q26" s="52">
        <f t="shared" si="17"/>
        <v>31523208.226750944</v>
      </c>
      <c r="R26" s="52">
        <f t="shared" si="17"/>
        <v>32103985.062028889</v>
      </c>
      <c r="S26" s="52">
        <f t="shared" si="15"/>
        <v>32780225.067090794</v>
      </c>
      <c r="T26" s="52">
        <f t="shared" si="16"/>
        <v>33461607.610564914</v>
      </c>
      <c r="U26" s="52">
        <f t="shared" si="16"/>
        <v>34099871.93982479</v>
      </c>
      <c r="V26" s="52">
        <f t="shared" si="16"/>
        <v>34761303.613357887</v>
      </c>
      <c r="W26" s="52">
        <f t="shared" si="16"/>
        <v>35474117.84168113</v>
      </c>
      <c r="X26" s="52">
        <f t="shared" si="16"/>
        <v>36206641.349194862</v>
      </c>
      <c r="Y26" s="52">
        <f t="shared" si="16"/>
        <v>36943318.161220834</v>
      </c>
      <c r="Z26" s="52">
        <f t="shared" si="16"/>
        <v>37694315.785643868</v>
      </c>
      <c r="AA26" s="52">
        <f t="shared" si="16"/>
        <v>38481683.3214847</v>
      </c>
      <c r="AB26" s="52">
        <f t="shared" si="16"/>
        <v>39287463.54640314</v>
      </c>
      <c r="AC26" s="52">
        <f t="shared" si="16"/>
        <v>40110109.389627248</v>
      </c>
      <c r="AD26" s="52">
        <f t="shared" si="16"/>
        <v>40957578.767349362</v>
      </c>
      <c r="AE26" s="52">
        <f t="shared" si="16"/>
        <v>41830624.883854002</v>
      </c>
      <c r="AF26" s="52">
        <f t="shared" si="16"/>
        <v>42721257.893854924</v>
      </c>
      <c r="AG26" s="52">
        <f t="shared" si="16"/>
        <v>43637688.483247437</v>
      </c>
      <c r="AH26" s="52">
        <f t="shared" si="16"/>
        <v>44579665.774430536</v>
      </c>
    </row>
    <row r="27" spans="1:34">
      <c r="A27" s="43" t="s">
        <v>74</v>
      </c>
      <c r="B27" s="48">
        <f>'[4]US Jet Fuel'!$B645</f>
        <v>27180090</v>
      </c>
      <c r="C27" s="48">
        <f>'[4]US Jet Fuel'!$B657</f>
        <v>28314510</v>
      </c>
      <c r="D27" s="48">
        <f>'[4]US Jet Fuel'!$B669</f>
        <v>14839440</v>
      </c>
      <c r="E27" s="48">
        <f>'[4]US Jet Fuel'!$B681</f>
        <v>23010330</v>
      </c>
      <c r="F27" s="48">
        <f>'[4]US Jet Fuel'!$B693</f>
        <v>24573990</v>
      </c>
      <c r="G27" s="48">
        <f>'[4]US Jet Fuel'!$B705</f>
        <v>26873490</v>
      </c>
      <c r="H27" s="52">
        <f t="shared" si="18"/>
        <v>27331181.366641514</v>
      </c>
      <c r="I27" s="52">
        <f t="shared" si="18"/>
        <v>27375742.088568419</v>
      </c>
      <c r="J27" s="52">
        <f t="shared" si="17"/>
        <v>27988921.510888238</v>
      </c>
      <c r="K27" s="52">
        <f t="shared" si="17"/>
        <v>28553574.818267707</v>
      </c>
      <c r="L27" s="52">
        <f t="shared" si="17"/>
        <v>29253611.640056763</v>
      </c>
      <c r="M27" s="52">
        <f t="shared" si="17"/>
        <v>29658089.585947752</v>
      </c>
      <c r="N27" s="52">
        <f t="shared" si="17"/>
        <v>30103715.938033622</v>
      </c>
      <c r="O27" s="52">
        <f t="shared" si="17"/>
        <v>30810323.443820089</v>
      </c>
      <c r="P27" s="52">
        <f t="shared" si="17"/>
        <v>31437031.595609032</v>
      </c>
      <c r="Q27" s="52">
        <f t="shared" si="17"/>
        <v>31987872.647299603</v>
      </c>
      <c r="R27" s="52">
        <f t="shared" si="17"/>
        <v>32577631.292658117</v>
      </c>
      <c r="S27" s="52">
        <f t="shared" si="15"/>
        <v>33245331.458041038</v>
      </c>
      <c r="T27" s="52">
        <f t="shared" si="16"/>
        <v>33927784.87266475</v>
      </c>
      <c r="U27" s="52">
        <f t="shared" si="16"/>
        <v>34582226.075442933</v>
      </c>
      <c r="V27" s="52">
        <f t="shared" si="16"/>
        <v>35259915.208876409</v>
      </c>
      <c r="W27" s="52">
        <f t="shared" si="16"/>
        <v>35980302.065983802</v>
      </c>
      <c r="X27" s="52">
        <f t="shared" si="16"/>
        <v>36719977.224323802</v>
      </c>
      <c r="Y27" s="52">
        <f t="shared" si="16"/>
        <v>37467024.277750693</v>
      </c>
      <c r="Z27" s="52">
        <f t="shared" si="16"/>
        <v>38230403.63970504</v>
      </c>
      <c r="AA27" s="52">
        <f t="shared" si="16"/>
        <v>39029524.525482528</v>
      </c>
      <c r="AB27" s="52">
        <f t="shared" si="16"/>
        <v>39845982.076462261</v>
      </c>
      <c r="AC27" s="52">
        <f t="shared" si="16"/>
        <v>40679923.663289055</v>
      </c>
      <c r="AD27" s="52">
        <f t="shared" si="16"/>
        <v>41539650.417569801</v>
      </c>
      <c r="AE27" s="52">
        <f t="shared" si="16"/>
        <v>42425384.11901246</v>
      </c>
      <c r="AF27" s="52">
        <f t="shared" si="16"/>
        <v>43328650.631401405</v>
      </c>
      <c r="AG27" s="52">
        <f t="shared" si="16"/>
        <v>44257956.256668374</v>
      </c>
      <c r="AH27" s="52">
        <f t="shared" si="16"/>
        <v>45213304.736580655</v>
      </c>
    </row>
    <row r="28" spans="1:34">
      <c r="A28" s="43" t="s">
        <v>75</v>
      </c>
      <c r="B28" s="48">
        <f>'[4]US Jet Fuel'!$B646</f>
        <v>28483140</v>
      </c>
      <c r="C28" s="48">
        <f>'[4]US Jet Fuel'!$B658</f>
        <v>28222530</v>
      </c>
      <c r="D28" s="48">
        <f>'[4]US Jet Fuel'!$B670</f>
        <v>15575280</v>
      </c>
      <c r="E28" s="48">
        <f>'[4]US Jet Fuel'!$B682</f>
        <v>23960790</v>
      </c>
      <c r="F28" s="48">
        <f>'[4]US Jet Fuel'!$B694</f>
        <v>25355820</v>
      </c>
      <c r="G28" s="48">
        <f>'[4]US Jet Fuel'!$B706</f>
        <v>26183640</v>
      </c>
      <c r="H28" s="52">
        <f t="shared" si="18"/>
        <v>27723051.798123598</v>
      </c>
      <c r="I28" s="52">
        <f t="shared" si="18"/>
        <v>27885133.133354791</v>
      </c>
      <c r="J28" s="52">
        <f t="shared" si="17"/>
        <v>28410105.425449096</v>
      </c>
      <c r="K28" s="52">
        <f t="shared" si="17"/>
        <v>28854647.579302289</v>
      </c>
      <c r="L28" s="52">
        <f t="shared" si="17"/>
        <v>29451357.007265985</v>
      </c>
      <c r="M28" s="52">
        <f t="shared" si="17"/>
        <v>30042531.089171428</v>
      </c>
      <c r="N28" s="52">
        <f t="shared" si="17"/>
        <v>30486010.864550199</v>
      </c>
      <c r="O28" s="52">
        <f t="shared" si="17"/>
        <v>31167356.302130979</v>
      </c>
      <c r="P28" s="52">
        <f t="shared" si="17"/>
        <v>31780808.163968373</v>
      </c>
      <c r="Q28" s="52">
        <f t="shared" si="17"/>
        <v>32340035.461757082</v>
      </c>
      <c r="R28" s="52">
        <f t="shared" si="17"/>
        <v>32962585.449914347</v>
      </c>
      <c r="S28" s="52">
        <f t="shared" si="15"/>
        <v>33630974.984259725</v>
      </c>
      <c r="T28" s="52">
        <f t="shared" si="16"/>
        <v>34314329.840673529</v>
      </c>
      <c r="U28" s="52">
        <f t="shared" si="16"/>
        <v>34974954.409073494</v>
      </c>
      <c r="V28" s="52">
        <f t="shared" si="16"/>
        <v>35663145.182572894</v>
      </c>
      <c r="W28" s="52">
        <f t="shared" si="16"/>
        <v>36394665.916472994</v>
      </c>
      <c r="X28" s="52">
        <f t="shared" si="16"/>
        <v>37140784.244597957</v>
      </c>
      <c r="Y28" s="52">
        <f t="shared" si="16"/>
        <v>37895403.935522825</v>
      </c>
      <c r="Z28" s="52">
        <f t="shared" si="16"/>
        <v>38667802.100430988</v>
      </c>
      <c r="AA28" s="52">
        <f t="shared" si="16"/>
        <v>39476688.674512312</v>
      </c>
      <c r="AB28" s="52">
        <f t="shared" si="16"/>
        <v>40302658.925472043</v>
      </c>
      <c r="AC28" s="52">
        <f t="shared" si="16"/>
        <v>41145734.796714388</v>
      </c>
      <c r="AD28" s="52">
        <f t="shared" si="16"/>
        <v>42015233.679093376</v>
      </c>
      <c r="AE28" s="52">
        <f t="shared" si="16"/>
        <v>42911230.765145302</v>
      </c>
      <c r="AF28" s="52">
        <f t="shared" si="16"/>
        <v>43824928.18935892</v>
      </c>
      <c r="AG28" s="52">
        <f t="shared" si="16"/>
        <v>44764850.652725793</v>
      </c>
      <c r="AH28" s="52">
        <f t="shared" si="16"/>
        <v>45731074.104853071</v>
      </c>
    </row>
    <row r="29" spans="1:34">
      <c r="A29" s="43" t="s">
        <v>76</v>
      </c>
      <c r="B29" s="48">
        <f>'[4]US Jet Fuel'!$B647</f>
        <v>26122320</v>
      </c>
      <c r="C29" s="48">
        <f>'[4]US Jet Fuel'!$B659</f>
        <v>26091660</v>
      </c>
      <c r="D29" s="48">
        <f>'[4]US Jet Fuel'!$B671</f>
        <v>14118930</v>
      </c>
      <c r="E29" s="48">
        <f>'[4]US Jet Fuel'!$B683</f>
        <v>22765050</v>
      </c>
      <c r="F29" s="48">
        <f>'[4]US Jet Fuel'!$B695</f>
        <v>23516220</v>
      </c>
      <c r="G29" s="48">
        <f>'[4]US Jet Fuel'!$B707</f>
        <v>25923030</v>
      </c>
      <c r="H29" s="52">
        <f t="shared" si="18"/>
        <v>26123507.945983082</v>
      </c>
      <c r="I29" s="52">
        <f t="shared" si="18"/>
        <v>26394189.312491626</v>
      </c>
      <c r="J29" s="52">
        <f t="shared" si="17"/>
        <v>27026217.594906993</v>
      </c>
      <c r="K29" s="52">
        <f t="shared" si="17"/>
        <v>27455189.804403409</v>
      </c>
      <c r="L29" s="52">
        <f t="shared" si="17"/>
        <v>28152118.368464231</v>
      </c>
      <c r="M29" s="52">
        <f t="shared" si="17"/>
        <v>28528402.836055595</v>
      </c>
      <c r="N29" s="52">
        <f t="shared" si="17"/>
        <v>28992172.856900211</v>
      </c>
      <c r="O29" s="52">
        <f t="shared" si="17"/>
        <v>29666495.584831193</v>
      </c>
      <c r="P29" s="52">
        <f t="shared" si="17"/>
        <v>30253754.747241586</v>
      </c>
      <c r="Q29" s="52">
        <f t="shared" si="17"/>
        <v>30788861.633052021</v>
      </c>
      <c r="R29" s="52">
        <f t="shared" si="17"/>
        <v>31357565.860008936</v>
      </c>
      <c r="S29" s="52">
        <f t="shared" si="15"/>
        <v>32004277.197853997</v>
      </c>
      <c r="T29" s="52">
        <f t="shared" si="16"/>
        <v>32658661.22102296</v>
      </c>
      <c r="U29" s="52">
        <f t="shared" si="16"/>
        <v>33286781.971624505</v>
      </c>
      <c r="V29" s="52">
        <f t="shared" si="16"/>
        <v>33940283.035207734</v>
      </c>
      <c r="W29" s="52">
        <f t="shared" si="16"/>
        <v>34634098.707022242</v>
      </c>
      <c r="X29" s="52">
        <f t="shared" si="16"/>
        <v>35346347.899853833</v>
      </c>
      <c r="Y29" s="52">
        <f t="shared" si="16"/>
        <v>36064898.351741262</v>
      </c>
      <c r="Z29" s="52">
        <f t="shared" si="16"/>
        <v>36799592.25492879</v>
      </c>
      <c r="AA29" s="52">
        <f t="shared" si="16"/>
        <v>37569053.756934777</v>
      </c>
      <c r="AB29" s="52">
        <f t="shared" si="16"/>
        <v>38355006.28203357</v>
      </c>
      <c r="AC29" s="52">
        <f t="shared" si="16"/>
        <v>39157716.552578114</v>
      </c>
      <c r="AD29" s="52">
        <f t="shared" si="16"/>
        <v>39985187.973003723</v>
      </c>
      <c r="AE29" s="52">
        <f t="shared" si="16"/>
        <v>40837790.512969136</v>
      </c>
      <c r="AF29" s="52">
        <f t="shared" si="16"/>
        <v>41707298.074666895</v>
      </c>
      <c r="AG29" s="52">
        <f t="shared" si="16"/>
        <v>42601827.277287021</v>
      </c>
      <c r="AH29" s="52">
        <f t="shared" si="16"/>
        <v>43521414.451568052</v>
      </c>
    </row>
    <row r="30" spans="1:34">
      <c r="A30" s="43" t="s">
        <v>77</v>
      </c>
      <c r="B30" s="48">
        <f>'[4]US Jet Fuel'!$B648</f>
        <v>25677750</v>
      </c>
      <c r="C30" s="48">
        <f>'[4]US Jet Fuel'!$B660</f>
        <v>26474910</v>
      </c>
      <c r="D30" s="48">
        <f>'[4]US Jet Fuel'!$B672</f>
        <v>15421980</v>
      </c>
      <c r="E30" s="48">
        <f>'[4]US Jet Fuel'!$B684</f>
        <v>22489110</v>
      </c>
      <c r="F30" s="48">
        <f>'[4]US Jet Fuel'!$B696</f>
        <v>23884140</v>
      </c>
      <c r="G30" s="48">
        <f>'[4]US Jet Fuel'!$B708</f>
        <v>26015010</v>
      </c>
      <c r="H30" s="52">
        <f t="shared" si="18"/>
        <v>26558127.879081398</v>
      </c>
      <c r="I30" s="52">
        <f t="shared" si="18"/>
        <v>26845246.098746397</v>
      </c>
      <c r="J30" s="52">
        <f t="shared" si="17"/>
        <v>27257998.959543329</v>
      </c>
      <c r="K30" s="52">
        <f t="shared" si="17"/>
        <v>27790944.207969699</v>
      </c>
      <c r="L30" s="52">
        <f t="shared" si="17"/>
        <v>28479380.956623267</v>
      </c>
      <c r="M30" s="52">
        <f t="shared" si="17"/>
        <v>28904234.508623455</v>
      </c>
      <c r="N30" s="52">
        <f t="shared" si="17"/>
        <v>29355046.151867963</v>
      </c>
      <c r="O30" s="52">
        <f t="shared" si="17"/>
        <v>30012260.1300078</v>
      </c>
      <c r="P30" s="52">
        <f t="shared" si="17"/>
        <v>30623993.606311236</v>
      </c>
      <c r="Q30" s="52">
        <f t="shared" si="17"/>
        <v>31165698.969148852</v>
      </c>
      <c r="R30" s="52">
        <f t="shared" si="17"/>
        <v>31745024.108540785</v>
      </c>
      <c r="S30" s="52">
        <f t="shared" si="15"/>
        <v>32394783.258433454</v>
      </c>
      <c r="T30" s="52">
        <f t="shared" si="16"/>
        <v>33055218.692297112</v>
      </c>
      <c r="U30" s="52">
        <f t="shared" si="16"/>
        <v>33694031.060913332</v>
      </c>
      <c r="V30" s="52">
        <f t="shared" si="16"/>
        <v>34355506.74756901</v>
      </c>
      <c r="W30" s="52">
        <f t="shared" si="16"/>
        <v>35057774.892672241</v>
      </c>
      <c r="X30" s="52">
        <f t="shared" si="16"/>
        <v>35777916.88077566</v>
      </c>
      <c r="Y30" s="52">
        <f t="shared" si="16"/>
        <v>36505295.233772174</v>
      </c>
      <c r="Z30" s="52">
        <f t="shared" si="16"/>
        <v>37249437.460255809</v>
      </c>
      <c r="AA30" s="52">
        <f t="shared" si="16"/>
        <v>38028231.658410728</v>
      </c>
      <c r="AB30" s="52">
        <f t="shared" si="16"/>
        <v>38823705.773855142</v>
      </c>
      <c r="AC30" s="52">
        <f t="shared" si="16"/>
        <v>39636130.279720038</v>
      </c>
      <c r="AD30" s="52">
        <f t="shared" si="16"/>
        <v>40473770.765143871</v>
      </c>
      <c r="AE30" s="52">
        <f t="shared" si="16"/>
        <v>41336851.682023816</v>
      </c>
      <c r="AF30" s="52">
        <f t="shared" si="16"/>
        <v>42216956.780917361</v>
      </c>
      <c r="AG30" s="52">
        <f t="shared" si="16"/>
        <v>43122398.273030244</v>
      </c>
      <c r="AH30" s="52">
        <f t="shared" si="16"/>
        <v>44053217.543357573</v>
      </c>
    </row>
    <row r="31" spans="1:34">
      <c r="A31" s="43" t="s">
        <v>78</v>
      </c>
      <c r="B31" s="48">
        <f>'[4]US Jet Fuel'!$B649</f>
        <v>26919480</v>
      </c>
      <c r="C31" s="48">
        <f>'[4]US Jet Fuel'!$B661</f>
        <v>26229630</v>
      </c>
      <c r="D31" s="48">
        <f>'[4]US Jet Fuel'!$B673</f>
        <v>17322900</v>
      </c>
      <c r="E31" s="48">
        <f>'[4]US Jet Fuel'!$B685</f>
        <v>23102310</v>
      </c>
      <c r="F31" s="48">
        <f>'[4]US Jet Fuel'!$B697</f>
        <v>24282720</v>
      </c>
      <c r="G31" s="48">
        <f>'[4]US Jet Fuel'!$B709</f>
        <v>24880590</v>
      </c>
      <c r="H31" s="52">
        <f t="shared" si="18"/>
        <v>26914373.72588329</v>
      </c>
      <c r="I31" s="52">
        <f t="shared" si="18"/>
        <v>27346275.122104634</v>
      </c>
      <c r="J31" s="52">
        <f t="shared" si="17"/>
        <v>27417188.214768354</v>
      </c>
      <c r="K31" s="52">
        <f t="shared" si="17"/>
        <v>27850677.496689215</v>
      </c>
      <c r="L31" s="52">
        <f t="shared" si="17"/>
        <v>28467049.758858025</v>
      </c>
      <c r="M31" s="52">
        <f t="shared" si="17"/>
        <v>29128800.763399459</v>
      </c>
      <c r="N31" s="52">
        <f t="shared" si="17"/>
        <v>29551519.534196392</v>
      </c>
      <c r="O31" s="52">
        <f t="shared" si="17"/>
        <v>30145111.124737393</v>
      </c>
      <c r="P31" s="52">
        <f t="shared" si="17"/>
        <v>30751389.114709552</v>
      </c>
      <c r="Q31" s="52">
        <f t="shared" si="17"/>
        <v>31307164.34886327</v>
      </c>
      <c r="R31" s="52">
        <f t="shared" si="17"/>
        <v>31919074.836035158</v>
      </c>
      <c r="S31" s="52">
        <f t="shared" si="15"/>
        <v>32558394.027745072</v>
      </c>
      <c r="T31" s="52">
        <f t="shared" si="16"/>
        <v>33211944.823566794</v>
      </c>
      <c r="U31" s="52">
        <f t="shared" si="16"/>
        <v>33855788.237530619</v>
      </c>
      <c r="V31" s="52">
        <f t="shared" si="16"/>
        <v>34524599.606881529</v>
      </c>
      <c r="W31" s="52">
        <f t="shared" si="16"/>
        <v>35232854.759631209</v>
      </c>
      <c r="X31" s="52">
        <f t="shared" si="16"/>
        <v>35953299.984599724</v>
      </c>
      <c r="Y31" s="52">
        <f t="shared" si="16"/>
        <v>36683222.338514365</v>
      </c>
      <c r="Z31" s="52">
        <f t="shared" si="16"/>
        <v>37431922.864348292</v>
      </c>
      <c r="AA31" s="52">
        <f t="shared" si="16"/>
        <v>38215235.853575647</v>
      </c>
      <c r="AB31" s="52">
        <f t="shared" si="16"/>
        <v>39014589.975138798</v>
      </c>
      <c r="AC31" s="52">
        <f t="shared" si="16"/>
        <v>39830432.281838387</v>
      </c>
      <c r="AD31" s="52">
        <f t="shared" si="16"/>
        <v>40672180.14625328</v>
      </c>
      <c r="AE31" s="52">
        <f t="shared" si="16"/>
        <v>41539710.865619771</v>
      </c>
      <c r="AF31" s="52">
        <f t="shared" si="16"/>
        <v>42424202.098309405</v>
      </c>
      <c r="AG31" s="52">
        <f t="shared" si="16"/>
        <v>43334019.9720442</v>
      </c>
      <c r="AH31" s="52">
        <f t="shared" si="16"/>
        <v>44269330.898445904</v>
      </c>
    </row>
    <row r="32" spans="1:34">
      <c r="A32" s="43" t="s">
        <v>79</v>
      </c>
      <c r="B32" s="48">
        <f>'[4]US Jet Fuel'!$B650</f>
        <v>25693080</v>
      </c>
      <c r="C32" s="48">
        <f>'[4]US Jet Fuel'!$B662</f>
        <v>27731970</v>
      </c>
      <c r="D32" s="48">
        <f>'[4]US Jet Fuel'!$B674</f>
        <v>17598840</v>
      </c>
      <c r="E32" s="48">
        <f>'[4]US Jet Fuel'!$B686</f>
        <v>23255610</v>
      </c>
      <c r="F32" s="48">
        <f>'[4]US Jet Fuel'!$B698</f>
        <v>24420690</v>
      </c>
      <c r="G32" s="48">
        <f>'[4]US Jet Fuel'!$B710</f>
        <v>25570440</v>
      </c>
      <c r="H32" s="52">
        <f>H33-SUM(H21:H31)</f>
        <v>30267617.61789453</v>
      </c>
      <c r="I32" s="52">
        <f>I33-SUM(I21:I31)</f>
        <v>28428433.981815755</v>
      </c>
      <c r="J32" s="52">
        <f t="shared" ref="J32:AH32" si="19">J33-SUM(J21:J31)</f>
        <v>28590903.563412428</v>
      </c>
      <c r="K32" s="52">
        <f t="shared" si="19"/>
        <v>29220835.823209167</v>
      </c>
      <c r="L32" s="52">
        <f t="shared" si="19"/>
        <v>30091325.170235336</v>
      </c>
      <c r="M32" s="52">
        <f t="shared" si="19"/>
        <v>30944881.943924129</v>
      </c>
      <c r="N32" s="52">
        <f t="shared" si="19"/>
        <v>31040875.137865543</v>
      </c>
      <c r="O32" s="52">
        <f t="shared" si="19"/>
        <v>31727049.148143351</v>
      </c>
      <c r="P32" s="52">
        <f t="shared" si="19"/>
        <v>32421302.899954677</v>
      </c>
      <c r="Q32" s="52">
        <f t="shared" si="19"/>
        <v>33037337.765695512</v>
      </c>
      <c r="R32" s="52">
        <f t="shared" si="19"/>
        <v>33672263.686977267</v>
      </c>
      <c r="S32" s="52">
        <f t="shared" si="19"/>
        <v>34300903.034574866</v>
      </c>
      <c r="T32" s="52">
        <f t="shared" si="19"/>
        <v>35008981.040161788</v>
      </c>
      <c r="U32" s="52">
        <f t="shared" si="19"/>
        <v>35698079.701834321</v>
      </c>
      <c r="V32" s="52">
        <f t="shared" si="19"/>
        <v>36404016.230522156</v>
      </c>
      <c r="W32" s="52">
        <f t="shared" si="19"/>
        <v>37145330.890236199</v>
      </c>
      <c r="X32" s="52">
        <f t="shared" si="19"/>
        <v>37900512.599724293</v>
      </c>
      <c r="Y32" s="52">
        <f t="shared" si="19"/>
        <v>38674391.204052031</v>
      </c>
      <c r="Z32" s="52">
        <f t="shared" si="19"/>
        <v>39464944.247468352</v>
      </c>
      <c r="AA32" s="52">
        <f t="shared" si="19"/>
        <v>40290057.365251839</v>
      </c>
      <c r="AB32" s="52">
        <f t="shared" si="19"/>
        <v>41131754.051030517</v>
      </c>
      <c r="AC32" s="52">
        <f t="shared" si="19"/>
        <v>41991755.786157131</v>
      </c>
      <c r="AD32" s="52">
        <f t="shared" si="19"/>
        <v>42879972.128542364</v>
      </c>
      <c r="AE32" s="52">
        <f t="shared" si="19"/>
        <v>43794614.277405322</v>
      </c>
      <c r="AF32" s="52">
        <f t="shared" si="19"/>
        <v>44726883.944364786</v>
      </c>
      <c r="AG32" s="52">
        <f t="shared" si="19"/>
        <v>45685958.420138836</v>
      </c>
      <c r="AH32" s="52">
        <f t="shared" si="19"/>
        <v>46672105.201199055</v>
      </c>
    </row>
    <row r="33" spans="1:34" ht="15.75" thickBot="1">
      <c r="A33" s="43" t="s">
        <v>80</v>
      </c>
      <c r="B33" s="48">
        <f>SUM(B21:B32)</f>
        <v>313927740</v>
      </c>
      <c r="C33" s="48">
        <f t="shared" ref="C33:G33" si="20">SUM(C21:C32)</f>
        <v>320504310</v>
      </c>
      <c r="D33" s="48">
        <f t="shared" si="20"/>
        <v>198186240</v>
      </c>
      <c r="E33" s="48">
        <f t="shared" si="20"/>
        <v>251687940</v>
      </c>
      <c r="F33" s="48">
        <f t="shared" si="20"/>
        <v>286762980</v>
      </c>
      <c r="G33" s="48">
        <f t="shared" si="20"/>
        <v>303963240</v>
      </c>
      <c r="H33" s="52">
        <f>H6*1000</f>
        <v>316300000</v>
      </c>
      <c r="I33" s="52">
        <f>I6*1000</f>
        <v>318500000</v>
      </c>
      <c r="J33" s="52">
        <f t="shared" ref="J33:AH33" si="21">J6*1000</f>
        <v>320100000</v>
      </c>
      <c r="K33" s="52">
        <f t="shared" si="21"/>
        <v>329000000</v>
      </c>
      <c r="L33" s="52">
        <f t="shared" si="21"/>
        <v>336300000</v>
      </c>
      <c r="M33" s="52">
        <f t="shared" si="21"/>
        <v>342000000</v>
      </c>
      <c r="N33" s="52">
        <f t="shared" si="21"/>
        <v>346900000</v>
      </c>
      <c r="O33" s="52">
        <f t="shared" si="21"/>
        <v>354400000</v>
      </c>
      <c r="P33" s="52">
        <f t="shared" si="21"/>
        <v>362000000</v>
      </c>
      <c r="Q33" s="52">
        <f t="shared" si="21"/>
        <v>368300000</v>
      </c>
      <c r="R33" s="52">
        <f t="shared" si="21"/>
        <v>375200000</v>
      </c>
      <c r="S33" s="52">
        <f t="shared" si="21"/>
        <v>382800000</v>
      </c>
      <c r="T33" s="52">
        <f t="shared" si="21"/>
        <v>390600000</v>
      </c>
      <c r="U33" s="52">
        <f t="shared" si="21"/>
        <v>398200000</v>
      </c>
      <c r="V33" s="52">
        <f t="shared" si="21"/>
        <v>406000000</v>
      </c>
      <c r="W33" s="52">
        <f t="shared" si="21"/>
        <v>414300000</v>
      </c>
      <c r="X33" s="52">
        <f t="shared" si="21"/>
        <v>422800000</v>
      </c>
      <c r="Y33" s="52">
        <f t="shared" si="21"/>
        <v>431400000</v>
      </c>
      <c r="Z33" s="52">
        <f t="shared" si="21"/>
        <v>440200000</v>
      </c>
      <c r="AA33" s="52">
        <f t="shared" si="21"/>
        <v>449400000</v>
      </c>
      <c r="AB33" s="52">
        <f t="shared" si="21"/>
        <v>458800000</v>
      </c>
      <c r="AC33" s="52">
        <f t="shared" si="21"/>
        <v>468400000</v>
      </c>
      <c r="AD33" s="52">
        <f t="shared" si="21"/>
        <v>478300000</v>
      </c>
      <c r="AE33" s="52">
        <f t="shared" si="21"/>
        <v>488500000</v>
      </c>
      <c r="AF33" s="52">
        <f t="shared" si="21"/>
        <v>498900000</v>
      </c>
      <c r="AG33" s="52">
        <f t="shared" si="21"/>
        <v>509600000</v>
      </c>
      <c r="AH33" s="52">
        <f t="shared" si="21"/>
        <v>520600000</v>
      </c>
    </row>
    <row r="34" spans="1: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</row>
    <row r="35" spans="1:34" ht="15.75" thickBot="1">
      <c r="A35" s="43" t="s">
        <v>81</v>
      </c>
    </row>
    <row r="36" spans="1:34" ht="15.75" thickBot="1">
      <c r="A36" s="50" t="s">
        <v>67</v>
      </c>
      <c r="B36" s="51">
        <f>B20</f>
        <v>2018</v>
      </c>
      <c r="C36" s="51">
        <f t="shared" ref="C36:AH36" si="22">C20</f>
        <v>2019</v>
      </c>
      <c r="D36" s="51">
        <f t="shared" si="22"/>
        <v>2020</v>
      </c>
      <c r="E36" s="51">
        <f t="shared" si="22"/>
        <v>2021</v>
      </c>
      <c r="F36" s="51">
        <f t="shared" si="22"/>
        <v>2022</v>
      </c>
      <c r="G36" s="51">
        <f t="shared" si="22"/>
        <v>2023</v>
      </c>
      <c r="H36" s="51">
        <f t="shared" si="22"/>
        <v>2024</v>
      </c>
      <c r="I36" s="51">
        <f t="shared" si="22"/>
        <v>2025</v>
      </c>
      <c r="J36" s="51">
        <f t="shared" si="22"/>
        <v>2026</v>
      </c>
      <c r="K36" s="51">
        <f t="shared" si="22"/>
        <v>2027</v>
      </c>
      <c r="L36" s="51">
        <f t="shared" si="22"/>
        <v>2028</v>
      </c>
      <c r="M36" s="51">
        <f t="shared" si="22"/>
        <v>2029</v>
      </c>
      <c r="N36" s="51">
        <f t="shared" si="22"/>
        <v>2030</v>
      </c>
      <c r="O36" s="51">
        <f t="shared" si="22"/>
        <v>2031</v>
      </c>
      <c r="P36" s="51">
        <f t="shared" si="22"/>
        <v>2032</v>
      </c>
      <c r="Q36" s="51">
        <f t="shared" si="22"/>
        <v>2033</v>
      </c>
      <c r="R36" s="51">
        <f t="shared" si="22"/>
        <v>2034</v>
      </c>
      <c r="S36" s="51">
        <f t="shared" si="22"/>
        <v>2035</v>
      </c>
      <c r="T36" s="51">
        <f t="shared" si="22"/>
        <v>2036</v>
      </c>
      <c r="U36" s="51">
        <f t="shared" si="22"/>
        <v>2037</v>
      </c>
      <c r="V36" s="51">
        <f t="shared" si="22"/>
        <v>2038</v>
      </c>
      <c r="W36" s="51">
        <f t="shared" si="22"/>
        <v>2039</v>
      </c>
      <c r="X36" s="51">
        <f t="shared" si="22"/>
        <v>2040</v>
      </c>
      <c r="Y36" s="51">
        <f t="shared" si="22"/>
        <v>2041</v>
      </c>
      <c r="Z36" s="51">
        <f t="shared" si="22"/>
        <v>2042</v>
      </c>
      <c r="AA36" s="51">
        <f t="shared" si="22"/>
        <v>2043</v>
      </c>
      <c r="AB36" s="51">
        <f t="shared" si="22"/>
        <v>2044</v>
      </c>
      <c r="AC36" s="51">
        <f t="shared" si="22"/>
        <v>2045</v>
      </c>
      <c r="AD36" s="51">
        <f t="shared" si="22"/>
        <v>2046</v>
      </c>
      <c r="AE36" s="51">
        <f t="shared" si="22"/>
        <v>2047</v>
      </c>
      <c r="AF36" s="51">
        <f t="shared" si="22"/>
        <v>2048</v>
      </c>
      <c r="AG36" s="51">
        <f t="shared" si="22"/>
        <v>2049</v>
      </c>
      <c r="AH36" s="51">
        <f t="shared" si="22"/>
        <v>2050</v>
      </c>
    </row>
    <row r="37" spans="1:34">
      <c r="A37" s="43" t="s">
        <v>68</v>
      </c>
      <c r="B37" s="48">
        <f>'[3]US Jet Fuel Imports'!LX$290</f>
        <v>154517.95800000001</v>
      </c>
      <c r="C37" s="48">
        <f>'[3]US Jet Fuel Imports'!MJ$290</f>
        <v>230120.73</v>
      </c>
      <c r="D37" s="48">
        <f>'[3]US Jet Fuel Imports'!MV$290</f>
        <v>180702.48</v>
      </c>
      <c r="E37" s="48">
        <f>'[3]US Jet Fuel Imports'!NH$290</f>
        <v>178320.61799999999</v>
      </c>
      <c r="F37" s="48">
        <f>'[3]US Jet Fuel Imports'!NT$290</f>
        <v>182539.89600000001</v>
      </c>
      <c r="G37" s="48">
        <f>'[3]US Jet Fuel Imports'!OF$290</f>
        <v>112710.738</v>
      </c>
      <c r="H37" s="48">
        <f>'[3]US Jet Fuel Imports'!OR$290</f>
        <v>92163.96</v>
      </c>
      <c r="I37" s="52">
        <f>I$49*(SUM(D37:H37)/SUM(D$49:H$49))</f>
        <v>121583.93970516906</v>
      </c>
      <c r="J37" s="52">
        <f t="shared" ref="J37:R37" si="23">J$49*(SUM(E37:I37)/SUM(E$49:I$49))</f>
        <v>124786.54143202181</v>
      </c>
      <c r="K37" s="52">
        <f t="shared" si="23"/>
        <v>126802.57340864706</v>
      </c>
      <c r="L37" s="52">
        <f t="shared" si="23"/>
        <v>115245.52525667004</v>
      </c>
      <c r="M37" s="52">
        <f t="shared" si="23"/>
        <v>116116.50796050161</v>
      </c>
      <c r="N37" s="52">
        <f t="shared" si="23"/>
        <v>120907.01755260192</v>
      </c>
      <c r="O37" s="52">
        <f t="shared" si="23"/>
        <v>120771.63312208849</v>
      </c>
      <c r="P37" s="52">
        <f t="shared" si="23"/>
        <v>119968.65146010183</v>
      </c>
      <c r="Q37" s="52">
        <f t="shared" si="23"/>
        <v>118601.86707039278</v>
      </c>
      <c r="R37" s="52">
        <f t="shared" si="23"/>
        <v>119273.13543313733</v>
      </c>
      <c r="S37" s="52">
        <f t="shared" ref="S37:S47" si="24">S$49*(SUM(N37:R37)/SUM(N$49:R$49))</f>
        <v>119981.818644392</v>
      </c>
      <c r="T37" s="52">
        <f t="shared" ref="T37:AH47" si="25">T$49*(SUM(O37:S37)/SUM(O$49:S$49))</f>
        <v>119858.43221431227</v>
      </c>
      <c r="U37" s="52">
        <f t="shared" si="25"/>
        <v>119721.79855399048</v>
      </c>
      <c r="V37" s="52">
        <f t="shared" si="25"/>
        <v>119703.09162942412</v>
      </c>
      <c r="W37" s="52">
        <f t="shared" si="25"/>
        <v>119939.04895863702</v>
      </c>
      <c r="X37" s="52">
        <f t="shared" si="25"/>
        <v>120072.3399409113</v>
      </c>
      <c r="Y37" s="52">
        <f t="shared" si="25"/>
        <v>120090.33017887482</v>
      </c>
      <c r="Z37" s="52">
        <f t="shared" si="25"/>
        <v>120136.65044758111</v>
      </c>
      <c r="AA37" s="52">
        <f t="shared" si="25"/>
        <v>120219.63212613277</v>
      </c>
      <c r="AB37" s="52">
        <f t="shared" si="25"/>
        <v>120322.99069715269</v>
      </c>
      <c r="AC37" s="52">
        <f t="shared" si="25"/>
        <v>120399.77838675339</v>
      </c>
      <c r="AD37" s="52">
        <f t="shared" si="25"/>
        <v>120465.24367268824</v>
      </c>
      <c r="AE37" s="52">
        <f t="shared" si="25"/>
        <v>120540.22225657328</v>
      </c>
      <c r="AF37" s="52">
        <f t="shared" si="25"/>
        <v>120620.94352413401</v>
      </c>
      <c r="AG37" s="52">
        <f t="shared" si="25"/>
        <v>120701.21183237863</v>
      </c>
      <c r="AH37" s="52">
        <f t="shared" si="25"/>
        <v>120776.85321652952</v>
      </c>
    </row>
    <row r="38" spans="1:34">
      <c r="A38" s="43" t="s">
        <v>69</v>
      </c>
      <c r="B38" s="48">
        <f>'[3]US Jet Fuel Imports'!LY$290</f>
        <v>149843.90400000001</v>
      </c>
      <c r="C38" s="48">
        <f>'[3]US Jet Fuel Imports'!MK$290</f>
        <v>245219.81400000001</v>
      </c>
      <c r="D38" s="48">
        <f>'[3]US Jet Fuel Imports'!MW$290</f>
        <v>192061.08600000001</v>
      </c>
      <c r="E38" s="48">
        <f>'[3]US Jet Fuel Imports'!NI$290</f>
        <v>100219.98</v>
      </c>
      <c r="F38" s="48">
        <f>'[3]US Jet Fuel Imports'!NU$290</f>
        <v>91587.384000000005</v>
      </c>
      <c r="G38" s="48">
        <f>'[3]US Jet Fuel Imports'!OG$290</f>
        <v>195534.52799999999</v>
      </c>
      <c r="H38" s="52">
        <f>H$49*(SUM(C38:G38)/SUM(C$49:G$49))</f>
        <v>117447.32755481437</v>
      </c>
      <c r="I38" s="52">
        <f>I$49*(SUM(D38:H38)/SUM(D$49:H$49))</f>
        <v>113506.86928347824</v>
      </c>
      <c r="J38" s="52">
        <f t="shared" ref="J38:R47" si="26">J$49*(SUM(E38:I38)/SUM(E$49:I$49))</f>
        <v>112255.02783628661</v>
      </c>
      <c r="K38" s="52">
        <f t="shared" si="26"/>
        <v>126111.53743661907</v>
      </c>
      <c r="L38" s="52">
        <f t="shared" si="26"/>
        <v>132552.36577096605</v>
      </c>
      <c r="M38" s="52">
        <f t="shared" si="26"/>
        <v>120374.62557643288</v>
      </c>
      <c r="N38" s="52">
        <f t="shared" si="26"/>
        <v>120960.08518075656</v>
      </c>
      <c r="O38" s="52">
        <f t="shared" si="26"/>
        <v>122450.72836021222</v>
      </c>
      <c r="P38" s="52">
        <f t="shared" si="26"/>
        <v>124489.86846499736</v>
      </c>
      <c r="Q38" s="52">
        <f t="shared" si="26"/>
        <v>124165.53467067301</v>
      </c>
      <c r="R38" s="52">
        <f t="shared" si="26"/>
        <v>122488.16845061439</v>
      </c>
      <c r="S38" s="52">
        <f t="shared" si="24"/>
        <v>122990.17436546714</v>
      </c>
      <c r="T38" s="52">
        <f t="shared" si="25"/>
        <v>123460.08310310519</v>
      </c>
      <c r="U38" s="52">
        <f t="shared" si="25"/>
        <v>123709.9466686693</v>
      </c>
      <c r="V38" s="52">
        <f t="shared" si="25"/>
        <v>123585.45795252116</v>
      </c>
      <c r="W38" s="52">
        <f t="shared" si="25"/>
        <v>123485.00083637712</v>
      </c>
      <c r="X38" s="52">
        <f t="shared" si="25"/>
        <v>123684.59903581116</v>
      </c>
      <c r="Y38" s="52">
        <f t="shared" si="25"/>
        <v>123823.59863419889</v>
      </c>
      <c r="Z38" s="52">
        <f t="shared" si="25"/>
        <v>123896.28857527534</v>
      </c>
      <c r="AA38" s="52">
        <f t="shared" si="25"/>
        <v>123933.47548949772</v>
      </c>
      <c r="AB38" s="52">
        <f t="shared" si="25"/>
        <v>124003.05993718818</v>
      </c>
      <c r="AC38" s="52">
        <f t="shared" si="25"/>
        <v>124106.71820666843</v>
      </c>
      <c r="AD38" s="52">
        <f t="shared" si="25"/>
        <v>124191.15150692729</v>
      </c>
      <c r="AE38" s="52">
        <f t="shared" si="25"/>
        <v>124264.65054838661</v>
      </c>
      <c r="AF38" s="52">
        <f t="shared" si="25"/>
        <v>124338.31173569213</v>
      </c>
      <c r="AG38" s="52">
        <f t="shared" si="25"/>
        <v>124419.28180256848</v>
      </c>
      <c r="AH38" s="52">
        <f t="shared" si="25"/>
        <v>124502.5333603558</v>
      </c>
    </row>
    <row r="39" spans="1:34">
      <c r="A39" s="43" t="s">
        <v>70</v>
      </c>
      <c r="B39" s="48">
        <f>'[3]US Jet Fuel Imports'!LZ$290</f>
        <v>79076.801999999996</v>
      </c>
      <c r="C39" s="48">
        <f>'[3]US Jet Fuel Imports'!ML$290</f>
        <v>267120.79800000001</v>
      </c>
      <c r="D39" s="48">
        <f>'[3]US Jet Fuel Imports'!MX$290</f>
        <v>209128.37400000001</v>
      </c>
      <c r="E39" s="48">
        <f>'[3]US Jet Fuel Imports'!NJ$290</f>
        <v>140321.454</v>
      </c>
      <c r="F39" s="48">
        <f>'[3]US Jet Fuel Imports'!NV$290</f>
        <v>127923.936</v>
      </c>
      <c r="G39" s="48">
        <f>'[3]US Jet Fuel Imports'!OH$290</f>
        <v>151597.19399999999</v>
      </c>
      <c r="H39" s="52">
        <f t="shared" ref="H39:I47" si="27">H$49*(SUM(C39:G39)/SUM(C$49:G$49))</f>
        <v>127626.33170840229</v>
      </c>
      <c r="I39" s="52">
        <f t="shared" si="27"/>
        <v>123238.79171551899</v>
      </c>
      <c r="J39" s="52">
        <f t="shared" si="26"/>
        <v>121770.64310457814</v>
      </c>
      <c r="K39" s="52">
        <f t="shared" si="26"/>
        <v>130478.25830879668</v>
      </c>
      <c r="L39" s="52">
        <f t="shared" si="26"/>
        <v>130529.93973946056</v>
      </c>
      <c r="M39" s="52">
        <f t="shared" si="26"/>
        <v>126728.79291535134</v>
      </c>
      <c r="N39" s="52">
        <f t="shared" si="26"/>
        <v>126549.28515674113</v>
      </c>
      <c r="O39" s="52">
        <f t="shared" si="26"/>
        <v>127211.38384498558</v>
      </c>
      <c r="P39" s="52">
        <f t="shared" si="26"/>
        <v>128299.53199306708</v>
      </c>
      <c r="Q39" s="52">
        <f t="shared" si="26"/>
        <v>127863.78672992114</v>
      </c>
      <c r="R39" s="52">
        <f t="shared" si="26"/>
        <v>127330.55612801325</v>
      </c>
      <c r="S39" s="52">
        <f t="shared" si="24"/>
        <v>127533.13516330083</v>
      </c>
      <c r="T39" s="52">
        <f t="shared" si="25"/>
        <v>127795.89566115531</v>
      </c>
      <c r="U39" s="52">
        <f t="shared" si="25"/>
        <v>127962.33361459896</v>
      </c>
      <c r="V39" s="52">
        <f t="shared" si="25"/>
        <v>127927.64171473976</v>
      </c>
      <c r="W39" s="52">
        <f t="shared" si="25"/>
        <v>127956.77440054272</v>
      </c>
      <c r="X39" s="52">
        <f t="shared" si="25"/>
        <v>128082.10103574363</v>
      </c>
      <c r="Y39" s="52">
        <f t="shared" si="25"/>
        <v>128191.94725694942</v>
      </c>
      <c r="Z39" s="52">
        <f t="shared" si="25"/>
        <v>128271.15155230495</v>
      </c>
      <c r="AA39" s="52">
        <f t="shared" si="25"/>
        <v>128332.87548612819</v>
      </c>
      <c r="AB39" s="52">
        <f t="shared" si="25"/>
        <v>128413.91979208778</v>
      </c>
      <c r="AC39" s="52">
        <f t="shared" si="25"/>
        <v>128505.36641685969</v>
      </c>
      <c r="AD39" s="52">
        <f t="shared" si="25"/>
        <v>128590.02397790425</v>
      </c>
      <c r="AE39" s="52">
        <f t="shared" si="25"/>
        <v>128669.63411322053</v>
      </c>
      <c r="AF39" s="52">
        <f t="shared" si="25"/>
        <v>128749.32557919507</v>
      </c>
      <c r="AG39" s="52">
        <f t="shared" si="25"/>
        <v>128832.61745980196</v>
      </c>
      <c r="AH39" s="52">
        <f t="shared" si="25"/>
        <v>128916.3597157483</v>
      </c>
    </row>
    <row r="40" spans="1:34">
      <c r="A40" s="43" t="s">
        <v>71</v>
      </c>
      <c r="B40" s="48">
        <f>'[3]US Jet Fuel Imports'!MA$290</f>
        <v>138008.682</v>
      </c>
      <c r="C40" s="48">
        <f>'[3]US Jet Fuel Imports'!MM$290</f>
        <v>290244.44400000002</v>
      </c>
      <c r="D40" s="48">
        <f>'[3]US Jet Fuel Imports'!MY$290</f>
        <v>219768.696</v>
      </c>
      <c r="E40" s="48">
        <f>'[3]US Jet Fuel Imports'!NK$290</f>
        <v>147267.45600000001</v>
      </c>
      <c r="F40" s="48">
        <f>'[3]US Jet Fuel Imports'!NW$290</f>
        <v>134336.37</v>
      </c>
      <c r="G40" s="48">
        <f>'[3]US Jet Fuel Imports'!OI$290</f>
        <v>154759.584</v>
      </c>
      <c r="H40" s="52">
        <f t="shared" si="27"/>
        <v>134788.16949561733</v>
      </c>
      <c r="I40" s="52">
        <f t="shared" si="27"/>
        <v>128829.51131499783</v>
      </c>
      <c r="J40" s="52">
        <f t="shared" si="26"/>
        <v>127085.38554959308</v>
      </c>
      <c r="K40" s="52">
        <f t="shared" si="26"/>
        <v>136008.67007430323</v>
      </c>
      <c r="L40" s="52">
        <f t="shared" si="26"/>
        <v>135865.10789972145</v>
      </c>
      <c r="M40" s="52">
        <f t="shared" si="26"/>
        <v>132515.36886684661</v>
      </c>
      <c r="N40" s="52">
        <f t="shared" si="26"/>
        <v>132060.80874109245</v>
      </c>
      <c r="O40" s="52">
        <f t="shared" si="26"/>
        <v>132707.06822631136</v>
      </c>
      <c r="P40" s="52">
        <f t="shared" si="26"/>
        <v>133831.40476165502</v>
      </c>
      <c r="Q40" s="52">
        <f t="shared" si="26"/>
        <v>133395.95169912538</v>
      </c>
      <c r="R40" s="52">
        <f t="shared" si="26"/>
        <v>132902.12045900617</v>
      </c>
      <c r="S40" s="52">
        <f t="shared" si="24"/>
        <v>133065.26398439126</v>
      </c>
      <c r="T40" s="52">
        <f t="shared" si="25"/>
        <v>133335.00293775243</v>
      </c>
      <c r="U40" s="52">
        <f t="shared" si="25"/>
        <v>133512.27810995971</v>
      </c>
      <c r="V40" s="52">
        <f t="shared" si="25"/>
        <v>133482.63268613009</v>
      </c>
      <c r="W40" s="52">
        <f t="shared" si="25"/>
        <v>133517.04879711437</v>
      </c>
      <c r="X40" s="52">
        <f t="shared" si="25"/>
        <v>133640.10617615987</v>
      </c>
      <c r="Y40" s="52">
        <f t="shared" si="25"/>
        <v>133755.1307563681</v>
      </c>
      <c r="Z40" s="52">
        <f t="shared" si="25"/>
        <v>133839.15269287344</v>
      </c>
      <c r="AA40" s="52">
        <f t="shared" si="25"/>
        <v>133904.48802806929</v>
      </c>
      <c r="AB40" s="52">
        <f t="shared" si="25"/>
        <v>133988.85616736193</v>
      </c>
      <c r="AC40" s="52">
        <f t="shared" si="25"/>
        <v>134083.23395305773</v>
      </c>
      <c r="AD40" s="52">
        <f t="shared" si="25"/>
        <v>134171.86476146954</v>
      </c>
      <c r="AE40" s="52">
        <f t="shared" si="25"/>
        <v>134255.2066573367</v>
      </c>
      <c r="AF40" s="52">
        <f t="shared" si="25"/>
        <v>134338.41228997434</v>
      </c>
      <c r="AG40" s="52">
        <f t="shared" si="25"/>
        <v>134425.19885309835</v>
      </c>
      <c r="AH40" s="52">
        <f t="shared" si="25"/>
        <v>134512.4700271773</v>
      </c>
    </row>
    <row r="41" spans="1:34">
      <c r="A41" s="43" t="s">
        <v>72</v>
      </c>
      <c r="B41" s="48">
        <f>'[3]US Jet Fuel Imports'!MB$290</f>
        <v>211833.38399999999</v>
      </c>
      <c r="C41" s="48">
        <f>'[3]US Jet Fuel Imports'!MN$290</f>
        <v>251117.03400000001</v>
      </c>
      <c r="D41" s="48">
        <f>'[3]US Jet Fuel Imports'!MZ$290</f>
        <v>188809.236</v>
      </c>
      <c r="E41" s="48">
        <f>'[3]US Jet Fuel Imports'!NL$290</f>
        <v>269837.23200000002</v>
      </c>
      <c r="F41" s="48">
        <f>'[3]US Jet Fuel Imports'!NX$290</f>
        <v>157410.288</v>
      </c>
      <c r="G41" s="48">
        <f>'[3]US Jet Fuel Imports'!OJ$290</f>
        <v>164564.35800000001</v>
      </c>
      <c r="H41" s="52">
        <f t="shared" si="27"/>
        <v>146945.83923039757</v>
      </c>
      <c r="I41" s="52">
        <f t="shared" si="27"/>
        <v>151087.28527882547</v>
      </c>
      <c r="J41" s="52">
        <f t="shared" si="26"/>
        <v>161556.21445759817</v>
      </c>
      <c r="K41" s="52">
        <f t="shared" si="26"/>
        <v>156368.97816796598</v>
      </c>
      <c r="L41" s="52">
        <f t="shared" si="26"/>
        <v>155613.00130393085</v>
      </c>
      <c r="M41" s="52">
        <f t="shared" si="26"/>
        <v>154314.26368774363</v>
      </c>
      <c r="N41" s="52">
        <f t="shared" si="26"/>
        <v>155787.94857921285</v>
      </c>
      <c r="O41" s="52">
        <f t="shared" si="26"/>
        <v>156728.0812392903</v>
      </c>
      <c r="P41" s="52">
        <f t="shared" si="26"/>
        <v>155762.45459562875</v>
      </c>
      <c r="Q41" s="52">
        <f t="shared" si="26"/>
        <v>155641.14988116128</v>
      </c>
      <c r="R41" s="52">
        <f t="shared" si="26"/>
        <v>155646.77959660735</v>
      </c>
      <c r="S41" s="52">
        <f t="shared" si="24"/>
        <v>156013.87199307585</v>
      </c>
      <c r="T41" s="52">
        <f t="shared" si="25"/>
        <v>156139.55715372792</v>
      </c>
      <c r="U41" s="52">
        <f t="shared" si="25"/>
        <v>156081.97109905485</v>
      </c>
      <c r="V41" s="52">
        <f t="shared" si="25"/>
        <v>156186.08230924662</v>
      </c>
      <c r="W41" s="52">
        <f t="shared" si="25"/>
        <v>156315.22521210223</v>
      </c>
      <c r="X41" s="52">
        <f t="shared" si="25"/>
        <v>156448.97840125882</v>
      </c>
      <c r="Y41" s="52">
        <f t="shared" si="25"/>
        <v>156535.97357414194</v>
      </c>
      <c r="Z41" s="52">
        <f t="shared" si="25"/>
        <v>156615.21585443904</v>
      </c>
      <c r="AA41" s="52">
        <f t="shared" si="25"/>
        <v>156721.87661600296</v>
      </c>
      <c r="AB41" s="52">
        <f t="shared" si="25"/>
        <v>156829.04825515661</v>
      </c>
      <c r="AC41" s="52">
        <f t="shared" si="25"/>
        <v>156931.81716383316</v>
      </c>
      <c r="AD41" s="52">
        <f t="shared" si="25"/>
        <v>157028.37728622221</v>
      </c>
      <c r="AE41" s="52">
        <f t="shared" si="25"/>
        <v>157126.85408712141</v>
      </c>
      <c r="AF41" s="52">
        <f t="shared" si="25"/>
        <v>157229.1851903444</v>
      </c>
      <c r="AG41" s="52">
        <f t="shared" si="25"/>
        <v>157330.64869435222</v>
      </c>
      <c r="AH41" s="52">
        <f t="shared" si="25"/>
        <v>157430.96837781882</v>
      </c>
    </row>
    <row r="42" spans="1:34">
      <c r="A42" s="43" t="s">
        <v>73</v>
      </c>
      <c r="B42" s="48">
        <f>'[3]US Jet Fuel Imports'!MC$290</f>
        <v>213121.734</v>
      </c>
      <c r="C42" s="48">
        <f>'[3]US Jet Fuel Imports'!MO$290</f>
        <v>249527.166</v>
      </c>
      <c r="D42" s="48">
        <f>'[3]US Jet Fuel Imports'!NA$290</f>
        <v>230542.66200000001</v>
      </c>
      <c r="E42" s="48">
        <f>'[3]US Jet Fuel Imports'!NM$290</f>
        <v>204490.272</v>
      </c>
      <c r="F42" s="48">
        <f>'[3]US Jet Fuel Imports'!NY$290</f>
        <v>134932.35</v>
      </c>
      <c r="G42" s="48">
        <f>'[3]US Jet Fuel Imports'!OK$290</f>
        <v>143126.424</v>
      </c>
      <c r="H42" s="52">
        <f t="shared" si="27"/>
        <v>137101.4908900609</v>
      </c>
      <c r="I42" s="52">
        <f t="shared" si="27"/>
        <v>138484.21608322798</v>
      </c>
      <c r="J42" s="52">
        <f t="shared" si="26"/>
        <v>137643.500153097</v>
      </c>
      <c r="K42" s="52">
        <f t="shared" si="26"/>
        <v>138307.28808866235</v>
      </c>
      <c r="L42" s="52">
        <f t="shared" si="26"/>
        <v>138495.12025379192</v>
      </c>
      <c r="M42" s="52">
        <f t="shared" si="26"/>
        <v>138006.32309376801</v>
      </c>
      <c r="N42" s="52">
        <f t="shared" si="26"/>
        <v>138187.28953450944</v>
      </c>
      <c r="O42" s="52">
        <f t="shared" si="26"/>
        <v>138127.90422476575</v>
      </c>
      <c r="P42" s="52">
        <f t="shared" si="26"/>
        <v>138224.78503909949</v>
      </c>
      <c r="Q42" s="52">
        <f t="shared" si="26"/>
        <v>138208.2844291869</v>
      </c>
      <c r="R42" s="52">
        <f t="shared" si="26"/>
        <v>138150.91726426594</v>
      </c>
      <c r="S42" s="52">
        <f t="shared" si="24"/>
        <v>138268.98437971927</v>
      </c>
      <c r="T42" s="52">
        <f t="shared" si="25"/>
        <v>138356.64024294697</v>
      </c>
      <c r="U42" s="52">
        <f t="shared" si="25"/>
        <v>138455.89145294137</v>
      </c>
      <c r="V42" s="52">
        <f t="shared" si="25"/>
        <v>138537.76114145436</v>
      </c>
      <c r="W42" s="52">
        <f t="shared" si="25"/>
        <v>138621.47582712176</v>
      </c>
      <c r="X42" s="52">
        <f t="shared" si="25"/>
        <v>138715.59713287183</v>
      </c>
      <c r="Y42" s="52">
        <f t="shared" si="25"/>
        <v>138804.92001884847</v>
      </c>
      <c r="Z42" s="52">
        <f t="shared" si="25"/>
        <v>138894.57695216779</v>
      </c>
      <c r="AA42" s="52">
        <f t="shared" si="25"/>
        <v>138982.31132930226</v>
      </c>
      <c r="AB42" s="52">
        <f t="shared" si="25"/>
        <v>139071.22090765406</v>
      </c>
      <c r="AC42" s="52">
        <f t="shared" si="25"/>
        <v>139161.17146573271</v>
      </c>
      <c r="AD42" s="52">
        <f t="shared" si="25"/>
        <v>139250.28626713634</v>
      </c>
      <c r="AE42" s="52">
        <f t="shared" si="25"/>
        <v>139339.35937167631</v>
      </c>
      <c r="AF42" s="52">
        <f t="shared" si="25"/>
        <v>139428.3154862407</v>
      </c>
      <c r="AG42" s="52">
        <f t="shared" si="25"/>
        <v>139517.51641806131</v>
      </c>
      <c r="AH42" s="52">
        <f t="shared" si="25"/>
        <v>139606.77573229111</v>
      </c>
    </row>
    <row r="43" spans="1:34">
      <c r="A43" s="43" t="s">
        <v>74</v>
      </c>
      <c r="B43" s="48">
        <f>'[3]US Jet Fuel Imports'!MD$290</f>
        <v>210491.31599999999</v>
      </c>
      <c r="C43" s="48">
        <f>'[3]US Jet Fuel Imports'!MP$290</f>
        <v>287361.01799999998</v>
      </c>
      <c r="D43" s="48">
        <f>'[3]US Jet Fuel Imports'!NB$290</f>
        <v>234577.51800000001</v>
      </c>
      <c r="E43" s="48">
        <f>'[3]US Jet Fuel Imports'!NN$290</f>
        <v>215764.962</v>
      </c>
      <c r="F43" s="48">
        <f>'[3]US Jet Fuel Imports'!NZ$290</f>
        <v>131608.302</v>
      </c>
      <c r="G43" s="48">
        <f>'[3]US Jet Fuel Imports'!OL$290</f>
        <v>108863.874</v>
      </c>
      <c r="H43" s="52">
        <f t="shared" si="27"/>
        <v>139317.17617432689</v>
      </c>
      <c r="I43" s="52">
        <f t="shared" si="27"/>
        <v>135216.50864118597</v>
      </c>
      <c r="J43" s="52">
        <f t="shared" si="26"/>
        <v>132675.4293581761</v>
      </c>
      <c r="K43" s="52">
        <f t="shared" si="26"/>
        <v>129582.81531776185</v>
      </c>
      <c r="L43" s="52">
        <f t="shared" si="26"/>
        <v>128724.55931309775</v>
      </c>
      <c r="M43" s="52">
        <f t="shared" si="26"/>
        <v>133103.29776090971</v>
      </c>
      <c r="N43" s="52">
        <f t="shared" si="26"/>
        <v>131860.52207822629</v>
      </c>
      <c r="O43" s="52">
        <f t="shared" si="26"/>
        <v>131189.32476563432</v>
      </c>
      <c r="P43" s="52">
        <f t="shared" si="26"/>
        <v>130892.10384712597</v>
      </c>
      <c r="Q43" s="52">
        <f t="shared" si="26"/>
        <v>131153.96155299881</v>
      </c>
      <c r="R43" s="52">
        <f t="shared" si="26"/>
        <v>131639.842000979</v>
      </c>
      <c r="S43" s="52">
        <f t="shared" si="24"/>
        <v>131431.89094631482</v>
      </c>
      <c r="T43" s="52">
        <f t="shared" si="25"/>
        <v>131413.83757856509</v>
      </c>
      <c r="U43" s="52">
        <f t="shared" si="25"/>
        <v>131509.56153657328</v>
      </c>
      <c r="V43" s="52">
        <f t="shared" si="25"/>
        <v>131667.05666301958</v>
      </c>
      <c r="W43" s="52">
        <f t="shared" si="25"/>
        <v>131786.6885912471</v>
      </c>
      <c r="X43" s="52">
        <f t="shared" si="25"/>
        <v>131815.95092739986</v>
      </c>
      <c r="Y43" s="52">
        <f t="shared" si="25"/>
        <v>131892.74766758367</v>
      </c>
      <c r="Z43" s="52">
        <f t="shared" si="25"/>
        <v>131988.55104708849</v>
      </c>
      <c r="AA43" s="52">
        <f t="shared" si="25"/>
        <v>132084.37031406065</v>
      </c>
      <c r="AB43" s="52">
        <f t="shared" si="25"/>
        <v>132167.83061450382</v>
      </c>
      <c r="AC43" s="52">
        <f t="shared" si="25"/>
        <v>132244.04266248571</v>
      </c>
      <c r="AD43" s="52">
        <f t="shared" si="25"/>
        <v>132329.66274298119</v>
      </c>
      <c r="AE43" s="52">
        <f t="shared" si="25"/>
        <v>132417.05088290904</v>
      </c>
      <c r="AF43" s="52">
        <f t="shared" si="25"/>
        <v>132502.75273379817</v>
      </c>
      <c r="AG43" s="52">
        <f t="shared" si="25"/>
        <v>132586.42721272743</v>
      </c>
      <c r="AH43" s="52">
        <f t="shared" si="25"/>
        <v>132670.14461213766</v>
      </c>
    </row>
    <row r="44" spans="1:34">
      <c r="A44" s="43" t="s">
        <v>75</v>
      </c>
      <c r="B44" s="48">
        <f>'[3]US Jet Fuel Imports'!ME$290</f>
        <v>265239.15600000002</v>
      </c>
      <c r="C44" s="48">
        <f>'[3]US Jet Fuel Imports'!MQ$290</f>
        <v>234922.8</v>
      </c>
      <c r="D44" s="48">
        <f>'[3]US Jet Fuel Imports'!NC$290</f>
        <v>259910.15400000001</v>
      </c>
      <c r="E44" s="48">
        <f>'[3]US Jet Fuel Imports'!NO$290</f>
        <v>232722.71400000001</v>
      </c>
      <c r="F44" s="48">
        <f>'[3]US Jet Fuel Imports'!OA$290</f>
        <v>80648.357999999993</v>
      </c>
      <c r="G44" s="48">
        <f>'[3]US Jet Fuel Imports'!OM$290</f>
        <v>78787.505999999994</v>
      </c>
      <c r="H44" s="52">
        <f t="shared" si="27"/>
        <v>126330.2275995673</v>
      </c>
      <c r="I44" s="52">
        <f t="shared" si="27"/>
        <v>126789.96945738391</v>
      </c>
      <c r="J44" s="52">
        <f t="shared" si="26"/>
        <v>117153.88171431185</v>
      </c>
      <c r="K44" s="52">
        <f t="shared" si="26"/>
        <v>105980.06570130076</v>
      </c>
      <c r="L44" s="52">
        <f t="shared" si="26"/>
        <v>110658.79292207317</v>
      </c>
      <c r="M44" s="52">
        <f t="shared" si="26"/>
        <v>117382.58747892741</v>
      </c>
      <c r="N44" s="52">
        <f t="shared" si="26"/>
        <v>115593.05945479941</v>
      </c>
      <c r="O44" s="52">
        <f t="shared" si="26"/>
        <v>113353.67745428253</v>
      </c>
      <c r="P44" s="52">
        <f t="shared" si="26"/>
        <v>112593.63660227665</v>
      </c>
      <c r="Q44" s="52">
        <f t="shared" si="26"/>
        <v>113916.35078247184</v>
      </c>
      <c r="R44" s="52">
        <f t="shared" si="26"/>
        <v>114567.86235455159</v>
      </c>
      <c r="S44" s="52">
        <f t="shared" si="24"/>
        <v>114078.46888924393</v>
      </c>
      <c r="T44" s="52">
        <f t="shared" si="25"/>
        <v>113834.02321255926</v>
      </c>
      <c r="U44" s="52">
        <f t="shared" si="25"/>
        <v>113974.20364752141</v>
      </c>
      <c r="V44" s="52">
        <f t="shared" si="25"/>
        <v>114280.09185267985</v>
      </c>
      <c r="W44" s="52">
        <f t="shared" si="25"/>
        <v>114367.57483021195</v>
      </c>
      <c r="X44" s="52">
        <f t="shared" si="25"/>
        <v>114327.29786793674</v>
      </c>
      <c r="Y44" s="52">
        <f t="shared" si="25"/>
        <v>114377.01789276519</v>
      </c>
      <c r="Z44" s="52">
        <f t="shared" si="25"/>
        <v>114485.68462121637</v>
      </c>
      <c r="AA44" s="52">
        <f t="shared" si="25"/>
        <v>114588.03636941375</v>
      </c>
      <c r="AB44" s="52">
        <f t="shared" si="25"/>
        <v>114649.60232077184</v>
      </c>
      <c r="AC44" s="52">
        <f t="shared" si="25"/>
        <v>114705.9749154755</v>
      </c>
      <c r="AD44" s="52">
        <f t="shared" si="25"/>
        <v>114781.71466053648</v>
      </c>
      <c r="AE44" s="52">
        <f t="shared" si="25"/>
        <v>114862.66835167025</v>
      </c>
      <c r="AF44" s="52">
        <f t="shared" si="25"/>
        <v>114938.06876493855</v>
      </c>
      <c r="AG44" s="52">
        <f t="shared" si="25"/>
        <v>115008.06855390006</v>
      </c>
      <c r="AH44" s="52">
        <f t="shared" si="25"/>
        <v>115079.75835650053</v>
      </c>
    </row>
    <row r="45" spans="1:34">
      <c r="A45" s="43" t="s">
        <v>76</v>
      </c>
      <c r="B45" s="48">
        <f>'[3]US Jet Fuel Imports'!MF$290</f>
        <v>286745.08799999999</v>
      </c>
      <c r="C45" s="48">
        <f>'[3]US Jet Fuel Imports'!MR$290</f>
        <v>211672.524</v>
      </c>
      <c r="D45" s="48">
        <f>'[3]US Jet Fuel Imports'!ND$290</f>
        <v>276535.05599999998</v>
      </c>
      <c r="E45" s="48">
        <f>'[3]US Jet Fuel Imports'!NP$290</f>
        <v>264203.81400000001</v>
      </c>
      <c r="F45" s="48">
        <f>'[3]US Jet Fuel Imports'!OB$290</f>
        <v>77822.346000000005</v>
      </c>
      <c r="G45" s="48">
        <f>'[3]US Jet Fuel Imports'!ON$290</f>
        <v>125478.822</v>
      </c>
      <c r="H45" s="52">
        <f t="shared" si="27"/>
        <v>136117.85583227593</v>
      </c>
      <c r="I45" s="52">
        <f t="shared" si="27"/>
        <v>143365.03293128457</v>
      </c>
      <c r="J45" s="52">
        <f t="shared" si="26"/>
        <v>135619.72287982993</v>
      </c>
      <c r="K45" s="52">
        <f t="shared" si="26"/>
        <v>123725.208656013</v>
      </c>
      <c r="L45" s="52">
        <f t="shared" si="26"/>
        <v>132442.98171926316</v>
      </c>
      <c r="M45" s="52">
        <f t="shared" si="26"/>
        <v>134254.16040373332</v>
      </c>
      <c r="N45" s="52">
        <f t="shared" si="26"/>
        <v>133881.4213180248</v>
      </c>
      <c r="O45" s="52">
        <f t="shared" si="26"/>
        <v>131984.69899537283</v>
      </c>
      <c r="P45" s="52">
        <f t="shared" si="26"/>
        <v>131257.69421848143</v>
      </c>
      <c r="Q45" s="52">
        <f t="shared" si="26"/>
        <v>132764.19133097513</v>
      </c>
      <c r="R45" s="52">
        <f t="shared" si="26"/>
        <v>132828.43325331752</v>
      </c>
      <c r="S45" s="52">
        <f t="shared" si="24"/>
        <v>132628.79962182997</v>
      </c>
      <c r="T45" s="52">
        <f t="shared" si="25"/>
        <v>132446.37396926901</v>
      </c>
      <c r="U45" s="52">
        <f t="shared" si="25"/>
        <v>132590.00253936346</v>
      </c>
      <c r="V45" s="52">
        <f t="shared" si="25"/>
        <v>132891.00339230653</v>
      </c>
      <c r="W45" s="52">
        <f t="shared" si="25"/>
        <v>132933.38567871321</v>
      </c>
      <c r="X45" s="52">
        <f t="shared" si="25"/>
        <v>132954.25157160417</v>
      </c>
      <c r="Y45" s="52">
        <f t="shared" si="25"/>
        <v>133019.30266467261</v>
      </c>
      <c r="Z45" s="52">
        <f t="shared" si="25"/>
        <v>133133.9446468291</v>
      </c>
      <c r="AA45" s="52">
        <f t="shared" si="25"/>
        <v>133242.77806175858</v>
      </c>
      <c r="AB45" s="52">
        <f t="shared" si="25"/>
        <v>133313.1038783277</v>
      </c>
      <c r="AC45" s="52">
        <f t="shared" si="25"/>
        <v>133389.02919961527</v>
      </c>
      <c r="AD45" s="52">
        <f t="shared" si="25"/>
        <v>133475.98762036939</v>
      </c>
      <c r="AE45" s="52">
        <f t="shared" si="25"/>
        <v>133567.3359288442</v>
      </c>
      <c r="AF45" s="52">
        <f t="shared" si="25"/>
        <v>133654.01653471662</v>
      </c>
      <c r="AG45" s="52">
        <f t="shared" si="25"/>
        <v>133736.25806636768</v>
      </c>
      <c r="AH45" s="52">
        <f t="shared" si="25"/>
        <v>133820.887323092</v>
      </c>
    </row>
    <row r="46" spans="1:34">
      <c r="A46" s="43" t="s">
        <v>77</v>
      </c>
      <c r="B46" s="48">
        <f>'[3]US Jet Fuel Imports'!MG$290</f>
        <v>200529.67199999999</v>
      </c>
      <c r="C46" s="48">
        <f>'[3]US Jet Fuel Imports'!MS$290</f>
        <v>239374.17</v>
      </c>
      <c r="D46" s="48">
        <f>'[3]US Jet Fuel Imports'!NE$290</f>
        <v>207273.19200000001</v>
      </c>
      <c r="E46" s="48">
        <f>'[3]US Jet Fuel Imports'!NQ$290</f>
        <v>244590.318</v>
      </c>
      <c r="F46" s="48">
        <f>'[3]US Jet Fuel Imports'!OC$290</f>
        <v>139892.67600000001</v>
      </c>
      <c r="G46" s="48">
        <f>'[3]US Jet Fuel Imports'!OO$290</f>
        <v>143330.25</v>
      </c>
      <c r="H46" s="52">
        <f t="shared" si="27"/>
        <v>138788.05569340233</v>
      </c>
      <c r="I46" s="52">
        <f t="shared" si="27"/>
        <v>142341.55730165876</v>
      </c>
      <c r="J46" s="52">
        <f t="shared" si="26"/>
        <v>146867.98860488253</v>
      </c>
      <c r="K46" s="52">
        <f t="shared" si="26"/>
        <v>142295.23019488418</v>
      </c>
      <c r="L46" s="52">
        <f t="shared" si="26"/>
        <v>142275.21261784842</v>
      </c>
      <c r="M46" s="52">
        <f t="shared" si="26"/>
        <v>142513.60888253522</v>
      </c>
      <c r="N46" s="52">
        <f t="shared" si="26"/>
        <v>143258.71952036183</v>
      </c>
      <c r="O46" s="52">
        <f t="shared" si="26"/>
        <v>143442.15196410244</v>
      </c>
      <c r="P46" s="52">
        <f t="shared" si="26"/>
        <v>142756.9846359464</v>
      </c>
      <c r="Q46" s="52">
        <f t="shared" si="26"/>
        <v>142849.33552415887</v>
      </c>
      <c r="R46" s="52">
        <f t="shared" si="26"/>
        <v>142964.16010542095</v>
      </c>
      <c r="S46" s="52">
        <f t="shared" si="24"/>
        <v>143146.56342764327</v>
      </c>
      <c r="T46" s="52">
        <f t="shared" si="25"/>
        <v>143197.91919237337</v>
      </c>
      <c r="U46" s="52">
        <f t="shared" si="25"/>
        <v>143204.29993051055</v>
      </c>
      <c r="V46" s="52">
        <f t="shared" si="25"/>
        <v>143330.70916605034</v>
      </c>
      <c r="W46" s="52">
        <f t="shared" si="25"/>
        <v>143445.4740442278</v>
      </c>
      <c r="X46" s="52">
        <f t="shared" si="25"/>
        <v>143541.74458774156</v>
      </c>
      <c r="Y46" s="52">
        <f t="shared" si="25"/>
        <v>143620.7553096328</v>
      </c>
      <c r="Z46" s="52">
        <f t="shared" si="25"/>
        <v>143705.30772648979</v>
      </c>
      <c r="AA46" s="52">
        <f t="shared" si="25"/>
        <v>143805.52464144316</v>
      </c>
      <c r="AB46" s="52">
        <f t="shared" si="25"/>
        <v>143900.49297917465</v>
      </c>
      <c r="AC46" s="52">
        <f t="shared" si="25"/>
        <v>143991.49437825882</v>
      </c>
      <c r="AD46" s="52">
        <f t="shared" si="25"/>
        <v>144081.43992362652</v>
      </c>
      <c r="AE46" s="52">
        <f t="shared" si="25"/>
        <v>144173.57664504819</v>
      </c>
      <c r="AF46" s="52">
        <f t="shared" si="25"/>
        <v>144267.23314281236</v>
      </c>
      <c r="AG46" s="52">
        <f t="shared" si="25"/>
        <v>144359.57503365693</v>
      </c>
      <c r="AH46" s="52">
        <f t="shared" si="25"/>
        <v>144451.39062664731</v>
      </c>
    </row>
    <row r="47" spans="1:34">
      <c r="A47" s="43" t="s">
        <v>78</v>
      </c>
      <c r="B47" s="48">
        <f>'[3]US Jet Fuel Imports'!MH$290</f>
        <v>141044.52600000001</v>
      </c>
      <c r="C47" s="48">
        <f>'[3]US Jet Fuel Imports'!MT$290</f>
        <v>201038.92199999999</v>
      </c>
      <c r="D47" s="48">
        <f>'[3]US Jet Fuel Imports'!NF$290</f>
        <v>160316.56200000001</v>
      </c>
      <c r="E47" s="48">
        <f>'[3]US Jet Fuel Imports'!NR$290</f>
        <v>161113.554</v>
      </c>
      <c r="F47" s="48">
        <f>'[3]US Jet Fuel Imports'!OD$290</f>
        <v>153298.36199999999</v>
      </c>
      <c r="G47" s="48">
        <f>'[3]US Jet Fuel Imports'!OP$290</f>
        <v>76997.885999999999</v>
      </c>
      <c r="H47" s="52">
        <f t="shared" si="27"/>
        <v>107212.98510596532</v>
      </c>
      <c r="I47" s="52">
        <f t="shared" si="27"/>
        <v>107331.72098584626</v>
      </c>
      <c r="J47" s="52">
        <f t="shared" si="26"/>
        <v>110014.34652639343</v>
      </c>
      <c r="K47" s="52">
        <f t="shared" si="26"/>
        <v>111010.94479479053</v>
      </c>
      <c r="L47" s="52">
        <f t="shared" si="26"/>
        <v>102190.78734147671</v>
      </c>
      <c r="M47" s="52">
        <f t="shared" si="26"/>
        <v>107552.15695089445</v>
      </c>
      <c r="N47" s="52">
        <f t="shared" si="26"/>
        <v>107619.99131988025</v>
      </c>
      <c r="O47" s="52">
        <f t="shared" si="26"/>
        <v>107677.64538668709</v>
      </c>
      <c r="P47" s="52">
        <f t="shared" si="26"/>
        <v>107210.3051587458</v>
      </c>
      <c r="Q47" s="52">
        <f t="shared" si="26"/>
        <v>106450.17723153684</v>
      </c>
      <c r="R47" s="52">
        <f t="shared" si="26"/>
        <v>107302.05520954888</v>
      </c>
      <c r="S47" s="52">
        <f t="shared" si="24"/>
        <v>107321.2297224806</v>
      </c>
      <c r="T47" s="52">
        <f t="shared" si="25"/>
        <v>107316.74784213223</v>
      </c>
      <c r="U47" s="52">
        <f t="shared" si="25"/>
        <v>107285.90223789269</v>
      </c>
      <c r="V47" s="52">
        <f t="shared" si="25"/>
        <v>107328.60732678452</v>
      </c>
      <c r="W47" s="52">
        <f t="shared" si="25"/>
        <v>107518.33934753796</v>
      </c>
      <c r="X47" s="52">
        <f t="shared" si="25"/>
        <v>107561.54616844098</v>
      </c>
      <c r="Y47" s="52">
        <f t="shared" si="25"/>
        <v>107609.56879418039</v>
      </c>
      <c r="Z47" s="52">
        <f t="shared" si="25"/>
        <v>107668.11263241098</v>
      </c>
      <c r="AA47" s="52">
        <f t="shared" si="25"/>
        <v>107744.5688542319</v>
      </c>
      <c r="AB47" s="52">
        <f t="shared" si="25"/>
        <v>107827.78829068868</v>
      </c>
      <c r="AC47" s="52">
        <f t="shared" si="25"/>
        <v>107889.66415649121</v>
      </c>
      <c r="AD47" s="52">
        <f t="shared" si="25"/>
        <v>107955.28103414251</v>
      </c>
      <c r="AE47" s="52">
        <f t="shared" si="25"/>
        <v>108024.42353781153</v>
      </c>
      <c r="AF47" s="52">
        <f t="shared" si="25"/>
        <v>108095.68984829519</v>
      </c>
      <c r="AG47" s="52">
        <f t="shared" si="25"/>
        <v>108165.91617766026</v>
      </c>
      <c r="AH47" s="52">
        <f t="shared" si="25"/>
        <v>108233.53889512368</v>
      </c>
    </row>
    <row r="48" spans="1:34">
      <c r="A48" s="43" t="s">
        <v>79</v>
      </c>
      <c r="B48" s="48">
        <f>'[3]US Jet Fuel Imports'!MI$290</f>
        <v>148511.66399999999</v>
      </c>
      <c r="C48" s="48">
        <f>'[3]US Jet Fuel Imports'!MU$290</f>
        <v>209279.91</v>
      </c>
      <c r="D48" s="48">
        <f>'[3]US Jet Fuel Imports'!NG$290</f>
        <v>168920.55600000001</v>
      </c>
      <c r="E48" s="48">
        <f>'[3]US Jet Fuel Imports'!NS$290</f>
        <v>181268.514</v>
      </c>
      <c r="F48" s="48">
        <f>'[3]US Jet Fuel Imports'!OE$290</f>
        <v>110735.394</v>
      </c>
      <c r="G48" s="48">
        <f>'[3]US Jet Fuel Imports'!OQ$290</f>
        <v>118728.708</v>
      </c>
      <c r="H48" s="52">
        <f>H49-SUM(H37:H47)</f>
        <v>146160.58071516966</v>
      </c>
      <c r="I48" s="52">
        <f>I49-SUM(I37:I47)</f>
        <v>118224.59730142308</v>
      </c>
      <c r="J48" s="52">
        <f t="shared" ref="J48:AH48" si="28">J49-SUM(J37:J47)</f>
        <v>122571.31838323129</v>
      </c>
      <c r="K48" s="52">
        <f t="shared" si="28"/>
        <v>123328.42985025537</v>
      </c>
      <c r="L48" s="52">
        <f t="shared" si="28"/>
        <v>125406.60586169991</v>
      </c>
      <c r="M48" s="52">
        <f t="shared" si="28"/>
        <v>127138.30642235582</v>
      </c>
      <c r="N48" s="52">
        <f t="shared" si="28"/>
        <v>123333.85156379291</v>
      </c>
      <c r="O48" s="52">
        <f t="shared" si="28"/>
        <v>124355.70241626725</v>
      </c>
      <c r="P48" s="52">
        <f t="shared" si="28"/>
        <v>124712.57922287425</v>
      </c>
      <c r="Q48" s="52">
        <f t="shared" si="28"/>
        <v>124989.40909739817</v>
      </c>
      <c r="R48" s="52">
        <f t="shared" si="28"/>
        <v>124905.96974453749</v>
      </c>
      <c r="S48" s="52">
        <f t="shared" si="28"/>
        <v>124539.79886214132</v>
      </c>
      <c r="T48" s="52">
        <f t="shared" si="28"/>
        <v>124845.48689210089</v>
      </c>
      <c r="U48" s="52">
        <f t="shared" si="28"/>
        <v>124991.8106089239</v>
      </c>
      <c r="V48" s="52">
        <f t="shared" si="28"/>
        <v>125079.86416564276</v>
      </c>
      <c r="W48" s="52">
        <f t="shared" si="28"/>
        <v>125113.96347616706</v>
      </c>
      <c r="X48" s="52">
        <f t="shared" si="28"/>
        <v>125155.48715411988</v>
      </c>
      <c r="Y48" s="52">
        <f t="shared" si="28"/>
        <v>125278.70725178369</v>
      </c>
      <c r="Z48" s="52">
        <f t="shared" si="28"/>
        <v>125365.36325132358</v>
      </c>
      <c r="AA48" s="52">
        <f t="shared" si="28"/>
        <v>125440.06268395856</v>
      </c>
      <c r="AB48" s="52">
        <f t="shared" si="28"/>
        <v>125512.08615993196</v>
      </c>
      <c r="AC48" s="52">
        <f t="shared" si="28"/>
        <v>125591.70909476816</v>
      </c>
      <c r="AD48" s="52">
        <f t="shared" si="28"/>
        <v>125678.96654599602</v>
      </c>
      <c r="AE48" s="52">
        <f t="shared" si="28"/>
        <v>125759.01761940191</v>
      </c>
      <c r="AF48" s="52">
        <f t="shared" si="28"/>
        <v>125837.74516985868</v>
      </c>
      <c r="AG48" s="52">
        <f t="shared" si="28"/>
        <v>125917.27989542671</v>
      </c>
      <c r="AH48" s="52">
        <f t="shared" si="28"/>
        <v>125998.31975657819</v>
      </c>
    </row>
    <row r="49" spans="1:35" ht="15.75" thickBot="1">
      <c r="A49" s="43" t="s">
        <v>80</v>
      </c>
      <c r="B49" s="48">
        <f>SUM(B37:B48)</f>
        <v>2198963.8859999999</v>
      </c>
      <c r="C49" s="48">
        <f t="shared" ref="C49:G49" si="29">SUM(C37:C48)</f>
        <v>2916999.33</v>
      </c>
      <c r="D49" s="48">
        <f t="shared" si="29"/>
        <v>2528545.5719999997</v>
      </c>
      <c r="E49" s="48">
        <f t="shared" si="29"/>
        <v>2340120.8879999998</v>
      </c>
      <c r="F49" s="48">
        <f t="shared" si="29"/>
        <v>1522735.662</v>
      </c>
      <c r="G49" s="48">
        <f t="shared" si="29"/>
        <v>1574479.872</v>
      </c>
      <c r="H49" s="52">
        <f>H7*1000</f>
        <v>1550000</v>
      </c>
      <c r="I49" s="52">
        <f t="shared" ref="I49:AH49" si="30">I7*1000</f>
        <v>1550000</v>
      </c>
      <c r="J49" s="52">
        <f t="shared" si="30"/>
        <v>1550000</v>
      </c>
      <c r="K49" s="52">
        <f t="shared" si="30"/>
        <v>1550000</v>
      </c>
      <c r="L49" s="52">
        <f t="shared" si="30"/>
        <v>1550000</v>
      </c>
      <c r="M49" s="52">
        <f t="shared" si="30"/>
        <v>1550000</v>
      </c>
      <c r="N49" s="52">
        <f t="shared" si="30"/>
        <v>1550000</v>
      </c>
      <c r="O49" s="52">
        <f t="shared" si="30"/>
        <v>1550000</v>
      </c>
      <c r="P49" s="52">
        <f t="shared" si="30"/>
        <v>1550000</v>
      </c>
      <c r="Q49" s="52">
        <f t="shared" si="30"/>
        <v>1550000</v>
      </c>
      <c r="R49" s="52">
        <f t="shared" si="30"/>
        <v>1550000</v>
      </c>
      <c r="S49" s="52">
        <f t="shared" si="30"/>
        <v>1551000</v>
      </c>
      <c r="T49" s="52">
        <f t="shared" si="30"/>
        <v>1552000</v>
      </c>
      <c r="U49" s="52">
        <f t="shared" si="30"/>
        <v>1553000</v>
      </c>
      <c r="V49" s="52">
        <f t="shared" si="30"/>
        <v>1554000</v>
      </c>
      <c r="W49" s="52">
        <f t="shared" si="30"/>
        <v>1555000</v>
      </c>
      <c r="X49" s="52">
        <f t="shared" si="30"/>
        <v>1556000</v>
      </c>
      <c r="Y49" s="52">
        <f t="shared" si="30"/>
        <v>1557000</v>
      </c>
      <c r="Z49" s="52">
        <f t="shared" si="30"/>
        <v>1558000</v>
      </c>
      <c r="AA49" s="52">
        <f t="shared" si="30"/>
        <v>1559000</v>
      </c>
      <c r="AB49" s="52">
        <f t="shared" si="30"/>
        <v>1560000</v>
      </c>
      <c r="AC49" s="52">
        <f t="shared" si="30"/>
        <v>1561000</v>
      </c>
      <c r="AD49" s="52">
        <f t="shared" si="30"/>
        <v>1562000</v>
      </c>
      <c r="AE49" s="52">
        <f t="shared" si="30"/>
        <v>1563000</v>
      </c>
      <c r="AF49" s="52">
        <f t="shared" si="30"/>
        <v>1564000</v>
      </c>
      <c r="AG49" s="52">
        <f t="shared" si="30"/>
        <v>1565000</v>
      </c>
      <c r="AH49" s="52">
        <f t="shared" si="30"/>
        <v>1566000</v>
      </c>
    </row>
    <row r="50" spans="1:3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</row>
    <row r="51" spans="1:35" ht="15.75" thickBot="1">
      <c r="A51" s="43" t="s">
        <v>82</v>
      </c>
    </row>
    <row r="52" spans="1:35" ht="15.75" thickBot="1">
      <c r="A52" s="50" t="s">
        <v>67</v>
      </c>
      <c r="B52" s="51">
        <f t="shared" ref="B52:AH52" si="31">B4</f>
        <v>2018</v>
      </c>
      <c r="C52" s="51">
        <f t="shared" si="31"/>
        <v>2019</v>
      </c>
      <c r="D52" s="51">
        <f t="shared" si="31"/>
        <v>2020</v>
      </c>
      <c r="E52" s="51">
        <f t="shared" si="31"/>
        <v>2021</v>
      </c>
      <c r="F52" s="51">
        <f t="shared" si="31"/>
        <v>2022</v>
      </c>
      <c r="G52" s="51">
        <f t="shared" si="31"/>
        <v>2023</v>
      </c>
      <c r="H52" s="51">
        <f t="shared" si="31"/>
        <v>2024</v>
      </c>
      <c r="I52" s="51">
        <f t="shared" si="31"/>
        <v>2025</v>
      </c>
      <c r="J52" s="51">
        <f t="shared" si="31"/>
        <v>2026</v>
      </c>
      <c r="K52" s="51">
        <f t="shared" si="31"/>
        <v>2027</v>
      </c>
      <c r="L52" s="51">
        <f t="shared" si="31"/>
        <v>2028</v>
      </c>
      <c r="M52" s="51">
        <f t="shared" si="31"/>
        <v>2029</v>
      </c>
      <c r="N52" s="51">
        <f t="shared" si="31"/>
        <v>2030</v>
      </c>
      <c r="O52" s="51">
        <f t="shared" si="31"/>
        <v>2031</v>
      </c>
      <c r="P52" s="51">
        <f t="shared" si="31"/>
        <v>2032</v>
      </c>
      <c r="Q52" s="51">
        <f t="shared" si="31"/>
        <v>2033</v>
      </c>
      <c r="R52" s="51">
        <f t="shared" si="31"/>
        <v>2034</v>
      </c>
      <c r="S52" s="51">
        <f t="shared" si="31"/>
        <v>2035</v>
      </c>
      <c r="T52" s="51">
        <f t="shared" si="31"/>
        <v>2036</v>
      </c>
      <c r="U52" s="51">
        <f t="shared" si="31"/>
        <v>2037</v>
      </c>
      <c r="V52" s="51">
        <f t="shared" si="31"/>
        <v>2038</v>
      </c>
      <c r="W52" s="51">
        <f t="shared" si="31"/>
        <v>2039</v>
      </c>
      <c r="X52" s="51">
        <f t="shared" si="31"/>
        <v>2040</v>
      </c>
      <c r="Y52" s="51">
        <f t="shared" si="31"/>
        <v>2041</v>
      </c>
      <c r="Z52" s="51">
        <f t="shared" si="31"/>
        <v>2042</v>
      </c>
      <c r="AA52" s="51">
        <f t="shared" si="31"/>
        <v>2043</v>
      </c>
      <c r="AB52" s="51">
        <f t="shared" si="31"/>
        <v>2044</v>
      </c>
      <c r="AC52" s="51">
        <f t="shared" si="31"/>
        <v>2045</v>
      </c>
      <c r="AD52" s="51">
        <f t="shared" si="31"/>
        <v>2046</v>
      </c>
      <c r="AE52" s="51">
        <f t="shared" si="31"/>
        <v>2047</v>
      </c>
      <c r="AF52" s="51">
        <f t="shared" si="31"/>
        <v>2048</v>
      </c>
      <c r="AG52" s="51">
        <f t="shared" si="31"/>
        <v>2049</v>
      </c>
      <c r="AH52" s="51">
        <f t="shared" si="31"/>
        <v>2050</v>
      </c>
    </row>
    <row r="53" spans="1:35">
      <c r="A53" s="43" t="s">
        <v>68</v>
      </c>
      <c r="B53" s="48">
        <f>'[3]US Jet Fuel Exports'!LX$290</f>
        <v>264080.33399999997</v>
      </c>
      <c r="C53" s="48">
        <f>'[3]US Jet Fuel Exports'!MJ$290</f>
        <v>332906.7</v>
      </c>
      <c r="D53" s="48">
        <f>'[3]US Jet Fuel Exports'!MV$290</f>
        <v>296538.77399999998</v>
      </c>
      <c r="E53" s="48">
        <f>'[3]US Jet Fuel Exports'!NH$290</f>
        <v>130913.32799999999</v>
      </c>
      <c r="F53" s="48">
        <f>'[3]US Jet Fuel Exports'!NT$290</f>
        <v>185240.622</v>
      </c>
      <c r="G53" s="48">
        <f>'[3]US Jet Fuel Exports'!OF$290</f>
        <v>264859.39199999999</v>
      </c>
      <c r="H53" s="48">
        <f>'[3]US Jet Fuel Exports'!OR$290</f>
        <v>288153.89399999997</v>
      </c>
      <c r="I53" s="52">
        <f>I$65*(SUM(D53:H53)/SUM(D$65:H$65))</f>
        <v>294791.53352940391</v>
      </c>
      <c r="J53" s="52">
        <f t="shared" ref="J53:R53" si="32">J$65*(SUM(E53:I53)/SUM(E$65:I$65))</f>
        <v>271765.63468615315</v>
      </c>
      <c r="K53" s="52">
        <f t="shared" si="32"/>
        <v>196464.70219063933</v>
      </c>
      <c r="L53" s="52">
        <f t="shared" si="32"/>
        <v>226657.90229209853</v>
      </c>
      <c r="M53" s="52">
        <f t="shared" si="32"/>
        <v>246686.03604214187</v>
      </c>
      <c r="N53" s="52">
        <f t="shared" si="32"/>
        <v>267717.00582962215</v>
      </c>
      <c r="O53" s="52">
        <f t="shared" si="32"/>
        <v>287926.49548587023</v>
      </c>
      <c r="P53" s="52">
        <f t="shared" si="32"/>
        <v>314839.4830815185</v>
      </c>
      <c r="Q53" s="52">
        <f t="shared" si="32"/>
        <v>340825.66880865069</v>
      </c>
      <c r="R53" s="52">
        <f t="shared" si="32"/>
        <v>364498.67231195082</v>
      </c>
      <c r="S53" s="52">
        <f t="shared" ref="S53:S63" si="33">S$65*(SUM(N53:R53)/SUM(N$65:R$65))</f>
        <v>363744.81710871169</v>
      </c>
      <c r="T53" s="52">
        <f t="shared" ref="T53:AH63" si="34">T$65*(SUM(O53:S53)/SUM(O$65:S$65))</f>
        <v>363615.17785990529</v>
      </c>
      <c r="U53" s="52">
        <f t="shared" si="34"/>
        <v>364297.99996377132</v>
      </c>
      <c r="V53" s="52">
        <f t="shared" si="34"/>
        <v>364523.4891139589</v>
      </c>
      <c r="W53" s="52">
        <f t="shared" si="34"/>
        <v>364427.18481478724</v>
      </c>
      <c r="X53" s="52">
        <f t="shared" si="34"/>
        <v>364412.79830761638</v>
      </c>
      <c r="Y53" s="52">
        <f t="shared" si="34"/>
        <v>364546.42377600248</v>
      </c>
      <c r="Z53" s="52">
        <f t="shared" si="34"/>
        <v>364732.74423852575</v>
      </c>
      <c r="AA53" s="52">
        <f t="shared" si="34"/>
        <v>364819.68502146419</v>
      </c>
      <c r="AB53" s="52">
        <f t="shared" si="34"/>
        <v>364878.89400881395</v>
      </c>
      <c r="AC53" s="52">
        <f t="shared" si="34"/>
        <v>364969.23049869406</v>
      </c>
      <c r="AD53" s="52">
        <f t="shared" si="34"/>
        <v>365080.5283063926</v>
      </c>
      <c r="AE53" s="52">
        <f t="shared" si="34"/>
        <v>365187.35701298143</v>
      </c>
      <c r="AF53" s="52">
        <f t="shared" si="34"/>
        <v>365278.27468275331</v>
      </c>
      <c r="AG53" s="52">
        <f t="shared" si="34"/>
        <v>365369.98836676119</v>
      </c>
      <c r="AH53" s="52">
        <f t="shared" si="34"/>
        <v>365468.20817514299</v>
      </c>
      <c r="AI53" s="54">
        <f>SUM(B53:G53)/SUM($B$65:$G$65)</f>
        <v>9.8781885880829756E-2</v>
      </c>
    </row>
    <row r="54" spans="1:35">
      <c r="A54" s="43" t="s">
        <v>69</v>
      </c>
      <c r="B54" s="48">
        <f>'[3]US Jet Fuel Exports'!LY$290</f>
        <v>197163.87599999999</v>
      </c>
      <c r="C54" s="48">
        <f>'[3]US Jet Fuel Exports'!MK$290</f>
        <v>239637.804</v>
      </c>
      <c r="D54" s="48">
        <f>'[3]US Jet Fuel Exports'!MW$290</f>
        <v>300905.34600000002</v>
      </c>
      <c r="E54" s="48">
        <f>'[3]US Jet Fuel Exports'!NI$290</f>
        <v>96140.351999999999</v>
      </c>
      <c r="F54" s="48">
        <f>'[3]US Jet Fuel Exports'!NU$290</f>
        <v>181746.726</v>
      </c>
      <c r="G54" s="48">
        <f>'[3]US Jet Fuel Exports'!OG$290</f>
        <v>211133.076</v>
      </c>
      <c r="H54" s="52">
        <f>H$65*(SUM(C54:G54)/SUM(C$65:G$65))</f>
        <v>243896.69195199182</v>
      </c>
      <c r="I54" s="52">
        <f>I$65*(SUM(D54:H54)/SUM(D$65:H$65))</f>
        <v>261439.87141514139</v>
      </c>
      <c r="J54" s="52">
        <f t="shared" ref="J54:R63" si="35">J$65*(SUM(E54:I54)/SUM(E$65:I$65))</f>
        <v>232166.28584616905</v>
      </c>
      <c r="K54" s="52">
        <f t="shared" si="35"/>
        <v>170201.10802262896</v>
      </c>
      <c r="L54" s="52">
        <f t="shared" si="35"/>
        <v>192694.89399696494</v>
      </c>
      <c r="M54" s="52">
        <f t="shared" si="35"/>
        <v>212432.21066272125</v>
      </c>
      <c r="N54" s="52">
        <f t="shared" si="35"/>
        <v>231462.16672007638</v>
      </c>
      <c r="O54" s="52">
        <f t="shared" si="35"/>
        <v>247370.63458299061</v>
      </c>
      <c r="P54" s="52">
        <f t="shared" si="35"/>
        <v>270831.88106343814</v>
      </c>
      <c r="Q54" s="52">
        <f t="shared" si="35"/>
        <v>292881.97497041081</v>
      </c>
      <c r="R54" s="52">
        <f t="shared" si="35"/>
        <v>313744.71699990926</v>
      </c>
      <c r="S54" s="52">
        <f t="shared" si="33"/>
        <v>313073.78123922652</v>
      </c>
      <c r="T54" s="52">
        <f t="shared" si="34"/>
        <v>312736.1900288458</v>
      </c>
      <c r="U54" s="52">
        <f t="shared" si="34"/>
        <v>313379.26160999667</v>
      </c>
      <c r="V54" s="52">
        <f t="shared" si="34"/>
        <v>313573.5967729846</v>
      </c>
      <c r="W54" s="52">
        <f t="shared" si="34"/>
        <v>313552.01693360158</v>
      </c>
      <c r="X54" s="52">
        <f t="shared" si="34"/>
        <v>313513.37936434662</v>
      </c>
      <c r="Y54" s="52">
        <f t="shared" si="34"/>
        <v>313601.30254526512</v>
      </c>
      <c r="Z54" s="52">
        <f t="shared" si="34"/>
        <v>313774.3965941965</v>
      </c>
      <c r="AA54" s="52">
        <f t="shared" si="34"/>
        <v>313853.42002230417</v>
      </c>
      <c r="AB54" s="52">
        <f t="shared" si="34"/>
        <v>313909.36268983362</v>
      </c>
      <c r="AC54" s="52">
        <f t="shared" si="34"/>
        <v>313980.82224764093</v>
      </c>
      <c r="AD54" s="52">
        <f t="shared" si="34"/>
        <v>314074.31880932918</v>
      </c>
      <c r="AE54" s="52">
        <f t="shared" si="34"/>
        <v>314168.93093229335</v>
      </c>
      <c r="AF54" s="52">
        <f t="shared" si="34"/>
        <v>314247.83414496545</v>
      </c>
      <c r="AG54" s="52">
        <f t="shared" si="34"/>
        <v>314326.7132973203</v>
      </c>
      <c r="AH54" s="52">
        <f t="shared" si="34"/>
        <v>314410.18340575148</v>
      </c>
      <c r="AI54" s="54">
        <f t="shared" ref="AI54:AI64" si="36">SUM(B54:G54)/SUM($B$65:$G$65)</f>
        <v>8.2180540477119327E-2</v>
      </c>
    </row>
    <row r="55" spans="1:35">
      <c r="A55" s="43" t="s">
        <v>70</v>
      </c>
      <c r="B55" s="48">
        <f>'[3]US Jet Fuel Exports'!LZ$290</f>
        <v>312952.83600000001</v>
      </c>
      <c r="C55" s="48">
        <f>'[3]US Jet Fuel Exports'!ML$290</f>
        <v>228186.04199999999</v>
      </c>
      <c r="D55" s="48">
        <f>'[3]US Jet Fuel Exports'!MX$290</f>
        <v>285273.49200000003</v>
      </c>
      <c r="E55" s="48">
        <f>'[3]US Jet Fuel Exports'!NJ$290</f>
        <v>89578.65</v>
      </c>
      <c r="F55" s="48">
        <f>'[3]US Jet Fuel Exports'!NV$290</f>
        <v>235036.2</v>
      </c>
      <c r="G55" s="48">
        <f>'[3]US Jet Fuel Exports'!OH$290</f>
        <v>266650.86</v>
      </c>
      <c r="H55" s="52">
        <f>H$65*(SUM(C55:G55)/SUM(C$65:G$65))</f>
        <v>261702.05511467703</v>
      </c>
      <c r="I55" s="52">
        <f>I$65*(SUM(D55:H55)/SUM(D$65:H$65))</f>
        <v>287846.06310065457</v>
      </c>
      <c r="J55" s="52">
        <f t="shared" si="35"/>
        <v>266361.66348832828</v>
      </c>
      <c r="K55" s="52">
        <f t="shared" si="35"/>
        <v>198389.84802568625</v>
      </c>
      <c r="L55" s="52">
        <f t="shared" si="35"/>
        <v>220615.34566822529</v>
      </c>
      <c r="M55" s="52">
        <f t="shared" si="35"/>
        <v>238400.57440107552</v>
      </c>
      <c r="N55" s="52">
        <f t="shared" si="35"/>
        <v>262357.25278589904</v>
      </c>
      <c r="O55" s="52">
        <f t="shared" si="35"/>
        <v>282410.63913552725</v>
      </c>
      <c r="P55" s="52">
        <f t="shared" si="35"/>
        <v>308858.84545876231</v>
      </c>
      <c r="Q55" s="52">
        <f t="shared" si="35"/>
        <v>332916.61601979798</v>
      </c>
      <c r="R55" s="52">
        <f t="shared" si="35"/>
        <v>356235.98195026553</v>
      </c>
      <c r="S55" s="52">
        <f t="shared" si="33"/>
        <v>356120.94073223363</v>
      </c>
      <c r="T55" s="52">
        <f t="shared" si="34"/>
        <v>355939.33241022512</v>
      </c>
      <c r="U55" s="52">
        <f t="shared" si="34"/>
        <v>356490.53781547694</v>
      </c>
      <c r="V55" s="52">
        <f t="shared" si="34"/>
        <v>356555.63585408567</v>
      </c>
      <c r="W55" s="52">
        <f t="shared" si="34"/>
        <v>356553.34861419979</v>
      </c>
      <c r="X55" s="52">
        <f t="shared" si="34"/>
        <v>356616.79678235477</v>
      </c>
      <c r="Y55" s="52">
        <f t="shared" si="34"/>
        <v>356715.97136902605</v>
      </c>
      <c r="Z55" s="52">
        <f t="shared" si="34"/>
        <v>356871.34740107955</v>
      </c>
      <c r="AA55" s="52">
        <f t="shared" si="34"/>
        <v>356947.49430127704</v>
      </c>
      <c r="AB55" s="52">
        <f t="shared" si="34"/>
        <v>357025.85274631053</v>
      </c>
      <c r="AC55" s="52">
        <f t="shared" si="34"/>
        <v>357120.35321121762</v>
      </c>
      <c r="AD55" s="52">
        <f t="shared" si="34"/>
        <v>357221.06909213954</v>
      </c>
      <c r="AE55" s="52">
        <f t="shared" si="34"/>
        <v>357322.09347541846</v>
      </c>
      <c r="AF55" s="52">
        <f t="shared" si="34"/>
        <v>357412.23885554005</v>
      </c>
      <c r="AG55" s="52">
        <f t="shared" si="34"/>
        <v>357505.18616629759</v>
      </c>
      <c r="AH55" s="52">
        <f t="shared" si="34"/>
        <v>357601.05357720488</v>
      </c>
      <c r="AI55" s="54">
        <f t="shared" si="36"/>
        <v>9.497266607964519E-2</v>
      </c>
    </row>
    <row r="56" spans="1:35">
      <c r="A56" s="43" t="s">
        <v>71</v>
      </c>
      <c r="B56" s="48">
        <f>'[3]US Jet Fuel Exports'!MA$290</f>
        <v>266827.59600000002</v>
      </c>
      <c r="C56" s="48">
        <f>'[3]US Jet Fuel Exports'!MM$290</f>
        <v>254988.46799999999</v>
      </c>
      <c r="D56" s="48">
        <f>'[3]US Jet Fuel Exports'!MY$290</f>
        <v>97750.043999999994</v>
      </c>
      <c r="E56" s="48">
        <f>'[3]US Jet Fuel Exports'!NK$290</f>
        <v>86455.278000000006</v>
      </c>
      <c r="F56" s="48">
        <f>'[3]US Jet Fuel Exports'!NW$290</f>
        <v>257486.628</v>
      </c>
      <c r="G56" s="48">
        <f>'[3]US Jet Fuel Exports'!OI$290</f>
        <v>156670.5</v>
      </c>
      <c r="H56" s="52">
        <f>H$65*(SUM(C56:G56)/SUM(C$65:G$65))</f>
        <v>202153.15091921284</v>
      </c>
      <c r="I56" s="52">
        <f>I$65*(SUM(D56:H56)/SUM(D$65:H$65))</f>
        <v>202439.74002431976</v>
      </c>
      <c r="J56" s="52">
        <f t="shared" si="35"/>
        <v>211350.86438206723</v>
      </c>
      <c r="K56" s="52">
        <f t="shared" si="35"/>
        <v>155101.73615007329</v>
      </c>
      <c r="L56" s="52">
        <f t="shared" si="35"/>
        <v>159778.52835248198</v>
      </c>
      <c r="M56" s="52">
        <f t="shared" si="35"/>
        <v>179695.75672358208</v>
      </c>
      <c r="N56" s="52">
        <f t="shared" si="35"/>
        <v>196693.56066845998</v>
      </c>
      <c r="O56" s="52">
        <f t="shared" si="35"/>
        <v>214909.63006587251</v>
      </c>
      <c r="P56" s="52">
        <f t="shared" si="35"/>
        <v>232812.84101751199</v>
      </c>
      <c r="Q56" s="52">
        <f t="shared" si="35"/>
        <v>249537.39919548403</v>
      </c>
      <c r="R56" s="52">
        <f t="shared" si="35"/>
        <v>268412.29691772762</v>
      </c>
      <c r="S56" s="52">
        <f t="shared" si="33"/>
        <v>268309.77509057388</v>
      </c>
      <c r="T56" s="52">
        <f t="shared" si="34"/>
        <v>268384.45582641364</v>
      </c>
      <c r="U56" s="52">
        <f t="shared" si="34"/>
        <v>268390.00447053602</v>
      </c>
      <c r="V56" s="52">
        <f t="shared" si="34"/>
        <v>268381.57240104617</v>
      </c>
      <c r="W56" s="52">
        <f t="shared" si="34"/>
        <v>268590.20699211868</v>
      </c>
      <c r="X56" s="52">
        <f t="shared" si="34"/>
        <v>268625.76027264935</v>
      </c>
      <c r="Y56" s="52">
        <f t="shared" si="34"/>
        <v>268688.95065850316</v>
      </c>
      <c r="Z56" s="52">
        <f t="shared" si="34"/>
        <v>268749.84114189394</v>
      </c>
      <c r="AA56" s="52">
        <f t="shared" si="34"/>
        <v>268821.80883820495</v>
      </c>
      <c r="AB56" s="52">
        <f t="shared" si="34"/>
        <v>268909.86932747788</v>
      </c>
      <c r="AC56" s="52">
        <f t="shared" si="34"/>
        <v>268973.79573857697</v>
      </c>
      <c r="AD56" s="52">
        <f t="shared" si="34"/>
        <v>269043.40130784351</v>
      </c>
      <c r="AE56" s="52">
        <f t="shared" si="34"/>
        <v>269114.2909383027</v>
      </c>
      <c r="AF56" s="52">
        <f t="shared" si="34"/>
        <v>269187.18199362548</v>
      </c>
      <c r="AG56" s="52">
        <f t="shared" si="34"/>
        <v>269260.25786743418</v>
      </c>
      <c r="AH56" s="52">
        <f t="shared" si="34"/>
        <v>269330.33442823373</v>
      </c>
      <c r="AI56" s="54">
        <f t="shared" si="36"/>
        <v>7.5042664100241394E-2</v>
      </c>
    </row>
    <row r="57" spans="1:35">
      <c r="A57" s="43" t="s">
        <v>72</v>
      </c>
      <c r="B57" s="48">
        <f>'[3]US Jet Fuel Exports'!MB$290</f>
        <v>324783.85800000001</v>
      </c>
      <c r="C57" s="48">
        <f>'[3]US Jet Fuel Exports'!MN$290</f>
        <v>264075</v>
      </c>
      <c r="D57" s="48">
        <f>'[3]US Jet Fuel Exports'!MZ$290</f>
        <v>27769.727999999999</v>
      </c>
      <c r="E57" s="48">
        <f>'[3]US Jet Fuel Exports'!NL$290</f>
        <v>129298.512</v>
      </c>
      <c r="F57" s="48">
        <f>'[3]US Jet Fuel Exports'!NX$290</f>
        <v>212915.976</v>
      </c>
      <c r="G57" s="48">
        <f>'[3]US Jet Fuel Exports'!OJ$290</f>
        <v>179268.30600000001</v>
      </c>
      <c r="H57" s="52">
        <f t="shared" ref="H57:I63" si="37">H$65*(SUM(C57:G57)/SUM(C$65:G$65))</f>
        <v>192671.87487998389</v>
      </c>
      <c r="I57" s="52">
        <f t="shared" si="37"/>
        <v>187622.80441457842</v>
      </c>
      <c r="J57" s="52">
        <f t="shared" si="35"/>
        <v>210550.52274287737</v>
      </c>
      <c r="K57" s="52">
        <f t="shared" si="35"/>
        <v>148014.22086803924</v>
      </c>
      <c r="L57" s="52">
        <f t="shared" si="35"/>
        <v>158127.16252824309</v>
      </c>
      <c r="M57" s="52">
        <f t="shared" si="35"/>
        <v>173163.43348141349</v>
      </c>
      <c r="N57" s="52">
        <f t="shared" si="35"/>
        <v>190005.10992887142</v>
      </c>
      <c r="O57" s="52">
        <f t="shared" si="35"/>
        <v>209490.58322605825</v>
      </c>
      <c r="P57" s="52">
        <f t="shared" si="35"/>
        <v>225778.78716253222</v>
      </c>
      <c r="Q57" s="52">
        <f t="shared" si="35"/>
        <v>242607.08457571844</v>
      </c>
      <c r="R57" s="52">
        <f t="shared" si="35"/>
        <v>260261.24959364845</v>
      </c>
      <c r="S57" s="52">
        <f t="shared" si="33"/>
        <v>260410.07367015962</v>
      </c>
      <c r="T57" s="52">
        <f t="shared" si="34"/>
        <v>260677.7151418408</v>
      </c>
      <c r="U57" s="52">
        <f t="shared" si="34"/>
        <v>260526.3077137174</v>
      </c>
      <c r="V57" s="52">
        <f t="shared" si="34"/>
        <v>260561.27984596067</v>
      </c>
      <c r="W57" s="52">
        <f t="shared" si="34"/>
        <v>260695.60397120487</v>
      </c>
      <c r="X57" s="52">
        <f t="shared" si="34"/>
        <v>260782.48879125342</v>
      </c>
      <c r="Y57" s="52">
        <f t="shared" si="34"/>
        <v>260856.97585285889</v>
      </c>
      <c r="Z57" s="52">
        <f t="shared" si="34"/>
        <v>260892.80116674476</v>
      </c>
      <c r="AA57" s="52">
        <f t="shared" si="34"/>
        <v>260966.10295270162</v>
      </c>
      <c r="AB57" s="52">
        <f t="shared" si="34"/>
        <v>261047.07678907164</v>
      </c>
      <c r="AC57" s="52">
        <f t="shared" si="34"/>
        <v>261117.37204488786</v>
      </c>
      <c r="AD57" s="52">
        <f t="shared" si="34"/>
        <v>261184.34673951415</v>
      </c>
      <c r="AE57" s="52">
        <f t="shared" si="34"/>
        <v>261249.81776300308</v>
      </c>
      <c r="AF57" s="52">
        <f t="shared" si="34"/>
        <v>261321.22265953029</v>
      </c>
      <c r="AG57" s="52">
        <f t="shared" si="34"/>
        <v>261392.24787479889</v>
      </c>
      <c r="AH57" s="52">
        <f t="shared" si="34"/>
        <v>261461.2817788898</v>
      </c>
      <c r="AI57" s="54">
        <f t="shared" si="36"/>
        <v>7.6244017297766351E-2</v>
      </c>
    </row>
    <row r="58" spans="1:35">
      <c r="A58" s="43" t="s">
        <v>73</v>
      </c>
      <c r="B58" s="48">
        <f>'[3]US Jet Fuel Exports'!MC$290</f>
        <v>261756.30600000001</v>
      </c>
      <c r="C58" s="48">
        <f>'[3]US Jet Fuel Exports'!MO$290</f>
        <v>266457.19799999997</v>
      </c>
      <c r="D58" s="48">
        <f>'[3]US Jet Fuel Exports'!NA$290</f>
        <v>42306.053999999996</v>
      </c>
      <c r="E58" s="48">
        <f>'[3]US Jet Fuel Exports'!NM$290</f>
        <v>110643.45600000001</v>
      </c>
      <c r="F58" s="48">
        <f>'[3]US Jet Fuel Exports'!NY$290</f>
        <v>237432.46799999999</v>
      </c>
      <c r="G58" s="48">
        <f>'[3]US Jet Fuel Exports'!OK$290</f>
        <v>201379.5</v>
      </c>
      <c r="H58" s="52">
        <f t="shared" si="37"/>
        <v>203306.29038019624</v>
      </c>
      <c r="I58" s="52">
        <f t="shared" si="37"/>
        <v>201062.05568983816</v>
      </c>
      <c r="J58" s="52">
        <f t="shared" si="35"/>
        <v>222702.49517225192</v>
      </c>
      <c r="K58" s="52">
        <f t="shared" si="35"/>
        <v>160489.40149655289</v>
      </c>
      <c r="L58" s="52">
        <f t="shared" si="35"/>
        <v>170322.96325166585</v>
      </c>
      <c r="M58" s="52">
        <f t="shared" si="35"/>
        <v>184919.53783600486</v>
      </c>
      <c r="N58" s="52">
        <f t="shared" si="35"/>
        <v>203434.27141554037</v>
      </c>
      <c r="O58" s="52">
        <f t="shared" si="35"/>
        <v>224254.44504095614</v>
      </c>
      <c r="P58" s="52">
        <f t="shared" si="35"/>
        <v>242380.79145314946</v>
      </c>
      <c r="Q58" s="52">
        <f t="shared" si="35"/>
        <v>260042.90083265281</v>
      </c>
      <c r="R58" s="52">
        <f t="shared" si="35"/>
        <v>278757.9866445759</v>
      </c>
      <c r="S58" s="52">
        <f t="shared" si="33"/>
        <v>279044.48326745641</v>
      </c>
      <c r="T58" s="52">
        <f t="shared" si="34"/>
        <v>279367.64467914571</v>
      </c>
      <c r="U58" s="52">
        <f t="shared" si="34"/>
        <v>279258.76560624933</v>
      </c>
      <c r="V58" s="52">
        <f t="shared" si="34"/>
        <v>279221.60736987583</v>
      </c>
      <c r="W58" s="52">
        <f t="shared" si="34"/>
        <v>279353.28255944687</v>
      </c>
      <c r="X58" s="52">
        <f t="shared" si="34"/>
        <v>279472.37744519301</v>
      </c>
      <c r="Y58" s="52">
        <f t="shared" si="34"/>
        <v>279557.96520875249</v>
      </c>
      <c r="Z58" s="52">
        <f t="shared" si="34"/>
        <v>279596.00027676206</v>
      </c>
      <c r="AA58" s="52">
        <f t="shared" si="34"/>
        <v>279663.44165712752</v>
      </c>
      <c r="AB58" s="52">
        <f t="shared" si="34"/>
        <v>279751.81966855365</v>
      </c>
      <c r="AC58" s="52">
        <f t="shared" si="34"/>
        <v>279831.5313256135</v>
      </c>
      <c r="AD58" s="52">
        <f t="shared" si="34"/>
        <v>279903.36004845315</v>
      </c>
      <c r="AE58" s="52">
        <f t="shared" si="34"/>
        <v>279972.43476864928</v>
      </c>
      <c r="AF58" s="52">
        <f t="shared" si="34"/>
        <v>280047.72237336065</v>
      </c>
      <c r="AG58" s="52">
        <f t="shared" si="34"/>
        <v>280124.58047395712</v>
      </c>
      <c r="AH58" s="52">
        <f t="shared" si="34"/>
        <v>280199.13275452919</v>
      </c>
      <c r="AI58" s="54">
        <f t="shared" si="36"/>
        <v>7.5029029145349146E-2</v>
      </c>
    </row>
    <row r="59" spans="1:35">
      <c r="A59" s="43" t="s">
        <v>74</v>
      </c>
      <c r="B59" s="48">
        <f>'[3]US Jet Fuel Exports'!MD$290</f>
        <v>320839.092</v>
      </c>
      <c r="C59" s="48">
        <f>'[3]US Jet Fuel Exports'!MP$290</f>
        <v>283542.33600000001</v>
      </c>
      <c r="D59" s="48">
        <f>'[3]US Jet Fuel Exports'!NB$290</f>
        <v>45815.826000000001</v>
      </c>
      <c r="E59" s="48">
        <f>'[3]US Jet Fuel Exports'!NN$290</f>
        <v>112384.944</v>
      </c>
      <c r="F59" s="48">
        <f>'[3]US Jet Fuel Exports'!NZ$290</f>
        <v>249143.58</v>
      </c>
      <c r="G59" s="48">
        <f>'[3]US Jet Fuel Exports'!OL$290</f>
        <v>192869.46</v>
      </c>
      <c r="H59" s="52">
        <f t="shared" si="37"/>
        <v>209355.94699637961</v>
      </c>
      <c r="I59" s="52">
        <f t="shared" si="37"/>
        <v>204729.4155787956</v>
      </c>
      <c r="J59" s="52">
        <f t="shared" si="35"/>
        <v>226125.27028890018</v>
      </c>
      <c r="K59" s="52">
        <f t="shared" si="35"/>
        <v>162949.83654612652</v>
      </c>
      <c r="L59" s="52">
        <f t="shared" si="35"/>
        <v>171544.09084082462</v>
      </c>
      <c r="M59" s="52">
        <f t="shared" si="35"/>
        <v>188166.90352336422</v>
      </c>
      <c r="N59" s="52">
        <f t="shared" si="35"/>
        <v>206469.89536531741</v>
      </c>
      <c r="O59" s="52">
        <f t="shared" si="35"/>
        <v>227441.90394393643</v>
      </c>
      <c r="P59" s="52">
        <f t="shared" si="35"/>
        <v>245759.7666572016</v>
      </c>
      <c r="Q59" s="52">
        <f t="shared" si="35"/>
        <v>263611.5189244388</v>
      </c>
      <c r="R59" s="52">
        <f t="shared" si="35"/>
        <v>282862.49710356462</v>
      </c>
      <c r="S59" s="52">
        <f t="shared" si="33"/>
        <v>283032.12788069015</v>
      </c>
      <c r="T59" s="52">
        <f t="shared" si="34"/>
        <v>283331.96452616592</v>
      </c>
      <c r="U59" s="52">
        <f t="shared" si="34"/>
        <v>283220.45354777016</v>
      </c>
      <c r="V59" s="52">
        <f t="shared" si="34"/>
        <v>283194.847167556</v>
      </c>
      <c r="W59" s="52">
        <f t="shared" si="34"/>
        <v>283354.76001053728</v>
      </c>
      <c r="X59" s="52">
        <f t="shared" si="34"/>
        <v>283453.23097076977</v>
      </c>
      <c r="Y59" s="52">
        <f t="shared" si="34"/>
        <v>283537.45858439297</v>
      </c>
      <c r="Z59" s="52">
        <f t="shared" si="34"/>
        <v>283578.5299364099</v>
      </c>
      <c r="AA59" s="52">
        <f t="shared" si="34"/>
        <v>283650.14214330533</v>
      </c>
      <c r="AB59" s="52">
        <f t="shared" si="34"/>
        <v>283741.21359524946</v>
      </c>
      <c r="AC59" s="52">
        <f t="shared" si="34"/>
        <v>283818.50577118195</v>
      </c>
      <c r="AD59" s="52">
        <f t="shared" si="34"/>
        <v>283891.55880898592</v>
      </c>
      <c r="AE59" s="52">
        <f t="shared" si="34"/>
        <v>283962.37514947145</v>
      </c>
      <c r="AF59" s="52">
        <f t="shared" si="34"/>
        <v>284039.14523489942</v>
      </c>
      <c r="AG59" s="52">
        <f t="shared" si="34"/>
        <v>284116.94771810749</v>
      </c>
      <c r="AH59" s="52">
        <f t="shared" si="34"/>
        <v>284192.0942908767</v>
      </c>
      <c r="AI59" s="54">
        <f t="shared" si="36"/>
        <v>8.0697884035637157E-2</v>
      </c>
    </row>
    <row r="60" spans="1:35">
      <c r="A60" s="43" t="s">
        <v>75</v>
      </c>
      <c r="B60" s="48">
        <f>'[3]US Jet Fuel Exports'!ME$290</f>
        <v>274531.65600000002</v>
      </c>
      <c r="C60" s="48">
        <f>'[3]US Jet Fuel Exports'!MQ$290</f>
        <v>325478.538</v>
      </c>
      <c r="D60" s="48">
        <f>'[3]US Jet Fuel Exports'!NC$290</f>
        <v>52820.375999999997</v>
      </c>
      <c r="E60" s="48">
        <f>'[3]US Jet Fuel Exports'!NO$290</f>
        <v>176061.606</v>
      </c>
      <c r="F60" s="48">
        <f>'[3]US Jet Fuel Exports'!OA$290</f>
        <v>266622.97200000001</v>
      </c>
      <c r="G60" s="48">
        <f>'[3]US Jet Fuel Exports'!OM$290</f>
        <v>269516.64600000001</v>
      </c>
      <c r="H60" s="52">
        <f t="shared" si="37"/>
        <v>258332.22221310888</v>
      </c>
      <c r="I60" s="52">
        <f t="shared" si="37"/>
        <v>258792.56004983577</v>
      </c>
      <c r="J60" s="52">
        <f t="shared" si="35"/>
        <v>287027.83214848518</v>
      </c>
      <c r="K60" s="52">
        <f t="shared" si="35"/>
        <v>201807.08080197027</v>
      </c>
      <c r="L60" s="52">
        <f t="shared" si="35"/>
        <v>219672.54485213768</v>
      </c>
      <c r="M60" s="52">
        <f t="shared" si="35"/>
        <v>236608.54055319264</v>
      </c>
      <c r="N60" s="52">
        <f t="shared" si="35"/>
        <v>260688.86107208344</v>
      </c>
      <c r="O60" s="52">
        <f t="shared" si="35"/>
        <v>287096.39510187361</v>
      </c>
      <c r="P60" s="52">
        <f t="shared" si="35"/>
        <v>309809.37729162746</v>
      </c>
      <c r="Q60" s="52">
        <f t="shared" si="35"/>
        <v>333229.34898900008</v>
      </c>
      <c r="R60" s="52">
        <f t="shared" si="35"/>
        <v>356858.13075194432</v>
      </c>
      <c r="S60" s="52">
        <f t="shared" si="33"/>
        <v>357252.65271616552</v>
      </c>
      <c r="T60" s="52">
        <f t="shared" si="34"/>
        <v>357614.66784531286</v>
      </c>
      <c r="U60" s="52">
        <f t="shared" si="34"/>
        <v>357468.75290287565</v>
      </c>
      <c r="V60" s="52">
        <f t="shared" si="34"/>
        <v>357513.13188872207</v>
      </c>
      <c r="W60" s="52">
        <f t="shared" si="34"/>
        <v>357627.18801035988</v>
      </c>
      <c r="X60" s="52">
        <f t="shared" si="34"/>
        <v>357781.04628153826</v>
      </c>
      <c r="Y60" s="52">
        <f t="shared" si="34"/>
        <v>357886.73332400294</v>
      </c>
      <c r="Z60" s="52">
        <f t="shared" si="34"/>
        <v>357941.11378681118</v>
      </c>
      <c r="AA60" s="52">
        <f t="shared" si="34"/>
        <v>358035.58534411615</v>
      </c>
      <c r="AB60" s="52">
        <f t="shared" si="34"/>
        <v>358140.0834159209</v>
      </c>
      <c r="AC60" s="52">
        <f t="shared" si="34"/>
        <v>358242.66834779864</v>
      </c>
      <c r="AD60" s="52">
        <f t="shared" si="34"/>
        <v>358334.99042461079</v>
      </c>
      <c r="AE60" s="52">
        <f t="shared" si="34"/>
        <v>358424.63737682794</v>
      </c>
      <c r="AF60" s="52">
        <f t="shared" si="34"/>
        <v>358521.34325543779</v>
      </c>
      <c r="AG60" s="52">
        <f t="shared" si="34"/>
        <v>358618.49635404273</v>
      </c>
      <c r="AH60" s="52">
        <f t="shared" si="34"/>
        <v>358714.17928606598</v>
      </c>
      <c r="AI60" s="54">
        <f t="shared" si="36"/>
        <v>9.1445801828057477E-2</v>
      </c>
    </row>
    <row r="61" spans="1:35">
      <c r="A61" s="43" t="s">
        <v>76</v>
      </c>
      <c r="B61" s="48">
        <f>'[3]US Jet Fuel Exports'!MF$290</f>
        <v>208718.16</v>
      </c>
      <c r="C61" s="48">
        <f>'[3]US Jet Fuel Exports'!MR$290</f>
        <v>308587.23</v>
      </c>
      <c r="D61" s="48">
        <f>'[3]US Jet Fuel Exports'!ND$290</f>
        <v>58307.298000000003</v>
      </c>
      <c r="E61" s="48">
        <f>'[3]US Jet Fuel Exports'!NP$290</f>
        <v>139446.84599999999</v>
      </c>
      <c r="F61" s="48">
        <f>'[3]US Jet Fuel Exports'!OB$290</f>
        <v>263066.076</v>
      </c>
      <c r="G61" s="48">
        <f>'[3]US Jet Fuel Exports'!ON$290</f>
        <v>180472.48800000001</v>
      </c>
      <c r="H61" s="52">
        <f t="shared" si="37"/>
        <v>225020.23307326721</v>
      </c>
      <c r="I61" s="52">
        <f t="shared" si="37"/>
        <v>219079.0115385582</v>
      </c>
      <c r="J61" s="52">
        <f t="shared" si="35"/>
        <v>239807.73232186201</v>
      </c>
      <c r="K61" s="52">
        <f t="shared" si="35"/>
        <v>169758.86890701746</v>
      </c>
      <c r="L61" s="52">
        <f t="shared" si="35"/>
        <v>178107.4193095747</v>
      </c>
      <c r="M61" s="52">
        <f t="shared" si="35"/>
        <v>199184.02802128947</v>
      </c>
      <c r="N61" s="52">
        <f t="shared" si="35"/>
        <v>217821.0169504197</v>
      </c>
      <c r="O61" s="52">
        <f t="shared" si="35"/>
        <v>239209.30131194365</v>
      </c>
      <c r="P61" s="52">
        <f t="shared" si="35"/>
        <v>257965.38040520131</v>
      </c>
      <c r="Q61" s="52">
        <f t="shared" si="35"/>
        <v>277029.3486227899</v>
      </c>
      <c r="R61" s="52">
        <f t="shared" si="35"/>
        <v>297802.268827911</v>
      </c>
      <c r="S61" s="52">
        <f t="shared" si="33"/>
        <v>297731.83155443775</v>
      </c>
      <c r="T61" s="52">
        <f t="shared" si="34"/>
        <v>297910.6988852825</v>
      </c>
      <c r="U61" s="52">
        <f t="shared" si="34"/>
        <v>297780.01164769597</v>
      </c>
      <c r="V61" s="52">
        <f t="shared" si="34"/>
        <v>297839.95001113648</v>
      </c>
      <c r="W61" s="52">
        <f t="shared" si="34"/>
        <v>298051.07554791425</v>
      </c>
      <c r="X61" s="52">
        <f t="shared" si="34"/>
        <v>298100.81322036398</v>
      </c>
      <c r="Y61" s="52">
        <f t="shared" si="34"/>
        <v>298174.60510211298</v>
      </c>
      <c r="Z61" s="52">
        <f t="shared" si="34"/>
        <v>298227.36510672822</v>
      </c>
      <c r="AA61" s="52">
        <f t="shared" si="34"/>
        <v>298316.84387576429</v>
      </c>
      <c r="AB61" s="52">
        <f t="shared" si="34"/>
        <v>298412.2354392783</v>
      </c>
      <c r="AC61" s="52">
        <f t="shared" si="34"/>
        <v>298484.4617233164</v>
      </c>
      <c r="AD61" s="52">
        <f t="shared" si="34"/>
        <v>298561.18932226481</v>
      </c>
      <c r="AE61" s="52">
        <f t="shared" si="34"/>
        <v>298638.50453423645</v>
      </c>
      <c r="AF61" s="52">
        <f t="shared" si="34"/>
        <v>298720.73470588966</v>
      </c>
      <c r="AG61" s="52">
        <f t="shared" si="34"/>
        <v>298801.51400077459</v>
      </c>
      <c r="AH61" s="52">
        <f t="shared" si="34"/>
        <v>298879.3685114478</v>
      </c>
      <c r="AI61" s="54">
        <f t="shared" si="36"/>
        <v>7.7616457384927631E-2</v>
      </c>
    </row>
    <row r="62" spans="1:35">
      <c r="A62" s="43" t="s">
        <v>77</v>
      </c>
      <c r="B62" s="48">
        <f>'[3]US Jet Fuel Exports'!MG$290</f>
        <v>352617.88799999998</v>
      </c>
      <c r="C62" s="48">
        <f>'[3]US Jet Fuel Exports'!MS$290</f>
        <v>277209.65999999997</v>
      </c>
      <c r="D62" s="48">
        <f>'[3]US Jet Fuel Exports'!NE$290</f>
        <v>57833.286</v>
      </c>
      <c r="E62" s="48">
        <f>'[3]US Jet Fuel Exports'!NQ$290</f>
        <v>157602.984</v>
      </c>
      <c r="F62" s="48">
        <f>'[3]US Jet Fuel Exports'!OC$290</f>
        <v>178104.10800000001</v>
      </c>
      <c r="G62" s="48">
        <f>'[3]US Jet Fuel Exports'!OO$290</f>
        <v>192544.17</v>
      </c>
      <c r="H62" s="52">
        <f t="shared" si="37"/>
        <v>204508.65011843381</v>
      </c>
      <c r="I62" s="52">
        <f t="shared" si="37"/>
        <v>199930.49643044136</v>
      </c>
      <c r="J62" s="52">
        <f t="shared" si="35"/>
        <v>217768.19547263984</v>
      </c>
      <c r="K62" s="52">
        <f t="shared" si="35"/>
        <v>149493.73687996276</v>
      </c>
      <c r="L62" s="52">
        <f t="shared" si="35"/>
        <v>166069.88373164283</v>
      </c>
      <c r="M62" s="52">
        <f t="shared" si="35"/>
        <v>181036.8653731893</v>
      </c>
      <c r="N62" s="52">
        <f t="shared" si="35"/>
        <v>197978.16844028814</v>
      </c>
      <c r="O62" s="52">
        <f t="shared" si="35"/>
        <v>217225.4404518388</v>
      </c>
      <c r="P62" s="52">
        <f t="shared" si="35"/>
        <v>234257.96903952537</v>
      </c>
      <c r="Q62" s="52">
        <f t="shared" si="35"/>
        <v>252752.83656722432</v>
      </c>
      <c r="R62" s="52">
        <f t="shared" si="35"/>
        <v>270812.81996801647</v>
      </c>
      <c r="S62" s="52">
        <f t="shared" si="33"/>
        <v>270770.77886063483</v>
      </c>
      <c r="T62" s="52">
        <f t="shared" si="34"/>
        <v>270959.1361670004</v>
      </c>
      <c r="U62" s="52">
        <f t="shared" si="34"/>
        <v>270911.76125539147</v>
      </c>
      <c r="V62" s="52">
        <f t="shared" si="34"/>
        <v>271053.83807412599</v>
      </c>
      <c r="W62" s="52">
        <f t="shared" si="34"/>
        <v>271118.27267542703</v>
      </c>
      <c r="X62" s="52">
        <f t="shared" si="34"/>
        <v>271179.35433489841</v>
      </c>
      <c r="Y62" s="52">
        <f t="shared" si="34"/>
        <v>271261.07703453436</v>
      </c>
      <c r="Z62" s="52">
        <f t="shared" si="34"/>
        <v>271321.45576995524</v>
      </c>
      <c r="AA62" s="52">
        <f t="shared" si="34"/>
        <v>271403.40245285031</v>
      </c>
      <c r="AB62" s="52">
        <f t="shared" si="34"/>
        <v>271473.31350153958</v>
      </c>
      <c r="AC62" s="52">
        <f t="shared" si="34"/>
        <v>271544.32071504515</v>
      </c>
      <c r="AD62" s="52">
        <f t="shared" si="34"/>
        <v>271617.31462415023</v>
      </c>
      <c r="AE62" s="52">
        <f t="shared" si="34"/>
        <v>271688.56138192036</v>
      </c>
      <c r="AF62" s="52">
        <f t="shared" si="34"/>
        <v>271761.98347836226</v>
      </c>
      <c r="AG62" s="52">
        <f t="shared" si="34"/>
        <v>271833.69929741259</v>
      </c>
      <c r="AH62" s="52">
        <f t="shared" si="34"/>
        <v>271905.77635850594</v>
      </c>
      <c r="AI62" s="54">
        <f t="shared" si="36"/>
        <v>8.1456019603272325E-2</v>
      </c>
    </row>
    <row r="63" spans="1:35">
      <c r="A63" s="43" t="s">
        <v>78</v>
      </c>
      <c r="B63" s="48">
        <f>'[3]US Jet Fuel Exports'!MH$290</f>
        <v>280713.67800000001</v>
      </c>
      <c r="C63" s="48">
        <f>'[3]US Jet Fuel Exports'!MT$290</f>
        <v>296708.538</v>
      </c>
      <c r="D63" s="48">
        <f>'[3]US Jet Fuel Exports'!NF$290</f>
        <v>104319.558</v>
      </c>
      <c r="E63" s="48">
        <f>'[3]US Jet Fuel Exports'!NR$290</f>
        <v>177886.50599999999</v>
      </c>
      <c r="F63" s="48">
        <f>'[3]US Jet Fuel Exports'!OD$290</f>
        <v>201116.16</v>
      </c>
      <c r="G63" s="48">
        <f>'[3]US Jet Fuel Exports'!OP$290</f>
        <v>255798.56400000001</v>
      </c>
      <c r="H63" s="52">
        <f t="shared" si="37"/>
        <v>245381.07084502428</v>
      </c>
      <c r="I63" s="52">
        <f t="shared" si="37"/>
        <v>248967.41566209609</v>
      </c>
      <c r="J63" s="52">
        <f t="shared" si="35"/>
        <v>263638.28117925057</v>
      </c>
      <c r="K63" s="52">
        <f t="shared" si="35"/>
        <v>182927.06438958462</v>
      </c>
      <c r="L63" s="52">
        <f t="shared" si="35"/>
        <v>206107.20011632206</v>
      </c>
      <c r="M63" s="52">
        <f t="shared" si="35"/>
        <v>221432.63169735091</v>
      </c>
      <c r="N63" s="52">
        <f t="shared" si="35"/>
        <v>243185.01030493397</v>
      </c>
      <c r="O63" s="52">
        <f t="shared" si="35"/>
        <v>266021.47325891478</v>
      </c>
      <c r="P63" s="52">
        <f t="shared" si="35"/>
        <v>287663.12128403917</v>
      </c>
      <c r="Q63" s="52">
        <f t="shared" si="35"/>
        <v>310538.6252402509</v>
      </c>
      <c r="R63" s="52">
        <f t="shared" si="35"/>
        <v>332210.21544637246</v>
      </c>
      <c r="S63" s="52">
        <f t="shared" si="33"/>
        <v>332308.23318153556</v>
      </c>
      <c r="T63" s="52">
        <f t="shared" si="34"/>
        <v>332493.11575436179</v>
      </c>
      <c r="U63" s="52">
        <f t="shared" si="34"/>
        <v>332546.55089886789</v>
      </c>
      <c r="V63" s="52">
        <f t="shared" si="34"/>
        <v>332698.7552100558</v>
      </c>
      <c r="W63" s="52">
        <f t="shared" si="34"/>
        <v>332717.19342720846</v>
      </c>
      <c r="X63" s="52">
        <f t="shared" si="34"/>
        <v>332818.59924651973</v>
      </c>
      <c r="Y63" s="52">
        <f t="shared" si="34"/>
        <v>332920.6832187298</v>
      </c>
      <c r="Z63" s="52">
        <f t="shared" si="34"/>
        <v>333006.19423495035</v>
      </c>
      <c r="AA63" s="52">
        <f t="shared" si="34"/>
        <v>333098.12555077358</v>
      </c>
      <c r="AB63" s="52">
        <f t="shared" si="34"/>
        <v>333177.99264040263</v>
      </c>
      <c r="AC63" s="52">
        <f t="shared" si="34"/>
        <v>333270.15531593753</v>
      </c>
      <c r="AD63" s="52">
        <f t="shared" si="34"/>
        <v>333360.46788584761</v>
      </c>
      <c r="AE63" s="52">
        <f t="shared" si="34"/>
        <v>333448.42429616128</v>
      </c>
      <c r="AF63" s="52">
        <f t="shared" si="34"/>
        <v>333536.87017569045</v>
      </c>
      <c r="AG63" s="52">
        <f t="shared" si="34"/>
        <v>333624.61841214023</v>
      </c>
      <c r="AH63" s="52">
        <f t="shared" si="34"/>
        <v>333713.94413494749</v>
      </c>
      <c r="AI63" s="54">
        <f t="shared" si="36"/>
        <v>8.8197455305498537E-2</v>
      </c>
    </row>
    <row r="64" spans="1:35">
      <c r="A64" s="43" t="s">
        <v>79</v>
      </c>
      <c r="B64" s="48">
        <f>'[3]US Jet Fuel Exports'!MI$290</f>
        <v>253637.03400000001</v>
      </c>
      <c r="C64" s="48">
        <f>'[3]US Jet Fuel Exports'!MU$290</f>
        <v>343859.41800000001</v>
      </c>
      <c r="D64" s="48">
        <f>'[3]US Jet Fuel Exports'!NG$290</f>
        <v>115525.704</v>
      </c>
      <c r="E64" s="48">
        <f>'[3]US Jet Fuel Exports'!NS$290</f>
        <v>231240.408</v>
      </c>
      <c r="F64" s="48">
        <f>'[3]US Jet Fuel Exports'!OE$290</f>
        <v>224737.17</v>
      </c>
      <c r="G64" s="48">
        <f>'[3]US Jet Fuel Exports'!OQ$290</f>
        <v>333239.55</v>
      </c>
      <c r="H64" s="52">
        <f>H65-SUM(H53:H63)</f>
        <v>215517.9195077247</v>
      </c>
      <c r="I64" s="52">
        <f>I65-SUM(I53:I63)</f>
        <v>283299.03256633691</v>
      </c>
      <c r="J64" s="52">
        <f t="shared" ref="J64:AH64" si="38">J65-SUM(J53:J63)</f>
        <v>300735.22227101494</v>
      </c>
      <c r="K64" s="52">
        <f t="shared" si="38"/>
        <v>204402.39572171867</v>
      </c>
      <c r="L64" s="52">
        <f t="shared" si="38"/>
        <v>230302.06505981856</v>
      </c>
      <c r="M64" s="52">
        <f t="shared" si="38"/>
        <v>238273.48168467451</v>
      </c>
      <c r="N64" s="52">
        <f t="shared" si="38"/>
        <v>272187.6805184884</v>
      </c>
      <c r="O64" s="52">
        <f t="shared" si="38"/>
        <v>296643.0583942174</v>
      </c>
      <c r="P64" s="52">
        <f t="shared" si="38"/>
        <v>319041.75608549267</v>
      </c>
      <c r="Q64" s="52">
        <f t="shared" si="38"/>
        <v>344026.67725358065</v>
      </c>
      <c r="R64" s="52">
        <f t="shared" si="38"/>
        <v>367543.16348411376</v>
      </c>
      <c r="S64" s="52">
        <f t="shared" si="38"/>
        <v>369200.50469817501</v>
      </c>
      <c r="T64" s="52">
        <f t="shared" si="38"/>
        <v>368969.9008755004</v>
      </c>
      <c r="U64" s="52">
        <f t="shared" si="38"/>
        <v>368729.5925676506</v>
      </c>
      <c r="V64" s="52">
        <f t="shared" si="38"/>
        <v>368882.29629049171</v>
      </c>
      <c r="W64" s="52">
        <f t="shared" si="38"/>
        <v>368959.86644319445</v>
      </c>
      <c r="X64" s="52">
        <f t="shared" si="38"/>
        <v>369243.35498249624</v>
      </c>
      <c r="Y64" s="52">
        <f t="shared" si="38"/>
        <v>369251.85332581867</v>
      </c>
      <c r="Z64" s="52">
        <f t="shared" si="38"/>
        <v>369308.21034594253</v>
      </c>
      <c r="AA64" s="52">
        <f t="shared" si="38"/>
        <v>369423.94784011086</v>
      </c>
      <c r="AB64" s="52">
        <f t="shared" si="38"/>
        <v>369532.28617754811</v>
      </c>
      <c r="AC64" s="52">
        <f t="shared" si="38"/>
        <v>369646.78306008922</v>
      </c>
      <c r="AD64" s="52">
        <f t="shared" si="38"/>
        <v>369727.45463046851</v>
      </c>
      <c r="AE64" s="52">
        <f t="shared" si="38"/>
        <v>369822.57237073453</v>
      </c>
      <c r="AF64" s="52">
        <f t="shared" si="38"/>
        <v>369925.448439945</v>
      </c>
      <c r="AG64" s="52">
        <f t="shared" si="38"/>
        <v>370025.75017095264</v>
      </c>
      <c r="AH64" s="52">
        <f t="shared" si="38"/>
        <v>370124.44329840457</v>
      </c>
      <c r="AI64" s="54">
        <f t="shared" si="36"/>
        <v>0.10063756497600448</v>
      </c>
    </row>
    <row r="65" spans="1:34" ht="15.75" thickBot="1">
      <c r="A65" s="43" t="s">
        <v>80</v>
      </c>
      <c r="B65" s="48">
        <f>SUM(B53:B64)</f>
        <v>3318622.3139999998</v>
      </c>
      <c r="C65" s="48">
        <f>SUM(C54:C64)</f>
        <v>3088730.2320000008</v>
      </c>
      <c r="D65" s="48">
        <f>SUM(D53:D64)</f>
        <v>1485165.4859999998</v>
      </c>
      <c r="E65" s="48">
        <f t="shared" ref="E65:G65" si="39">SUM(E53:E64)</f>
        <v>1637652.87</v>
      </c>
      <c r="F65" s="48">
        <f t="shared" si="39"/>
        <v>2692648.6860000002</v>
      </c>
      <c r="G65" s="48">
        <f t="shared" si="39"/>
        <v>2704402.5120000001</v>
      </c>
      <c r="H65" s="52">
        <f>H10*1000</f>
        <v>2750000</v>
      </c>
      <c r="I65" s="52">
        <f t="shared" ref="I65:AH65" si="40">I10*1000</f>
        <v>2850000</v>
      </c>
      <c r="J65" s="52">
        <f t="shared" si="40"/>
        <v>2950000</v>
      </c>
      <c r="K65" s="52">
        <f t="shared" si="40"/>
        <v>2100000</v>
      </c>
      <c r="L65" s="52">
        <f t="shared" si="40"/>
        <v>2300000</v>
      </c>
      <c r="M65" s="52">
        <f t="shared" si="40"/>
        <v>2500000</v>
      </c>
      <c r="N65" s="52">
        <f t="shared" si="40"/>
        <v>2750000</v>
      </c>
      <c r="O65" s="52">
        <f t="shared" si="40"/>
        <v>3000000</v>
      </c>
      <c r="P65" s="52">
        <f t="shared" si="40"/>
        <v>3250000</v>
      </c>
      <c r="Q65" s="52">
        <f t="shared" si="40"/>
        <v>3500000</v>
      </c>
      <c r="R65" s="52">
        <f t="shared" si="40"/>
        <v>3750000</v>
      </c>
      <c r="S65" s="52">
        <f t="shared" si="40"/>
        <v>3751000</v>
      </c>
      <c r="T65" s="52">
        <f t="shared" si="40"/>
        <v>3752000</v>
      </c>
      <c r="U65" s="52">
        <f t="shared" si="40"/>
        <v>3753000</v>
      </c>
      <c r="V65" s="52">
        <f t="shared" si="40"/>
        <v>3754000</v>
      </c>
      <c r="W65" s="52">
        <f t="shared" si="40"/>
        <v>3755000</v>
      </c>
      <c r="X65" s="52">
        <f t="shared" si="40"/>
        <v>3756000</v>
      </c>
      <c r="Y65" s="52">
        <f t="shared" si="40"/>
        <v>3757000</v>
      </c>
      <c r="Z65" s="52">
        <f t="shared" si="40"/>
        <v>3758000</v>
      </c>
      <c r="AA65" s="52">
        <f t="shared" si="40"/>
        <v>3759000</v>
      </c>
      <c r="AB65" s="52">
        <f t="shared" si="40"/>
        <v>3760000</v>
      </c>
      <c r="AC65" s="52">
        <f t="shared" si="40"/>
        <v>3761000</v>
      </c>
      <c r="AD65" s="52">
        <f t="shared" si="40"/>
        <v>3762000</v>
      </c>
      <c r="AE65" s="52">
        <f t="shared" si="40"/>
        <v>3763000</v>
      </c>
      <c r="AF65" s="52">
        <f t="shared" si="40"/>
        <v>3764000</v>
      </c>
      <c r="AG65" s="52">
        <f t="shared" si="40"/>
        <v>3765000</v>
      </c>
      <c r="AH65" s="52">
        <f t="shared" si="40"/>
        <v>3766000</v>
      </c>
    </row>
    <row r="66" spans="1:34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</row>
    <row r="67" spans="1:34" ht="15.75" thickBot="1">
      <c r="A67" s="43" t="s">
        <v>83</v>
      </c>
    </row>
    <row r="68" spans="1:34" ht="15.75" thickBot="1">
      <c r="A68" s="50" t="s">
        <v>67</v>
      </c>
      <c r="B68" s="51">
        <f>B4</f>
        <v>2018</v>
      </c>
      <c r="C68" s="51">
        <f t="shared" ref="C68:AH68" si="41">C4</f>
        <v>2019</v>
      </c>
      <c r="D68" s="51">
        <f t="shared" si="41"/>
        <v>2020</v>
      </c>
      <c r="E68" s="51">
        <f t="shared" si="41"/>
        <v>2021</v>
      </c>
      <c r="F68" s="51">
        <f t="shared" si="41"/>
        <v>2022</v>
      </c>
      <c r="G68" s="51">
        <f t="shared" si="41"/>
        <v>2023</v>
      </c>
      <c r="H68" s="51">
        <f t="shared" si="41"/>
        <v>2024</v>
      </c>
      <c r="I68" s="51">
        <f t="shared" si="41"/>
        <v>2025</v>
      </c>
      <c r="J68" s="51">
        <f t="shared" si="41"/>
        <v>2026</v>
      </c>
      <c r="K68" s="51">
        <f t="shared" si="41"/>
        <v>2027</v>
      </c>
      <c r="L68" s="51">
        <f t="shared" si="41"/>
        <v>2028</v>
      </c>
      <c r="M68" s="51">
        <f t="shared" si="41"/>
        <v>2029</v>
      </c>
      <c r="N68" s="51">
        <f t="shared" si="41"/>
        <v>2030</v>
      </c>
      <c r="O68" s="51">
        <f t="shared" si="41"/>
        <v>2031</v>
      </c>
      <c r="P68" s="51">
        <f t="shared" si="41"/>
        <v>2032</v>
      </c>
      <c r="Q68" s="51">
        <f t="shared" si="41"/>
        <v>2033</v>
      </c>
      <c r="R68" s="51">
        <f t="shared" si="41"/>
        <v>2034</v>
      </c>
      <c r="S68" s="51">
        <f t="shared" si="41"/>
        <v>2035</v>
      </c>
      <c r="T68" s="51">
        <f t="shared" si="41"/>
        <v>2036</v>
      </c>
      <c r="U68" s="51">
        <f t="shared" si="41"/>
        <v>2037</v>
      </c>
      <c r="V68" s="51">
        <f t="shared" si="41"/>
        <v>2038</v>
      </c>
      <c r="W68" s="51">
        <f t="shared" si="41"/>
        <v>2039</v>
      </c>
      <c r="X68" s="51">
        <f t="shared" si="41"/>
        <v>2040</v>
      </c>
      <c r="Y68" s="51">
        <f t="shared" si="41"/>
        <v>2041</v>
      </c>
      <c r="Z68" s="51">
        <f t="shared" si="41"/>
        <v>2042</v>
      </c>
      <c r="AA68" s="51">
        <f t="shared" si="41"/>
        <v>2043</v>
      </c>
      <c r="AB68" s="51">
        <f t="shared" si="41"/>
        <v>2044</v>
      </c>
      <c r="AC68" s="51">
        <f t="shared" si="41"/>
        <v>2045</v>
      </c>
      <c r="AD68" s="51">
        <f t="shared" si="41"/>
        <v>2046</v>
      </c>
      <c r="AE68" s="51">
        <f t="shared" si="41"/>
        <v>2047</v>
      </c>
      <c r="AF68" s="51">
        <f t="shared" si="41"/>
        <v>2048</v>
      </c>
      <c r="AG68" s="51">
        <f t="shared" si="41"/>
        <v>2049</v>
      </c>
      <c r="AH68" s="51">
        <f t="shared" si="41"/>
        <v>2050</v>
      </c>
    </row>
    <row r="69" spans="1:34">
      <c r="A69" s="43" t="s">
        <v>68</v>
      </c>
      <c r="B69" s="48">
        <f>B5+B21+B37-B53-B85</f>
        <v>22138690.392000001</v>
      </c>
      <c r="C69" s="48">
        <f>B96+C21+C37-C53-C85</f>
        <v>24765078.030000001</v>
      </c>
      <c r="D69" s="48">
        <f t="shared" ref="D69:H69" si="42">C96+D21+D37-D53-D85</f>
        <v>25398239.706</v>
      </c>
      <c r="E69" s="48">
        <f t="shared" si="42"/>
        <v>17219149.289999999</v>
      </c>
      <c r="F69" s="48">
        <f t="shared" si="42"/>
        <v>21618269.274</v>
      </c>
      <c r="G69" s="48">
        <f t="shared" si="42"/>
        <v>23237441.346000001</v>
      </c>
      <c r="H69" s="48">
        <f t="shared" si="42"/>
        <v>23275038.066</v>
      </c>
      <c r="I69" s="52">
        <f>I$81*(SUM(D69:H69)/SUM(D$81:H$81))</f>
        <v>25924078.075149424</v>
      </c>
      <c r="J69" s="52">
        <f t="shared" ref="J69:R69" si="43">J$81*(SUM(E69:I69)/SUM(E$81:I$81))</f>
        <v>24075094.650183953</v>
      </c>
      <c r="K69" s="52">
        <f t="shared" si="43"/>
        <v>25201951.967887916</v>
      </c>
      <c r="L69" s="52">
        <f t="shared" si="43"/>
        <v>25811044.151917093</v>
      </c>
      <c r="M69" s="52">
        <f t="shared" si="43"/>
        <v>26249026.444672436</v>
      </c>
      <c r="N69" s="52">
        <f t="shared" si="43"/>
        <v>26808668.087697711</v>
      </c>
      <c r="O69" s="52">
        <f t="shared" si="43"/>
        <v>27091103.286504574</v>
      </c>
      <c r="P69" s="52">
        <f t="shared" si="43"/>
        <v>27738324.001736253</v>
      </c>
      <c r="Q69" s="52">
        <f t="shared" si="43"/>
        <v>28222643.189014915</v>
      </c>
      <c r="R69" s="52">
        <f t="shared" si="43"/>
        <v>28741805.627795212</v>
      </c>
      <c r="S69" s="52">
        <f t="shared" ref="S69:S79" si="44">S$81*(SUM(N69:R69)/SUM(N$81:R$81))</f>
        <v>29333924.804072071</v>
      </c>
      <c r="T69" s="52">
        <f t="shared" ref="T69:AH79" si="45">T$81*(SUM(O69:S69)/SUM(O$81:S$81))</f>
        <v>29901076.773354866</v>
      </c>
      <c r="U69" s="52">
        <f t="shared" si="45"/>
        <v>30503134.741372306</v>
      </c>
      <c r="V69" s="52">
        <f t="shared" si="45"/>
        <v>31106648.976305988</v>
      </c>
      <c r="W69" s="52">
        <f t="shared" si="45"/>
        <v>31746083.661641411</v>
      </c>
      <c r="X69" s="52">
        <f t="shared" si="45"/>
        <v>32399309.722171932</v>
      </c>
      <c r="Y69" s="52">
        <f t="shared" si="45"/>
        <v>33058327.707666703</v>
      </c>
      <c r="Z69" s="52">
        <f t="shared" si="45"/>
        <v>33739338.162376001</v>
      </c>
      <c r="AA69" s="52">
        <f t="shared" si="45"/>
        <v>34447912.733932257</v>
      </c>
      <c r="AB69" s="52">
        <f t="shared" si="45"/>
        <v>35172071.819971614</v>
      </c>
      <c r="AC69" s="52">
        <f t="shared" si="45"/>
        <v>35910782.402367398</v>
      </c>
      <c r="AD69" s="52">
        <f t="shared" si="45"/>
        <v>36673228.992283776</v>
      </c>
      <c r="AE69" s="52">
        <f t="shared" si="45"/>
        <v>37459484.876321144</v>
      </c>
      <c r="AF69" s="52">
        <f t="shared" si="45"/>
        <v>38260593.726368368</v>
      </c>
      <c r="AG69" s="52">
        <f t="shared" si="45"/>
        <v>39084750.623489715</v>
      </c>
      <c r="AH69" s="52">
        <f t="shared" si="45"/>
        <v>39931683.364542045</v>
      </c>
    </row>
    <row r="70" spans="1:34">
      <c r="A70" s="43" t="s">
        <v>69</v>
      </c>
      <c r="B70" s="48">
        <f>B85+B22+B38-B54-B86</f>
        <v>24310076.028000001</v>
      </c>
      <c r="C70" s="48">
        <f>C85+C22+C38-C54-C86</f>
        <v>24604730.009999998</v>
      </c>
      <c r="D70" s="48">
        <f t="shared" ref="D70:G80" si="46">D85+D22+D38-D54-D86</f>
        <v>24752551.739999998</v>
      </c>
      <c r="E70" s="48">
        <f t="shared" si="46"/>
        <v>16776737.627999999</v>
      </c>
      <c r="F70" s="48">
        <f t="shared" si="46"/>
        <v>21594230.658</v>
      </c>
      <c r="G70" s="48">
        <f t="shared" si="46"/>
        <v>23154961.452</v>
      </c>
      <c r="H70" s="52">
        <f>H$81*(SUM(C70:G70)/SUM(C$81:G$81))</f>
        <v>25689568.223899599</v>
      </c>
      <c r="I70" s="52">
        <f>I$81*(SUM(D70:H70)/SUM(D$81:H$81))</f>
        <v>26209636.777179237</v>
      </c>
      <c r="J70" s="52">
        <f t="shared" ref="J70:R79" si="47">J$81*(SUM(E70:I70)/SUM(E$81:I$81))</f>
        <v>24540516.583122343</v>
      </c>
      <c r="K70" s="52">
        <f t="shared" si="47"/>
        <v>25854560.34739013</v>
      </c>
      <c r="L70" s="52">
        <f t="shared" si="47"/>
        <v>26603237.851696856</v>
      </c>
      <c r="M70" s="52">
        <f t="shared" si="47"/>
        <v>27222708.511450209</v>
      </c>
      <c r="N70" s="52">
        <f t="shared" si="47"/>
        <v>27476343.17228831</v>
      </c>
      <c r="O70" s="52">
        <f t="shared" si="47"/>
        <v>27841937.595305018</v>
      </c>
      <c r="P70" s="52">
        <f t="shared" si="47"/>
        <v>28549778.060069837</v>
      </c>
      <c r="Q70" s="52">
        <f t="shared" si="47"/>
        <v>29066133.776024327</v>
      </c>
      <c r="R70" s="52">
        <f t="shared" si="47"/>
        <v>29596424.686799731</v>
      </c>
      <c r="S70" s="52">
        <f t="shared" si="44"/>
        <v>30165264.528353903</v>
      </c>
      <c r="T70" s="52">
        <f t="shared" si="45"/>
        <v>30768002.803769704</v>
      </c>
      <c r="U70" s="52">
        <f t="shared" si="45"/>
        <v>31394853.329467487</v>
      </c>
      <c r="V70" s="52">
        <f t="shared" si="45"/>
        <v>32015891.539168034</v>
      </c>
      <c r="W70" s="52">
        <f t="shared" si="45"/>
        <v>32670080.641525697</v>
      </c>
      <c r="X70" s="52">
        <f t="shared" si="45"/>
        <v>33338483.878645755</v>
      </c>
      <c r="Y70" s="52">
        <f t="shared" si="45"/>
        <v>34020635.401712254</v>
      </c>
      <c r="Z70" s="52">
        <f t="shared" si="45"/>
        <v>34722208.121745296</v>
      </c>
      <c r="AA70" s="52">
        <f t="shared" si="45"/>
        <v>35450760.421871983</v>
      </c>
      <c r="AB70" s="52">
        <f t="shared" si="45"/>
        <v>36195221.669206418</v>
      </c>
      <c r="AC70" s="52">
        <f t="shared" si="45"/>
        <v>36955313.039392054</v>
      </c>
      <c r="AD70" s="52">
        <f t="shared" si="45"/>
        <v>37740621.791935191</v>
      </c>
      <c r="AE70" s="52">
        <f t="shared" si="45"/>
        <v>38549734.708672337</v>
      </c>
      <c r="AF70" s="52">
        <f t="shared" si="45"/>
        <v>39373969.233899169</v>
      </c>
      <c r="AG70" s="52">
        <f t="shared" si="45"/>
        <v>40222019.369338267</v>
      </c>
      <c r="AH70" s="52">
        <f t="shared" si="45"/>
        <v>41093653.213055871</v>
      </c>
    </row>
    <row r="71" spans="1:34">
      <c r="A71" s="43" t="s">
        <v>70</v>
      </c>
      <c r="B71" s="48">
        <f t="shared" ref="B71:C80" si="48">B86+B23+B39-B55-B87</f>
        <v>26032797.966000002</v>
      </c>
      <c r="C71" s="48">
        <f t="shared" si="48"/>
        <v>26284230.756000001</v>
      </c>
      <c r="D71" s="48">
        <f t="shared" si="46"/>
        <v>21317730.882000003</v>
      </c>
      <c r="E71" s="48">
        <f t="shared" si="46"/>
        <v>17717118.804000001</v>
      </c>
      <c r="F71" s="48">
        <f t="shared" si="46"/>
        <v>23373029.736000001</v>
      </c>
      <c r="G71" s="48">
        <f t="shared" si="46"/>
        <v>24602786.333999999</v>
      </c>
      <c r="H71" s="52">
        <f t="shared" ref="H71:I79" si="49">H$81*(SUM(C71:G71)/SUM(C$81:G$81))</f>
        <v>26248310.581080601</v>
      </c>
      <c r="I71" s="52">
        <f t="shared" si="49"/>
        <v>26511818.679107159</v>
      </c>
      <c r="J71" s="52">
        <f t="shared" si="47"/>
        <v>25628352.934238683</v>
      </c>
      <c r="K71" s="52">
        <f t="shared" si="47"/>
        <v>26958681.90944555</v>
      </c>
      <c r="L71" s="52">
        <f t="shared" si="47"/>
        <v>27557674.698316373</v>
      </c>
      <c r="M71" s="52">
        <f t="shared" si="47"/>
        <v>28069040.370645951</v>
      </c>
      <c r="N71" s="52">
        <f t="shared" si="47"/>
        <v>28381102.684738465</v>
      </c>
      <c r="O71" s="52">
        <f t="shared" si="47"/>
        <v>28877307.602347657</v>
      </c>
      <c r="P71" s="52">
        <f t="shared" si="47"/>
        <v>29574411.260188632</v>
      </c>
      <c r="Q71" s="52">
        <f t="shared" si="47"/>
        <v>30072100.402772933</v>
      </c>
      <c r="R71" s="52">
        <f t="shared" si="47"/>
        <v>30613626.037911385</v>
      </c>
      <c r="S71" s="52">
        <f t="shared" si="44"/>
        <v>31220913.144760896</v>
      </c>
      <c r="T71" s="52">
        <f t="shared" si="45"/>
        <v>31856776.556475587</v>
      </c>
      <c r="U71" s="52">
        <f t="shared" si="45"/>
        <v>32495183.62934117</v>
      </c>
      <c r="V71" s="52">
        <f t="shared" si="45"/>
        <v>33132895.430033509</v>
      </c>
      <c r="W71" s="52">
        <f t="shared" si="45"/>
        <v>33811632.479831271</v>
      </c>
      <c r="X71" s="52">
        <f t="shared" si="45"/>
        <v>34506990.18906647</v>
      </c>
      <c r="Y71" s="52">
        <f t="shared" si="45"/>
        <v>35213398.650948383</v>
      </c>
      <c r="Z71" s="52">
        <f t="shared" si="45"/>
        <v>35937433.89225217</v>
      </c>
      <c r="AA71" s="52">
        <f t="shared" si="45"/>
        <v>36691153.458584592</v>
      </c>
      <c r="AB71" s="52">
        <f t="shared" si="45"/>
        <v>37462344.561785705</v>
      </c>
      <c r="AC71" s="52">
        <f t="shared" si="45"/>
        <v>38249505.307057336</v>
      </c>
      <c r="AD71" s="52">
        <f t="shared" si="45"/>
        <v>39062108.004429892</v>
      </c>
      <c r="AE71" s="52">
        <f t="shared" si="45"/>
        <v>39899225.759701483</v>
      </c>
      <c r="AF71" s="52">
        <f t="shared" si="45"/>
        <v>40752372.833701551</v>
      </c>
      <c r="AG71" s="52">
        <f t="shared" si="45"/>
        <v>41630253.567011461</v>
      </c>
      <c r="AH71" s="52">
        <f t="shared" si="45"/>
        <v>42532431.698975287</v>
      </c>
    </row>
    <row r="72" spans="1:34">
      <c r="A72" s="43" t="s">
        <v>71</v>
      </c>
      <c r="B72" s="48">
        <f t="shared" si="48"/>
        <v>24823633.085999999</v>
      </c>
      <c r="C72" s="48">
        <f t="shared" si="48"/>
        <v>26987285.976</v>
      </c>
      <c r="D72" s="48">
        <f t="shared" si="46"/>
        <v>10510718.652000001</v>
      </c>
      <c r="E72" s="48">
        <f t="shared" si="46"/>
        <v>19807826.177999999</v>
      </c>
      <c r="F72" s="48">
        <f t="shared" si="46"/>
        <v>23504075.742000002</v>
      </c>
      <c r="G72" s="48">
        <f t="shared" si="46"/>
        <v>24474387.083999999</v>
      </c>
      <c r="H72" s="52">
        <f t="shared" si="49"/>
        <v>24392403.57371008</v>
      </c>
      <c r="I72" s="52">
        <f t="shared" si="49"/>
        <v>24037680.180718817</v>
      </c>
      <c r="J72" s="52">
        <f t="shared" si="47"/>
        <v>25144425.258733571</v>
      </c>
      <c r="K72" s="52">
        <f t="shared" si="47"/>
        <v>25932228.865012221</v>
      </c>
      <c r="L72" s="52">
        <f t="shared" si="47"/>
        <v>26291903.143682886</v>
      </c>
      <c r="M72" s="52">
        <f t="shared" si="47"/>
        <v>26568236.079578895</v>
      </c>
      <c r="N72" s="52">
        <f t="shared" si="47"/>
        <v>26958926.29870154</v>
      </c>
      <c r="O72" s="52">
        <f t="shared" si="47"/>
        <v>27672462.674572017</v>
      </c>
      <c r="P72" s="52">
        <f t="shared" si="47"/>
        <v>28216687.891844533</v>
      </c>
      <c r="Q72" s="52">
        <f t="shared" si="47"/>
        <v>28646949.138158455</v>
      </c>
      <c r="R72" s="52">
        <f t="shared" si="47"/>
        <v>29154318.522584654</v>
      </c>
      <c r="S72" s="52">
        <f t="shared" si="44"/>
        <v>29767110.842684586</v>
      </c>
      <c r="T72" s="52">
        <f t="shared" si="45"/>
        <v>30394681.719694454</v>
      </c>
      <c r="U72" s="52">
        <f t="shared" si="45"/>
        <v>30978251.344529841</v>
      </c>
      <c r="V72" s="52">
        <f t="shared" si="45"/>
        <v>31581345.977801591</v>
      </c>
      <c r="W72" s="52">
        <f t="shared" si="45"/>
        <v>32231892.681838777</v>
      </c>
      <c r="X72" s="52">
        <f t="shared" si="45"/>
        <v>32900916.212515496</v>
      </c>
      <c r="Y72" s="52">
        <f t="shared" si="45"/>
        <v>33574589.065682873</v>
      </c>
      <c r="Z72" s="52">
        <f t="shared" si="45"/>
        <v>34260573.084137112</v>
      </c>
      <c r="AA72" s="52">
        <f t="shared" si="45"/>
        <v>34979270.096248984</v>
      </c>
      <c r="AB72" s="52">
        <f t="shared" si="45"/>
        <v>35715688.44636336</v>
      </c>
      <c r="AC72" s="52">
        <f t="shared" si="45"/>
        <v>36466849.408834949</v>
      </c>
      <c r="AD72" s="52">
        <f t="shared" si="45"/>
        <v>37241120.645180322</v>
      </c>
      <c r="AE72" s="52">
        <f t="shared" si="45"/>
        <v>38038626.31670671</v>
      </c>
      <c r="AF72" s="52">
        <f t="shared" si="45"/>
        <v>38852204.016630158</v>
      </c>
      <c r="AG72" s="52">
        <f t="shared" si="45"/>
        <v>39689381.233402357</v>
      </c>
      <c r="AH72" s="52">
        <f t="shared" si="45"/>
        <v>40549519.33807832</v>
      </c>
    </row>
    <row r="73" spans="1:34">
      <c r="A73" s="43" t="s">
        <v>72</v>
      </c>
      <c r="B73" s="48">
        <f t="shared" si="48"/>
        <v>25699535.526000001</v>
      </c>
      <c r="C73" s="48">
        <f t="shared" si="48"/>
        <v>27233408.034000002</v>
      </c>
      <c r="D73" s="48">
        <f t="shared" si="46"/>
        <v>9297845.5079999994</v>
      </c>
      <c r="E73" s="48">
        <f t="shared" si="46"/>
        <v>19824636.720000003</v>
      </c>
      <c r="F73" s="48">
        <f t="shared" si="46"/>
        <v>24181938.311999999</v>
      </c>
      <c r="G73" s="48">
        <f t="shared" si="46"/>
        <v>25530788.051999997</v>
      </c>
      <c r="H73" s="52">
        <f t="shared" si="49"/>
        <v>24574116.556167454</v>
      </c>
      <c r="I73" s="52">
        <f t="shared" si="49"/>
        <v>24206198.631864827</v>
      </c>
      <c r="J73" s="52">
        <f t="shared" si="47"/>
        <v>25599061.022855993</v>
      </c>
      <c r="K73" s="52">
        <f t="shared" si="47"/>
        <v>26473929.478010431</v>
      </c>
      <c r="L73" s="52">
        <f t="shared" si="47"/>
        <v>26801485.730603121</v>
      </c>
      <c r="M73" s="52">
        <f t="shared" si="47"/>
        <v>26960248.59706904</v>
      </c>
      <c r="N73" s="52">
        <f t="shared" si="47"/>
        <v>27394241.794826061</v>
      </c>
      <c r="O73" s="52">
        <f t="shared" si="47"/>
        <v>28165730.827835478</v>
      </c>
      <c r="P73" s="52">
        <f t="shared" si="47"/>
        <v>28718297.060136292</v>
      </c>
      <c r="Q73" s="52">
        <f t="shared" si="47"/>
        <v>29139171.436339606</v>
      </c>
      <c r="R73" s="52">
        <f t="shared" si="47"/>
        <v>29643047.815245386</v>
      </c>
      <c r="S73" s="52">
        <f t="shared" si="44"/>
        <v>30277406.877892811</v>
      </c>
      <c r="T73" s="52">
        <f t="shared" si="45"/>
        <v>30921422.818525635</v>
      </c>
      <c r="U73" s="52">
        <f t="shared" si="45"/>
        <v>31512201.757144287</v>
      </c>
      <c r="V73" s="52">
        <f t="shared" si="45"/>
        <v>32122456.244437985</v>
      </c>
      <c r="W73" s="52">
        <f t="shared" si="45"/>
        <v>32783854.421093475</v>
      </c>
      <c r="X73" s="52">
        <f t="shared" si="45"/>
        <v>33466570.574085984</v>
      </c>
      <c r="Y73" s="52">
        <f t="shared" si="45"/>
        <v>34152139.952184901</v>
      </c>
      <c r="Z73" s="52">
        <f t="shared" si="45"/>
        <v>34849097.644071482</v>
      </c>
      <c r="AA73" s="52">
        <f t="shared" si="45"/>
        <v>35579755.758571811</v>
      </c>
      <c r="AB73" s="52">
        <f t="shared" si="45"/>
        <v>36329038.055098459</v>
      </c>
      <c r="AC73" s="52">
        <f t="shared" si="45"/>
        <v>37093430.68665652</v>
      </c>
      <c r="AD73" s="52">
        <f t="shared" si="45"/>
        <v>37880932.471931018</v>
      </c>
      <c r="AE73" s="52">
        <f t="shared" si="45"/>
        <v>38691983.857984573</v>
      </c>
      <c r="AF73" s="52">
        <f t="shared" si="45"/>
        <v>39519523.035069704</v>
      </c>
      <c r="AG73" s="52">
        <f t="shared" si="45"/>
        <v>40371146.035640441</v>
      </c>
      <c r="AH73" s="52">
        <f t="shared" si="45"/>
        <v>41246092.636979327</v>
      </c>
    </row>
    <row r="74" spans="1:34">
      <c r="A74" s="43" t="s">
        <v>73</v>
      </c>
      <c r="B74" s="48">
        <f t="shared" si="48"/>
        <v>28450171.427999999</v>
      </c>
      <c r="C74" s="48">
        <f t="shared" si="48"/>
        <v>27555061.968000002</v>
      </c>
      <c r="D74" s="48">
        <f t="shared" si="46"/>
        <v>12154204.608000001</v>
      </c>
      <c r="E74" s="48">
        <f t="shared" si="46"/>
        <v>21900372.816</v>
      </c>
      <c r="F74" s="48">
        <f t="shared" si="46"/>
        <v>25826451.882000003</v>
      </c>
      <c r="G74" s="48">
        <f t="shared" si="46"/>
        <v>26835354.923999999</v>
      </c>
      <c r="H74" s="52">
        <f t="shared" si="49"/>
        <v>26474558.896275185</v>
      </c>
      <c r="I74" s="52">
        <f t="shared" si="49"/>
        <v>26495893.370514728</v>
      </c>
      <c r="J74" s="52">
        <f t="shared" si="47"/>
        <v>27592796.560970638</v>
      </c>
      <c r="K74" s="52">
        <f t="shared" si="47"/>
        <v>28422362.538532145</v>
      </c>
      <c r="L74" s="52">
        <f t="shared" si="47"/>
        <v>28802704.376777224</v>
      </c>
      <c r="M74" s="52">
        <f t="shared" si="47"/>
        <v>29100413.740028992</v>
      </c>
      <c r="N74" s="52">
        <f t="shared" si="47"/>
        <v>29579455.744534519</v>
      </c>
      <c r="O74" s="52">
        <f t="shared" si="47"/>
        <v>30336634.918182485</v>
      </c>
      <c r="P74" s="52">
        <f t="shared" si="47"/>
        <v>30927421.514528207</v>
      </c>
      <c r="Q74" s="52">
        <f t="shared" si="47"/>
        <v>31399256.989209026</v>
      </c>
      <c r="R74" s="52">
        <f t="shared" si="47"/>
        <v>31958591.258183204</v>
      </c>
      <c r="S74" s="52">
        <f t="shared" si="44"/>
        <v>32635267.539472621</v>
      </c>
      <c r="T74" s="52">
        <f t="shared" si="45"/>
        <v>33318444.341991093</v>
      </c>
      <c r="U74" s="52">
        <f t="shared" si="45"/>
        <v>33957668.641187266</v>
      </c>
      <c r="V74" s="52">
        <f t="shared" si="45"/>
        <v>34619421.213928945</v>
      </c>
      <c r="W74" s="52">
        <f t="shared" si="45"/>
        <v>35333288.673660778</v>
      </c>
      <c r="X74" s="52">
        <f t="shared" si="45"/>
        <v>36066897.800001509</v>
      </c>
      <c r="Y74" s="52">
        <f t="shared" si="45"/>
        <v>36804603.616355799</v>
      </c>
      <c r="Z74" s="52">
        <f t="shared" si="45"/>
        <v>37556652.600903288</v>
      </c>
      <c r="AA74" s="52">
        <f t="shared" si="45"/>
        <v>38344680.323892377</v>
      </c>
      <c r="AB74" s="52">
        <f t="shared" si="45"/>
        <v>39152038.973757714</v>
      </c>
      <c r="AC74" s="52">
        <f t="shared" si="45"/>
        <v>39975422.065194555</v>
      </c>
      <c r="AD74" s="52">
        <f t="shared" si="45"/>
        <v>40824082.262231976</v>
      </c>
      <c r="AE74" s="52">
        <f t="shared" si="45"/>
        <v>41698356.417103298</v>
      </c>
      <c r="AF74" s="52">
        <f t="shared" si="45"/>
        <v>42590243.377996616</v>
      </c>
      <c r="AG74" s="52">
        <f t="shared" si="45"/>
        <v>43507968.452994406</v>
      </c>
      <c r="AH74" s="52">
        <f t="shared" si="45"/>
        <v>44450845.064072624</v>
      </c>
    </row>
    <row r="75" spans="1:34">
      <c r="A75" s="43" t="s">
        <v>74</v>
      </c>
      <c r="B75" s="48">
        <f t="shared" si="48"/>
        <v>27065878.223999999</v>
      </c>
      <c r="C75" s="48">
        <f t="shared" si="48"/>
        <v>28214084.682</v>
      </c>
      <c r="D75" s="48">
        <f t="shared" si="46"/>
        <v>15054157.692</v>
      </c>
      <c r="E75" s="48">
        <f t="shared" si="46"/>
        <v>23151972.018000003</v>
      </c>
      <c r="F75" s="48">
        <f t="shared" si="46"/>
        <v>24378586.722000003</v>
      </c>
      <c r="G75" s="48">
        <f t="shared" si="46"/>
        <v>26791962.414000001</v>
      </c>
      <c r="H75" s="52">
        <f t="shared" si="49"/>
        <v>27243582.699441597</v>
      </c>
      <c r="I75" s="52">
        <f t="shared" si="49"/>
        <v>27298632.994889174</v>
      </c>
      <c r="J75" s="52">
        <f t="shared" si="47"/>
        <v>27881009.080402713</v>
      </c>
      <c r="K75" s="52">
        <f t="shared" si="47"/>
        <v>28501025.253235884</v>
      </c>
      <c r="L75" s="52">
        <f t="shared" si="47"/>
        <v>29204617.395944647</v>
      </c>
      <c r="M75" s="52">
        <f t="shared" si="47"/>
        <v>29594730.126183882</v>
      </c>
      <c r="N75" s="52">
        <f t="shared" si="47"/>
        <v>30014643.651294623</v>
      </c>
      <c r="O75" s="52">
        <f t="shared" si="47"/>
        <v>30695668.332131628</v>
      </c>
      <c r="P75" s="52">
        <f t="shared" si="47"/>
        <v>31301556.697810963</v>
      </c>
      <c r="Q75" s="52">
        <f t="shared" si="47"/>
        <v>31835075.020277742</v>
      </c>
      <c r="R75" s="52">
        <f t="shared" si="47"/>
        <v>32401721.978194404</v>
      </c>
      <c r="S75" s="52">
        <f t="shared" si="44"/>
        <v>33068560.440068625</v>
      </c>
      <c r="T75" s="52">
        <f t="shared" si="45"/>
        <v>33751810.188348912</v>
      </c>
      <c r="U75" s="52">
        <f t="shared" si="45"/>
        <v>34406882.177359901</v>
      </c>
      <c r="V75" s="52">
        <f t="shared" si="45"/>
        <v>35084808.564900026</v>
      </c>
      <c r="W75" s="52">
        <f t="shared" si="45"/>
        <v>35805360.948602058</v>
      </c>
      <c r="X75" s="52">
        <f t="shared" si="45"/>
        <v>36545343.194060415</v>
      </c>
      <c r="Y75" s="52">
        <f t="shared" si="45"/>
        <v>37292756.509139374</v>
      </c>
      <c r="Z75" s="52">
        <f t="shared" si="45"/>
        <v>38056596.363863729</v>
      </c>
      <c r="AA75" s="52">
        <f t="shared" si="45"/>
        <v>38855713.887863055</v>
      </c>
      <c r="AB75" s="52">
        <f t="shared" si="45"/>
        <v>39672981.504296094</v>
      </c>
      <c r="AC75" s="52">
        <f t="shared" si="45"/>
        <v>40506907.416732065</v>
      </c>
      <c r="AD75" s="52">
        <f t="shared" si="45"/>
        <v>41367079.566968068</v>
      </c>
      <c r="AE75" s="52">
        <f t="shared" si="45"/>
        <v>42253276.534074642</v>
      </c>
      <c r="AF75" s="52">
        <f t="shared" si="45"/>
        <v>43157002.605545647</v>
      </c>
      <c r="AG75" s="52">
        <f t="shared" si="45"/>
        <v>44086775.813979104</v>
      </c>
      <c r="AH75" s="52">
        <f t="shared" si="45"/>
        <v>45042178.024635978</v>
      </c>
    </row>
    <row r="76" spans="1:34">
      <c r="A76" s="43" t="s">
        <v>75</v>
      </c>
      <c r="B76" s="48">
        <f t="shared" si="48"/>
        <v>28440583.5</v>
      </c>
      <c r="C76" s="48">
        <f t="shared" si="48"/>
        <v>28126892.262000002</v>
      </c>
      <c r="D76" s="48">
        <f t="shared" si="46"/>
        <v>15820295.778000001</v>
      </c>
      <c r="E76" s="48">
        <f t="shared" si="46"/>
        <v>24073815.108000003</v>
      </c>
      <c r="F76" s="48">
        <f t="shared" si="46"/>
        <v>25288327.386</v>
      </c>
      <c r="G76" s="48">
        <f t="shared" si="46"/>
        <v>25995388.859999999</v>
      </c>
      <c r="H76" s="52">
        <f t="shared" si="49"/>
        <v>27640674.247941032</v>
      </c>
      <c r="I76" s="52">
        <f t="shared" si="49"/>
        <v>27813200.032224819</v>
      </c>
      <c r="J76" s="52">
        <f t="shared" si="47"/>
        <v>28302187.840564884</v>
      </c>
      <c r="K76" s="52">
        <f t="shared" si="47"/>
        <v>28809517.245865777</v>
      </c>
      <c r="L76" s="52">
        <f t="shared" si="47"/>
        <v>29383759.481292393</v>
      </c>
      <c r="M76" s="52">
        <f t="shared" si="47"/>
        <v>29979207.368349701</v>
      </c>
      <c r="N76" s="52">
        <f t="shared" si="47"/>
        <v>30395484.341235131</v>
      </c>
      <c r="O76" s="52">
        <f t="shared" si="47"/>
        <v>31049593.742201418</v>
      </c>
      <c r="P76" s="52">
        <f t="shared" si="47"/>
        <v>31641381.92566761</v>
      </c>
      <c r="Q76" s="52">
        <f t="shared" si="47"/>
        <v>32180888.550769601</v>
      </c>
      <c r="R76" s="52">
        <f t="shared" si="47"/>
        <v>32782852.387983132</v>
      </c>
      <c r="S76" s="52">
        <f t="shared" si="44"/>
        <v>33449838.434606966</v>
      </c>
      <c r="T76" s="52">
        <f t="shared" si="45"/>
        <v>34133598.325725429</v>
      </c>
      <c r="U76" s="52">
        <f t="shared" si="45"/>
        <v>34794658.860348336</v>
      </c>
      <c r="V76" s="52">
        <f t="shared" si="45"/>
        <v>35482972.328625575</v>
      </c>
      <c r="W76" s="52">
        <f t="shared" si="45"/>
        <v>36214985.166486092</v>
      </c>
      <c r="X76" s="52">
        <f t="shared" si="45"/>
        <v>36961215.298606806</v>
      </c>
      <c r="Y76" s="52">
        <f t="shared" si="45"/>
        <v>37716078.287189059</v>
      </c>
      <c r="Z76" s="52">
        <f t="shared" si="45"/>
        <v>38488873.246015936</v>
      </c>
      <c r="AA76" s="52">
        <f t="shared" si="45"/>
        <v>39297714.830833405</v>
      </c>
      <c r="AB76" s="52">
        <f t="shared" si="45"/>
        <v>40124479.439633816</v>
      </c>
      <c r="AC76" s="52">
        <f t="shared" si="45"/>
        <v>40967440.254737422</v>
      </c>
      <c r="AD76" s="52">
        <f t="shared" si="45"/>
        <v>41837311.202324055</v>
      </c>
      <c r="AE76" s="52">
        <f t="shared" si="45"/>
        <v>42733708.686783284</v>
      </c>
      <c r="AF76" s="52">
        <f t="shared" si="45"/>
        <v>43647803.618367769</v>
      </c>
      <c r="AG76" s="52">
        <f t="shared" si="45"/>
        <v>44588125.889657326</v>
      </c>
      <c r="AH76" s="52">
        <f t="shared" si="45"/>
        <v>45554320.154525705</v>
      </c>
    </row>
    <row r="77" spans="1:34">
      <c r="A77" s="43" t="s">
        <v>76</v>
      </c>
      <c r="B77" s="48">
        <f t="shared" si="48"/>
        <v>25989968.927999999</v>
      </c>
      <c r="C77" s="48">
        <f t="shared" si="48"/>
        <v>25945143.294</v>
      </c>
      <c r="D77" s="48">
        <f t="shared" si="46"/>
        <v>14335267.757999999</v>
      </c>
      <c r="E77" s="48">
        <f t="shared" si="46"/>
        <v>22910344.967999998</v>
      </c>
      <c r="F77" s="48">
        <f t="shared" si="46"/>
        <v>23410314.27</v>
      </c>
      <c r="G77" s="48">
        <f t="shared" si="46"/>
        <v>25832294.333999999</v>
      </c>
      <c r="H77" s="52">
        <f t="shared" si="49"/>
        <v>26048709.740549058</v>
      </c>
      <c r="I77" s="52">
        <f t="shared" si="49"/>
        <v>26342801.319040082</v>
      </c>
      <c r="J77" s="52">
        <f t="shared" si="47"/>
        <v>26946280.528195649</v>
      </c>
      <c r="K77" s="52">
        <f t="shared" si="47"/>
        <v>27431467.243270978</v>
      </c>
      <c r="L77" s="52">
        <f t="shared" si="47"/>
        <v>28119983.534438889</v>
      </c>
      <c r="M77" s="52">
        <f t="shared" si="47"/>
        <v>28488139.511295006</v>
      </c>
      <c r="N77" s="52">
        <f t="shared" si="47"/>
        <v>28929468.891445357</v>
      </c>
      <c r="O77" s="52">
        <f t="shared" si="47"/>
        <v>29579286.673141327</v>
      </c>
      <c r="P77" s="52">
        <f t="shared" si="47"/>
        <v>30146371.778408758</v>
      </c>
      <c r="Q77" s="52">
        <f t="shared" si="47"/>
        <v>30663942.578240287</v>
      </c>
      <c r="R77" s="52">
        <f t="shared" si="47"/>
        <v>31211912.558927529</v>
      </c>
      <c r="S77" s="52">
        <f t="shared" si="44"/>
        <v>31858466.570538003</v>
      </c>
      <c r="T77" s="52">
        <f t="shared" si="45"/>
        <v>32513924.392077733</v>
      </c>
      <c r="U77" s="52">
        <f t="shared" si="45"/>
        <v>33142975.302926388</v>
      </c>
      <c r="V77" s="52">
        <f t="shared" si="45"/>
        <v>33797132.950967155</v>
      </c>
      <c r="W77" s="52">
        <f t="shared" si="45"/>
        <v>34491818.694774449</v>
      </c>
      <c r="X77" s="52">
        <f t="shared" si="45"/>
        <v>35204894.539291665</v>
      </c>
      <c r="Y77" s="52">
        <f t="shared" si="45"/>
        <v>35924292.472017087</v>
      </c>
      <c r="Z77" s="52">
        <f t="shared" si="45"/>
        <v>36659966.57254184</v>
      </c>
      <c r="AA77" s="52">
        <f t="shared" si="45"/>
        <v>37430016.194106102</v>
      </c>
      <c r="AB77" s="52">
        <f t="shared" si="45"/>
        <v>38217368.925479732</v>
      </c>
      <c r="AC77" s="52">
        <f t="shared" si="45"/>
        <v>39020662.49931825</v>
      </c>
      <c r="AD77" s="52">
        <f t="shared" si="45"/>
        <v>39849179.900125757</v>
      </c>
      <c r="AE77" s="52">
        <f t="shared" si="45"/>
        <v>40702873.154918894</v>
      </c>
      <c r="AF77" s="52">
        <f t="shared" si="45"/>
        <v>41573484.632568106</v>
      </c>
      <c r="AG77" s="52">
        <f t="shared" si="45"/>
        <v>42469143.157278493</v>
      </c>
      <c r="AH77" s="52">
        <f t="shared" si="45"/>
        <v>43389475.017007321</v>
      </c>
    </row>
    <row r="78" spans="1:34">
      <c r="A78" s="43" t="s">
        <v>77</v>
      </c>
      <c r="B78" s="48">
        <f t="shared" si="48"/>
        <v>25714535.783999998</v>
      </c>
      <c r="C78" s="48">
        <f t="shared" si="48"/>
        <v>26628132.510000002</v>
      </c>
      <c r="D78" s="48">
        <f t="shared" si="46"/>
        <v>15676377.906000003</v>
      </c>
      <c r="E78" s="48">
        <f t="shared" si="46"/>
        <v>22644725.333999999</v>
      </c>
      <c r="F78" s="48">
        <f t="shared" si="46"/>
        <v>23848448.568</v>
      </c>
      <c r="G78" s="48">
        <f t="shared" si="46"/>
        <v>26131402.079999998</v>
      </c>
      <c r="H78" s="52">
        <f t="shared" si="49"/>
        <v>26626921.842459403</v>
      </c>
      <c r="I78" s="52">
        <f t="shared" si="49"/>
        <v>26902476.969883572</v>
      </c>
      <c r="J78" s="52">
        <f t="shared" si="47"/>
        <v>27294512.081374977</v>
      </c>
      <c r="K78" s="52">
        <f t="shared" si="47"/>
        <v>27905801.309346959</v>
      </c>
      <c r="L78" s="52">
        <f t="shared" si="47"/>
        <v>28599154.554060247</v>
      </c>
      <c r="M78" s="52">
        <f t="shared" si="47"/>
        <v>29003379.709884077</v>
      </c>
      <c r="N78" s="52">
        <f t="shared" si="47"/>
        <v>29430131.230611555</v>
      </c>
      <c r="O78" s="52">
        <f t="shared" si="47"/>
        <v>30069255.205206882</v>
      </c>
      <c r="P78" s="52">
        <f t="shared" si="47"/>
        <v>30666484.919555642</v>
      </c>
      <c r="Q78" s="52">
        <f t="shared" si="47"/>
        <v>31192761.367127322</v>
      </c>
      <c r="R78" s="52">
        <f t="shared" si="47"/>
        <v>31751401.046281397</v>
      </c>
      <c r="S78" s="52">
        <f t="shared" si="44"/>
        <v>32404298.517612528</v>
      </c>
      <c r="T78" s="52">
        <f t="shared" si="45"/>
        <v>33069924.202121172</v>
      </c>
      <c r="U78" s="52">
        <f t="shared" si="45"/>
        <v>33713090.583029777</v>
      </c>
      <c r="V78" s="52">
        <f t="shared" si="45"/>
        <v>34378173.35291975</v>
      </c>
      <c r="W78" s="52">
        <f t="shared" si="45"/>
        <v>35084453.193894513</v>
      </c>
      <c r="X78" s="52">
        <f t="shared" si="45"/>
        <v>35809099.673985071</v>
      </c>
      <c r="Y78" s="52">
        <f t="shared" si="45"/>
        <v>36541043.93650423</v>
      </c>
      <c r="Z78" s="52">
        <f t="shared" si="45"/>
        <v>37289815.994405985</v>
      </c>
      <c r="AA78" s="52">
        <f t="shared" si="45"/>
        <v>38072948.884380139</v>
      </c>
      <c r="AB78" s="52">
        <f t="shared" si="45"/>
        <v>38873717.569641553</v>
      </c>
      <c r="AC78" s="52">
        <f t="shared" si="45"/>
        <v>39690749.802591562</v>
      </c>
      <c r="AD78" s="52">
        <f t="shared" si="45"/>
        <v>40533570.658248335</v>
      </c>
      <c r="AE78" s="52">
        <f t="shared" si="45"/>
        <v>41401974.916675225</v>
      </c>
      <c r="AF78" s="52">
        <f t="shared" si="45"/>
        <v>42287499.845801339</v>
      </c>
      <c r="AG78" s="52">
        <f t="shared" si="45"/>
        <v>43198523.931203298</v>
      </c>
      <c r="AH78" s="52">
        <f t="shared" si="45"/>
        <v>44134664.166628696</v>
      </c>
    </row>
    <row r="79" spans="1:34">
      <c r="A79" s="43" t="s">
        <v>78</v>
      </c>
      <c r="B79" s="48">
        <f t="shared" si="48"/>
        <v>26904760.848000001</v>
      </c>
      <c r="C79" s="48">
        <f t="shared" si="48"/>
        <v>26098680.384</v>
      </c>
      <c r="D79" s="48">
        <f t="shared" si="46"/>
        <v>17377763.004000001</v>
      </c>
      <c r="E79" s="48">
        <f t="shared" si="46"/>
        <v>23235813.048</v>
      </c>
      <c r="F79" s="48">
        <f t="shared" si="46"/>
        <v>24178118.202</v>
      </c>
      <c r="G79" s="48">
        <f t="shared" si="46"/>
        <v>24728123.322000001</v>
      </c>
      <c r="H79" s="52">
        <f t="shared" si="49"/>
        <v>26786645.619563933</v>
      </c>
      <c r="I79" s="52">
        <f t="shared" si="49"/>
        <v>27225178.640781298</v>
      </c>
      <c r="J79" s="52">
        <f t="shared" si="47"/>
        <v>27294491.319160301</v>
      </c>
      <c r="K79" s="52">
        <f t="shared" si="47"/>
        <v>27779673.181290809</v>
      </c>
      <c r="L79" s="52">
        <f t="shared" si="47"/>
        <v>28377123.33399282</v>
      </c>
      <c r="M79" s="52">
        <f t="shared" si="47"/>
        <v>29031731.858958729</v>
      </c>
      <c r="N79" s="52">
        <f t="shared" si="47"/>
        <v>29430736.602324326</v>
      </c>
      <c r="O79" s="52">
        <f t="shared" si="47"/>
        <v>30001768.848753557</v>
      </c>
      <c r="P79" s="52">
        <f t="shared" si="47"/>
        <v>30584707.430795386</v>
      </c>
      <c r="Q79" s="52">
        <f t="shared" si="47"/>
        <v>31120496.57352924</v>
      </c>
      <c r="R79" s="52">
        <f t="shared" si="47"/>
        <v>31710736.50143123</v>
      </c>
      <c r="S79" s="52">
        <f t="shared" si="44"/>
        <v>32348935.917668443</v>
      </c>
      <c r="T79" s="52">
        <f t="shared" si="45"/>
        <v>33002642.916617848</v>
      </c>
      <c r="U79" s="52">
        <f t="shared" si="45"/>
        <v>33645837.969259441</v>
      </c>
      <c r="V79" s="52">
        <f t="shared" si="45"/>
        <v>34313962.50738813</v>
      </c>
      <c r="W79" s="52">
        <f t="shared" si="45"/>
        <v>35021895.092860252</v>
      </c>
      <c r="X79" s="52">
        <f t="shared" si="45"/>
        <v>35741862.742139816</v>
      </c>
      <c r="Y79" s="52">
        <f t="shared" si="45"/>
        <v>36471268.547688574</v>
      </c>
      <c r="Z79" s="52">
        <f t="shared" si="45"/>
        <v>37219489.078142874</v>
      </c>
      <c r="AA79" s="52">
        <f t="shared" si="45"/>
        <v>38001925.433154881</v>
      </c>
      <c r="AB79" s="52">
        <f t="shared" si="45"/>
        <v>38801217.297480561</v>
      </c>
      <c r="AC79" s="52">
        <f t="shared" si="45"/>
        <v>39616114.153366223</v>
      </c>
      <c r="AD79" s="52">
        <f t="shared" si="45"/>
        <v>40457328.95901382</v>
      </c>
      <c r="AE79" s="52">
        <f t="shared" si="45"/>
        <v>41324321.946054958</v>
      </c>
      <c r="AF79" s="52">
        <f t="shared" si="45"/>
        <v>42208268.337552123</v>
      </c>
      <c r="AG79" s="52">
        <f t="shared" si="45"/>
        <v>43117519.133724794</v>
      </c>
      <c r="AH79" s="52">
        <f t="shared" si="45"/>
        <v>44051819.821612753</v>
      </c>
    </row>
    <row r="80" spans="1:34">
      <c r="A80" s="43" t="s">
        <v>79</v>
      </c>
      <c r="B80" s="48">
        <f t="shared" si="48"/>
        <v>25492614.629999999</v>
      </c>
      <c r="C80" s="48">
        <f t="shared" si="48"/>
        <v>27603900.491999999</v>
      </c>
      <c r="D80" s="48">
        <f t="shared" si="46"/>
        <v>17611746.852000002</v>
      </c>
      <c r="E80" s="48">
        <f t="shared" si="46"/>
        <v>23246714.105999999</v>
      </c>
      <c r="F80" s="48">
        <f t="shared" si="46"/>
        <v>24423154.223999999</v>
      </c>
      <c r="G80" s="48">
        <f t="shared" si="46"/>
        <v>25320061.158</v>
      </c>
      <c r="H80" s="52">
        <f>H81-SUM(H69:H79)</f>
        <v>30114473.952912033</v>
      </c>
      <c r="I80" s="52">
        <f>I81-SUM(I69:I79)</f>
        <v>28257404.328646839</v>
      </c>
      <c r="J80" s="52">
        <f t="shared" ref="J80:AH80" si="50">J81-SUM(J69:J79)</f>
        <v>28421272.140196323</v>
      </c>
      <c r="K80" s="52">
        <f t="shared" si="50"/>
        <v>29128800.660711169</v>
      </c>
      <c r="L80" s="52">
        <f t="shared" si="50"/>
        <v>29952311.747277439</v>
      </c>
      <c r="M80" s="52">
        <f t="shared" si="50"/>
        <v>30808137.681883097</v>
      </c>
      <c r="N80" s="52">
        <f t="shared" si="50"/>
        <v>30875797.500302434</v>
      </c>
      <c r="O80" s="52">
        <f t="shared" si="50"/>
        <v>31539250.293817937</v>
      </c>
      <c r="P80" s="52">
        <f t="shared" si="50"/>
        <v>32209577.459257901</v>
      </c>
      <c r="Q80" s="52">
        <f t="shared" si="50"/>
        <v>32800580.978536546</v>
      </c>
      <c r="R80" s="52">
        <f t="shared" si="50"/>
        <v>33413561.578662694</v>
      </c>
      <c r="S80" s="52">
        <f t="shared" si="50"/>
        <v>34040012.382268548</v>
      </c>
      <c r="T80" s="52">
        <f t="shared" si="50"/>
        <v>34747694.961297512</v>
      </c>
      <c r="U80" s="52">
        <f t="shared" si="50"/>
        <v>35435261.66403383</v>
      </c>
      <c r="V80" s="52">
        <f t="shared" si="50"/>
        <v>36139290.913523376</v>
      </c>
      <c r="W80" s="52">
        <f t="shared" si="50"/>
        <v>36879654.343791246</v>
      </c>
      <c r="X80" s="52">
        <f t="shared" si="50"/>
        <v>37633416.175429106</v>
      </c>
      <c r="Y80" s="52">
        <f t="shared" si="50"/>
        <v>38405865.852910638</v>
      </c>
      <c r="Z80" s="52">
        <f t="shared" si="50"/>
        <v>39194955.239544272</v>
      </c>
      <c r="AA80" s="52">
        <f t="shared" si="50"/>
        <v>40018147.976560354</v>
      </c>
      <c r="AB80" s="52">
        <f t="shared" si="50"/>
        <v>40858831.737285018</v>
      </c>
      <c r="AC80" s="52">
        <f t="shared" si="50"/>
        <v>41716822.963751674</v>
      </c>
      <c r="AD80" s="52">
        <f t="shared" si="50"/>
        <v>42603435.545327783</v>
      </c>
      <c r="AE80" s="52">
        <f t="shared" si="50"/>
        <v>43516432.825003505</v>
      </c>
      <c r="AF80" s="52">
        <f t="shared" si="50"/>
        <v>44447034.736499369</v>
      </c>
      <c r="AG80" s="52">
        <f t="shared" si="50"/>
        <v>45404392.792280316</v>
      </c>
      <c r="AH80" s="52">
        <f t="shared" si="50"/>
        <v>46388317.499886096</v>
      </c>
    </row>
    <row r="81" spans="1:34" ht="15.75" thickBot="1">
      <c r="A81" s="43" t="s">
        <v>80</v>
      </c>
      <c r="B81" s="48">
        <f>SUM(B69:B80)</f>
        <v>311063246.34000003</v>
      </c>
      <c r="C81" s="48">
        <f t="shared" ref="C81:G81" si="51">SUM(C69:C80)</f>
        <v>320046628.39799994</v>
      </c>
      <c r="D81" s="48">
        <f t="shared" si="51"/>
        <v>199306900.08599997</v>
      </c>
      <c r="E81" s="48">
        <f t="shared" si="51"/>
        <v>252509226.01800001</v>
      </c>
      <c r="F81" s="48">
        <f t="shared" si="51"/>
        <v>285624944.97600001</v>
      </c>
      <c r="G81" s="48">
        <f t="shared" si="51"/>
        <v>302634951.36000001</v>
      </c>
      <c r="H81" s="52">
        <f>H9*1000</f>
        <v>315115004</v>
      </c>
      <c r="I81" s="52">
        <f>I9*1000</f>
        <v>317225000</v>
      </c>
      <c r="J81" s="52">
        <f t="shared" ref="J81:AH81" si="52">J9*1000</f>
        <v>318720000</v>
      </c>
      <c r="K81" s="52">
        <f t="shared" si="52"/>
        <v>328400000</v>
      </c>
      <c r="L81" s="52">
        <f t="shared" si="52"/>
        <v>335505000</v>
      </c>
      <c r="M81" s="52">
        <f t="shared" si="52"/>
        <v>341075000</v>
      </c>
      <c r="N81" s="52">
        <f t="shared" si="52"/>
        <v>345675000</v>
      </c>
      <c r="O81" s="52">
        <f t="shared" si="52"/>
        <v>352920000</v>
      </c>
      <c r="P81" s="52">
        <f t="shared" si="52"/>
        <v>360275000</v>
      </c>
      <c r="Q81" s="52">
        <f t="shared" si="52"/>
        <v>366340000</v>
      </c>
      <c r="R81" s="52">
        <f t="shared" si="52"/>
        <v>372980000</v>
      </c>
      <c r="S81" s="52">
        <f t="shared" si="52"/>
        <v>380570000</v>
      </c>
      <c r="T81" s="52">
        <f t="shared" si="52"/>
        <v>388380000</v>
      </c>
      <c r="U81" s="52">
        <f t="shared" si="52"/>
        <v>395980000</v>
      </c>
      <c r="V81" s="52">
        <f t="shared" si="52"/>
        <v>403775000</v>
      </c>
      <c r="W81" s="52">
        <f t="shared" si="52"/>
        <v>412075000</v>
      </c>
      <c r="X81" s="52">
        <f t="shared" si="52"/>
        <v>420575000</v>
      </c>
      <c r="Y81" s="52">
        <f t="shared" si="52"/>
        <v>429175000</v>
      </c>
      <c r="Z81" s="52">
        <f t="shared" si="52"/>
        <v>437975000</v>
      </c>
      <c r="AA81" s="52">
        <f t="shared" si="52"/>
        <v>447170000</v>
      </c>
      <c r="AB81" s="52">
        <f t="shared" si="52"/>
        <v>456575000</v>
      </c>
      <c r="AC81" s="52">
        <f t="shared" si="52"/>
        <v>466170000</v>
      </c>
      <c r="AD81" s="52">
        <f t="shared" si="52"/>
        <v>476070000</v>
      </c>
      <c r="AE81" s="52">
        <f t="shared" si="52"/>
        <v>486270000</v>
      </c>
      <c r="AF81" s="52">
        <f t="shared" si="52"/>
        <v>496670000</v>
      </c>
      <c r="AG81" s="52">
        <f t="shared" si="52"/>
        <v>507370000</v>
      </c>
      <c r="AH81" s="52">
        <f t="shared" si="52"/>
        <v>518365000</v>
      </c>
    </row>
    <row r="82" spans="1:34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</row>
    <row r="83" spans="1:34" ht="15.75" thickBot="1">
      <c r="A83" s="43" t="s">
        <v>84</v>
      </c>
    </row>
    <row r="84" spans="1:34" ht="15.75" thickBot="1">
      <c r="A84" s="50" t="s">
        <v>67</v>
      </c>
      <c r="B84" s="51">
        <f>B4</f>
        <v>2018</v>
      </c>
      <c r="C84" s="51">
        <f t="shared" ref="C84:Q84" si="53">C4</f>
        <v>2019</v>
      </c>
      <c r="D84" s="51">
        <f t="shared" si="53"/>
        <v>2020</v>
      </c>
      <c r="E84" s="51">
        <f t="shared" si="53"/>
        <v>2021</v>
      </c>
      <c r="F84" s="51">
        <f t="shared" si="53"/>
        <v>2022</v>
      </c>
      <c r="G84" s="51">
        <f t="shared" si="53"/>
        <v>2023</v>
      </c>
      <c r="H84" s="51">
        <f t="shared" si="53"/>
        <v>2024</v>
      </c>
      <c r="I84" s="51">
        <f t="shared" si="53"/>
        <v>2025</v>
      </c>
      <c r="J84" s="51">
        <f t="shared" si="53"/>
        <v>2026</v>
      </c>
      <c r="K84" s="51">
        <f t="shared" si="53"/>
        <v>2027</v>
      </c>
      <c r="L84" s="51">
        <f t="shared" si="53"/>
        <v>2028</v>
      </c>
      <c r="M84" s="51">
        <f t="shared" si="53"/>
        <v>2029</v>
      </c>
      <c r="N84" s="51">
        <f t="shared" si="53"/>
        <v>2030</v>
      </c>
      <c r="O84" s="51">
        <f t="shared" si="53"/>
        <v>2031</v>
      </c>
      <c r="P84" s="51">
        <f t="shared" si="53"/>
        <v>2032</v>
      </c>
      <c r="Q84" s="51">
        <f t="shared" si="53"/>
        <v>2033</v>
      </c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</row>
    <row r="85" spans="1:34">
      <c r="A85" s="43" t="s">
        <v>68</v>
      </c>
      <c r="B85" s="48">
        <f>'[4]US Jet Fuel'!$C639</f>
        <v>1790922</v>
      </c>
      <c r="C85" s="48">
        <f>'[4]US Jet Fuel'!$C651</f>
        <v>1728636</v>
      </c>
      <c r="D85" s="48">
        <f>'[4]US Jet Fuel'!$C663</f>
        <v>1832628</v>
      </c>
      <c r="E85" s="48">
        <f>'[4]US Jet Fuel'!$C675</f>
        <v>1788822</v>
      </c>
      <c r="F85" s="48">
        <f>'[4]US Jet Fuel'!$C687</f>
        <v>1620486</v>
      </c>
      <c r="G85" s="48">
        <f>'[4]US Jet Fuel'!$C699</f>
        <v>1506288</v>
      </c>
      <c r="H85" s="48">
        <f>'[4]US Jet Fuel'!$C711</f>
        <v>1745856</v>
      </c>
      <c r="I85" s="52">
        <f>H96+I21+I37-I53-I69</f>
        <v>1775305.5632199906</v>
      </c>
      <c r="J85" s="52">
        <f t="shared" ref="J85:AH85" si="54">I96+J21+J37-J53-J69</f>
        <v>1734790.6039936133</v>
      </c>
      <c r="K85" s="52">
        <f t="shared" si="54"/>
        <v>1722535.1355401911</v>
      </c>
      <c r="L85" s="52">
        <f t="shared" si="54"/>
        <v>1766974.9819251746</v>
      </c>
      <c r="M85" s="52">
        <f t="shared" si="54"/>
        <v>1817615.7186223008</v>
      </c>
      <c r="N85" s="52">
        <f t="shared" si="54"/>
        <v>1797485.6740025543</v>
      </c>
      <c r="O85" s="52">
        <f t="shared" si="54"/>
        <v>1816933.5231711827</v>
      </c>
      <c r="P85" s="52">
        <f t="shared" si="54"/>
        <v>1842492.9367735311</v>
      </c>
      <c r="Q85" s="52">
        <f t="shared" si="54"/>
        <v>1865041.5066390261</v>
      </c>
      <c r="R85" s="52">
        <f t="shared" si="54"/>
        <v>1876192.482439097</v>
      </c>
      <c r="S85" s="52">
        <f t="shared" si="54"/>
        <v>1900493.6004252099</v>
      </c>
      <c r="T85" s="52">
        <f t="shared" si="54"/>
        <v>1932452.3016716093</v>
      </c>
      <c r="U85" s="52">
        <f t="shared" si="54"/>
        <v>1955869.9494736753</v>
      </c>
      <c r="V85" s="52">
        <f t="shared" si="54"/>
        <v>1980299.8214058019</v>
      </c>
      <c r="W85" s="52">
        <f t="shared" si="54"/>
        <v>2009475.9129601642</v>
      </c>
      <c r="X85" s="52">
        <f t="shared" si="54"/>
        <v>2038362.3357064128</v>
      </c>
      <c r="Y85" s="52">
        <f t="shared" si="54"/>
        <v>2067297.1144132242</v>
      </c>
      <c r="Z85" s="52">
        <f t="shared" si="54"/>
        <v>2096501.7159332931</v>
      </c>
      <c r="AA85" s="52">
        <f t="shared" si="54"/>
        <v>2126320.4905019328</v>
      </c>
      <c r="AB85" s="52">
        <f t="shared" si="54"/>
        <v>2160402.3437953889</v>
      </c>
      <c r="AC85" s="52">
        <f t="shared" si="54"/>
        <v>2190303.8085393384</v>
      </c>
      <c r="AD85" s="52">
        <f t="shared" si="54"/>
        <v>2224987.4412019923</v>
      </c>
      <c r="AE85" s="52">
        <f t="shared" si="54"/>
        <v>2259840.4963514581</v>
      </c>
      <c r="AF85" s="52">
        <f t="shared" si="54"/>
        <v>2294783.7043281123</v>
      </c>
      <c r="AG85" s="52">
        <f t="shared" si="54"/>
        <v>2329856.7068080381</v>
      </c>
      <c r="AH85" s="52">
        <f t="shared" si="54"/>
        <v>2365455.6427480131</v>
      </c>
    </row>
    <row r="86" spans="1:34">
      <c r="A86" s="43" t="s">
        <v>69</v>
      </c>
      <c r="B86" s="48">
        <f>'[4]US Jet Fuel'!$C640</f>
        <v>1808226</v>
      </c>
      <c r="C86" s="48">
        <f>'[4]US Jet Fuel'!$C652</f>
        <v>1764798</v>
      </c>
      <c r="D86" s="48">
        <f>'[4]US Jet Fuel'!$C664</f>
        <v>1790502</v>
      </c>
      <c r="E86" s="48">
        <f>'[4]US Jet Fuel'!$C676</f>
        <v>1679874</v>
      </c>
      <c r="F86" s="48">
        <f>'[4]US Jet Fuel'!$C688</f>
        <v>1674036</v>
      </c>
      <c r="G86" s="48">
        <f>'[4]US Jet Fuel'!$C700</f>
        <v>1576008</v>
      </c>
      <c r="H86" s="52">
        <f>H85+H22+H38-H54-H70</f>
        <v>1746974.9294366762</v>
      </c>
      <c r="I86" s="52">
        <f>I85+I22+I38-I54-I70</f>
        <v>1772396.8783402704</v>
      </c>
      <c r="J86" s="52">
        <f t="shared" ref="J86:AH96" si="55">J85+J22+J38-J54-J70</f>
        <v>1736849.2155053951</v>
      </c>
      <c r="K86" s="52">
        <f t="shared" si="55"/>
        <v>1752737.4321195483</v>
      </c>
      <c r="L86" s="52">
        <f t="shared" si="55"/>
        <v>1790369.5252319537</v>
      </c>
      <c r="M86" s="52">
        <f t="shared" si="55"/>
        <v>1827790.7597768717</v>
      </c>
      <c r="N86" s="52">
        <f t="shared" si="55"/>
        <v>1812093.496815715</v>
      </c>
      <c r="O86" s="52">
        <f t="shared" si="55"/>
        <v>1833876.7538940571</v>
      </c>
      <c r="P86" s="52">
        <f t="shared" si="55"/>
        <v>1860142.9650891572</v>
      </c>
      <c r="Q86" s="52">
        <f t="shared" si="55"/>
        <v>1879069.0643412471</v>
      </c>
      <c r="R86" s="52">
        <f t="shared" si="55"/>
        <v>1889757.653642606</v>
      </c>
      <c r="S86" s="52">
        <f t="shared" si="55"/>
        <v>1915996.6324688904</v>
      </c>
      <c r="T86" s="52">
        <f t="shared" si="55"/>
        <v>1948150.0764549114</v>
      </c>
      <c r="U86" s="52">
        <f t="shared" si="55"/>
        <v>1972121.6697906926</v>
      </c>
      <c r="V86" s="52">
        <f t="shared" si="55"/>
        <v>1997206.9000410996</v>
      </c>
      <c r="W86" s="52">
        <f t="shared" si="55"/>
        <v>2026993.9856753312</v>
      </c>
      <c r="X86" s="52">
        <f t="shared" si="55"/>
        <v>2056637.9236502945</v>
      </c>
      <c r="Y86" s="52">
        <f t="shared" si="55"/>
        <v>2086250.4026351273</v>
      </c>
      <c r="Z86" s="52">
        <f t="shared" si="55"/>
        <v>2116077.2283300161</v>
      </c>
      <c r="AA86" s="52">
        <f t="shared" si="55"/>
        <v>2146937.7786707804</v>
      </c>
      <c r="AB86" s="52">
        <f t="shared" si="55"/>
        <v>2181340.2619633749</v>
      </c>
      <c r="AC86" s="52">
        <f t="shared" si="55"/>
        <v>2212373.8148836419</v>
      </c>
      <c r="AD86" s="52">
        <f t="shared" si="55"/>
        <v>2247795.7261689156</v>
      </c>
      <c r="AE86" s="52">
        <f t="shared" si="55"/>
        <v>2283402.4528278857</v>
      </c>
      <c r="AF86" s="52">
        <f t="shared" si="55"/>
        <v>2319119.1640028358</v>
      </c>
      <c r="AG86" s="52">
        <f t="shared" si="55"/>
        <v>2354995.8162472248</v>
      </c>
      <c r="AH86" s="52">
        <f t="shared" si="55"/>
        <v>2391815.0616289079</v>
      </c>
    </row>
    <row r="87" spans="1:34">
      <c r="A87" s="43" t="s">
        <v>70</v>
      </c>
      <c r="B87" s="48">
        <f>'[4]US Jet Fuel'!$C641</f>
        <v>1694532</v>
      </c>
      <c r="C87" s="48">
        <f>'[4]US Jet Fuel'!$C653</f>
        <v>1749132</v>
      </c>
      <c r="D87" s="48">
        <f>'[4]US Jet Fuel'!$C665</f>
        <v>1674666</v>
      </c>
      <c r="E87" s="48">
        <f>'[4]US Jet Fuel'!$C677</f>
        <v>1642998</v>
      </c>
      <c r="F87" s="48">
        <f>'[4]US Jet Fuel'!$C689</f>
        <v>1495494</v>
      </c>
      <c r="G87" s="48">
        <f>'[4]US Jet Fuel'!$C701</f>
        <v>1585458</v>
      </c>
      <c r="H87" s="52">
        <f t="shared" ref="H87:I96" si="56">H86+H23+H39-H55-H71</f>
        <v>1662657.0358658135</v>
      </c>
      <c r="I87" s="52">
        <f t="shared" si="56"/>
        <v>1675068.2174329348</v>
      </c>
      <c r="J87" s="52">
        <f t="shared" si="55"/>
        <v>1649572.5169633962</v>
      </c>
      <c r="K87" s="52">
        <f t="shared" si="55"/>
        <v>1672294.5053220652</v>
      </c>
      <c r="L87" s="52">
        <f t="shared" si="55"/>
        <v>1725878.3603097424</v>
      </c>
      <c r="M87" s="52">
        <f t="shared" si="55"/>
        <v>1740863.5379921235</v>
      </c>
      <c r="N87" s="52">
        <f t="shared" si="55"/>
        <v>1725000.2342246324</v>
      </c>
      <c r="O87" s="52">
        <f t="shared" si="55"/>
        <v>1744923.2694559135</v>
      </c>
      <c r="P87" s="52">
        <f t="shared" si="55"/>
        <v>1766158.1249090992</v>
      </c>
      <c r="Q87" s="52">
        <f t="shared" si="55"/>
        <v>1781413.0979205258</v>
      </c>
      <c r="R87" s="52">
        <f t="shared" si="55"/>
        <v>1786640.9606596678</v>
      </c>
      <c r="S87" s="52">
        <f t="shared" si="55"/>
        <v>1812804.7337067761</v>
      </c>
      <c r="T87" s="52">
        <f t="shared" si="55"/>
        <v>1843329.0315258875</v>
      </c>
      <c r="U87" s="52">
        <f t="shared" si="55"/>
        <v>1866160.0930513814</v>
      </c>
      <c r="V87" s="52">
        <f t="shared" si="55"/>
        <v>1890556.0877328403</v>
      </c>
      <c r="W87" s="52">
        <f t="shared" si="55"/>
        <v>1918810.2144828588</v>
      </c>
      <c r="X87" s="52">
        <f t="shared" si="55"/>
        <v>1947258.4260578528</v>
      </c>
      <c r="Y87" s="52">
        <f t="shared" si="55"/>
        <v>1975627.3224894553</v>
      </c>
      <c r="Z87" s="52">
        <f t="shared" si="55"/>
        <v>2004118.5980546176</v>
      </c>
      <c r="AA87" s="52">
        <f t="shared" si="55"/>
        <v>2033987.7783525661</v>
      </c>
      <c r="AB87" s="52">
        <f t="shared" si="55"/>
        <v>2066527.6379392669</v>
      </c>
      <c r="AC87" s="52">
        <f t="shared" si="55"/>
        <v>2096541.5217701644</v>
      </c>
      <c r="AD87" s="52">
        <f t="shared" si="55"/>
        <v>2130474.4944836348</v>
      </c>
      <c r="AE87" s="52">
        <f t="shared" si="55"/>
        <v>2164536.9412852079</v>
      </c>
      <c r="AF87" s="52">
        <f t="shared" si="55"/>
        <v>2198679.0423711836</v>
      </c>
      <c r="AG87" s="52">
        <f t="shared" si="55"/>
        <v>2232937.5012083575</v>
      </c>
      <c r="AH87" s="52">
        <f t="shared" si="55"/>
        <v>2268510.1573946327</v>
      </c>
    </row>
    <row r="88" spans="1:34">
      <c r="A88" s="43" t="s">
        <v>71</v>
      </c>
      <c r="B88" s="48">
        <f>'[4]US Jet Fuel'!$C642</f>
        <v>1729980</v>
      </c>
      <c r="C88" s="48">
        <f>'[4]US Jet Fuel'!$C654</f>
        <v>1716582</v>
      </c>
      <c r="D88" s="48">
        <f>'[4]US Jet Fuel'!$C666</f>
        <v>1679706</v>
      </c>
      <c r="E88" s="48">
        <f>'[4]US Jet Fuel'!$C678</f>
        <v>1702344</v>
      </c>
      <c r="F88" s="48">
        <f>'[4]US Jet Fuel'!$C690</f>
        <v>1583778</v>
      </c>
      <c r="G88" s="48">
        <f>'[4]US Jet Fuel'!$C702</f>
        <v>1729140</v>
      </c>
      <c r="H88" s="52">
        <f t="shared" si="56"/>
        <v>1709040.2822346054</v>
      </c>
      <c r="I88" s="52">
        <f t="shared" si="56"/>
        <v>1750368.6320465133</v>
      </c>
      <c r="J88" s="52">
        <f t="shared" si="55"/>
        <v>1737964.5099316277</v>
      </c>
      <c r="K88" s="52">
        <f t="shared" si="55"/>
        <v>1763238.3117742985</v>
      </c>
      <c r="L88" s="52">
        <f t="shared" si="55"/>
        <v>1814865.719202105</v>
      </c>
      <c r="M88" s="52">
        <f t="shared" si="55"/>
        <v>1818607.2333099581</v>
      </c>
      <c r="N88" s="52">
        <f t="shared" si="55"/>
        <v>1815220.9282902442</v>
      </c>
      <c r="O88" s="52">
        <f t="shared" si="55"/>
        <v>1839983.3574224561</v>
      </c>
      <c r="P88" s="52">
        <f t="shared" si="55"/>
        <v>1862962.1849901117</v>
      </c>
      <c r="Q88" s="52">
        <f t="shared" si="55"/>
        <v>1878768.6759083271</v>
      </c>
      <c r="R88" s="52">
        <f t="shared" si="55"/>
        <v>1886967.9961818829</v>
      </c>
      <c r="S88" s="52">
        <f t="shared" si="55"/>
        <v>1916346.5240774751</v>
      </c>
      <c r="T88" s="52">
        <f t="shared" si="55"/>
        <v>1947452.1722196713</v>
      </c>
      <c r="U88" s="52">
        <f t="shared" si="55"/>
        <v>1971289.3698070869</v>
      </c>
      <c r="V88" s="52">
        <f t="shared" si="55"/>
        <v>1997242.793388404</v>
      </c>
      <c r="W88" s="52">
        <f t="shared" si="55"/>
        <v>2026934.2733415551</v>
      </c>
      <c r="X88" s="52">
        <f t="shared" si="55"/>
        <v>2056981.3624573722</v>
      </c>
      <c r="Y88" s="52">
        <f t="shared" si="55"/>
        <v>2086760.1909080967</v>
      </c>
      <c r="Z88" s="52">
        <f t="shared" si="55"/>
        <v>2116678.9707112685</v>
      </c>
      <c r="AA88" s="52">
        <f t="shared" si="55"/>
        <v>2148481.6840392426</v>
      </c>
      <c r="AB88" s="52">
        <f t="shared" si="55"/>
        <v>2182235.9625238329</v>
      </c>
      <c r="AC88" s="52">
        <f t="shared" si="55"/>
        <v>2214274.5703942031</v>
      </c>
      <c r="AD88" s="52">
        <f t="shared" si="55"/>
        <v>2249860.4729394913</v>
      </c>
      <c r="AE88" s="52">
        <f t="shared" si="55"/>
        <v>2285631.9201499596</v>
      </c>
      <c r="AF88" s="52">
        <f t="shared" si="55"/>
        <v>2321526.5971374586</v>
      </c>
      <c r="AG88" s="52">
        <f t="shared" si="55"/>
        <v>2357589.5606721938</v>
      </c>
      <c r="AH88" s="52">
        <f t="shared" si="55"/>
        <v>2395403.8962446302</v>
      </c>
    </row>
    <row r="89" spans="1:34">
      <c r="A89" s="43" t="s">
        <v>72</v>
      </c>
      <c r="B89" s="48">
        <f>'[4]US Jet Fuel'!$C643</f>
        <v>1748544</v>
      </c>
      <c r="C89" s="48">
        <f>'[4]US Jet Fuel'!$C655</f>
        <v>1650306</v>
      </c>
      <c r="D89" s="48">
        <f>'[4]US Jet Fuel'!$C667</f>
        <v>1694910</v>
      </c>
      <c r="E89" s="48">
        <f>'[4]US Jet Fuel'!$C679</f>
        <v>1824606</v>
      </c>
      <c r="F89" s="48">
        <f>'[4]US Jet Fuel'!$C691</f>
        <v>1736364</v>
      </c>
      <c r="G89" s="48">
        <f>'[4]US Jet Fuel'!$C703</f>
        <v>1784748</v>
      </c>
      <c r="H89" s="52">
        <f t="shared" si="56"/>
        <v>1752097.6645128727</v>
      </c>
      <c r="I89" s="52">
        <f t="shared" si="56"/>
        <v>1828173.6980358921</v>
      </c>
      <c r="J89" s="52">
        <f t="shared" si="55"/>
        <v>1828746.8257747293</v>
      </c>
      <c r="K89" s="52">
        <f t="shared" si="55"/>
        <v>1843998.2215185687</v>
      </c>
      <c r="L89" s="52">
        <f t="shared" si="55"/>
        <v>1881116.9246069267</v>
      </c>
      <c r="M89" s="52">
        <f t="shared" si="55"/>
        <v>1887707.8354688399</v>
      </c>
      <c r="N89" s="52">
        <f t="shared" si="55"/>
        <v>1896836.3613610901</v>
      </c>
      <c r="O89" s="52">
        <f t="shared" si="55"/>
        <v>1924741.4816489369</v>
      </c>
      <c r="P89" s="52">
        <f t="shared" si="55"/>
        <v>1947805.6448454</v>
      </c>
      <c r="Q89" s="52">
        <f t="shared" si="55"/>
        <v>1963722.5516037457</v>
      </c>
      <c r="R89" s="52">
        <f t="shared" si="55"/>
        <v>1977134.8557940871</v>
      </c>
      <c r="S89" s="52">
        <f t="shared" si="55"/>
        <v>2008415.6505465806</v>
      </c>
      <c r="T89" s="52">
        <f t="shared" si="55"/>
        <v>2038747.3270308338</v>
      </c>
      <c r="U89" s="52">
        <f t="shared" si="55"/>
        <v>2062546.018373929</v>
      </c>
      <c r="V89" s="52">
        <f t="shared" si="55"/>
        <v>2089281.5395695269</v>
      </c>
      <c r="W89" s="52">
        <f t="shared" si="55"/>
        <v>2119705.7772485353</v>
      </c>
      <c r="X89" s="52">
        <f t="shared" si="55"/>
        <v>2150226.1415160261</v>
      </c>
      <c r="Y89" s="52">
        <f t="shared" si="55"/>
        <v>2180343.0754296854</v>
      </c>
      <c r="Z89" s="52">
        <f t="shared" si="55"/>
        <v>2210668.0712170899</v>
      </c>
      <c r="AA89" s="52">
        <f t="shared" si="55"/>
        <v>2243376.2117479295</v>
      </c>
      <c r="AB89" s="52">
        <f t="shared" si="55"/>
        <v>2277261.6364666894</v>
      </c>
      <c r="AC89" s="52">
        <f t="shared" si="55"/>
        <v>2310181.7461537942</v>
      </c>
      <c r="AD89" s="52">
        <f t="shared" si="55"/>
        <v>2346257.2142342627</v>
      </c>
      <c r="AE89" s="52">
        <f t="shared" si="55"/>
        <v>2382551.4521248564</v>
      </c>
      <c r="AF89" s="52">
        <f t="shared" si="55"/>
        <v>2418988.9674405232</v>
      </c>
      <c r="AG89" s="52">
        <f t="shared" si="55"/>
        <v>2455604.4010458663</v>
      </c>
      <c r="AH89" s="52">
        <f t="shared" si="55"/>
        <v>2494375.1612671018</v>
      </c>
    </row>
    <row r="90" spans="1:34">
      <c r="A90" s="43" t="s">
        <v>73</v>
      </c>
      <c r="B90" s="48">
        <f>'[4]US Jet Fuel'!$C644</f>
        <v>1717548</v>
      </c>
      <c r="C90" s="48">
        <f>'[4]US Jet Fuel'!$C656</f>
        <v>1702974</v>
      </c>
      <c r="D90" s="48">
        <f>'[4]US Jet Fuel'!$C668</f>
        <v>1747662</v>
      </c>
      <c r="E90" s="48">
        <f>'[4]US Jet Fuel'!$C680</f>
        <v>1878660</v>
      </c>
      <c r="F90" s="48">
        <f>'[4]US Jet Fuel'!$C692</f>
        <v>1653792</v>
      </c>
      <c r="G90" s="48">
        <f>'[4]US Jet Fuel'!$C704</f>
        <v>1795290</v>
      </c>
      <c r="H90" s="52">
        <f t="shared" si="56"/>
        <v>1762336.9308929108</v>
      </c>
      <c r="I90" s="52">
        <f t="shared" si="56"/>
        <v>1836203.0935915038</v>
      </c>
      <c r="J90" s="52">
        <f t="shared" si="55"/>
        <v>1828617.5671417937</v>
      </c>
      <c r="K90" s="52">
        <f t="shared" si="55"/>
        <v>1825831.4526115619</v>
      </c>
      <c r="L90" s="52">
        <f t="shared" si="55"/>
        <v>1877211.4096378125</v>
      </c>
      <c r="M90" s="52">
        <f t="shared" si="55"/>
        <v>1881143.8623864278</v>
      </c>
      <c r="N90" s="52">
        <f t="shared" si="55"/>
        <v>1894704.8011960015</v>
      </c>
      <c r="O90" s="52">
        <f t="shared" si="55"/>
        <v>1922861.7330624312</v>
      </c>
      <c r="P90" s="52">
        <f t="shared" si="55"/>
        <v>1946874.1507795081</v>
      </c>
      <c r="Q90" s="52">
        <f t="shared" si="55"/>
        <v>1965839.1727421954</v>
      </c>
      <c r="R90" s="52">
        <f t="shared" si="55"/>
        <v>1981921.5902594626</v>
      </c>
      <c r="S90" s="52">
        <f t="shared" si="55"/>
        <v>2012597.679277014</v>
      </c>
      <c r="T90" s="52">
        <f t="shared" si="55"/>
        <v>2040899.5911684595</v>
      </c>
      <c r="U90" s="52">
        <f t="shared" si="55"/>
        <v>2063946.4428581446</v>
      </c>
      <c r="V90" s="52">
        <f t="shared" si="55"/>
        <v>2090480.0927700475</v>
      </c>
      <c r="W90" s="52">
        <f t="shared" si="55"/>
        <v>2119803.138536565</v>
      </c>
      <c r="X90" s="52">
        <f t="shared" si="55"/>
        <v>2149212.9103970528</v>
      </c>
      <c r="Y90" s="52">
        <f t="shared" si="55"/>
        <v>2178304.5751048177</v>
      </c>
      <c r="Z90" s="52">
        <f t="shared" si="55"/>
        <v>2207629.8326330781</v>
      </c>
      <c r="AA90" s="52">
        <f t="shared" si="55"/>
        <v>2239698.0790124312</v>
      </c>
      <c r="AB90" s="52">
        <f t="shared" si="55"/>
        <v>2272005.6103512123</v>
      </c>
      <c r="AC90" s="52">
        <f t="shared" si="55"/>
        <v>2304198.7107266039</v>
      </c>
      <c r="AD90" s="52">
        <f t="shared" si="55"/>
        <v>2339100.6455703378</v>
      </c>
      <c r="AE90" s="52">
        <f t="shared" si="55"/>
        <v>2374186.8434785903</v>
      </c>
      <c r="AF90" s="52">
        <f t="shared" si="55"/>
        <v>2409384.0764117092</v>
      </c>
      <c r="AG90" s="52">
        <f t="shared" si="55"/>
        <v>2444717.3672429994</v>
      </c>
      <c r="AH90" s="52">
        <f t="shared" si="55"/>
        <v>2482603.5146027803</v>
      </c>
    </row>
    <row r="91" spans="1:34">
      <c r="A91" s="43" t="s">
        <v>74</v>
      </c>
      <c r="B91" s="48">
        <f>'[4]US Jet Fuel'!$C645</f>
        <v>1721412</v>
      </c>
      <c r="C91" s="48">
        <f>'[4]US Jet Fuel'!$C657</f>
        <v>1807218</v>
      </c>
      <c r="D91" s="48">
        <f>'[4]US Jet Fuel'!$C669</f>
        <v>1721706</v>
      </c>
      <c r="E91" s="48">
        <f>'[4]US Jet Fuel'!$C681</f>
        <v>1840398</v>
      </c>
      <c r="F91" s="48">
        <f>'[4]US Jet Fuel'!$C693</f>
        <v>1731660</v>
      </c>
      <c r="G91" s="48">
        <f>'[4]US Jet Fuel'!$C705</f>
        <v>1792812</v>
      </c>
      <c r="H91" s="52">
        <f t="shared" si="56"/>
        <v>1779896.827270776</v>
      </c>
      <c r="I91" s="52">
        <f t="shared" si="56"/>
        <v>1843799.2803331427</v>
      </c>
      <c r="J91" s="52">
        <f t="shared" si="55"/>
        <v>1843080.1566965953</v>
      </c>
      <c r="K91" s="52">
        <f t="shared" si="55"/>
        <v>1845013.996415019</v>
      </c>
      <c r="L91" s="52">
        <f t="shared" si="55"/>
        <v>1883386.1222222</v>
      </c>
      <c r="M91" s="52">
        <f t="shared" si="55"/>
        <v>1889439.7163878456</v>
      </c>
      <c r="N91" s="52">
        <f t="shared" si="55"/>
        <v>1909167.7146479115</v>
      </c>
      <c r="O91" s="52">
        <f t="shared" si="55"/>
        <v>1941264.2655725889</v>
      </c>
      <c r="P91" s="52">
        <f t="shared" si="55"/>
        <v>1967481.3857675008</v>
      </c>
      <c r="Q91" s="52">
        <f t="shared" si="55"/>
        <v>1986179.2423926182</v>
      </c>
      <c r="R91" s="52">
        <f t="shared" si="55"/>
        <v>2006608.2496205904</v>
      </c>
      <c r="S91" s="52">
        <f t="shared" si="55"/>
        <v>2037768.4603150487</v>
      </c>
      <c r="T91" s="52">
        <f t="shared" si="55"/>
        <v>2064956.148536697</v>
      </c>
      <c r="U91" s="52">
        <f t="shared" si="55"/>
        <v>2087579.4489299804</v>
      </c>
      <c r="V91" s="52">
        <f t="shared" si="55"/>
        <v>2114058.9462418929</v>
      </c>
      <c r="W91" s="52">
        <f t="shared" si="55"/>
        <v>2143176.1844990179</v>
      </c>
      <c r="X91" s="52">
        <f t="shared" si="55"/>
        <v>2172209.6606170684</v>
      </c>
      <c r="Y91" s="52">
        <f t="shared" si="55"/>
        <v>2200927.6327993274</v>
      </c>
      <c r="Z91" s="52">
        <f t="shared" si="55"/>
        <v>2229847.1295850649</v>
      </c>
      <c r="AA91" s="52">
        <f t="shared" si="55"/>
        <v>2261942.9448026642</v>
      </c>
      <c r="AB91" s="52">
        <f t="shared" si="55"/>
        <v>2293432.799536638</v>
      </c>
      <c r="AC91" s="52">
        <f t="shared" si="55"/>
        <v>2325640.4941748977</v>
      </c>
      <c r="AD91" s="52">
        <f t="shared" si="55"/>
        <v>2360109.600106068</v>
      </c>
      <c r="AE91" s="52">
        <f t="shared" si="55"/>
        <v>2394749.1041498408</v>
      </c>
      <c r="AF91" s="52">
        <f t="shared" si="55"/>
        <v>2429495.7097663656</v>
      </c>
      <c r="AG91" s="52">
        <f t="shared" si="55"/>
        <v>2464367.289426893</v>
      </c>
      <c r="AH91" s="52">
        <f t="shared" si="55"/>
        <v>2502208.2768687233</v>
      </c>
    </row>
    <row r="92" spans="1:34">
      <c r="A92" s="43" t="s">
        <v>75</v>
      </c>
      <c r="B92" s="48">
        <f>'[4]US Jet Fuel'!$C646</f>
        <v>1754676</v>
      </c>
      <c r="C92" s="48">
        <f>'[4]US Jet Fuel'!$C658</f>
        <v>1812300</v>
      </c>
      <c r="D92" s="48">
        <f>'[4]US Jet Fuel'!$C670</f>
        <v>1683780</v>
      </c>
      <c r="E92" s="48">
        <f>'[4]US Jet Fuel'!$C682</f>
        <v>1784034</v>
      </c>
      <c r="F92" s="48">
        <f>'[4]US Jet Fuel'!$C694</f>
        <v>1613178</v>
      </c>
      <c r="G92" s="48">
        <f>'[4]US Jet Fuel'!$C706</f>
        <v>1790334</v>
      </c>
      <c r="H92" s="52">
        <f t="shared" si="56"/>
        <v>1730272.3828398027</v>
      </c>
      <c r="I92" s="52">
        <f t="shared" si="56"/>
        <v>1783729.7908706628</v>
      </c>
      <c r="J92" s="52">
        <f t="shared" si="55"/>
        <v>1781123.7911466323</v>
      </c>
      <c r="K92" s="52">
        <f t="shared" si="55"/>
        <v>1794317.3147508614</v>
      </c>
      <c r="L92" s="52">
        <f t="shared" si="55"/>
        <v>1841969.8962657265</v>
      </c>
      <c r="M92" s="52">
        <f t="shared" si="55"/>
        <v>1833537.4841353074</v>
      </c>
      <c r="N92" s="52">
        <f t="shared" si="55"/>
        <v>1854598.4363456964</v>
      </c>
      <c r="O92" s="52">
        <f t="shared" si="55"/>
        <v>1885284.1078545563</v>
      </c>
      <c r="P92" s="52">
        <f t="shared" si="55"/>
        <v>1909691.8833789118</v>
      </c>
      <c r="Q92" s="52">
        <f t="shared" si="55"/>
        <v>1926013.1551735662</v>
      </c>
      <c r="R92" s="52">
        <f t="shared" si="55"/>
        <v>1944051.0431544147</v>
      </c>
      <c r="S92" s="52">
        <f t="shared" si="55"/>
        <v>1975730.8261408843</v>
      </c>
      <c r="T92" s="52">
        <f t="shared" si="55"/>
        <v>2001907.0188520402</v>
      </c>
      <c r="U92" s="52">
        <f t="shared" si="55"/>
        <v>2024380.4483997896</v>
      </c>
      <c r="V92" s="52">
        <f t="shared" si="55"/>
        <v>2050998.7601531669</v>
      </c>
      <c r="W92" s="52">
        <f t="shared" si="55"/>
        <v>2079597.3213057742</v>
      </c>
      <c r="X92" s="52">
        <f t="shared" si="55"/>
        <v>2108324.8581946194</v>
      </c>
      <c r="Y92" s="52">
        <f t="shared" si="55"/>
        <v>2136743.5657018498</v>
      </c>
      <c r="Z92" s="52">
        <f t="shared" si="55"/>
        <v>2165320.5548345223</v>
      </c>
      <c r="AA92" s="52">
        <f t="shared" si="55"/>
        <v>2197469.2395068705</v>
      </c>
      <c r="AB92" s="52">
        <f t="shared" si="55"/>
        <v>2228121.8042797223</v>
      </c>
      <c r="AC92" s="52">
        <f t="shared" si="55"/>
        <v>2260398.34271954</v>
      </c>
      <c r="AD92" s="52">
        <f t="shared" si="55"/>
        <v>2294478.8011113107</v>
      </c>
      <c r="AE92" s="52">
        <f t="shared" si="55"/>
        <v>2328709.2134867013</v>
      </c>
      <c r="AF92" s="52">
        <f t="shared" si="55"/>
        <v>2363037.0062670186</v>
      </c>
      <c r="AG92" s="52">
        <f t="shared" si="55"/>
        <v>2397481.6246952191</v>
      </c>
      <c r="AH92" s="52">
        <f t="shared" si="55"/>
        <v>2435327.8062665313</v>
      </c>
    </row>
    <row r="93" spans="1:34">
      <c r="A93" s="43" t="s">
        <v>76</v>
      </c>
      <c r="B93" s="48">
        <f>'[4]US Jet Fuel'!$C647</f>
        <v>1965054</v>
      </c>
      <c r="C93" s="48">
        <f>'[4]US Jet Fuel'!$C659</f>
        <v>1861902</v>
      </c>
      <c r="D93" s="48">
        <f>'[4]US Jet Fuel'!$C671</f>
        <v>1685670</v>
      </c>
      <c r="E93" s="48">
        <f>'[4]US Jet Fuel'!$C683</f>
        <v>1763496</v>
      </c>
      <c r="F93" s="48">
        <f>'[4]US Jet Fuel'!$C695</f>
        <v>1533840</v>
      </c>
      <c r="G93" s="48">
        <f>'[4]US Jet Fuel'!$C707</f>
        <v>1826076</v>
      </c>
      <c r="H93" s="52">
        <f t="shared" si="56"/>
        <v>1716168.2110328339</v>
      </c>
      <c r="I93" s="52">
        <f t="shared" si="56"/>
        <v>1759403.8057149313</v>
      </c>
      <c r="J93" s="52">
        <f t="shared" si="55"/>
        <v>1756872.8484159447</v>
      </c>
      <c r="K93" s="52">
        <f t="shared" si="55"/>
        <v>1772006.2156322896</v>
      </c>
      <c r="L93" s="52">
        <f t="shared" si="55"/>
        <v>1828440.2927007563</v>
      </c>
      <c r="M93" s="52">
        <f t="shared" si="55"/>
        <v>1808870.9412783384</v>
      </c>
      <c r="N93" s="52">
        <f t="shared" si="55"/>
        <v>1833362.8061681539</v>
      </c>
      <c r="O93" s="52">
        <f t="shared" si="55"/>
        <v>1865268.4172278531</v>
      </c>
      <c r="P93" s="52">
        <f t="shared" si="55"/>
        <v>1890367.1660250202</v>
      </c>
      <c r="Q93" s="52">
        <f t="shared" si="55"/>
        <v>1906667.0526934862</v>
      </c>
      <c r="R93" s="52">
        <f t="shared" si="55"/>
        <v>1924730.5086612292</v>
      </c>
      <c r="S93" s="52">
        <f t="shared" si="55"/>
        <v>1956438.4215242676</v>
      </c>
      <c r="T93" s="52">
        <f t="shared" si="55"/>
        <v>1981179.5228812583</v>
      </c>
      <c r="U93" s="52">
        <f t="shared" si="55"/>
        <v>2002997.1079895757</v>
      </c>
      <c r="V93" s="52">
        <f t="shared" si="55"/>
        <v>2029199.8977749199</v>
      </c>
      <c r="W93" s="52">
        <f t="shared" si="55"/>
        <v>2056759.6436843723</v>
      </c>
      <c r="X93" s="52">
        <f t="shared" si="55"/>
        <v>2084631.6571080238</v>
      </c>
      <c r="Y93" s="52">
        <f t="shared" si="55"/>
        <v>2112194.1429885849</v>
      </c>
      <c r="Z93" s="52">
        <f t="shared" si="55"/>
        <v>2139852.8167615682</v>
      </c>
      <c r="AA93" s="52">
        <f t="shared" si="55"/>
        <v>2171432.7365215346</v>
      </c>
      <c r="AB93" s="52">
        <f t="shared" si="55"/>
        <v>2200660.0292726085</v>
      </c>
      <c r="AC93" s="52">
        <f t="shared" si="55"/>
        <v>2232356.9634557068</v>
      </c>
      <c r="AD93" s="52">
        <f t="shared" si="55"/>
        <v>2265401.6722873822</v>
      </c>
      <c r="AE93" s="52">
        <f t="shared" si="55"/>
        <v>2298555.4029315487</v>
      </c>
      <c r="AF93" s="52">
        <f t="shared" si="55"/>
        <v>2331783.7301946357</v>
      </c>
      <c r="AG93" s="52">
        <f t="shared" si="55"/>
        <v>2365100.488769345</v>
      </c>
      <c r="AH93" s="52">
        <f t="shared" si="55"/>
        <v>2402208.7596389055</v>
      </c>
    </row>
    <row r="94" spans="1:34">
      <c r="A94" s="43" t="s">
        <v>77</v>
      </c>
      <c r="B94" s="48">
        <f>'[4]US Jet Fuel'!$C648</f>
        <v>1776180</v>
      </c>
      <c r="C94" s="48">
        <f>'[4]US Jet Fuel'!$C660</f>
        <v>1670844</v>
      </c>
      <c r="D94" s="48">
        <f>'[4]US Jet Fuel'!$C672</f>
        <v>1580712</v>
      </c>
      <c r="E94" s="48">
        <f>'[4]US Jet Fuel'!$C684</f>
        <v>1694868</v>
      </c>
      <c r="F94" s="48">
        <f>'[4]US Jet Fuel'!$C696</f>
        <v>1531320</v>
      </c>
      <c r="G94" s="48">
        <f>'[4]US Jet Fuel'!$C708</f>
        <v>1660470</v>
      </c>
      <c r="H94" s="52">
        <f t="shared" si="56"/>
        <v>1581653.6532297991</v>
      </c>
      <c r="I94" s="52">
        <f t="shared" si="56"/>
        <v>1644583.995448973</v>
      </c>
      <c r="J94" s="52">
        <f t="shared" si="55"/>
        <v>1649459.5197165385</v>
      </c>
      <c r="K94" s="52">
        <f t="shared" si="55"/>
        <v>1649950.6075699516</v>
      </c>
      <c r="L94" s="52">
        <f t="shared" si="55"/>
        <v>1684872.0241499804</v>
      </c>
      <c r="M94" s="52">
        <f t="shared" si="55"/>
        <v>1671202.4835270606</v>
      </c>
      <c r="N94" s="52">
        <f t="shared" si="55"/>
        <v>1703558.2785046324</v>
      </c>
      <c r="O94" s="52">
        <f t="shared" si="55"/>
        <v>1734490.0535410345</v>
      </c>
      <c r="P94" s="52">
        <f t="shared" si="55"/>
        <v>1756374.8683770336</v>
      </c>
      <c r="Q94" s="52">
        <f t="shared" si="55"/>
        <v>1769701.1536719538</v>
      </c>
      <c r="R94" s="52">
        <f t="shared" si="55"/>
        <v>1790504.9110580236</v>
      </c>
      <c r="S94" s="52">
        <f t="shared" si="55"/>
        <v>1819298.9469121955</v>
      </c>
      <c r="T94" s="52">
        <f t="shared" si="55"/>
        <v>1838712.7960825749</v>
      </c>
      <c r="U94" s="52">
        <f t="shared" si="55"/>
        <v>1856230.1245482489</v>
      </c>
      <c r="V94" s="52">
        <f t="shared" si="55"/>
        <v>1878810.1635161042</v>
      </c>
      <c r="W94" s="52">
        <f t="shared" si="55"/>
        <v>1902408.5438309014</v>
      </c>
      <c r="X94" s="52">
        <f t="shared" si="55"/>
        <v>1925811.2541514561</v>
      </c>
      <c r="Y94" s="52">
        <f t="shared" si="55"/>
        <v>1948805.1185316294</v>
      </c>
      <c r="Z94" s="52">
        <f t="shared" si="55"/>
        <v>1971858.1345679238</v>
      </c>
      <c r="AA94" s="52">
        <f t="shared" si="55"/>
        <v>1999117.6327407211</v>
      </c>
      <c r="AB94" s="52">
        <f t="shared" si="55"/>
        <v>2023075.4129638374</v>
      </c>
      <c r="AC94" s="52">
        <f t="shared" si="55"/>
        <v>2050184.6142473966</v>
      </c>
      <c r="AD94" s="52">
        <f t="shared" si="55"/>
        <v>2078065.9044823945</v>
      </c>
      <c r="AE94" s="52">
        <f t="shared" si="55"/>
        <v>2105917.1835432649</v>
      </c>
      <c r="AF94" s="52">
        <f t="shared" si="55"/>
        <v>2133745.9149751142</v>
      </c>
      <c r="AG94" s="52">
        <f t="shared" si="55"/>
        <v>2161500.7063325346</v>
      </c>
      <c r="AH94" s="52">
        <f t="shared" si="55"/>
        <v>2193307.750635922</v>
      </c>
    </row>
    <row r="95" spans="1:34">
      <c r="A95" s="43" t="s">
        <v>78</v>
      </c>
      <c r="B95" s="48">
        <f>'[4]US Jet Fuel'!$C649</f>
        <v>1651230</v>
      </c>
      <c r="C95" s="48">
        <f>'[4]US Jet Fuel'!$C661</f>
        <v>1706124</v>
      </c>
      <c r="D95" s="48">
        <f>'[4]US Jet Fuel'!$C673</f>
        <v>1581846</v>
      </c>
      <c r="E95" s="48">
        <f>'[4]US Jet Fuel'!$C685</f>
        <v>1544592</v>
      </c>
      <c r="F95" s="48">
        <f>'[4]US Jet Fuel'!$C697</f>
        <v>1588104</v>
      </c>
      <c r="G95" s="48">
        <f>'[4]US Jet Fuel'!$C709</f>
        <v>1634136</v>
      </c>
      <c r="H95" s="52">
        <f t="shared" si="56"/>
        <v>1571213.6738100983</v>
      </c>
      <c r="I95" s="52">
        <f t="shared" si="56"/>
        <v>1624044.7820960581</v>
      </c>
      <c r="J95" s="52">
        <f t="shared" si="55"/>
        <v>1618532.4806717336</v>
      </c>
      <c r="K95" s="52">
        <f t="shared" si="55"/>
        <v>1649038.8033735603</v>
      </c>
      <c r="L95" s="52">
        <f t="shared" si="55"/>
        <v>1670882.0362403393</v>
      </c>
      <c r="M95" s="52">
        <f t="shared" si="55"/>
        <v>1654390.9132213369</v>
      </c>
      <c r="N95" s="52">
        <f t="shared" si="55"/>
        <v>1688776.1913916431</v>
      </c>
      <c r="O95" s="52">
        <f t="shared" si="55"/>
        <v>1719488.5016526431</v>
      </c>
      <c r="P95" s="52">
        <f t="shared" si="55"/>
        <v>1742603.7361659072</v>
      </c>
      <c r="Q95" s="52">
        <f t="shared" si="55"/>
        <v>1752280.4809972681</v>
      </c>
      <c r="R95" s="52">
        <f t="shared" si="55"/>
        <v>1773935.085425131</v>
      </c>
      <c r="S95" s="52">
        <f t="shared" si="55"/>
        <v>1803770.0535297655</v>
      </c>
      <c r="T95" s="52">
        <f t="shared" si="55"/>
        <v>1822838.3351192921</v>
      </c>
      <c r="U95" s="52">
        <f t="shared" si="55"/>
        <v>1840919.7441584542</v>
      </c>
      <c r="V95" s="52">
        <f t="shared" si="55"/>
        <v>1864077.1151262298</v>
      </c>
      <c r="W95" s="52">
        <f t="shared" si="55"/>
        <v>1888169.356522195</v>
      </c>
      <c r="X95" s="52">
        <f t="shared" si="55"/>
        <v>1911991.4435332865</v>
      </c>
      <c r="Y95" s="52">
        <f t="shared" si="55"/>
        <v>1935447.7949328721</v>
      </c>
      <c r="Z95" s="52">
        <f t="shared" si="55"/>
        <v>1958953.8391707987</v>
      </c>
      <c r="AA95" s="52">
        <f t="shared" si="55"/>
        <v>1987074.4964649454</v>
      </c>
      <c r="AB95" s="52">
        <f t="shared" si="55"/>
        <v>2011097.8862723559</v>
      </c>
      <c r="AC95" s="52">
        <f t="shared" si="55"/>
        <v>2039122.2515601143</v>
      </c>
      <c r="AD95" s="52">
        <f t="shared" si="55"/>
        <v>2067511.9048701525</v>
      </c>
      <c r="AE95" s="52">
        <f t="shared" si="55"/>
        <v>2095882.1023497283</v>
      </c>
      <c r="AF95" s="52">
        <f t="shared" si="55"/>
        <v>2124238.4954050034</v>
      </c>
      <c r="AG95" s="52">
        <f t="shared" si="55"/>
        <v>2152542.8424174637</v>
      </c>
      <c r="AH95" s="52">
        <f t="shared" si="55"/>
        <v>2185338.4222292453</v>
      </c>
    </row>
    <row r="96" spans="1:34" ht="15.75" thickBot="1">
      <c r="A96" s="43" t="s">
        <v>79</v>
      </c>
      <c r="B96" s="48">
        <f>'[4]US Jet Fuel'!$C650</f>
        <v>1746570</v>
      </c>
      <c r="C96" s="48">
        <f>'[4]US Jet Fuel'!$C662</f>
        <v>1699614</v>
      </c>
      <c r="D96" s="48">
        <f>'[4]US Jet Fuel'!$C674</f>
        <v>1622334</v>
      </c>
      <c r="E96" s="48">
        <f>'[4]US Jet Fuel'!$C686</f>
        <v>1503516</v>
      </c>
      <c r="F96" s="48">
        <f>'[4]US Jet Fuel'!$C698</f>
        <v>1471638</v>
      </c>
      <c r="G96" s="48">
        <f>'[4]US Jet Fuel'!$C710</f>
        <v>1670004</v>
      </c>
      <c r="H96" s="52">
        <f t="shared" si="56"/>
        <v>1655000.000000041</v>
      </c>
      <c r="I96" s="52">
        <f t="shared" si="56"/>
        <v>1630000.0000000596</v>
      </c>
      <c r="J96" s="52">
        <f t="shared" si="55"/>
        <v>1610000.0000000559</v>
      </c>
      <c r="K96" s="52">
        <f t="shared" si="55"/>
        <v>1660000.0000000931</v>
      </c>
      <c r="L96" s="52">
        <f t="shared" si="55"/>
        <v>1705000.0000001192</v>
      </c>
      <c r="M96" s="52">
        <f t="shared" si="55"/>
        <v>1680000.0000000522</v>
      </c>
      <c r="N96" s="52">
        <f t="shared" si="55"/>
        <v>1705000.0000000559</v>
      </c>
      <c r="O96" s="52">
        <f t="shared" ref="O96:AH96" si="57">O95+O32+O48-O64-O80</f>
        <v>1735000.0000001118</v>
      </c>
      <c r="P96" s="52">
        <f t="shared" si="57"/>
        <v>1760000.0000000671</v>
      </c>
      <c r="Q96" s="52">
        <f t="shared" si="57"/>
        <v>1770000.0000000447</v>
      </c>
      <c r="R96" s="52">
        <f t="shared" si="57"/>
        <v>1790000.0000001341</v>
      </c>
      <c r="S96" s="52">
        <f t="shared" si="57"/>
        <v>1820000.0000000596</v>
      </c>
      <c r="T96" s="52">
        <f t="shared" si="57"/>
        <v>1840000.0000001714</v>
      </c>
      <c r="U96" s="52">
        <f t="shared" si="57"/>
        <v>1860000.0000002161</v>
      </c>
      <c r="V96" s="52">
        <f t="shared" si="57"/>
        <v>1885000.0000001565</v>
      </c>
      <c r="W96" s="52">
        <f t="shared" si="57"/>
        <v>1910000.0000001192</v>
      </c>
      <c r="X96" s="52">
        <f t="shared" si="57"/>
        <v>1935000.0000000969</v>
      </c>
      <c r="Y96" s="52">
        <f t="shared" si="57"/>
        <v>1960000.000000231</v>
      </c>
      <c r="Z96" s="52">
        <f t="shared" si="57"/>
        <v>1985000.0000002533</v>
      </c>
      <c r="AA96" s="52">
        <f t="shared" si="57"/>
        <v>2015000.0000002831</v>
      </c>
      <c r="AB96" s="52">
        <f t="shared" si="57"/>
        <v>2040000.0000002384</v>
      </c>
      <c r="AC96" s="52">
        <f t="shared" si="57"/>
        <v>2070000.0000002533</v>
      </c>
      <c r="AD96" s="52">
        <f t="shared" si="57"/>
        <v>2100000.0000002608</v>
      </c>
      <c r="AE96" s="52">
        <f t="shared" si="57"/>
        <v>2130000.0000002086</v>
      </c>
      <c r="AF96" s="52">
        <f t="shared" si="57"/>
        <v>2160000.0000003278</v>
      </c>
      <c r="AG96" s="52">
        <f t="shared" si="57"/>
        <v>2190000.0000004545</v>
      </c>
      <c r="AH96" s="52">
        <f t="shared" si="57"/>
        <v>2225000.0000003725</v>
      </c>
    </row>
    <row r="97" spans="1:34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</row>
  </sheetData>
  <mergeCells count="1">
    <mergeCell ref="A3:Q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7BC5-4BA2-4BBA-913E-F25F6A3354B4}">
  <dimension ref="A2:R82"/>
  <sheetViews>
    <sheetView topLeftCell="A3" workbookViewId="0">
      <pane xSplit="1" ySplit="2" topLeftCell="B38" activePane="bottomRight" state="frozen"/>
      <selection activeCell="M17" sqref="M17"/>
      <selection pane="topRight" activeCell="M17" sqref="M17"/>
      <selection pane="bottomLeft" activeCell="M17" sqref="M17"/>
      <selection pane="bottomRight" activeCell="E54" sqref="E54"/>
    </sheetView>
  </sheetViews>
  <sheetFormatPr defaultColWidth="9.33203125" defaultRowHeight="15"/>
  <cols>
    <col min="1" max="1" width="21.83203125" style="35" customWidth="1"/>
    <col min="2" max="18" width="10.83203125" style="35" customWidth="1"/>
    <col min="19" max="16384" width="9.33203125" style="35"/>
  </cols>
  <sheetData>
    <row r="2" spans="1:18" ht="15.75" thickBot="1"/>
    <row r="3" spans="1:18" ht="48" thickTop="1" thickBot="1">
      <c r="A3" s="63" t="s">
        <v>85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36"/>
    </row>
    <row r="4" spans="1:18" ht="16.5" thickBot="1">
      <c r="A4" s="50" t="s">
        <v>61</v>
      </c>
      <c r="B4" s="38">
        <v>2018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  <c r="Q4" s="38">
        <v>2033</v>
      </c>
    </row>
    <row r="5" spans="1:18" ht="15.75">
      <c r="A5" s="39" t="s">
        <v>54</v>
      </c>
      <c r="B5" s="55">
        <v>0</v>
      </c>
      <c r="C5" s="55">
        <f>B12</f>
        <v>0</v>
      </c>
      <c r="D5" s="55">
        <f t="shared" ref="D5:R5" si="0">C12</f>
        <v>0</v>
      </c>
      <c r="E5" s="55">
        <f t="shared" si="0"/>
        <v>0</v>
      </c>
      <c r="F5" s="55">
        <f t="shared" si="0"/>
        <v>0</v>
      </c>
      <c r="G5" s="55">
        <f t="shared" si="0"/>
        <v>0</v>
      </c>
      <c r="H5" s="55">
        <f t="shared" si="0"/>
        <v>0</v>
      </c>
      <c r="I5" s="56" t="e">
        <f t="shared" si="0"/>
        <v>#REF!</v>
      </c>
      <c r="J5" s="56" t="e">
        <f t="shared" si="0"/>
        <v>#REF!</v>
      </c>
      <c r="K5" s="56" t="e">
        <f t="shared" si="0"/>
        <v>#REF!</v>
      </c>
      <c r="L5" s="56" t="e">
        <f t="shared" si="0"/>
        <v>#REF!</v>
      </c>
      <c r="M5" s="56" t="e">
        <f t="shared" si="0"/>
        <v>#REF!</v>
      </c>
      <c r="N5" s="56" t="e">
        <f t="shared" si="0"/>
        <v>#REF!</v>
      </c>
      <c r="O5" s="56" t="e">
        <f t="shared" si="0"/>
        <v>#REF!</v>
      </c>
      <c r="P5" s="56" t="e">
        <f t="shared" si="0"/>
        <v>#REF!</v>
      </c>
      <c r="Q5" s="56" t="e">
        <f t="shared" si="0"/>
        <v>#REF!</v>
      </c>
      <c r="R5" s="56" t="e">
        <f t="shared" si="0"/>
        <v>#REF!</v>
      </c>
    </row>
    <row r="6" spans="1:18" ht="15.75">
      <c r="A6" s="39" t="s">
        <v>2</v>
      </c>
      <c r="B6" s="55" t="e">
        <f>B33/1000</f>
        <v>#REF!</v>
      </c>
      <c r="C6" s="55" t="e">
        <f t="shared" ref="C6:R6" si="1">C33/1000</f>
        <v>#REF!</v>
      </c>
      <c r="D6" s="55" t="e">
        <f t="shared" si="1"/>
        <v>#REF!</v>
      </c>
      <c r="E6" s="55" t="e">
        <f t="shared" si="1"/>
        <v>#REF!</v>
      </c>
      <c r="F6" s="55" t="e">
        <f t="shared" si="1"/>
        <v>#REF!</v>
      </c>
      <c r="G6" s="55" t="e">
        <f t="shared" si="1"/>
        <v>#REF!</v>
      </c>
      <c r="H6" s="56" t="e">
        <f t="shared" si="1"/>
        <v>#REF!</v>
      </c>
      <c r="I6" s="56" t="e">
        <f t="shared" si="1"/>
        <v>#REF!</v>
      </c>
      <c r="J6" s="56" t="e">
        <f t="shared" si="1"/>
        <v>#REF!</v>
      </c>
      <c r="K6" s="56" t="e">
        <f t="shared" si="1"/>
        <v>#REF!</v>
      </c>
      <c r="L6" s="56" t="e">
        <f t="shared" si="1"/>
        <v>#REF!</v>
      </c>
      <c r="M6" s="56" t="e">
        <f t="shared" si="1"/>
        <v>#REF!</v>
      </c>
      <c r="N6" s="56" t="e">
        <f t="shared" si="1"/>
        <v>#REF!</v>
      </c>
      <c r="O6" s="56" t="e">
        <f t="shared" si="1"/>
        <v>#REF!</v>
      </c>
      <c r="P6" s="56" t="e">
        <f t="shared" si="1"/>
        <v>#REF!</v>
      </c>
      <c r="Q6" s="56" t="e">
        <f t="shared" si="1"/>
        <v>#REF!</v>
      </c>
      <c r="R6" s="56" t="e">
        <f t="shared" si="1"/>
        <v>#REF!</v>
      </c>
    </row>
    <row r="7" spans="1:18" ht="15.75">
      <c r="A7" s="39" t="s">
        <v>3</v>
      </c>
      <c r="B7" s="55" t="e">
        <f t="shared" ref="B7:D7" si="2">B65/1000</f>
        <v>#REF!</v>
      </c>
      <c r="C7" s="55" t="e">
        <f t="shared" si="2"/>
        <v>#REF!</v>
      </c>
      <c r="D7" s="55" t="e">
        <f t="shared" si="2"/>
        <v>#REF!</v>
      </c>
      <c r="E7" s="55" t="e">
        <f>E65/1000</f>
        <v>#REF!</v>
      </c>
      <c r="F7" s="55" t="e">
        <f>F65/1000</f>
        <v>#REF!</v>
      </c>
      <c r="G7" s="55" t="e">
        <f>G65/1000</f>
        <v>#REF!</v>
      </c>
      <c r="H7" s="56" t="e">
        <f>H65/1000</f>
        <v>#REF!</v>
      </c>
      <c r="I7" s="56" t="e">
        <f t="shared" ref="I7:R7" si="3">I65/1000</f>
        <v>#REF!</v>
      </c>
      <c r="J7" s="56" t="e">
        <f t="shared" si="3"/>
        <v>#REF!</v>
      </c>
      <c r="K7" s="56" t="e">
        <f t="shared" si="3"/>
        <v>#REF!</v>
      </c>
      <c r="L7" s="56" t="e">
        <f t="shared" si="3"/>
        <v>#REF!</v>
      </c>
      <c r="M7" s="56" t="e">
        <f t="shared" si="3"/>
        <v>#REF!</v>
      </c>
      <c r="N7" s="56" t="e">
        <f t="shared" si="3"/>
        <v>#REF!</v>
      </c>
      <c r="O7" s="56" t="e">
        <f t="shared" si="3"/>
        <v>#REF!</v>
      </c>
      <c r="P7" s="56" t="e">
        <f t="shared" si="3"/>
        <v>#REF!</v>
      </c>
      <c r="Q7" s="56" t="e">
        <f t="shared" si="3"/>
        <v>#REF!</v>
      </c>
      <c r="R7" s="56" t="e">
        <f t="shared" si="3"/>
        <v>#REF!</v>
      </c>
    </row>
    <row r="8" spans="1:18" ht="15.75">
      <c r="A8" s="39" t="s">
        <v>55</v>
      </c>
      <c r="B8" s="55" t="e">
        <f>SUM(B5:B7)</f>
        <v>#REF!</v>
      </c>
      <c r="C8" s="55" t="e">
        <f>SUM(C5:C7)</f>
        <v>#REF!</v>
      </c>
      <c r="D8" s="55" t="e">
        <f t="shared" ref="D8:R8" si="4">SUM(D5:D7)</f>
        <v>#REF!</v>
      </c>
      <c r="E8" s="55" t="e">
        <f t="shared" si="4"/>
        <v>#REF!</v>
      </c>
      <c r="F8" s="55" t="e">
        <f t="shared" si="4"/>
        <v>#REF!</v>
      </c>
      <c r="G8" s="55" t="e">
        <f t="shared" si="4"/>
        <v>#REF!</v>
      </c>
      <c r="H8" s="56" t="e">
        <f t="shared" si="4"/>
        <v>#REF!</v>
      </c>
      <c r="I8" s="56" t="e">
        <f t="shared" si="4"/>
        <v>#REF!</v>
      </c>
      <c r="J8" s="56" t="e">
        <f t="shared" si="4"/>
        <v>#REF!</v>
      </c>
      <c r="K8" s="56" t="e">
        <f t="shared" si="4"/>
        <v>#REF!</v>
      </c>
      <c r="L8" s="56" t="e">
        <f t="shared" si="4"/>
        <v>#REF!</v>
      </c>
      <c r="M8" s="56" t="e">
        <f t="shared" si="4"/>
        <v>#REF!</v>
      </c>
      <c r="N8" s="56" t="e">
        <f t="shared" si="4"/>
        <v>#REF!</v>
      </c>
      <c r="O8" s="56" t="e">
        <f t="shared" si="4"/>
        <v>#REF!</v>
      </c>
      <c r="P8" s="56" t="e">
        <f t="shared" si="4"/>
        <v>#REF!</v>
      </c>
      <c r="Q8" s="56" t="e">
        <f t="shared" si="4"/>
        <v>#REF!</v>
      </c>
      <c r="R8" s="56" t="e">
        <f t="shared" si="4"/>
        <v>#REF!</v>
      </c>
    </row>
    <row r="9" spans="1:18" ht="15.75">
      <c r="A9" s="39" t="s">
        <v>32</v>
      </c>
      <c r="B9" s="55" t="e">
        <f>B11-B10</f>
        <v>#REF!</v>
      </c>
      <c r="C9" s="55" t="e">
        <f>C11-C10</f>
        <v>#REF!</v>
      </c>
      <c r="D9" s="55" t="e">
        <f t="shared" ref="D9:R9" si="5">D11-D10</f>
        <v>#REF!</v>
      </c>
      <c r="E9" s="55" t="e">
        <f t="shared" si="5"/>
        <v>#REF!</v>
      </c>
      <c r="F9" s="55" t="e">
        <f t="shared" si="5"/>
        <v>#REF!</v>
      </c>
      <c r="G9" s="55" t="e">
        <f t="shared" si="5"/>
        <v>#REF!</v>
      </c>
      <c r="H9" s="56" t="e">
        <f t="shared" si="5"/>
        <v>#REF!</v>
      </c>
      <c r="I9" s="56" t="e">
        <f t="shared" si="5"/>
        <v>#REF!</v>
      </c>
      <c r="J9" s="56" t="e">
        <f t="shared" si="5"/>
        <v>#REF!</v>
      </c>
      <c r="K9" s="56" t="e">
        <f t="shared" si="5"/>
        <v>#REF!</v>
      </c>
      <c r="L9" s="56" t="e">
        <f t="shared" si="5"/>
        <v>#REF!</v>
      </c>
      <c r="M9" s="56" t="e">
        <f t="shared" si="5"/>
        <v>#REF!</v>
      </c>
      <c r="N9" s="56" t="e">
        <f t="shared" si="5"/>
        <v>#REF!</v>
      </c>
      <c r="O9" s="56" t="e">
        <f t="shared" si="5"/>
        <v>#REF!</v>
      </c>
      <c r="P9" s="56" t="e">
        <f t="shared" si="5"/>
        <v>#REF!</v>
      </c>
      <c r="Q9" s="56" t="e">
        <f t="shared" si="5"/>
        <v>#REF!</v>
      </c>
      <c r="R9" s="56" t="e">
        <f t="shared" si="5"/>
        <v>#REF!</v>
      </c>
    </row>
    <row r="10" spans="1:18" ht="15.75">
      <c r="A10" s="39" t="s">
        <v>11</v>
      </c>
      <c r="B10" s="55">
        <f>B81/1000</f>
        <v>0</v>
      </c>
      <c r="C10" s="55">
        <f t="shared" ref="C10:G10" si="6">C81/1000</f>
        <v>0</v>
      </c>
      <c r="D10" s="55">
        <f t="shared" si="6"/>
        <v>0</v>
      </c>
      <c r="E10" s="55">
        <f t="shared" si="6"/>
        <v>0</v>
      </c>
      <c r="F10" s="55">
        <f t="shared" si="6"/>
        <v>0</v>
      </c>
      <c r="G10" s="55">
        <f t="shared" si="6"/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</row>
    <row r="11" spans="1:18" ht="15.75">
      <c r="A11" s="39" t="s">
        <v>57</v>
      </c>
      <c r="B11" s="55" t="e">
        <f>B8-B12</f>
        <v>#REF!</v>
      </c>
      <c r="C11" s="55" t="e">
        <f>C8-C12</f>
        <v>#REF!</v>
      </c>
      <c r="D11" s="55" t="e">
        <f t="shared" ref="D11:R11" si="7">D8-D12</f>
        <v>#REF!</v>
      </c>
      <c r="E11" s="55" t="e">
        <f t="shared" si="7"/>
        <v>#REF!</v>
      </c>
      <c r="F11" s="55" t="e">
        <f t="shared" si="7"/>
        <v>#REF!</v>
      </c>
      <c r="G11" s="55" t="e">
        <f t="shared" si="7"/>
        <v>#REF!</v>
      </c>
      <c r="H11" s="56" t="e">
        <f t="shared" si="7"/>
        <v>#REF!</v>
      </c>
      <c r="I11" s="56" t="e">
        <f t="shared" si="7"/>
        <v>#REF!</v>
      </c>
      <c r="J11" s="56" t="e">
        <f t="shared" si="7"/>
        <v>#REF!</v>
      </c>
      <c r="K11" s="56" t="e">
        <f t="shared" si="7"/>
        <v>#REF!</v>
      </c>
      <c r="L11" s="56" t="e">
        <f t="shared" si="7"/>
        <v>#REF!</v>
      </c>
      <c r="M11" s="56" t="e">
        <f t="shared" si="7"/>
        <v>#REF!</v>
      </c>
      <c r="N11" s="56" t="e">
        <f t="shared" si="7"/>
        <v>#REF!</v>
      </c>
      <c r="O11" s="56" t="e">
        <f t="shared" si="7"/>
        <v>#REF!</v>
      </c>
      <c r="P11" s="56" t="e">
        <f t="shared" si="7"/>
        <v>#REF!</v>
      </c>
      <c r="Q11" s="56" t="e">
        <f t="shared" si="7"/>
        <v>#REF!</v>
      </c>
      <c r="R11" s="56" t="e">
        <f t="shared" si="7"/>
        <v>#REF!</v>
      </c>
    </row>
    <row r="12" spans="1:18" ht="15.75">
      <c r="A12" s="39" t="s">
        <v>62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6" t="e">
        <f>H6*('Jet Fuel'!F12/'Jet Fuel'!F6)</f>
        <v>#REF!</v>
      </c>
      <c r="I12" s="56" t="e">
        <f>I6*('Jet Fuel'!G12/'Jet Fuel'!G6)</f>
        <v>#REF!</v>
      </c>
      <c r="J12" s="56" t="e">
        <f>J6*('Jet Fuel'!H12/'Jet Fuel'!H6)</f>
        <v>#REF!</v>
      </c>
      <c r="K12" s="56" t="e">
        <f>K6*('Jet Fuel'!I12/'Jet Fuel'!I6)</f>
        <v>#REF!</v>
      </c>
      <c r="L12" s="56" t="e">
        <f>L6*('Jet Fuel'!J12/'Jet Fuel'!J6)</f>
        <v>#REF!</v>
      </c>
      <c r="M12" s="56" t="e">
        <f>M6*('Jet Fuel'!K12/'Jet Fuel'!K6)</f>
        <v>#REF!</v>
      </c>
      <c r="N12" s="56" t="e">
        <f>N6*('Jet Fuel'!L12/'Jet Fuel'!L6)</f>
        <v>#REF!</v>
      </c>
      <c r="O12" s="56" t="e">
        <f>O6*('Jet Fuel'!M12/'Jet Fuel'!M6)</f>
        <v>#REF!</v>
      </c>
      <c r="P12" s="56" t="e">
        <f>P6*('Jet Fuel'!N12/'Jet Fuel'!N6)</f>
        <v>#REF!</v>
      </c>
      <c r="Q12" s="56" t="e">
        <f>Q6*('Jet Fuel'!O12/'Jet Fuel'!O6)</f>
        <v>#REF!</v>
      </c>
      <c r="R12" s="56" t="e">
        <f>R6*('Jet Fuel'!P12/'Jet Fuel'!P6)</f>
        <v>#REF!</v>
      </c>
    </row>
    <row r="13" spans="1:18" ht="15.75"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8"/>
    </row>
    <row r="14" spans="1:18" ht="15.75">
      <c r="A14" s="43" t="s">
        <v>63</v>
      </c>
      <c r="B14" s="59" t="e">
        <f t="shared" ref="B14:E14" si="8">B12/(C11/365)</f>
        <v>#REF!</v>
      </c>
      <c r="C14" s="59" t="e">
        <f t="shared" si="8"/>
        <v>#REF!</v>
      </c>
      <c r="D14" s="59" t="e">
        <f t="shared" si="8"/>
        <v>#REF!</v>
      </c>
      <c r="E14" s="59" t="e">
        <f t="shared" si="8"/>
        <v>#REF!</v>
      </c>
      <c r="F14" s="59" t="e">
        <f>F12/(G11/365)</f>
        <v>#REF!</v>
      </c>
      <c r="G14" s="59" t="e">
        <f>G12/(H11/365)</f>
        <v>#REF!</v>
      </c>
      <c r="H14" s="59" t="e">
        <f>H12/(I11/365)</f>
        <v>#REF!</v>
      </c>
      <c r="I14" s="59" t="e">
        <f t="shared" ref="I14:Q14" si="9">I12/(J11/365)</f>
        <v>#REF!</v>
      </c>
      <c r="J14" s="59" t="e">
        <f t="shared" si="9"/>
        <v>#REF!</v>
      </c>
      <c r="K14" s="59" t="e">
        <f t="shared" si="9"/>
        <v>#REF!</v>
      </c>
      <c r="L14" s="59" t="e">
        <f t="shared" si="9"/>
        <v>#REF!</v>
      </c>
      <c r="M14" s="59" t="e">
        <f t="shared" si="9"/>
        <v>#REF!</v>
      </c>
      <c r="N14" s="59" t="e">
        <f t="shared" si="9"/>
        <v>#REF!</v>
      </c>
      <c r="O14" s="59" t="e">
        <f t="shared" si="9"/>
        <v>#REF!</v>
      </c>
      <c r="P14" s="59" t="e">
        <f t="shared" si="9"/>
        <v>#REF!</v>
      </c>
      <c r="Q14" s="59" t="e">
        <f t="shared" si="9"/>
        <v>#REF!</v>
      </c>
      <c r="R14" s="58"/>
    </row>
    <row r="15" spans="1:18" ht="16.5" thickBot="1">
      <c r="A15" s="43" t="s">
        <v>64</v>
      </c>
      <c r="B15" s="57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1"/>
    </row>
    <row r="16" spans="1:18" ht="15.75" thickTop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1:18">
      <c r="A17" s="35" t="s">
        <v>86</v>
      </c>
      <c r="B17" s="62" t="e">
        <f>B9/'Jet Fuel'!B9</f>
        <v>#REF!</v>
      </c>
      <c r="C17" s="62" t="e">
        <f>C9/'Jet Fuel'!C9</f>
        <v>#REF!</v>
      </c>
      <c r="D17" s="62" t="e">
        <f>D9/'Jet Fuel'!D9</f>
        <v>#REF!</v>
      </c>
      <c r="E17" s="62" t="e">
        <f>E9/'Jet Fuel'!E9</f>
        <v>#REF!</v>
      </c>
      <c r="F17" s="62" t="e">
        <f>F9/'Jet Fuel'!F9</f>
        <v>#REF!</v>
      </c>
      <c r="G17" s="62" t="e">
        <f>G9/'Jet Fuel'!G9</f>
        <v>#REF!</v>
      </c>
      <c r="H17" s="62" t="e">
        <f>H9/'Jet Fuel'!H9</f>
        <v>#REF!</v>
      </c>
      <c r="I17" s="62" t="e">
        <f>I9/'Jet Fuel'!I9</f>
        <v>#REF!</v>
      </c>
      <c r="J17" s="62" t="e">
        <f>J9/'Jet Fuel'!J9</f>
        <v>#REF!</v>
      </c>
      <c r="K17" s="62" t="e">
        <f>K9/'Jet Fuel'!K9</f>
        <v>#REF!</v>
      </c>
      <c r="L17" s="62" t="e">
        <f>L9/'Jet Fuel'!L9</f>
        <v>#REF!</v>
      </c>
      <c r="M17" s="62" t="e">
        <f>M9/'Jet Fuel'!M9</f>
        <v>#REF!</v>
      </c>
      <c r="N17" s="62" t="e">
        <f>N9/'Jet Fuel'!N9</f>
        <v>#REF!</v>
      </c>
      <c r="O17" s="62" t="e">
        <f>O9/'Jet Fuel'!O9</f>
        <v>#REF!</v>
      </c>
      <c r="P17" s="62" t="e">
        <f>P9/'Jet Fuel'!P9</f>
        <v>#REF!</v>
      </c>
      <c r="Q17" s="62" t="e">
        <f>Q9/'Jet Fuel'!Q9</f>
        <v>#REF!</v>
      </c>
    </row>
    <row r="19" spans="1:18" ht="15.75" thickBot="1">
      <c r="A19" s="43" t="s">
        <v>87</v>
      </c>
    </row>
    <row r="20" spans="1:18" ht="15.75" thickBot="1">
      <c r="A20" s="50" t="s">
        <v>67</v>
      </c>
      <c r="B20" s="51">
        <f>B4</f>
        <v>2018</v>
      </c>
      <c r="C20" s="51">
        <f t="shared" ref="C20:Q20" si="10">C4</f>
        <v>2019</v>
      </c>
      <c r="D20" s="51">
        <f t="shared" si="10"/>
        <v>2020</v>
      </c>
      <c r="E20" s="51">
        <f t="shared" si="10"/>
        <v>2021</v>
      </c>
      <c r="F20" s="51">
        <f t="shared" si="10"/>
        <v>2022</v>
      </c>
      <c r="G20" s="51">
        <f t="shared" si="10"/>
        <v>2023</v>
      </c>
      <c r="H20" s="51">
        <f t="shared" si="10"/>
        <v>2024</v>
      </c>
      <c r="I20" s="51">
        <f t="shared" si="10"/>
        <v>2025</v>
      </c>
      <c r="J20" s="51">
        <f t="shared" si="10"/>
        <v>2026</v>
      </c>
      <c r="K20" s="51">
        <f t="shared" si="10"/>
        <v>2027</v>
      </c>
      <c r="L20" s="51">
        <f t="shared" si="10"/>
        <v>2028</v>
      </c>
      <c r="M20" s="51">
        <f t="shared" si="10"/>
        <v>2029</v>
      </c>
      <c r="N20" s="51">
        <f t="shared" si="10"/>
        <v>2030</v>
      </c>
      <c r="O20" s="51">
        <f t="shared" si="10"/>
        <v>2031</v>
      </c>
      <c r="P20" s="51">
        <f t="shared" si="10"/>
        <v>2032</v>
      </c>
      <c r="Q20" s="51">
        <f t="shared" si="10"/>
        <v>2033</v>
      </c>
    </row>
    <row r="21" spans="1:18">
      <c r="A21" s="43" t="s">
        <v>68</v>
      </c>
      <c r="B21" s="48" t="e">
        <f>#REF!/1000</f>
        <v>#REF!</v>
      </c>
      <c r="C21" s="48" t="e">
        <f>#REF!/1000</f>
        <v>#REF!</v>
      </c>
      <c r="D21" s="48" t="e">
        <f>#REF!/1000</f>
        <v>#REF!</v>
      </c>
      <c r="E21" s="48" t="e">
        <f>#REF!/1000</f>
        <v>#REF!</v>
      </c>
      <c r="F21" s="48" t="e">
        <f>#REF!/1000</f>
        <v>#REF!</v>
      </c>
      <c r="G21" s="48" t="e">
        <f>#REF!/1000</f>
        <v>#REF!</v>
      </c>
      <c r="H21" s="48" t="e">
        <f>#REF!/1000</f>
        <v>#REF!</v>
      </c>
      <c r="I21" s="52" t="e">
        <f>#REF!/1000</f>
        <v>#REF!</v>
      </c>
      <c r="J21" s="52" t="e">
        <f>#REF!/1000</f>
        <v>#REF!</v>
      </c>
      <c r="K21" s="52" t="e">
        <f>#REF!/1000</f>
        <v>#REF!</v>
      </c>
      <c r="L21" s="52" t="e">
        <f>#REF!/1000</f>
        <v>#REF!</v>
      </c>
      <c r="M21" s="52" t="e">
        <f>#REF!/1000</f>
        <v>#REF!</v>
      </c>
      <c r="N21" s="52" t="e">
        <f>#REF!/1000</f>
        <v>#REF!</v>
      </c>
      <c r="O21" s="52" t="e">
        <f>#REF!/1000</f>
        <v>#REF!</v>
      </c>
      <c r="P21" s="52" t="e">
        <f>#REF!/1000</f>
        <v>#REF!</v>
      </c>
      <c r="Q21" s="52" t="e">
        <f>#REF!/1000</f>
        <v>#REF!</v>
      </c>
      <c r="R21" s="52" t="e">
        <f>#REF!/1000</f>
        <v>#REF!</v>
      </c>
    </row>
    <row r="22" spans="1:18">
      <c r="A22" s="43" t="s">
        <v>69</v>
      </c>
      <c r="B22" s="48" t="e">
        <f>#REF!/1000</f>
        <v>#REF!</v>
      </c>
      <c r="C22" s="48" t="e">
        <f>#REF!/1000</f>
        <v>#REF!</v>
      </c>
      <c r="D22" s="48" t="e">
        <f>#REF!/1000</f>
        <v>#REF!</v>
      </c>
      <c r="E22" s="48" t="e">
        <f>#REF!/1000</f>
        <v>#REF!</v>
      </c>
      <c r="F22" s="48" t="e">
        <f>#REF!/1000</f>
        <v>#REF!</v>
      </c>
      <c r="G22" s="48" t="e">
        <f>#REF!/1000</f>
        <v>#REF!</v>
      </c>
      <c r="H22" s="48" t="e">
        <f>#REF!/1000</f>
        <v>#REF!</v>
      </c>
      <c r="I22" s="52" t="e">
        <f>#REF!/1000</f>
        <v>#REF!</v>
      </c>
      <c r="J22" s="52" t="e">
        <f>#REF!/1000</f>
        <v>#REF!</v>
      </c>
      <c r="K22" s="52" t="e">
        <f>#REF!/1000</f>
        <v>#REF!</v>
      </c>
      <c r="L22" s="52" t="e">
        <f>#REF!/1000</f>
        <v>#REF!</v>
      </c>
      <c r="M22" s="52" t="e">
        <f>#REF!/1000</f>
        <v>#REF!</v>
      </c>
      <c r="N22" s="52" t="e">
        <f>#REF!/1000</f>
        <v>#REF!</v>
      </c>
      <c r="O22" s="52" t="e">
        <f>#REF!/1000</f>
        <v>#REF!</v>
      </c>
      <c r="P22" s="52" t="e">
        <f>#REF!/1000</f>
        <v>#REF!</v>
      </c>
      <c r="Q22" s="52" t="e">
        <f>#REF!/1000</f>
        <v>#REF!</v>
      </c>
      <c r="R22" s="52" t="e">
        <f>#REF!/1000</f>
        <v>#REF!</v>
      </c>
    </row>
    <row r="23" spans="1:18">
      <c r="A23" s="43" t="s">
        <v>70</v>
      </c>
      <c r="B23" s="48" t="e">
        <f>#REF!/1000</f>
        <v>#REF!</v>
      </c>
      <c r="C23" s="48" t="e">
        <f>#REF!/1000</f>
        <v>#REF!</v>
      </c>
      <c r="D23" s="48" t="e">
        <f>#REF!/1000</f>
        <v>#REF!</v>
      </c>
      <c r="E23" s="48" t="e">
        <f>#REF!/1000</f>
        <v>#REF!</v>
      </c>
      <c r="F23" s="48" t="e">
        <f>#REF!/1000</f>
        <v>#REF!</v>
      </c>
      <c r="G23" s="48" t="e">
        <f>#REF!/1000</f>
        <v>#REF!</v>
      </c>
      <c r="H23" s="52" t="e">
        <f>#REF!/1000</f>
        <v>#REF!</v>
      </c>
      <c r="I23" s="52" t="e">
        <f>#REF!/1000</f>
        <v>#REF!</v>
      </c>
      <c r="J23" s="52" t="e">
        <f>#REF!/1000</f>
        <v>#REF!</v>
      </c>
      <c r="K23" s="52" t="e">
        <f>#REF!/1000</f>
        <v>#REF!</v>
      </c>
      <c r="L23" s="52" t="e">
        <f>#REF!/1000</f>
        <v>#REF!</v>
      </c>
      <c r="M23" s="52" t="e">
        <f>#REF!/1000</f>
        <v>#REF!</v>
      </c>
      <c r="N23" s="52" t="e">
        <f>#REF!/1000</f>
        <v>#REF!</v>
      </c>
      <c r="O23" s="52" t="e">
        <f>#REF!/1000</f>
        <v>#REF!</v>
      </c>
      <c r="P23" s="52" t="e">
        <f>#REF!/1000</f>
        <v>#REF!</v>
      </c>
      <c r="Q23" s="52" t="e">
        <f>#REF!/1000</f>
        <v>#REF!</v>
      </c>
      <c r="R23" s="52" t="e">
        <f>#REF!/1000</f>
        <v>#REF!</v>
      </c>
    </row>
    <row r="24" spans="1:18">
      <c r="A24" s="43" t="s">
        <v>71</v>
      </c>
      <c r="B24" s="48" t="e">
        <f>#REF!/1000</f>
        <v>#REF!</v>
      </c>
      <c r="C24" s="48" t="e">
        <f>#REF!/1000</f>
        <v>#REF!</v>
      </c>
      <c r="D24" s="48" t="e">
        <f>#REF!/1000</f>
        <v>#REF!</v>
      </c>
      <c r="E24" s="48" t="e">
        <f>#REF!/1000</f>
        <v>#REF!</v>
      </c>
      <c r="F24" s="48" t="e">
        <f>#REF!/1000</f>
        <v>#REF!</v>
      </c>
      <c r="G24" s="48" t="e">
        <f>#REF!/1000</f>
        <v>#REF!</v>
      </c>
      <c r="H24" s="52" t="e">
        <f>#REF!/1000</f>
        <v>#REF!</v>
      </c>
      <c r="I24" s="52" t="e">
        <f>#REF!/1000</f>
        <v>#REF!</v>
      </c>
      <c r="J24" s="52" t="e">
        <f>#REF!/1000</f>
        <v>#REF!</v>
      </c>
      <c r="K24" s="52" t="e">
        <f>#REF!/1000</f>
        <v>#REF!</v>
      </c>
      <c r="L24" s="52" t="e">
        <f>#REF!/1000</f>
        <v>#REF!</v>
      </c>
      <c r="M24" s="52" t="e">
        <f>#REF!/1000</f>
        <v>#REF!</v>
      </c>
      <c r="N24" s="52" t="e">
        <f>#REF!/1000</f>
        <v>#REF!</v>
      </c>
      <c r="O24" s="52" t="e">
        <f>#REF!/1000</f>
        <v>#REF!</v>
      </c>
      <c r="P24" s="52" t="e">
        <f>#REF!/1000</f>
        <v>#REF!</v>
      </c>
      <c r="Q24" s="52" t="e">
        <f>#REF!/1000</f>
        <v>#REF!</v>
      </c>
      <c r="R24" s="52" t="e">
        <f>#REF!/1000</f>
        <v>#REF!</v>
      </c>
    </row>
    <row r="25" spans="1:18">
      <c r="A25" s="43" t="s">
        <v>72</v>
      </c>
      <c r="B25" s="48" t="e">
        <f>#REF!/1000</f>
        <v>#REF!</v>
      </c>
      <c r="C25" s="48" t="e">
        <f>#REF!/1000</f>
        <v>#REF!</v>
      </c>
      <c r="D25" s="48" t="e">
        <f>#REF!/1000</f>
        <v>#REF!</v>
      </c>
      <c r="E25" s="48" t="e">
        <f>#REF!/1000</f>
        <v>#REF!</v>
      </c>
      <c r="F25" s="48" t="e">
        <f>#REF!/1000</f>
        <v>#REF!</v>
      </c>
      <c r="G25" s="48" t="e">
        <f>#REF!/1000</f>
        <v>#REF!</v>
      </c>
      <c r="H25" s="52" t="e">
        <f>#REF!/1000</f>
        <v>#REF!</v>
      </c>
      <c r="I25" s="52" t="e">
        <f>#REF!/1000</f>
        <v>#REF!</v>
      </c>
      <c r="J25" s="52" t="e">
        <f>#REF!/1000</f>
        <v>#REF!</v>
      </c>
      <c r="K25" s="52" t="e">
        <f>#REF!/1000</f>
        <v>#REF!</v>
      </c>
      <c r="L25" s="52" t="e">
        <f>#REF!/1000</f>
        <v>#REF!</v>
      </c>
      <c r="M25" s="52" t="e">
        <f>#REF!/1000</f>
        <v>#REF!</v>
      </c>
      <c r="N25" s="52" t="e">
        <f>#REF!/1000</f>
        <v>#REF!</v>
      </c>
      <c r="O25" s="52" t="e">
        <f>#REF!/1000</f>
        <v>#REF!</v>
      </c>
      <c r="P25" s="52" t="e">
        <f>#REF!/1000</f>
        <v>#REF!</v>
      </c>
      <c r="Q25" s="52" t="e">
        <f>#REF!/1000</f>
        <v>#REF!</v>
      </c>
      <c r="R25" s="52" t="e">
        <f>#REF!/1000</f>
        <v>#REF!</v>
      </c>
    </row>
    <row r="26" spans="1:18">
      <c r="A26" s="43" t="s">
        <v>73</v>
      </c>
      <c r="B26" s="48" t="e">
        <f>#REF!/1000</f>
        <v>#REF!</v>
      </c>
      <c r="C26" s="48" t="e">
        <f>#REF!/1000</f>
        <v>#REF!</v>
      </c>
      <c r="D26" s="48" t="e">
        <f>#REF!/1000</f>
        <v>#REF!</v>
      </c>
      <c r="E26" s="48" t="e">
        <f>#REF!/1000</f>
        <v>#REF!</v>
      </c>
      <c r="F26" s="48" t="e">
        <f>#REF!/1000</f>
        <v>#REF!</v>
      </c>
      <c r="G26" s="48" t="e">
        <f>#REF!/1000</f>
        <v>#REF!</v>
      </c>
      <c r="H26" s="52" t="e">
        <f>#REF!/1000</f>
        <v>#REF!</v>
      </c>
      <c r="I26" s="52" t="e">
        <f>#REF!/1000</f>
        <v>#REF!</v>
      </c>
      <c r="J26" s="52" t="e">
        <f>#REF!/1000</f>
        <v>#REF!</v>
      </c>
      <c r="K26" s="52" t="e">
        <f>#REF!/1000</f>
        <v>#REF!</v>
      </c>
      <c r="L26" s="52" t="e">
        <f>#REF!/1000</f>
        <v>#REF!</v>
      </c>
      <c r="M26" s="52" t="e">
        <f>#REF!/1000</f>
        <v>#REF!</v>
      </c>
      <c r="N26" s="52" t="e">
        <f>#REF!/1000</f>
        <v>#REF!</v>
      </c>
      <c r="O26" s="52" t="e">
        <f>#REF!/1000</f>
        <v>#REF!</v>
      </c>
      <c r="P26" s="52" t="e">
        <f>#REF!/1000</f>
        <v>#REF!</v>
      </c>
      <c r="Q26" s="52" t="e">
        <f>#REF!/1000</f>
        <v>#REF!</v>
      </c>
      <c r="R26" s="52" t="e">
        <f>#REF!/1000</f>
        <v>#REF!</v>
      </c>
    </row>
    <row r="27" spans="1:18">
      <c r="A27" s="43" t="s">
        <v>74</v>
      </c>
      <c r="B27" s="48" t="e">
        <f>#REF!/1000</f>
        <v>#REF!</v>
      </c>
      <c r="C27" s="48" t="e">
        <f>#REF!/1000</f>
        <v>#REF!</v>
      </c>
      <c r="D27" s="48" t="e">
        <f>#REF!/1000</f>
        <v>#REF!</v>
      </c>
      <c r="E27" s="48" t="e">
        <f>#REF!/1000</f>
        <v>#REF!</v>
      </c>
      <c r="F27" s="48" t="e">
        <f>#REF!/1000</f>
        <v>#REF!</v>
      </c>
      <c r="G27" s="48" t="e">
        <f>#REF!/1000</f>
        <v>#REF!</v>
      </c>
      <c r="H27" s="52" t="e">
        <f>#REF!/1000</f>
        <v>#REF!</v>
      </c>
      <c r="I27" s="52" t="e">
        <f>#REF!/1000</f>
        <v>#REF!</v>
      </c>
      <c r="J27" s="52" t="e">
        <f>#REF!/1000</f>
        <v>#REF!</v>
      </c>
      <c r="K27" s="52" t="e">
        <f>#REF!/1000</f>
        <v>#REF!</v>
      </c>
      <c r="L27" s="52" t="e">
        <f>#REF!/1000</f>
        <v>#REF!</v>
      </c>
      <c r="M27" s="52" t="e">
        <f>#REF!/1000</f>
        <v>#REF!</v>
      </c>
      <c r="N27" s="52" t="e">
        <f>#REF!/1000</f>
        <v>#REF!</v>
      </c>
      <c r="O27" s="52" t="e">
        <f>#REF!/1000</f>
        <v>#REF!</v>
      </c>
      <c r="P27" s="52" t="e">
        <f>#REF!/1000</f>
        <v>#REF!</v>
      </c>
      <c r="Q27" s="52" t="e">
        <f>#REF!/1000</f>
        <v>#REF!</v>
      </c>
      <c r="R27" s="52" t="e">
        <f>#REF!/1000</f>
        <v>#REF!</v>
      </c>
    </row>
    <row r="28" spans="1:18">
      <c r="A28" s="43" t="s">
        <v>75</v>
      </c>
      <c r="B28" s="48" t="e">
        <f>#REF!/1000</f>
        <v>#REF!</v>
      </c>
      <c r="C28" s="48" t="e">
        <f>#REF!/1000</f>
        <v>#REF!</v>
      </c>
      <c r="D28" s="48" t="e">
        <f>#REF!/1000</f>
        <v>#REF!</v>
      </c>
      <c r="E28" s="48" t="e">
        <f>#REF!/1000</f>
        <v>#REF!</v>
      </c>
      <c r="F28" s="48" t="e">
        <f>#REF!/1000</f>
        <v>#REF!</v>
      </c>
      <c r="G28" s="48" t="e">
        <f>#REF!/1000</f>
        <v>#REF!</v>
      </c>
      <c r="H28" s="52" t="e">
        <f>#REF!/1000</f>
        <v>#REF!</v>
      </c>
      <c r="I28" s="52" t="e">
        <f>#REF!/1000</f>
        <v>#REF!</v>
      </c>
      <c r="J28" s="52" t="e">
        <f>#REF!/1000</f>
        <v>#REF!</v>
      </c>
      <c r="K28" s="52" t="e">
        <f>#REF!/1000</f>
        <v>#REF!</v>
      </c>
      <c r="L28" s="52" t="e">
        <f>#REF!/1000</f>
        <v>#REF!</v>
      </c>
      <c r="M28" s="52" t="e">
        <f>#REF!/1000</f>
        <v>#REF!</v>
      </c>
      <c r="N28" s="52" t="e">
        <f>#REF!/1000</f>
        <v>#REF!</v>
      </c>
      <c r="O28" s="52" t="e">
        <f>#REF!/1000</f>
        <v>#REF!</v>
      </c>
      <c r="P28" s="52" t="e">
        <f>#REF!/1000</f>
        <v>#REF!</v>
      </c>
      <c r="Q28" s="52" t="e">
        <f>#REF!/1000</f>
        <v>#REF!</v>
      </c>
      <c r="R28" s="52" t="e">
        <f>#REF!/1000</f>
        <v>#REF!</v>
      </c>
    </row>
    <row r="29" spans="1:18">
      <c r="A29" s="43" t="s">
        <v>76</v>
      </c>
      <c r="B29" s="48" t="e">
        <f>#REF!/1000</f>
        <v>#REF!</v>
      </c>
      <c r="C29" s="48" t="e">
        <f>#REF!/1000</f>
        <v>#REF!</v>
      </c>
      <c r="D29" s="48" t="e">
        <f>#REF!/1000</f>
        <v>#REF!</v>
      </c>
      <c r="E29" s="48" t="e">
        <f>#REF!/1000</f>
        <v>#REF!</v>
      </c>
      <c r="F29" s="48" t="e">
        <f>#REF!/1000</f>
        <v>#REF!</v>
      </c>
      <c r="G29" s="48" t="e">
        <f>#REF!/1000</f>
        <v>#REF!</v>
      </c>
      <c r="H29" s="52" t="e">
        <f>#REF!/1000</f>
        <v>#REF!</v>
      </c>
      <c r="I29" s="52" t="e">
        <f>#REF!/1000</f>
        <v>#REF!</v>
      </c>
      <c r="J29" s="52" t="e">
        <f>#REF!/1000</f>
        <v>#REF!</v>
      </c>
      <c r="K29" s="52" t="e">
        <f>#REF!/1000</f>
        <v>#REF!</v>
      </c>
      <c r="L29" s="52" t="e">
        <f>#REF!/1000</f>
        <v>#REF!</v>
      </c>
      <c r="M29" s="52" t="e">
        <f>#REF!/1000</f>
        <v>#REF!</v>
      </c>
      <c r="N29" s="52" t="e">
        <f>#REF!/1000</f>
        <v>#REF!</v>
      </c>
      <c r="O29" s="52" t="e">
        <f>#REF!/1000</f>
        <v>#REF!</v>
      </c>
      <c r="P29" s="52" t="e">
        <f>#REF!/1000</f>
        <v>#REF!</v>
      </c>
      <c r="Q29" s="52" t="e">
        <f>#REF!/1000</f>
        <v>#REF!</v>
      </c>
      <c r="R29" s="52" t="e">
        <f>#REF!/1000</f>
        <v>#REF!</v>
      </c>
    </row>
    <row r="30" spans="1:18">
      <c r="A30" s="43" t="s">
        <v>77</v>
      </c>
      <c r="B30" s="48" t="e">
        <f>#REF!/1000</f>
        <v>#REF!</v>
      </c>
      <c r="C30" s="48" t="e">
        <f>#REF!/1000</f>
        <v>#REF!</v>
      </c>
      <c r="D30" s="48" t="e">
        <f>#REF!/1000</f>
        <v>#REF!</v>
      </c>
      <c r="E30" s="48" t="e">
        <f>#REF!/1000</f>
        <v>#REF!</v>
      </c>
      <c r="F30" s="48" t="e">
        <f>#REF!/1000</f>
        <v>#REF!</v>
      </c>
      <c r="G30" s="48" t="e">
        <f>#REF!/1000</f>
        <v>#REF!</v>
      </c>
      <c r="H30" s="52" t="e">
        <f>#REF!/1000</f>
        <v>#REF!</v>
      </c>
      <c r="I30" s="52" t="e">
        <f>#REF!/1000</f>
        <v>#REF!</v>
      </c>
      <c r="J30" s="52" t="e">
        <f>#REF!/1000</f>
        <v>#REF!</v>
      </c>
      <c r="K30" s="52" t="e">
        <f>#REF!/1000</f>
        <v>#REF!</v>
      </c>
      <c r="L30" s="52" t="e">
        <f>#REF!/1000</f>
        <v>#REF!</v>
      </c>
      <c r="M30" s="52" t="e">
        <f>#REF!/1000</f>
        <v>#REF!</v>
      </c>
      <c r="N30" s="52" t="e">
        <f>#REF!/1000</f>
        <v>#REF!</v>
      </c>
      <c r="O30" s="52" t="e">
        <f>#REF!/1000</f>
        <v>#REF!</v>
      </c>
      <c r="P30" s="52" t="e">
        <f>#REF!/1000</f>
        <v>#REF!</v>
      </c>
      <c r="Q30" s="52" t="e">
        <f>#REF!/1000</f>
        <v>#REF!</v>
      </c>
      <c r="R30" s="52" t="e">
        <f>#REF!/1000</f>
        <v>#REF!</v>
      </c>
    </row>
    <row r="31" spans="1:18">
      <c r="A31" s="43" t="s">
        <v>78</v>
      </c>
      <c r="B31" s="48" t="e">
        <f>#REF!/1000</f>
        <v>#REF!</v>
      </c>
      <c r="C31" s="48" t="e">
        <f>#REF!/1000</f>
        <v>#REF!</v>
      </c>
      <c r="D31" s="48" t="e">
        <f>#REF!/1000</f>
        <v>#REF!</v>
      </c>
      <c r="E31" s="48" t="e">
        <f>#REF!/1000</f>
        <v>#REF!</v>
      </c>
      <c r="F31" s="48" t="e">
        <f>#REF!/1000</f>
        <v>#REF!</v>
      </c>
      <c r="G31" s="48" t="e">
        <f>#REF!/1000</f>
        <v>#REF!</v>
      </c>
      <c r="H31" s="52" t="e">
        <f>#REF!/1000</f>
        <v>#REF!</v>
      </c>
      <c r="I31" s="52" t="e">
        <f>#REF!/1000</f>
        <v>#REF!</v>
      </c>
      <c r="J31" s="52" t="e">
        <f>#REF!/1000</f>
        <v>#REF!</v>
      </c>
      <c r="K31" s="52" t="e">
        <f>#REF!/1000</f>
        <v>#REF!</v>
      </c>
      <c r="L31" s="52" t="e">
        <f>#REF!/1000</f>
        <v>#REF!</v>
      </c>
      <c r="M31" s="52" t="e">
        <f>#REF!/1000</f>
        <v>#REF!</v>
      </c>
      <c r="N31" s="52" t="e">
        <f>#REF!/1000</f>
        <v>#REF!</v>
      </c>
      <c r="O31" s="52" t="e">
        <f>#REF!/1000</f>
        <v>#REF!</v>
      </c>
      <c r="P31" s="52" t="e">
        <f>#REF!/1000</f>
        <v>#REF!</v>
      </c>
      <c r="Q31" s="52" t="e">
        <f>#REF!/1000</f>
        <v>#REF!</v>
      </c>
      <c r="R31" s="52" t="e">
        <f>#REF!/1000</f>
        <v>#REF!</v>
      </c>
    </row>
    <row r="32" spans="1:18">
      <c r="A32" s="43" t="s">
        <v>79</v>
      </c>
      <c r="B32" s="48" t="e">
        <f>#REF!/1000</f>
        <v>#REF!</v>
      </c>
      <c r="C32" s="48" t="e">
        <f>#REF!/1000</f>
        <v>#REF!</v>
      </c>
      <c r="D32" s="48" t="e">
        <f>#REF!/1000</f>
        <v>#REF!</v>
      </c>
      <c r="E32" s="48" t="e">
        <f>#REF!/1000</f>
        <v>#REF!</v>
      </c>
      <c r="F32" s="48" t="e">
        <f>#REF!/1000</f>
        <v>#REF!</v>
      </c>
      <c r="G32" s="48" t="e">
        <f>#REF!/1000</f>
        <v>#REF!</v>
      </c>
      <c r="H32" s="52" t="e">
        <f>#REF!/1000</f>
        <v>#REF!</v>
      </c>
      <c r="I32" s="52" t="e">
        <f>#REF!/1000</f>
        <v>#REF!</v>
      </c>
      <c r="J32" s="52" t="e">
        <f>#REF!/1000</f>
        <v>#REF!</v>
      </c>
      <c r="K32" s="52" t="e">
        <f>#REF!/1000</f>
        <v>#REF!</v>
      </c>
      <c r="L32" s="52" t="e">
        <f>#REF!/1000</f>
        <v>#REF!</v>
      </c>
      <c r="M32" s="52" t="e">
        <f>#REF!/1000</f>
        <v>#REF!</v>
      </c>
      <c r="N32" s="52" t="e">
        <f>#REF!/1000</f>
        <v>#REF!</v>
      </c>
      <c r="O32" s="52" t="e">
        <f>#REF!/1000</f>
        <v>#REF!</v>
      </c>
      <c r="P32" s="52" t="e">
        <f>#REF!/1000</f>
        <v>#REF!</v>
      </c>
      <c r="Q32" s="52" t="e">
        <f>#REF!/1000</f>
        <v>#REF!</v>
      </c>
      <c r="R32" s="52" t="e">
        <f>#REF!/1000</f>
        <v>#REF!</v>
      </c>
    </row>
    <row r="33" spans="1:18" ht="15.75" thickBot="1">
      <c r="A33" s="43" t="s">
        <v>80</v>
      </c>
      <c r="B33" s="48" t="e">
        <f>SUM(B21:B32)</f>
        <v>#REF!</v>
      </c>
      <c r="C33" s="48" t="e">
        <f t="shared" ref="C33:R33" si="11">SUM(C21:C32)</f>
        <v>#REF!</v>
      </c>
      <c r="D33" s="48" t="e">
        <f t="shared" si="11"/>
        <v>#REF!</v>
      </c>
      <c r="E33" s="48" t="e">
        <f t="shared" si="11"/>
        <v>#REF!</v>
      </c>
      <c r="F33" s="48" t="e">
        <f t="shared" si="11"/>
        <v>#REF!</v>
      </c>
      <c r="G33" s="48" t="e">
        <f t="shared" si="11"/>
        <v>#REF!</v>
      </c>
      <c r="H33" s="52" t="e">
        <f t="shared" si="11"/>
        <v>#REF!</v>
      </c>
      <c r="I33" s="52" t="e">
        <f t="shared" si="11"/>
        <v>#REF!</v>
      </c>
      <c r="J33" s="52" t="e">
        <f t="shared" si="11"/>
        <v>#REF!</v>
      </c>
      <c r="K33" s="52" t="e">
        <f t="shared" si="11"/>
        <v>#REF!</v>
      </c>
      <c r="L33" s="52" t="e">
        <f t="shared" si="11"/>
        <v>#REF!</v>
      </c>
      <c r="M33" s="52" t="e">
        <f t="shared" si="11"/>
        <v>#REF!</v>
      </c>
      <c r="N33" s="52" t="e">
        <f t="shared" si="11"/>
        <v>#REF!</v>
      </c>
      <c r="O33" s="52" t="e">
        <f t="shared" si="11"/>
        <v>#REF!</v>
      </c>
      <c r="P33" s="52" t="e">
        <f t="shared" si="11"/>
        <v>#REF!</v>
      </c>
      <c r="Q33" s="52" t="e">
        <f t="shared" si="11"/>
        <v>#REF!</v>
      </c>
      <c r="R33" s="52" t="e">
        <f t="shared" si="11"/>
        <v>#REF!</v>
      </c>
    </row>
    <row r="34" spans="1:18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</row>
    <row r="35" spans="1:18" ht="15.75" thickBot="1">
      <c r="A35" s="43" t="s">
        <v>88</v>
      </c>
    </row>
    <row r="36" spans="1:18" ht="15.75" thickBot="1">
      <c r="A36" s="50" t="s">
        <v>67</v>
      </c>
      <c r="B36" s="51">
        <f>B20</f>
        <v>2018</v>
      </c>
      <c r="C36" s="51">
        <f t="shared" ref="C36:Q36" si="12">C20</f>
        <v>2019</v>
      </c>
      <c r="D36" s="51">
        <f t="shared" si="12"/>
        <v>2020</v>
      </c>
      <c r="E36" s="51">
        <f t="shared" si="12"/>
        <v>2021</v>
      </c>
      <c r="F36" s="51">
        <f t="shared" si="12"/>
        <v>2022</v>
      </c>
      <c r="G36" s="51">
        <f t="shared" si="12"/>
        <v>2023</v>
      </c>
      <c r="H36" s="51">
        <f t="shared" si="12"/>
        <v>2024</v>
      </c>
      <c r="I36" s="51">
        <f t="shared" si="12"/>
        <v>2025</v>
      </c>
      <c r="J36" s="51">
        <f t="shared" si="12"/>
        <v>2026</v>
      </c>
      <c r="K36" s="51">
        <f t="shared" si="12"/>
        <v>2027</v>
      </c>
      <c r="L36" s="51">
        <f t="shared" si="12"/>
        <v>2028</v>
      </c>
      <c r="M36" s="51">
        <f t="shared" si="12"/>
        <v>2029</v>
      </c>
      <c r="N36" s="51">
        <f t="shared" si="12"/>
        <v>2030</v>
      </c>
      <c r="O36" s="51">
        <f t="shared" si="12"/>
        <v>2031</v>
      </c>
      <c r="P36" s="51">
        <f t="shared" si="12"/>
        <v>2032</v>
      </c>
      <c r="Q36" s="51">
        <f t="shared" si="12"/>
        <v>2033</v>
      </c>
    </row>
    <row r="37" spans="1:18">
      <c r="A37" s="43" t="s">
        <v>68</v>
      </c>
      <c r="B37" s="48">
        <f>'[3]US SAF Imports'!LX$290</f>
        <v>0</v>
      </c>
      <c r="C37" s="48">
        <f>'[3]US SAF Imports'!MJ$290</f>
        <v>0</v>
      </c>
      <c r="D37" s="48">
        <f>'[3]US SAF Imports'!MV$290</f>
        <v>0</v>
      </c>
      <c r="E37" s="48">
        <f>'[3]US SAF Imports'!NH$290</f>
        <v>0</v>
      </c>
      <c r="F37" s="48">
        <f>'[3]US SAF Imports'!NT$290</f>
        <v>0</v>
      </c>
      <c r="G37" s="48">
        <f>'[3]US SAF Imports'!OF$290</f>
        <v>0</v>
      </c>
      <c r="H37" s="48">
        <f>'[3]US SAF Imports'!OR$290</f>
        <v>0</v>
      </c>
      <c r="I37" s="52" t="e">
        <f>I$49*(SUM(D53:H53)/SUM(D$65:H$65))</f>
        <v>#REF!</v>
      </c>
      <c r="J37" s="52" t="e">
        <f t="shared" ref="J37:Q37" si="13">J$49*(SUM(E53:I53)/SUM(E$65:I$65))</f>
        <v>#REF!</v>
      </c>
      <c r="K37" s="52" t="e">
        <f t="shared" si="13"/>
        <v>#REF!</v>
      </c>
      <c r="L37" s="52" t="e">
        <f t="shared" si="13"/>
        <v>#REF!</v>
      </c>
      <c r="M37" s="52" t="e">
        <f t="shared" si="13"/>
        <v>#REF!</v>
      </c>
      <c r="N37" s="52" t="e">
        <f t="shared" si="13"/>
        <v>#REF!</v>
      </c>
      <c r="O37" s="52" t="e">
        <f t="shared" si="13"/>
        <v>#REF!</v>
      </c>
      <c r="P37" s="52" t="e">
        <f t="shared" si="13"/>
        <v>#REF!</v>
      </c>
      <c r="Q37" s="52" t="e">
        <f t="shared" si="13"/>
        <v>#REF!</v>
      </c>
    </row>
    <row r="38" spans="1:18">
      <c r="A38" s="43" t="s">
        <v>69</v>
      </c>
      <c r="B38" s="48">
        <f>'[3]US SAF Imports'!LY$290</f>
        <v>0</v>
      </c>
      <c r="C38" s="48">
        <f>'[3]US SAF Imports'!MK$290</f>
        <v>0</v>
      </c>
      <c r="D38" s="48">
        <f>'[3]US SAF Imports'!MW$290</f>
        <v>0</v>
      </c>
      <c r="E38" s="48">
        <f>'[3]US SAF Imports'!NI$290</f>
        <v>0</v>
      </c>
      <c r="F38" s="48">
        <f>'[3]US SAF Imports'!NU$290</f>
        <v>0</v>
      </c>
      <c r="G38" s="48">
        <f>'[3]US SAF Imports'!OG$290</f>
        <v>0</v>
      </c>
      <c r="H38" s="52" t="e">
        <f>H$49*(SUM(C54:G54)/SUM(C$65:G$65))</f>
        <v>#REF!</v>
      </c>
      <c r="I38" s="52" t="e">
        <f>I$49*(SUM(D54:H54)/SUM(D$65:H$65))</f>
        <v>#REF!</v>
      </c>
      <c r="J38" s="52" t="e">
        <f t="shared" ref="J38:Q47" si="14">J$49*(SUM(E54:I54)/SUM(E$65:I$65))</f>
        <v>#REF!</v>
      </c>
      <c r="K38" s="52" t="e">
        <f t="shared" si="14"/>
        <v>#REF!</v>
      </c>
      <c r="L38" s="52" t="e">
        <f t="shared" si="14"/>
        <v>#REF!</v>
      </c>
      <c r="M38" s="52" t="e">
        <f t="shared" si="14"/>
        <v>#REF!</v>
      </c>
      <c r="N38" s="52" t="e">
        <f t="shared" si="14"/>
        <v>#REF!</v>
      </c>
      <c r="O38" s="52" t="e">
        <f t="shared" si="14"/>
        <v>#REF!</v>
      </c>
      <c r="P38" s="52" t="e">
        <f t="shared" si="14"/>
        <v>#REF!</v>
      </c>
      <c r="Q38" s="52" t="e">
        <f t="shared" si="14"/>
        <v>#REF!</v>
      </c>
    </row>
    <row r="39" spans="1:18">
      <c r="A39" s="43" t="s">
        <v>70</v>
      </c>
      <c r="B39" s="48">
        <f>'[3]US SAF Imports'!LZ$290</f>
        <v>0</v>
      </c>
      <c r="C39" s="48">
        <f>'[3]US SAF Imports'!ML$290</f>
        <v>0</v>
      </c>
      <c r="D39" s="48">
        <f>'[3]US SAF Imports'!MX$290</f>
        <v>0</v>
      </c>
      <c r="E39" s="48">
        <f>'[3]US SAF Imports'!NJ$290</f>
        <v>0</v>
      </c>
      <c r="F39" s="48">
        <f>'[3]US SAF Imports'!NV$290</f>
        <v>0</v>
      </c>
      <c r="G39" s="48">
        <f>'[3]US SAF Imports'!OH$290</f>
        <v>0</v>
      </c>
      <c r="H39" s="52" t="e">
        <f>H$49*(SUM(C55:G55)/SUM(C$65:G$65))</f>
        <v>#REF!</v>
      </c>
      <c r="I39" s="52" t="e">
        <f>I$49*(SUM(D55:H55)/SUM(D$65:H$65))</f>
        <v>#REF!</v>
      </c>
      <c r="J39" s="52" t="e">
        <f t="shared" si="14"/>
        <v>#REF!</v>
      </c>
      <c r="K39" s="52" t="e">
        <f t="shared" si="14"/>
        <v>#REF!</v>
      </c>
      <c r="L39" s="52" t="e">
        <f t="shared" si="14"/>
        <v>#REF!</v>
      </c>
      <c r="M39" s="52" t="e">
        <f t="shared" si="14"/>
        <v>#REF!</v>
      </c>
      <c r="N39" s="52" t="e">
        <f t="shared" si="14"/>
        <v>#REF!</v>
      </c>
      <c r="O39" s="52" t="e">
        <f t="shared" si="14"/>
        <v>#REF!</v>
      </c>
      <c r="P39" s="52" t="e">
        <f t="shared" si="14"/>
        <v>#REF!</v>
      </c>
      <c r="Q39" s="52" t="e">
        <f t="shared" si="14"/>
        <v>#REF!</v>
      </c>
    </row>
    <row r="40" spans="1:18">
      <c r="A40" s="43" t="s">
        <v>71</v>
      </c>
      <c r="B40" s="48">
        <f>'[3]US SAF Imports'!MA$290</f>
        <v>0</v>
      </c>
      <c r="C40" s="48">
        <f>'[3]US SAF Imports'!MM$290</f>
        <v>0</v>
      </c>
      <c r="D40" s="48">
        <f>'[3]US SAF Imports'!MY$290</f>
        <v>0</v>
      </c>
      <c r="E40" s="48">
        <f>'[3]US SAF Imports'!NK$290</f>
        <v>0</v>
      </c>
      <c r="F40" s="48">
        <f>'[3]US SAF Imports'!NW$290</f>
        <v>0</v>
      </c>
      <c r="G40" s="48">
        <f>'[3]US SAF Imports'!OI$290</f>
        <v>0</v>
      </c>
      <c r="H40" s="52" t="e">
        <f t="shared" ref="H40:I47" si="15">H$49*(SUM(C56:G56)/SUM(C$65:G$65))</f>
        <v>#REF!</v>
      </c>
      <c r="I40" s="52" t="e">
        <f t="shared" si="15"/>
        <v>#REF!</v>
      </c>
      <c r="J40" s="52" t="e">
        <f t="shared" si="14"/>
        <v>#REF!</v>
      </c>
      <c r="K40" s="52" t="e">
        <f t="shared" si="14"/>
        <v>#REF!</v>
      </c>
      <c r="L40" s="52" t="e">
        <f t="shared" si="14"/>
        <v>#REF!</v>
      </c>
      <c r="M40" s="52" t="e">
        <f t="shared" si="14"/>
        <v>#REF!</v>
      </c>
      <c r="N40" s="52" t="e">
        <f t="shared" si="14"/>
        <v>#REF!</v>
      </c>
      <c r="O40" s="52" t="e">
        <f t="shared" si="14"/>
        <v>#REF!</v>
      </c>
      <c r="P40" s="52" t="e">
        <f t="shared" si="14"/>
        <v>#REF!</v>
      </c>
      <c r="Q40" s="52" t="e">
        <f t="shared" si="14"/>
        <v>#REF!</v>
      </c>
    </row>
    <row r="41" spans="1:18">
      <c r="A41" s="43" t="s">
        <v>72</v>
      </c>
      <c r="B41" s="48">
        <f>'[3]US SAF Imports'!MB$290</f>
        <v>0</v>
      </c>
      <c r="C41" s="48">
        <f>'[3]US SAF Imports'!MN$290</f>
        <v>0</v>
      </c>
      <c r="D41" s="48">
        <f>'[3]US SAF Imports'!MZ$290</f>
        <v>0</v>
      </c>
      <c r="E41" s="48">
        <f>'[3]US SAF Imports'!NL$290</f>
        <v>6536.8379999999997</v>
      </c>
      <c r="F41" s="48">
        <f>'[3]US SAF Imports'!NX$290</f>
        <v>146.83199999999999</v>
      </c>
      <c r="G41" s="48">
        <f>'[3]US SAF Imports'!OJ$290</f>
        <v>210</v>
      </c>
      <c r="H41" s="52" t="e">
        <f t="shared" si="15"/>
        <v>#REF!</v>
      </c>
      <c r="I41" s="52" t="e">
        <f t="shared" si="15"/>
        <v>#REF!</v>
      </c>
      <c r="J41" s="52" t="e">
        <f t="shared" si="14"/>
        <v>#REF!</v>
      </c>
      <c r="K41" s="52" t="e">
        <f t="shared" si="14"/>
        <v>#REF!</v>
      </c>
      <c r="L41" s="52" t="e">
        <f t="shared" si="14"/>
        <v>#REF!</v>
      </c>
      <c r="M41" s="52" t="e">
        <f t="shared" si="14"/>
        <v>#REF!</v>
      </c>
      <c r="N41" s="52" t="e">
        <f t="shared" si="14"/>
        <v>#REF!</v>
      </c>
      <c r="O41" s="52" t="e">
        <f t="shared" si="14"/>
        <v>#REF!</v>
      </c>
      <c r="P41" s="52" t="e">
        <f t="shared" si="14"/>
        <v>#REF!</v>
      </c>
      <c r="Q41" s="52" t="e">
        <f t="shared" si="14"/>
        <v>#REF!</v>
      </c>
    </row>
    <row r="42" spans="1:18">
      <c r="A42" s="43" t="s">
        <v>73</v>
      </c>
      <c r="B42" s="48">
        <f>'[3]US SAF Imports'!MC$290</f>
        <v>0</v>
      </c>
      <c r="C42" s="48">
        <f>'[3]US SAF Imports'!MO$290</f>
        <v>0</v>
      </c>
      <c r="D42" s="48">
        <f>'[3]US SAF Imports'!NA$290</f>
        <v>0</v>
      </c>
      <c r="E42" s="48">
        <f>'[3]US SAF Imports'!NM$290</f>
        <v>0</v>
      </c>
      <c r="F42" s="48">
        <f>'[3]US SAF Imports'!NY$290</f>
        <v>0</v>
      </c>
      <c r="G42" s="48">
        <f>'[3]US SAF Imports'!OK$290</f>
        <v>0</v>
      </c>
      <c r="H42" s="52" t="e">
        <f t="shared" si="15"/>
        <v>#REF!</v>
      </c>
      <c r="I42" s="52" t="e">
        <f t="shared" si="15"/>
        <v>#REF!</v>
      </c>
      <c r="J42" s="52" t="e">
        <f t="shared" si="14"/>
        <v>#REF!</v>
      </c>
      <c r="K42" s="52" t="e">
        <f t="shared" si="14"/>
        <v>#REF!</v>
      </c>
      <c r="L42" s="52" t="e">
        <f t="shared" si="14"/>
        <v>#REF!</v>
      </c>
      <c r="M42" s="52" t="e">
        <f t="shared" si="14"/>
        <v>#REF!</v>
      </c>
      <c r="N42" s="52" t="e">
        <f t="shared" si="14"/>
        <v>#REF!</v>
      </c>
      <c r="O42" s="52" t="e">
        <f t="shared" si="14"/>
        <v>#REF!</v>
      </c>
      <c r="P42" s="52" t="e">
        <f t="shared" si="14"/>
        <v>#REF!</v>
      </c>
      <c r="Q42" s="52" t="e">
        <f t="shared" si="14"/>
        <v>#REF!</v>
      </c>
    </row>
    <row r="43" spans="1:18">
      <c r="A43" s="43" t="s">
        <v>74</v>
      </c>
      <c r="B43" s="48">
        <f>'[3]US SAF Imports'!MD$290</f>
        <v>0</v>
      </c>
      <c r="C43" s="48">
        <f>'[3]US SAF Imports'!MP$290</f>
        <v>0</v>
      </c>
      <c r="D43" s="48">
        <f>'[3]US SAF Imports'!NB$290</f>
        <v>0</v>
      </c>
      <c r="E43" s="48">
        <f>'[3]US SAF Imports'!NN$290</f>
        <v>0</v>
      </c>
      <c r="F43" s="48">
        <f>'[3]US SAF Imports'!NZ$290</f>
        <v>0</v>
      </c>
      <c r="G43" s="48">
        <f>'[3]US SAF Imports'!OL$290</f>
        <v>0</v>
      </c>
      <c r="H43" s="52" t="e">
        <f t="shared" si="15"/>
        <v>#REF!</v>
      </c>
      <c r="I43" s="52" t="e">
        <f t="shared" si="15"/>
        <v>#REF!</v>
      </c>
      <c r="J43" s="52" t="e">
        <f t="shared" si="14"/>
        <v>#REF!</v>
      </c>
      <c r="K43" s="52" t="e">
        <f t="shared" si="14"/>
        <v>#REF!</v>
      </c>
      <c r="L43" s="52" t="e">
        <f t="shared" si="14"/>
        <v>#REF!</v>
      </c>
      <c r="M43" s="52" t="e">
        <f t="shared" si="14"/>
        <v>#REF!</v>
      </c>
      <c r="N43" s="52" t="e">
        <f t="shared" si="14"/>
        <v>#REF!</v>
      </c>
      <c r="O43" s="52" t="e">
        <f t="shared" si="14"/>
        <v>#REF!</v>
      </c>
      <c r="P43" s="52" t="e">
        <f t="shared" si="14"/>
        <v>#REF!</v>
      </c>
      <c r="Q43" s="52" t="e">
        <f t="shared" si="14"/>
        <v>#REF!</v>
      </c>
    </row>
    <row r="44" spans="1:18">
      <c r="A44" s="43" t="s">
        <v>75</v>
      </c>
      <c r="B44" s="48">
        <f>'[3]US SAF Imports'!ME$290</f>
        <v>0</v>
      </c>
      <c r="C44" s="48">
        <f>'[3]US SAF Imports'!MQ$290</f>
        <v>0</v>
      </c>
      <c r="D44" s="48">
        <f>'[3]US SAF Imports'!NC$290</f>
        <v>0</v>
      </c>
      <c r="E44" s="48">
        <f>'[3]US SAF Imports'!NO$290</f>
        <v>0</v>
      </c>
      <c r="F44" s="48">
        <f>'[3]US SAF Imports'!OA$290</f>
        <v>0</v>
      </c>
      <c r="G44" s="48">
        <f>'[3]US SAF Imports'!OM$290</f>
        <v>0</v>
      </c>
      <c r="H44" s="52" t="e">
        <f t="shared" si="15"/>
        <v>#REF!</v>
      </c>
      <c r="I44" s="52" t="e">
        <f t="shared" si="15"/>
        <v>#REF!</v>
      </c>
      <c r="J44" s="52" t="e">
        <f t="shared" si="14"/>
        <v>#REF!</v>
      </c>
      <c r="K44" s="52" t="e">
        <f t="shared" si="14"/>
        <v>#REF!</v>
      </c>
      <c r="L44" s="52" t="e">
        <f t="shared" si="14"/>
        <v>#REF!</v>
      </c>
      <c r="M44" s="52" t="e">
        <f t="shared" si="14"/>
        <v>#REF!</v>
      </c>
      <c r="N44" s="52" t="e">
        <f t="shared" si="14"/>
        <v>#REF!</v>
      </c>
      <c r="O44" s="52" t="e">
        <f t="shared" si="14"/>
        <v>#REF!</v>
      </c>
      <c r="P44" s="52" t="e">
        <f t="shared" si="14"/>
        <v>#REF!</v>
      </c>
      <c r="Q44" s="52" t="e">
        <f t="shared" si="14"/>
        <v>#REF!</v>
      </c>
    </row>
    <row r="45" spans="1:18">
      <c r="A45" s="43" t="s">
        <v>76</v>
      </c>
      <c r="B45" s="48">
        <f>'[3]US SAF Imports'!MF$290</f>
        <v>0</v>
      </c>
      <c r="C45" s="48">
        <f>'[3]US SAF Imports'!MR$290</f>
        <v>0</v>
      </c>
      <c r="D45" s="48">
        <f>'[3]US SAF Imports'!ND$290</f>
        <v>0</v>
      </c>
      <c r="E45" s="48">
        <f>'[3]US SAF Imports'!NP$290</f>
        <v>0</v>
      </c>
      <c r="F45" s="48">
        <f>'[3]US SAF Imports'!OB$290</f>
        <v>0</v>
      </c>
      <c r="G45" s="48">
        <f>'[3]US SAF Imports'!ON$290</f>
        <v>0</v>
      </c>
      <c r="H45" s="52" t="e">
        <f t="shared" si="15"/>
        <v>#REF!</v>
      </c>
      <c r="I45" s="52" t="e">
        <f t="shared" si="15"/>
        <v>#REF!</v>
      </c>
      <c r="J45" s="52" t="e">
        <f t="shared" si="14"/>
        <v>#REF!</v>
      </c>
      <c r="K45" s="52" t="e">
        <f t="shared" si="14"/>
        <v>#REF!</v>
      </c>
      <c r="L45" s="52" t="e">
        <f t="shared" si="14"/>
        <v>#REF!</v>
      </c>
      <c r="M45" s="52" t="e">
        <f t="shared" si="14"/>
        <v>#REF!</v>
      </c>
      <c r="N45" s="52" t="e">
        <f t="shared" si="14"/>
        <v>#REF!</v>
      </c>
      <c r="O45" s="52" t="e">
        <f t="shared" si="14"/>
        <v>#REF!</v>
      </c>
      <c r="P45" s="52" t="e">
        <f t="shared" si="14"/>
        <v>#REF!</v>
      </c>
      <c r="Q45" s="52" t="e">
        <f t="shared" si="14"/>
        <v>#REF!</v>
      </c>
    </row>
    <row r="46" spans="1:18">
      <c r="A46" s="43" t="s">
        <v>77</v>
      </c>
      <c r="B46" s="48">
        <f>'[3]US SAF Imports'!MG$290</f>
        <v>0</v>
      </c>
      <c r="C46" s="48">
        <f>'[3]US SAF Imports'!MS$290</f>
        <v>0</v>
      </c>
      <c r="D46" s="48">
        <f>'[3]US SAF Imports'!NE$290</f>
        <v>0</v>
      </c>
      <c r="E46" s="48">
        <f>'[3]US SAF Imports'!NQ$290</f>
        <v>0</v>
      </c>
      <c r="F46" s="48">
        <f>'[3]US SAF Imports'!OC$290</f>
        <v>0</v>
      </c>
      <c r="G46" s="48">
        <f>'[3]US SAF Imports'!OO$290</f>
        <v>1.512</v>
      </c>
      <c r="H46" s="52" t="e">
        <f t="shared" si="15"/>
        <v>#REF!</v>
      </c>
      <c r="I46" s="52" t="e">
        <f t="shared" si="15"/>
        <v>#REF!</v>
      </c>
      <c r="J46" s="52" t="e">
        <f t="shared" si="14"/>
        <v>#REF!</v>
      </c>
      <c r="K46" s="52" t="e">
        <f t="shared" si="14"/>
        <v>#REF!</v>
      </c>
      <c r="L46" s="52" t="e">
        <f t="shared" si="14"/>
        <v>#REF!</v>
      </c>
      <c r="M46" s="52" t="e">
        <f t="shared" si="14"/>
        <v>#REF!</v>
      </c>
      <c r="N46" s="52" t="e">
        <f t="shared" si="14"/>
        <v>#REF!</v>
      </c>
      <c r="O46" s="52" t="e">
        <f t="shared" si="14"/>
        <v>#REF!</v>
      </c>
      <c r="P46" s="52" t="e">
        <f t="shared" si="14"/>
        <v>#REF!</v>
      </c>
      <c r="Q46" s="52" t="e">
        <f t="shared" si="14"/>
        <v>#REF!</v>
      </c>
    </row>
    <row r="47" spans="1:18">
      <c r="A47" s="43" t="s">
        <v>78</v>
      </c>
      <c r="B47" s="48">
        <f>'[3]US SAF Imports'!MH$290</f>
        <v>0</v>
      </c>
      <c r="C47" s="48">
        <f>'[3]US SAF Imports'!MT$290</f>
        <v>0</v>
      </c>
      <c r="D47" s="48">
        <f>'[3]US SAF Imports'!NF$290</f>
        <v>0</v>
      </c>
      <c r="E47" s="48">
        <f>'[3]US SAF Imports'!NR$290</f>
        <v>0</v>
      </c>
      <c r="F47" s="48">
        <f>'[3]US SAF Imports'!OD$290</f>
        <v>0</v>
      </c>
      <c r="G47" s="48">
        <f>'[3]US SAF Imports'!OP$290</f>
        <v>0</v>
      </c>
      <c r="H47" s="52" t="e">
        <f t="shared" si="15"/>
        <v>#REF!</v>
      </c>
      <c r="I47" s="52" t="e">
        <f t="shared" si="15"/>
        <v>#REF!</v>
      </c>
      <c r="J47" s="52" t="e">
        <f t="shared" si="14"/>
        <v>#REF!</v>
      </c>
      <c r="K47" s="52" t="e">
        <f t="shared" si="14"/>
        <v>#REF!</v>
      </c>
      <c r="L47" s="52" t="e">
        <f t="shared" si="14"/>
        <v>#REF!</v>
      </c>
      <c r="M47" s="52" t="e">
        <f t="shared" si="14"/>
        <v>#REF!</v>
      </c>
      <c r="N47" s="52" t="e">
        <f t="shared" si="14"/>
        <v>#REF!</v>
      </c>
      <c r="O47" s="52" t="e">
        <f t="shared" si="14"/>
        <v>#REF!</v>
      </c>
      <c r="P47" s="52" t="e">
        <f t="shared" si="14"/>
        <v>#REF!</v>
      </c>
      <c r="Q47" s="52" t="e">
        <f t="shared" si="14"/>
        <v>#REF!</v>
      </c>
    </row>
    <row r="48" spans="1:18">
      <c r="A48" s="43" t="s">
        <v>79</v>
      </c>
      <c r="B48" s="48">
        <f>'[3]US SAF Imports'!MI$290</f>
        <v>0</v>
      </c>
      <c r="C48" s="48">
        <f>'[3]US SAF Imports'!MU$290</f>
        <v>0</v>
      </c>
      <c r="D48" s="48">
        <f>'[3]US SAF Imports'!NG$290</f>
        <v>0</v>
      </c>
      <c r="E48" s="48">
        <f>'[3]US SAF Imports'!NS$290</f>
        <v>0</v>
      </c>
      <c r="F48" s="48">
        <f>'[3]US SAF Imports'!OE$290</f>
        <v>0</v>
      </c>
      <c r="G48" s="48">
        <f>'[3]US SAF Imports'!OQ$290</f>
        <v>0</v>
      </c>
      <c r="H48" s="52" t="e">
        <f>H49-SUM(H37:H47)</f>
        <v>#REF!</v>
      </c>
      <c r="I48" s="52" t="e">
        <f>I49-SUM(I37:I47)</f>
        <v>#REF!</v>
      </c>
      <c r="J48" s="52" t="e">
        <f t="shared" ref="J48:Q48" si="16">J49-SUM(J37:J47)</f>
        <v>#REF!</v>
      </c>
      <c r="K48" s="52" t="e">
        <f t="shared" si="16"/>
        <v>#REF!</v>
      </c>
      <c r="L48" s="52" t="e">
        <f t="shared" si="16"/>
        <v>#REF!</v>
      </c>
      <c r="M48" s="52" t="e">
        <f t="shared" si="16"/>
        <v>#REF!</v>
      </c>
      <c r="N48" s="52" t="e">
        <f t="shared" si="16"/>
        <v>#REF!</v>
      </c>
      <c r="O48" s="52" t="e">
        <f t="shared" si="16"/>
        <v>#REF!</v>
      </c>
      <c r="P48" s="52" t="e">
        <f t="shared" si="16"/>
        <v>#REF!</v>
      </c>
      <c r="Q48" s="52" t="e">
        <f t="shared" si="16"/>
        <v>#REF!</v>
      </c>
    </row>
    <row r="49" spans="1:18" ht="15.75" thickBot="1">
      <c r="A49" s="43" t="s">
        <v>80</v>
      </c>
      <c r="B49" s="48">
        <f>SUM(B37:B48)</f>
        <v>0</v>
      </c>
      <c r="C49" s="48">
        <f t="shared" ref="C49:G49" si="17">SUM(C37:C48)</f>
        <v>0</v>
      </c>
      <c r="D49" s="48">
        <f t="shared" si="17"/>
        <v>0</v>
      </c>
      <c r="E49" s="48">
        <f t="shared" si="17"/>
        <v>6536.8379999999997</v>
      </c>
      <c r="F49" s="48">
        <f t="shared" si="17"/>
        <v>146.83199999999999</v>
      </c>
      <c r="G49" s="48">
        <f t="shared" si="17"/>
        <v>211.512</v>
      </c>
      <c r="H49" s="52" t="e">
        <f>H7</f>
        <v>#REF!</v>
      </c>
      <c r="I49" s="52" t="e">
        <f t="shared" ref="I49:Q49" si="18">I7</f>
        <v>#REF!</v>
      </c>
      <c r="J49" s="52" t="e">
        <f t="shared" si="18"/>
        <v>#REF!</v>
      </c>
      <c r="K49" s="52" t="e">
        <f t="shared" si="18"/>
        <v>#REF!</v>
      </c>
      <c r="L49" s="52" t="e">
        <f t="shared" si="18"/>
        <v>#REF!</v>
      </c>
      <c r="M49" s="52" t="e">
        <f t="shared" si="18"/>
        <v>#REF!</v>
      </c>
      <c r="N49" s="52" t="e">
        <f t="shared" si="18"/>
        <v>#REF!</v>
      </c>
      <c r="O49" s="52" t="e">
        <f t="shared" si="18"/>
        <v>#REF!</v>
      </c>
      <c r="P49" s="52" t="e">
        <f t="shared" si="18"/>
        <v>#REF!</v>
      </c>
      <c r="Q49" s="52" t="e">
        <f t="shared" si="18"/>
        <v>#REF!</v>
      </c>
    </row>
    <row r="50" spans="1:18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</row>
    <row r="51" spans="1:18" ht="15.75" thickBot="1">
      <c r="A51" s="43" t="s">
        <v>89</v>
      </c>
    </row>
    <row r="52" spans="1:18" ht="15.75" thickBot="1">
      <c r="A52" s="50" t="s">
        <v>67</v>
      </c>
      <c r="B52" s="51">
        <f>B4</f>
        <v>2018</v>
      </c>
      <c r="C52" s="51">
        <f t="shared" ref="C52:Q52" si="19">C4</f>
        <v>2019</v>
      </c>
      <c r="D52" s="51">
        <f t="shared" si="19"/>
        <v>2020</v>
      </c>
      <c r="E52" s="51">
        <f t="shared" si="19"/>
        <v>2021</v>
      </c>
      <c r="F52" s="51">
        <f t="shared" si="19"/>
        <v>2022</v>
      </c>
      <c r="G52" s="51">
        <f t="shared" si="19"/>
        <v>2023</v>
      </c>
      <c r="H52" s="51">
        <f t="shared" si="19"/>
        <v>2024</v>
      </c>
      <c r="I52" s="51">
        <f t="shared" si="19"/>
        <v>2025</v>
      </c>
      <c r="J52" s="51">
        <f t="shared" si="19"/>
        <v>2026</v>
      </c>
      <c r="K52" s="51">
        <f t="shared" si="19"/>
        <v>2027</v>
      </c>
      <c r="L52" s="51">
        <f t="shared" si="19"/>
        <v>2028</v>
      </c>
      <c r="M52" s="51">
        <f t="shared" si="19"/>
        <v>2029</v>
      </c>
      <c r="N52" s="51">
        <f t="shared" si="19"/>
        <v>2030</v>
      </c>
      <c r="O52" s="51">
        <f t="shared" si="19"/>
        <v>2031</v>
      </c>
      <c r="P52" s="51">
        <f t="shared" si="19"/>
        <v>2032</v>
      </c>
      <c r="Q52" s="51">
        <f t="shared" si="19"/>
        <v>2033</v>
      </c>
    </row>
    <row r="53" spans="1:18">
      <c r="A53" s="43" t="s">
        <v>68</v>
      </c>
      <c r="B53" s="48" t="e">
        <f>#REF!/1000</f>
        <v>#REF!</v>
      </c>
      <c r="C53" s="48" t="e">
        <f>#REF!/1000</f>
        <v>#REF!</v>
      </c>
      <c r="D53" s="48" t="e">
        <f>#REF!/1000</f>
        <v>#REF!</v>
      </c>
      <c r="E53" s="48" t="e">
        <f>#REF!/1000</f>
        <v>#REF!</v>
      </c>
      <c r="F53" s="48" t="e">
        <f>#REF!/1000</f>
        <v>#REF!</v>
      </c>
      <c r="G53" s="48" t="e">
        <f>#REF!/1000</f>
        <v>#REF!</v>
      </c>
      <c r="H53" s="48" t="e">
        <f>#REF!/1000</f>
        <v>#REF!</v>
      </c>
      <c r="I53" s="52" t="e">
        <f>#REF!/1000</f>
        <v>#REF!</v>
      </c>
      <c r="J53" s="52" t="e">
        <f>#REF!/1000</f>
        <v>#REF!</v>
      </c>
      <c r="K53" s="52" t="e">
        <f>#REF!/1000</f>
        <v>#REF!</v>
      </c>
      <c r="L53" s="52" t="e">
        <f>#REF!/1000</f>
        <v>#REF!</v>
      </c>
      <c r="M53" s="52" t="e">
        <f>#REF!/1000</f>
        <v>#REF!</v>
      </c>
      <c r="N53" s="52" t="e">
        <f>#REF!/1000</f>
        <v>#REF!</v>
      </c>
      <c r="O53" s="52" t="e">
        <f>#REF!/1000</f>
        <v>#REF!</v>
      </c>
      <c r="P53" s="52" t="e">
        <f>#REF!/1000</f>
        <v>#REF!</v>
      </c>
      <c r="Q53" s="52" t="e">
        <f>#REF!/1000</f>
        <v>#REF!</v>
      </c>
      <c r="R53" s="52" t="e">
        <f>#REF!/1000</f>
        <v>#REF!</v>
      </c>
    </row>
    <row r="54" spans="1:18">
      <c r="A54" s="43" t="s">
        <v>69</v>
      </c>
      <c r="B54" s="48" t="e">
        <f>#REF!/1000</f>
        <v>#REF!</v>
      </c>
      <c r="C54" s="48" t="e">
        <f>#REF!/1000</f>
        <v>#REF!</v>
      </c>
      <c r="D54" s="48" t="e">
        <f>#REF!/1000</f>
        <v>#REF!</v>
      </c>
      <c r="E54" s="48" t="e">
        <f>#REF!/1000</f>
        <v>#REF!</v>
      </c>
      <c r="F54" s="48" t="e">
        <f>#REF!/1000</f>
        <v>#REF!</v>
      </c>
      <c r="G54" s="48" t="e">
        <f>#REF!/1000</f>
        <v>#REF!</v>
      </c>
      <c r="H54" s="48" t="e">
        <f>#REF!/1000</f>
        <v>#REF!</v>
      </c>
      <c r="I54" s="52" t="e">
        <f>#REF!/1000</f>
        <v>#REF!</v>
      </c>
      <c r="J54" s="52" t="e">
        <f>#REF!/1000</f>
        <v>#REF!</v>
      </c>
      <c r="K54" s="52" t="e">
        <f>#REF!/1000</f>
        <v>#REF!</v>
      </c>
      <c r="L54" s="52" t="e">
        <f>#REF!/1000</f>
        <v>#REF!</v>
      </c>
      <c r="M54" s="52" t="e">
        <f>#REF!/1000</f>
        <v>#REF!</v>
      </c>
      <c r="N54" s="52" t="e">
        <f>#REF!/1000</f>
        <v>#REF!</v>
      </c>
      <c r="O54" s="52" t="e">
        <f>#REF!/1000</f>
        <v>#REF!</v>
      </c>
      <c r="P54" s="52" t="e">
        <f>#REF!/1000</f>
        <v>#REF!</v>
      </c>
      <c r="Q54" s="52" t="e">
        <f>#REF!/1000</f>
        <v>#REF!</v>
      </c>
      <c r="R54" s="52" t="e">
        <f>#REF!/1000</f>
        <v>#REF!</v>
      </c>
    </row>
    <row r="55" spans="1:18">
      <c r="A55" s="43" t="s">
        <v>70</v>
      </c>
      <c r="B55" s="48" t="e">
        <f>#REF!/1000</f>
        <v>#REF!</v>
      </c>
      <c r="C55" s="48" t="e">
        <f>#REF!/1000</f>
        <v>#REF!</v>
      </c>
      <c r="D55" s="48" t="e">
        <f>#REF!/1000</f>
        <v>#REF!</v>
      </c>
      <c r="E55" s="48" t="e">
        <f>#REF!/1000</f>
        <v>#REF!</v>
      </c>
      <c r="F55" s="48" t="e">
        <f>#REF!/1000</f>
        <v>#REF!</v>
      </c>
      <c r="G55" s="48" t="e">
        <f>#REF!/1000</f>
        <v>#REF!</v>
      </c>
      <c r="H55" s="52" t="e">
        <f>#REF!/1000</f>
        <v>#REF!</v>
      </c>
      <c r="I55" s="52" t="e">
        <f>#REF!/1000</f>
        <v>#REF!</v>
      </c>
      <c r="J55" s="52" t="e">
        <f>#REF!/1000</f>
        <v>#REF!</v>
      </c>
      <c r="K55" s="52" t="e">
        <f>#REF!/1000</f>
        <v>#REF!</v>
      </c>
      <c r="L55" s="52" t="e">
        <f>#REF!/1000</f>
        <v>#REF!</v>
      </c>
      <c r="M55" s="52" t="e">
        <f>#REF!/1000</f>
        <v>#REF!</v>
      </c>
      <c r="N55" s="52" t="e">
        <f>#REF!/1000</f>
        <v>#REF!</v>
      </c>
      <c r="O55" s="52" t="e">
        <f>#REF!/1000</f>
        <v>#REF!</v>
      </c>
      <c r="P55" s="52" t="e">
        <f>#REF!/1000</f>
        <v>#REF!</v>
      </c>
      <c r="Q55" s="52" t="e">
        <f>#REF!/1000</f>
        <v>#REF!</v>
      </c>
      <c r="R55" s="52" t="e">
        <f>#REF!/1000</f>
        <v>#REF!</v>
      </c>
    </row>
    <row r="56" spans="1:18">
      <c r="A56" s="43" t="s">
        <v>71</v>
      </c>
      <c r="B56" s="48" t="e">
        <f>#REF!/1000</f>
        <v>#REF!</v>
      </c>
      <c r="C56" s="48" t="e">
        <f>#REF!/1000</f>
        <v>#REF!</v>
      </c>
      <c r="D56" s="48" t="e">
        <f>#REF!/1000</f>
        <v>#REF!</v>
      </c>
      <c r="E56" s="48" t="e">
        <f>#REF!/1000</f>
        <v>#REF!</v>
      </c>
      <c r="F56" s="48" t="e">
        <f>#REF!/1000</f>
        <v>#REF!</v>
      </c>
      <c r="G56" s="48" t="e">
        <f>#REF!/1000</f>
        <v>#REF!</v>
      </c>
      <c r="H56" s="52" t="e">
        <f>#REF!/1000</f>
        <v>#REF!</v>
      </c>
      <c r="I56" s="52" t="e">
        <f>#REF!/1000</f>
        <v>#REF!</v>
      </c>
      <c r="J56" s="52" t="e">
        <f>#REF!/1000</f>
        <v>#REF!</v>
      </c>
      <c r="K56" s="52" t="e">
        <f>#REF!/1000</f>
        <v>#REF!</v>
      </c>
      <c r="L56" s="52" t="e">
        <f>#REF!/1000</f>
        <v>#REF!</v>
      </c>
      <c r="M56" s="52" t="e">
        <f>#REF!/1000</f>
        <v>#REF!</v>
      </c>
      <c r="N56" s="52" t="e">
        <f>#REF!/1000</f>
        <v>#REF!</v>
      </c>
      <c r="O56" s="52" t="e">
        <f>#REF!/1000</f>
        <v>#REF!</v>
      </c>
      <c r="P56" s="52" t="e">
        <f>#REF!/1000</f>
        <v>#REF!</v>
      </c>
      <c r="Q56" s="52" t="e">
        <f>#REF!/1000</f>
        <v>#REF!</v>
      </c>
      <c r="R56" s="52" t="e">
        <f>#REF!/1000</f>
        <v>#REF!</v>
      </c>
    </row>
    <row r="57" spans="1:18">
      <c r="A57" s="43" t="s">
        <v>72</v>
      </c>
      <c r="B57" s="48" t="e">
        <f>#REF!/1000</f>
        <v>#REF!</v>
      </c>
      <c r="C57" s="48" t="e">
        <f>#REF!/1000</f>
        <v>#REF!</v>
      </c>
      <c r="D57" s="48" t="e">
        <f>#REF!/1000</f>
        <v>#REF!</v>
      </c>
      <c r="E57" s="48" t="e">
        <f>#REF!/1000</f>
        <v>#REF!</v>
      </c>
      <c r="F57" s="48" t="e">
        <f>#REF!/1000</f>
        <v>#REF!</v>
      </c>
      <c r="G57" s="48" t="e">
        <f>#REF!/1000</f>
        <v>#REF!</v>
      </c>
      <c r="H57" s="52" t="e">
        <f>#REF!/1000</f>
        <v>#REF!</v>
      </c>
      <c r="I57" s="52" t="e">
        <f>#REF!/1000</f>
        <v>#REF!</v>
      </c>
      <c r="J57" s="52" t="e">
        <f>#REF!/1000</f>
        <v>#REF!</v>
      </c>
      <c r="K57" s="52" t="e">
        <f>#REF!/1000</f>
        <v>#REF!</v>
      </c>
      <c r="L57" s="52" t="e">
        <f>#REF!/1000</f>
        <v>#REF!</v>
      </c>
      <c r="M57" s="52" t="e">
        <f>#REF!/1000</f>
        <v>#REF!</v>
      </c>
      <c r="N57" s="52" t="e">
        <f>#REF!/1000</f>
        <v>#REF!</v>
      </c>
      <c r="O57" s="52" t="e">
        <f>#REF!/1000</f>
        <v>#REF!</v>
      </c>
      <c r="P57" s="52" t="e">
        <f>#REF!/1000</f>
        <v>#REF!</v>
      </c>
      <c r="Q57" s="52" t="e">
        <f>#REF!/1000</f>
        <v>#REF!</v>
      </c>
      <c r="R57" s="52" t="e">
        <f>#REF!/1000</f>
        <v>#REF!</v>
      </c>
    </row>
    <row r="58" spans="1:18">
      <c r="A58" s="43" t="s">
        <v>73</v>
      </c>
      <c r="B58" s="48" t="e">
        <f>#REF!/1000</f>
        <v>#REF!</v>
      </c>
      <c r="C58" s="48" t="e">
        <f>#REF!/1000</f>
        <v>#REF!</v>
      </c>
      <c r="D58" s="48" t="e">
        <f>#REF!/1000</f>
        <v>#REF!</v>
      </c>
      <c r="E58" s="48" t="e">
        <f>#REF!/1000</f>
        <v>#REF!</v>
      </c>
      <c r="F58" s="48" t="e">
        <f>#REF!/1000</f>
        <v>#REF!</v>
      </c>
      <c r="G58" s="48" t="e">
        <f>#REF!/1000</f>
        <v>#REF!</v>
      </c>
      <c r="H58" s="52" t="e">
        <f>#REF!/1000</f>
        <v>#REF!</v>
      </c>
      <c r="I58" s="52" t="e">
        <f>#REF!/1000</f>
        <v>#REF!</v>
      </c>
      <c r="J58" s="52" t="e">
        <f>#REF!/1000</f>
        <v>#REF!</v>
      </c>
      <c r="K58" s="52" t="e">
        <f>#REF!/1000</f>
        <v>#REF!</v>
      </c>
      <c r="L58" s="52" t="e">
        <f>#REF!/1000</f>
        <v>#REF!</v>
      </c>
      <c r="M58" s="52" t="e">
        <f>#REF!/1000</f>
        <v>#REF!</v>
      </c>
      <c r="N58" s="52" t="e">
        <f>#REF!/1000</f>
        <v>#REF!</v>
      </c>
      <c r="O58" s="52" t="e">
        <f>#REF!/1000</f>
        <v>#REF!</v>
      </c>
      <c r="P58" s="52" t="e">
        <f>#REF!/1000</f>
        <v>#REF!</v>
      </c>
      <c r="Q58" s="52" t="e">
        <f>#REF!/1000</f>
        <v>#REF!</v>
      </c>
      <c r="R58" s="52" t="e">
        <f>#REF!/1000</f>
        <v>#REF!</v>
      </c>
    </row>
    <row r="59" spans="1:18">
      <c r="A59" s="43" t="s">
        <v>74</v>
      </c>
      <c r="B59" s="48" t="e">
        <f>#REF!/1000</f>
        <v>#REF!</v>
      </c>
      <c r="C59" s="48" t="e">
        <f>#REF!/1000</f>
        <v>#REF!</v>
      </c>
      <c r="D59" s="48" t="e">
        <f>#REF!/1000</f>
        <v>#REF!</v>
      </c>
      <c r="E59" s="48" t="e">
        <f>#REF!/1000</f>
        <v>#REF!</v>
      </c>
      <c r="F59" s="48" t="e">
        <f>#REF!/1000</f>
        <v>#REF!</v>
      </c>
      <c r="G59" s="48" t="e">
        <f>#REF!/1000</f>
        <v>#REF!</v>
      </c>
      <c r="H59" s="52" t="e">
        <f>#REF!/1000</f>
        <v>#REF!</v>
      </c>
      <c r="I59" s="52" t="e">
        <f>#REF!/1000</f>
        <v>#REF!</v>
      </c>
      <c r="J59" s="52" t="e">
        <f>#REF!/1000</f>
        <v>#REF!</v>
      </c>
      <c r="K59" s="52" t="e">
        <f>#REF!/1000</f>
        <v>#REF!</v>
      </c>
      <c r="L59" s="52" t="e">
        <f>#REF!/1000</f>
        <v>#REF!</v>
      </c>
      <c r="M59" s="52" t="e">
        <f>#REF!/1000</f>
        <v>#REF!</v>
      </c>
      <c r="N59" s="52" t="e">
        <f>#REF!/1000</f>
        <v>#REF!</v>
      </c>
      <c r="O59" s="52" t="e">
        <f>#REF!/1000</f>
        <v>#REF!</v>
      </c>
      <c r="P59" s="52" t="e">
        <f>#REF!/1000</f>
        <v>#REF!</v>
      </c>
      <c r="Q59" s="52" t="e">
        <f>#REF!/1000</f>
        <v>#REF!</v>
      </c>
      <c r="R59" s="52" t="e">
        <f>#REF!/1000</f>
        <v>#REF!</v>
      </c>
    </row>
    <row r="60" spans="1:18">
      <c r="A60" s="43" t="s">
        <v>75</v>
      </c>
      <c r="B60" s="48" t="e">
        <f>#REF!/1000</f>
        <v>#REF!</v>
      </c>
      <c r="C60" s="48" t="e">
        <f>#REF!/1000</f>
        <v>#REF!</v>
      </c>
      <c r="D60" s="48" t="e">
        <f>#REF!/1000</f>
        <v>#REF!</v>
      </c>
      <c r="E60" s="48" t="e">
        <f>#REF!/1000</f>
        <v>#REF!</v>
      </c>
      <c r="F60" s="48" t="e">
        <f>#REF!/1000</f>
        <v>#REF!</v>
      </c>
      <c r="G60" s="48" t="e">
        <f>#REF!/1000</f>
        <v>#REF!</v>
      </c>
      <c r="H60" s="52" t="e">
        <f>#REF!/1000</f>
        <v>#REF!</v>
      </c>
      <c r="I60" s="52" t="e">
        <f>#REF!/1000</f>
        <v>#REF!</v>
      </c>
      <c r="J60" s="52" t="e">
        <f>#REF!/1000</f>
        <v>#REF!</v>
      </c>
      <c r="K60" s="52" t="e">
        <f>#REF!/1000</f>
        <v>#REF!</v>
      </c>
      <c r="L60" s="52" t="e">
        <f>#REF!/1000</f>
        <v>#REF!</v>
      </c>
      <c r="M60" s="52" t="e">
        <f>#REF!/1000</f>
        <v>#REF!</v>
      </c>
      <c r="N60" s="52" t="e">
        <f>#REF!/1000</f>
        <v>#REF!</v>
      </c>
      <c r="O60" s="52" t="e">
        <f>#REF!/1000</f>
        <v>#REF!</v>
      </c>
      <c r="P60" s="52" t="e">
        <f>#REF!/1000</f>
        <v>#REF!</v>
      </c>
      <c r="Q60" s="52" t="e">
        <f>#REF!/1000</f>
        <v>#REF!</v>
      </c>
      <c r="R60" s="52" t="e">
        <f>#REF!/1000</f>
        <v>#REF!</v>
      </c>
    </row>
    <row r="61" spans="1:18">
      <c r="A61" s="43" t="s">
        <v>76</v>
      </c>
      <c r="B61" s="48" t="e">
        <f>#REF!/1000</f>
        <v>#REF!</v>
      </c>
      <c r="C61" s="48" t="e">
        <f>#REF!/1000</f>
        <v>#REF!</v>
      </c>
      <c r="D61" s="48" t="e">
        <f>#REF!/1000</f>
        <v>#REF!</v>
      </c>
      <c r="E61" s="48" t="e">
        <f>#REF!/1000</f>
        <v>#REF!</v>
      </c>
      <c r="F61" s="48" t="e">
        <f>#REF!/1000</f>
        <v>#REF!</v>
      </c>
      <c r="G61" s="48" t="e">
        <f>#REF!/1000</f>
        <v>#REF!</v>
      </c>
      <c r="H61" s="52" t="e">
        <f>#REF!/1000</f>
        <v>#REF!</v>
      </c>
      <c r="I61" s="52" t="e">
        <f>#REF!/1000</f>
        <v>#REF!</v>
      </c>
      <c r="J61" s="52" t="e">
        <f>#REF!/1000</f>
        <v>#REF!</v>
      </c>
      <c r="K61" s="52" t="e">
        <f>#REF!/1000</f>
        <v>#REF!</v>
      </c>
      <c r="L61" s="52" t="e">
        <f>#REF!/1000</f>
        <v>#REF!</v>
      </c>
      <c r="M61" s="52" t="e">
        <f>#REF!/1000</f>
        <v>#REF!</v>
      </c>
      <c r="N61" s="52" t="e">
        <f>#REF!/1000</f>
        <v>#REF!</v>
      </c>
      <c r="O61" s="52" t="e">
        <f>#REF!/1000</f>
        <v>#REF!</v>
      </c>
      <c r="P61" s="52" t="e">
        <f>#REF!/1000</f>
        <v>#REF!</v>
      </c>
      <c r="Q61" s="52" t="e">
        <f>#REF!/1000</f>
        <v>#REF!</v>
      </c>
      <c r="R61" s="52" t="e">
        <f>#REF!/1000</f>
        <v>#REF!</v>
      </c>
    </row>
    <row r="62" spans="1:18">
      <c r="A62" s="43" t="s">
        <v>77</v>
      </c>
      <c r="B62" s="48" t="e">
        <f>#REF!/1000</f>
        <v>#REF!</v>
      </c>
      <c r="C62" s="48" t="e">
        <f>#REF!/1000</f>
        <v>#REF!</v>
      </c>
      <c r="D62" s="48" t="e">
        <f>#REF!/1000</f>
        <v>#REF!</v>
      </c>
      <c r="E62" s="48" t="e">
        <f>#REF!/1000</f>
        <v>#REF!</v>
      </c>
      <c r="F62" s="48" t="e">
        <f>#REF!/1000</f>
        <v>#REF!</v>
      </c>
      <c r="G62" s="48" t="e">
        <f>#REF!/1000</f>
        <v>#REF!</v>
      </c>
      <c r="H62" s="52" t="e">
        <f>#REF!/1000</f>
        <v>#REF!</v>
      </c>
      <c r="I62" s="52" t="e">
        <f>#REF!/1000</f>
        <v>#REF!</v>
      </c>
      <c r="J62" s="52" t="e">
        <f>#REF!/1000</f>
        <v>#REF!</v>
      </c>
      <c r="K62" s="52" t="e">
        <f>#REF!/1000</f>
        <v>#REF!</v>
      </c>
      <c r="L62" s="52" t="e">
        <f>#REF!/1000</f>
        <v>#REF!</v>
      </c>
      <c r="M62" s="52" t="e">
        <f>#REF!/1000</f>
        <v>#REF!</v>
      </c>
      <c r="N62" s="52" t="e">
        <f>#REF!/1000</f>
        <v>#REF!</v>
      </c>
      <c r="O62" s="52" t="e">
        <f>#REF!/1000</f>
        <v>#REF!</v>
      </c>
      <c r="P62" s="52" t="e">
        <f>#REF!/1000</f>
        <v>#REF!</v>
      </c>
      <c r="Q62" s="52" t="e">
        <f>#REF!/1000</f>
        <v>#REF!</v>
      </c>
      <c r="R62" s="52" t="e">
        <f>#REF!/1000</f>
        <v>#REF!</v>
      </c>
    </row>
    <row r="63" spans="1:18">
      <c r="A63" s="43" t="s">
        <v>78</v>
      </c>
      <c r="B63" s="48" t="e">
        <f>#REF!/1000</f>
        <v>#REF!</v>
      </c>
      <c r="C63" s="48" t="e">
        <f>#REF!/1000</f>
        <v>#REF!</v>
      </c>
      <c r="D63" s="48" t="e">
        <f>#REF!/1000</f>
        <v>#REF!</v>
      </c>
      <c r="E63" s="48" t="e">
        <f>#REF!/1000</f>
        <v>#REF!</v>
      </c>
      <c r="F63" s="48" t="e">
        <f>#REF!/1000</f>
        <v>#REF!</v>
      </c>
      <c r="G63" s="48" t="e">
        <f>#REF!/1000</f>
        <v>#REF!</v>
      </c>
      <c r="H63" s="52" t="e">
        <f>#REF!/1000</f>
        <v>#REF!</v>
      </c>
      <c r="I63" s="52" t="e">
        <f>#REF!/1000</f>
        <v>#REF!</v>
      </c>
      <c r="J63" s="52" t="e">
        <f>#REF!/1000</f>
        <v>#REF!</v>
      </c>
      <c r="K63" s="52" t="e">
        <f>#REF!/1000</f>
        <v>#REF!</v>
      </c>
      <c r="L63" s="52" t="e">
        <f>#REF!/1000</f>
        <v>#REF!</v>
      </c>
      <c r="M63" s="52" t="e">
        <f>#REF!/1000</f>
        <v>#REF!</v>
      </c>
      <c r="N63" s="52" t="e">
        <f>#REF!/1000</f>
        <v>#REF!</v>
      </c>
      <c r="O63" s="52" t="e">
        <f>#REF!/1000</f>
        <v>#REF!</v>
      </c>
      <c r="P63" s="52" t="e">
        <f>#REF!/1000</f>
        <v>#REF!</v>
      </c>
      <c r="Q63" s="52" t="e">
        <f>#REF!/1000</f>
        <v>#REF!</v>
      </c>
      <c r="R63" s="52" t="e">
        <f>#REF!/1000</f>
        <v>#REF!</v>
      </c>
    </row>
    <row r="64" spans="1:18">
      <c r="A64" s="43" t="s">
        <v>79</v>
      </c>
      <c r="B64" s="48" t="e">
        <f>#REF!/1000</f>
        <v>#REF!</v>
      </c>
      <c r="C64" s="48" t="e">
        <f>#REF!/1000</f>
        <v>#REF!</v>
      </c>
      <c r="D64" s="48" t="e">
        <f>#REF!/1000</f>
        <v>#REF!</v>
      </c>
      <c r="E64" s="48" t="e">
        <f>#REF!/1000</f>
        <v>#REF!</v>
      </c>
      <c r="F64" s="48" t="e">
        <f>#REF!/1000</f>
        <v>#REF!</v>
      </c>
      <c r="G64" s="48" t="e">
        <f>#REF!/1000</f>
        <v>#REF!</v>
      </c>
      <c r="H64" s="52" t="e">
        <f>#REF!/1000</f>
        <v>#REF!</v>
      </c>
      <c r="I64" s="52" t="e">
        <f>#REF!/1000</f>
        <v>#REF!</v>
      </c>
      <c r="J64" s="52" t="e">
        <f>#REF!/1000</f>
        <v>#REF!</v>
      </c>
      <c r="K64" s="52" t="e">
        <f>#REF!/1000</f>
        <v>#REF!</v>
      </c>
      <c r="L64" s="52" t="e">
        <f>#REF!/1000</f>
        <v>#REF!</v>
      </c>
      <c r="M64" s="52" t="e">
        <f>#REF!/1000</f>
        <v>#REF!</v>
      </c>
      <c r="N64" s="52" t="e">
        <f>#REF!/1000</f>
        <v>#REF!</v>
      </c>
      <c r="O64" s="52" t="e">
        <f>#REF!/1000</f>
        <v>#REF!</v>
      </c>
      <c r="P64" s="52" t="e">
        <f>#REF!/1000</f>
        <v>#REF!</v>
      </c>
      <c r="Q64" s="52" t="e">
        <f>#REF!/1000</f>
        <v>#REF!</v>
      </c>
      <c r="R64" s="52" t="e">
        <f>#REF!/1000</f>
        <v>#REF!</v>
      </c>
    </row>
    <row r="65" spans="1:18" ht="15.75" thickBot="1">
      <c r="A65" s="43" t="s">
        <v>80</v>
      </c>
      <c r="B65" s="48" t="e">
        <f>SUM(B53:B64)</f>
        <v>#REF!</v>
      </c>
      <c r="C65" s="48" t="e">
        <f t="shared" ref="C65:R65" si="20">SUM(C53:C64)</f>
        <v>#REF!</v>
      </c>
      <c r="D65" s="48" t="e">
        <f t="shared" si="20"/>
        <v>#REF!</v>
      </c>
      <c r="E65" s="48" t="e">
        <f t="shared" si="20"/>
        <v>#REF!</v>
      </c>
      <c r="F65" s="48" t="e">
        <f t="shared" si="20"/>
        <v>#REF!</v>
      </c>
      <c r="G65" s="48" t="e">
        <f t="shared" si="20"/>
        <v>#REF!</v>
      </c>
      <c r="H65" s="52" t="e">
        <f t="shared" si="20"/>
        <v>#REF!</v>
      </c>
      <c r="I65" s="52" t="e">
        <f t="shared" si="20"/>
        <v>#REF!</v>
      </c>
      <c r="J65" s="52" t="e">
        <f t="shared" si="20"/>
        <v>#REF!</v>
      </c>
      <c r="K65" s="52" t="e">
        <f t="shared" si="20"/>
        <v>#REF!</v>
      </c>
      <c r="L65" s="52" t="e">
        <f t="shared" si="20"/>
        <v>#REF!</v>
      </c>
      <c r="M65" s="52" t="e">
        <f t="shared" si="20"/>
        <v>#REF!</v>
      </c>
      <c r="N65" s="52" t="e">
        <f t="shared" si="20"/>
        <v>#REF!</v>
      </c>
      <c r="O65" s="52" t="e">
        <f t="shared" si="20"/>
        <v>#REF!</v>
      </c>
      <c r="P65" s="52" t="e">
        <f t="shared" si="20"/>
        <v>#REF!</v>
      </c>
      <c r="Q65" s="52" t="e">
        <f t="shared" si="20"/>
        <v>#REF!</v>
      </c>
      <c r="R65" s="52" t="e">
        <f t="shared" si="20"/>
        <v>#REF!</v>
      </c>
    </row>
    <row r="66" spans="1:18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</row>
    <row r="67" spans="1:18" ht="15.75" thickBot="1">
      <c r="A67" s="43" t="s">
        <v>90</v>
      </c>
    </row>
    <row r="68" spans="1:18" ht="15.75" thickBot="1">
      <c r="A68" s="50" t="s">
        <v>67</v>
      </c>
      <c r="B68" s="51">
        <f>B4</f>
        <v>2018</v>
      </c>
      <c r="C68" s="51">
        <f t="shared" ref="C68:Q68" si="21">C4</f>
        <v>2019</v>
      </c>
      <c r="D68" s="51">
        <f t="shared" si="21"/>
        <v>2020</v>
      </c>
      <c r="E68" s="51">
        <f t="shared" si="21"/>
        <v>2021</v>
      </c>
      <c r="F68" s="51">
        <f t="shared" si="21"/>
        <v>2022</v>
      </c>
      <c r="G68" s="51">
        <f t="shared" si="21"/>
        <v>2023</v>
      </c>
      <c r="H68" s="51">
        <f t="shared" si="21"/>
        <v>2024</v>
      </c>
      <c r="I68" s="51">
        <f t="shared" si="21"/>
        <v>2025</v>
      </c>
      <c r="J68" s="51">
        <f t="shared" si="21"/>
        <v>2026</v>
      </c>
      <c r="K68" s="51">
        <f t="shared" si="21"/>
        <v>2027</v>
      </c>
      <c r="L68" s="51">
        <f t="shared" si="21"/>
        <v>2028</v>
      </c>
      <c r="M68" s="51">
        <f t="shared" si="21"/>
        <v>2029</v>
      </c>
      <c r="N68" s="51">
        <f t="shared" si="21"/>
        <v>2030</v>
      </c>
      <c r="O68" s="51">
        <f t="shared" si="21"/>
        <v>2031</v>
      </c>
      <c r="P68" s="51">
        <f t="shared" si="21"/>
        <v>2032</v>
      </c>
      <c r="Q68" s="51">
        <f t="shared" si="21"/>
        <v>2033</v>
      </c>
    </row>
    <row r="69" spans="1:18">
      <c r="A69" s="43" t="s">
        <v>68</v>
      </c>
      <c r="B69" s="48">
        <f>'[3]US SAF Exports'!LX$290</f>
        <v>0</v>
      </c>
      <c r="C69" s="48">
        <f>'[3]US SAF Exports'!MJ$290</f>
        <v>0</v>
      </c>
      <c r="D69" s="48">
        <f>'[3]US SAF Exports'!MV$290</f>
        <v>0</v>
      </c>
      <c r="E69" s="48">
        <f>'[3]US SAF Exports'!NH$290</f>
        <v>0</v>
      </c>
      <c r="F69" s="48">
        <f>'[3]US SAF Exports'!NT$290</f>
        <v>0</v>
      </c>
      <c r="G69" s="48">
        <f>'[3]US SAF Exports'!OF$290</f>
        <v>0</v>
      </c>
      <c r="H69" s="48">
        <f>'[3]US SAF Exports'!OR$290</f>
        <v>0</v>
      </c>
      <c r="I69" s="52" t="e">
        <f>I$81*(SUM(D53:H53)/SUM(D$65:H$65))</f>
        <v>#REF!</v>
      </c>
      <c r="J69" s="52" t="e">
        <f t="shared" ref="J69:Q69" si="22">J$81*(SUM(E53:I53)/SUM(E$65:I$65))</f>
        <v>#REF!</v>
      </c>
      <c r="K69" s="52" t="e">
        <f t="shared" si="22"/>
        <v>#REF!</v>
      </c>
      <c r="L69" s="52" t="e">
        <f t="shared" si="22"/>
        <v>#REF!</v>
      </c>
      <c r="M69" s="52" t="e">
        <f t="shared" si="22"/>
        <v>#REF!</v>
      </c>
      <c r="N69" s="52" t="e">
        <f t="shared" si="22"/>
        <v>#REF!</v>
      </c>
      <c r="O69" s="52" t="e">
        <f t="shared" si="22"/>
        <v>#REF!</v>
      </c>
      <c r="P69" s="52" t="e">
        <f t="shared" si="22"/>
        <v>#REF!</v>
      </c>
      <c r="Q69" s="52" t="e">
        <f t="shared" si="22"/>
        <v>#REF!</v>
      </c>
    </row>
    <row r="70" spans="1:18">
      <c r="A70" s="43" t="s">
        <v>69</v>
      </c>
      <c r="B70" s="48">
        <f>'[3]US SAF Exports'!LY$290</f>
        <v>0</v>
      </c>
      <c r="C70" s="48">
        <f>'[3]US SAF Exports'!MK$290</f>
        <v>0</v>
      </c>
      <c r="D70" s="48">
        <f>'[3]US SAF Exports'!MW$290</f>
        <v>0</v>
      </c>
      <c r="E70" s="48">
        <f>'[3]US SAF Exports'!NI$290</f>
        <v>0</v>
      </c>
      <c r="F70" s="48">
        <f>'[3]US SAF Exports'!NU$290</f>
        <v>0</v>
      </c>
      <c r="G70" s="48">
        <f>'[3]US SAF Exports'!OG$290</f>
        <v>0</v>
      </c>
      <c r="H70" s="52" t="e">
        <f>H$81*(SUM(C54:G54)/SUM(C$65:G$65))</f>
        <v>#REF!</v>
      </c>
      <c r="I70" s="52" t="e">
        <f>I$81*(SUM(D54:H54)/SUM(D$65:H$65))</f>
        <v>#REF!</v>
      </c>
      <c r="J70" s="52" t="e">
        <f t="shared" ref="J70:Q79" si="23">J$81*(SUM(E54:I54)/SUM(E$65:I$65))</f>
        <v>#REF!</v>
      </c>
      <c r="K70" s="52" t="e">
        <f t="shared" si="23"/>
        <v>#REF!</v>
      </c>
      <c r="L70" s="52" t="e">
        <f t="shared" si="23"/>
        <v>#REF!</v>
      </c>
      <c r="M70" s="52" t="e">
        <f t="shared" si="23"/>
        <v>#REF!</v>
      </c>
      <c r="N70" s="52" t="e">
        <f t="shared" si="23"/>
        <v>#REF!</v>
      </c>
      <c r="O70" s="52" t="e">
        <f t="shared" si="23"/>
        <v>#REF!</v>
      </c>
      <c r="P70" s="52" t="e">
        <f t="shared" si="23"/>
        <v>#REF!</v>
      </c>
      <c r="Q70" s="52" t="e">
        <f t="shared" si="23"/>
        <v>#REF!</v>
      </c>
    </row>
    <row r="71" spans="1:18">
      <c r="A71" s="43" t="s">
        <v>70</v>
      </c>
      <c r="B71" s="48">
        <f>'[3]US SAF Exports'!LZ$290</f>
        <v>0</v>
      </c>
      <c r="C71" s="48">
        <f>'[3]US SAF Exports'!ML$290</f>
        <v>0</v>
      </c>
      <c r="D71" s="48">
        <f>'[3]US SAF Exports'!MX$290</f>
        <v>0</v>
      </c>
      <c r="E71" s="48">
        <f>'[3]US SAF Exports'!NJ$290</f>
        <v>0</v>
      </c>
      <c r="F71" s="48">
        <f>'[3]US SAF Exports'!NV$290</f>
        <v>0</v>
      </c>
      <c r="G71" s="48">
        <f>'[3]US SAF Exports'!OH$290</f>
        <v>0</v>
      </c>
      <c r="H71" s="52" t="e">
        <f t="shared" ref="H71:I79" si="24">H$81*(SUM(C55:G55)/SUM(C$65:G$65))</f>
        <v>#REF!</v>
      </c>
      <c r="I71" s="52" t="e">
        <f t="shared" si="24"/>
        <v>#REF!</v>
      </c>
      <c r="J71" s="52" t="e">
        <f t="shared" si="23"/>
        <v>#REF!</v>
      </c>
      <c r="K71" s="52" t="e">
        <f t="shared" si="23"/>
        <v>#REF!</v>
      </c>
      <c r="L71" s="52" t="e">
        <f t="shared" si="23"/>
        <v>#REF!</v>
      </c>
      <c r="M71" s="52" t="e">
        <f t="shared" si="23"/>
        <v>#REF!</v>
      </c>
      <c r="N71" s="52" t="e">
        <f t="shared" si="23"/>
        <v>#REF!</v>
      </c>
      <c r="O71" s="52" t="e">
        <f t="shared" si="23"/>
        <v>#REF!</v>
      </c>
      <c r="P71" s="52" t="e">
        <f t="shared" si="23"/>
        <v>#REF!</v>
      </c>
      <c r="Q71" s="52" t="e">
        <f t="shared" si="23"/>
        <v>#REF!</v>
      </c>
    </row>
    <row r="72" spans="1:18">
      <c r="A72" s="43" t="s">
        <v>71</v>
      </c>
      <c r="B72" s="48">
        <f>'[3]US SAF Exports'!MA$290</f>
        <v>0</v>
      </c>
      <c r="C72" s="48">
        <f>'[3]US SAF Exports'!MM$290</f>
        <v>0</v>
      </c>
      <c r="D72" s="48">
        <f>'[3]US SAF Exports'!MY$290</f>
        <v>0</v>
      </c>
      <c r="E72" s="48">
        <f>'[3]US SAF Exports'!NK$290</f>
        <v>0</v>
      </c>
      <c r="F72" s="48">
        <f>'[3]US SAF Exports'!NW$290</f>
        <v>0</v>
      </c>
      <c r="G72" s="48">
        <f>'[3]US SAF Exports'!OI$290</f>
        <v>0</v>
      </c>
      <c r="H72" s="52" t="e">
        <f t="shared" si="24"/>
        <v>#REF!</v>
      </c>
      <c r="I72" s="52" t="e">
        <f t="shared" si="24"/>
        <v>#REF!</v>
      </c>
      <c r="J72" s="52" t="e">
        <f t="shared" si="23"/>
        <v>#REF!</v>
      </c>
      <c r="K72" s="52" t="e">
        <f t="shared" si="23"/>
        <v>#REF!</v>
      </c>
      <c r="L72" s="52" t="e">
        <f t="shared" si="23"/>
        <v>#REF!</v>
      </c>
      <c r="M72" s="52" t="e">
        <f t="shared" si="23"/>
        <v>#REF!</v>
      </c>
      <c r="N72" s="52" t="e">
        <f t="shared" si="23"/>
        <v>#REF!</v>
      </c>
      <c r="O72" s="52" t="e">
        <f t="shared" si="23"/>
        <v>#REF!</v>
      </c>
      <c r="P72" s="52" t="e">
        <f t="shared" si="23"/>
        <v>#REF!</v>
      </c>
      <c r="Q72" s="52" t="e">
        <f t="shared" si="23"/>
        <v>#REF!</v>
      </c>
    </row>
    <row r="73" spans="1:18">
      <c r="A73" s="43" t="s">
        <v>72</v>
      </c>
      <c r="B73" s="48">
        <f>'[3]US SAF Exports'!MB$290</f>
        <v>0</v>
      </c>
      <c r="C73" s="48">
        <f>'[3]US SAF Exports'!MN$290</f>
        <v>0</v>
      </c>
      <c r="D73" s="48">
        <f>'[3]US SAF Exports'!MZ$290</f>
        <v>0</v>
      </c>
      <c r="E73" s="48">
        <f>'[3]US SAF Exports'!NL$290</f>
        <v>0</v>
      </c>
      <c r="F73" s="48">
        <f>'[3]US SAF Exports'!NX$290</f>
        <v>0</v>
      </c>
      <c r="G73" s="48">
        <f>'[3]US SAF Exports'!OJ$290</f>
        <v>0</v>
      </c>
      <c r="H73" s="52" t="e">
        <f t="shared" si="24"/>
        <v>#REF!</v>
      </c>
      <c r="I73" s="52" t="e">
        <f t="shared" si="24"/>
        <v>#REF!</v>
      </c>
      <c r="J73" s="52" t="e">
        <f t="shared" si="23"/>
        <v>#REF!</v>
      </c>
      <c r="K73" s="52" t="e">
        <f t="shared" si="23"/>
        <v>#REF!</v>
      </c>
      <c r="L73" s="52" t="e">
        <f t="shared" si="23"/>
        <v>#REF!</v>
      </c>
      <c r="M73" s="52" t="e">
        <f t="shared" si="23"/>
        <v>#REF!</v>
      </c>
      <c r="N73" s="52" t="e">
        <f t="shared" si="23"/>
        <v>#REF!</v>
      </c>
      <c r="O73" s="52" t="e">
        <f t="shared" si="23"/>
        <v>#REF!</v>
      </c>
      <c r="P73" s="52" t="e">
        <f t="shared" si="23"/>
        <v>#REF!</v>
      </c>
      <c r="Q73" s="52" t="e">
        <f t="shared" si="23"/>
        <v>#REF!</v>
      </c>
    </row>
    <row r="74" spans="1:18">
      <c r="A74" s="43" t="s">
        <v>73</v>
      </c>
      <c r="B74" s="48">
        <f>'[3]US SAF Exports'!MC$290</f>
        <v>0</v>
      </c>
      <c r="C74" s="48">
        <f>'[3]US SAF Exports'!MO$290</f>
        <v>0</v>
      </c>
      <c r="D74" s="48">
        <f>'[3]US SAF Exports'!NA$290</f>
        <v>0</v>
      </c>
      <c r="E74" s="48">
        <f>'[3]US SAF Exports'!NM$290</f>
        <v>0</v>
      </c>
      <c r="F74" s="48">
        <f>'[3]US SAF Exports'!NY$290</f>
        <v>0</v>
      </c>
      <c r="G74" s="48">
        <f>'[3]US SAF Exports'!OK$290</f>
        <v>0</v>
      </c>
      <c r="H74" s="52" t="e">
        <f t="shared" si="24"/>
        <v>#REF!</v>
      </c>
      <c r="I74" s="52" t="e">
        <f t="shared" si="24"/>
        <v>#REF!</v>
      </c>
      <c r="J74" s="52" t="e">
        <f t="shared" si="23"/>
        <v>#REF!</v>
      </c>
      <c r="K74" s="52" t="e">
        <f t="shared" si="23"/>
        <v>#REF!</v>
      </c>
      <c r="L74" s="52" t="e">
        <f t="shared" si="23"/>
        <v>#REF!</v>
      </c>
      <c r="M74" s="52" t="e">
        <f t="shared" si="23"/>
        <v>#REF!</v>
      </c>
      <c r="N74" s="52" t="e">
        <f t="shared" si="23"/>
        <v>#REF!</v>
      </c>
      <c r="O74" s="52" t="e">
        <f t="shared" si="23"/>
        <v>#REF!</v>
      </c>
      <c r="P74" s="52" t="e">
        <f t="shared" si="23"/>
        <v>#REF!</v>
      </c>
      <c r="Q74" s="52" t="e">
        <f t="shared" si="23"/>
        <v>#REF!</v>
      </c>
    </row>
    <row r="75" spans="1:18">
      <c r="A75" s="43" t="s">
        <v>74</v>
      </c>
      <c r="B75" s="48">
        <f>'[3]US SAF Exports'!MD$290</f>
        <v>0</v>
      </c>
      <c r="C75" s="48">
        <f>'[3]US SAF Exports'!MP$290</f>
        <v>0</v>
      </c>
      <c r="D75" s="48">
        <f>'[3]US SAF Exports'!NB$290</f>
        <v>0</v>
      </c>
      <c r="E75" s="48">
        <f>'[3]US SAF Exports'!NN$290</f>
        <v>0</v>
      </c>
      <c r="F75" s="48">
        <f>'[3]US SAF Exports'!NZ$290</f>
        <v>0</v>
      </c>
      <c r="G75" s="48">
        <f>'[3]US SAF Exports'!OL$290</f>
        <v>0</v>
      </c>
      <c r="H75" s="52" t="e">
        <f t="shared" si="24"/>
        <v>#REF!</v>
      </c>
      <c r="I75" s="52" t="e">
        <f t="shared" si="24"/>
        <v>#REF!</v>
      </c>
      <c r="J75" s="52" t="e">
        <f t="shared" si="23"/>
        <v>#REF!</v>
      </c>
      <c r="K75" s="52" t="e">
        <f t="shared" si="23"/>
        <v>#REF!</v>
      </c>
      <c r="L75" s="52" t="e">
        <f t="shared" si="23"/>
        <v>#REF!</v>
      </c>
      <c r="M75" s="52" t="e">
        <f t="shared" si="23"/>
        <v>#REF!</v>
      </c>
      <c r="N75" s="52" t="e">
        <f t="shared" si="23"/>
        <v>#REF!</v>
      </c>
      <c r="O75" s="52" t="e">
        <f t="shared" si="23"/>
        <v>#REF!</v>
      </c>
      <c r="P75" s="52" t="e">
        <f t="shared" si="23"/>
        <v>#REF!</v>
      </c>
      <c r="Q75" s="52" t="e">
        <f t="shared" si="23"/>
        <v>#REF!</v>
      </c>
    </row>
    <row r="76" spans="1:18">
      <c r="A76" s="43" t="s">
        <v>75</v>
      </c>
      <c r="B76" s="48">
        <f>'[3]US SAF Exports'!ME$290</f>
        <v>0</v>
      </c>
      <c r="C76" s="48">
        <f>'[3]US SAF Exports'!MQ$290</f>
        <v>0</v>
      </c>
      <c r="D76" s="48">
        <f>'[3]US SAF Exports'!NC$290</f>
        <v>0</v>
      </c>
      <c r="E76" s="48">
        <f>'[3]US SAF Exports'!NO$290</f>
        <v>0</v>
      </c>
      <c r="F76" s="48">
        <f>'[3]US SAF Exports'!OA$290</f>
        <v>0</v>
      </c>
      <c r="G76" s="48">
        <f>'[3]US SAF Exports'!OM$290</f>
        <v>0</v>
      </c>
      <c r="H76" s="52" t="e">
        <f t="shared" si="24"/>
        <v>#REF!</v>
      </c>
      <c r="I76" s="52" t="e">
        <f t="shared" si="24"/>
        <v>#REF!</v>
      </c>
      <c r="J76" s="52" t="e">
        <f t="shared" si="23"/>
        <v>#REF!</v>
      </c>
      <c r="K76" s="52" t="e">
        <f t="shared" si="23"/>
        <v>#REF!</v>
      </c>
      <c r="L76" s="52" t="e">
        <f t="shared" si="23"/>
        <v>#REF!</v>
      </c>
      <c r="M76" s="52" t="e">
        <f t="shared" si="23"/>
        <v>#REF!</v>
      </c>
      <c r="N76" s="52" t="e">
        <f t="shared" si="23"/>
        <v>#REF!</v>
      </c>
      <c r="O76" s="52" t="e">
        <f t="shared" si="23"/>
        <v>#REF!</v>
      </c>
      <c r="P76" s="52" t="e">
        <f t="shared" si="23"/>
        <v>#REF!</v>
      </c>
      <c r="Q76" s="52" t="e">
        <f t="shared" si="23"/>
        <v>#REF!</v>
      </c>
    </row>
    <row r="77" spans="1:18">
      <c r="A77" s="43" t="s">
        <v>76</v>
      </c>
      <c r="B77" s="48">
        <f>'[3]US SAF Exports'!MF$290</f>
        <v>0</v>
      </c>
      <c r="C77" s="48">
        <f>'[3]US SAF Exports'!MR$290</f>
        <v>0</v>
      </c>
      <c r="D77" s="48">
        <f>'[3]US SAF Exports'!ND$290</f>
        <v>0</v>
      </c>
      <c r="E77" s="48">
        <f>'[3]US SAF Exports'!NP$290</f>
        <v>0</v>
      </c>
      <c r="F77" s="48">
        <f>'[3]US SAF Exports'!OB$290</f>
        <v>0</v>
      </c>
      <c r="G77" s="48">
        <f>'[3]US SAF Exports'!ON$290</f>
        <v>0</v>
      </c>
      <c r="H77" s="52" t="e">
        <f t="shared" si="24"/>
        <v>#REF!</v>
      </c>
      <c r="I77" s="52" t="e">
        <f t="shared" si="24"/>
        <v>#REF!</v>
      </c>
      <c r="J77" s="52" t="e">
        <f t="shared" si="23"/>
        <v>#REF!</v>
      </c>
      <c r="K77" s="52" t="e">
        <f t="shared" si="23"/>
        <v>#REF!</v>
      </c>
      <c r="L77" s="52" t="e">
        <f t="shared" si="23"/>
        <v>#REF!</v>
      </c>
      <c r="M77" s="52" t="e">
        <f t="shared" si="23"/>
        <v>#REF!</v>
      </c>
      <c r="N77" s="52" t="e">
        <f t="shared" si="23"/>
        <v>#REF!</v>
      </c>
      <c r="O77" s="52" t="e">
        <f t="shared" si="23"/>
        <v>#REF!</v>
      </c>
      <c r="P77" s="52" t="e">
        <f t="shared" si="23"/>
        <v>#REF!</v>
      </c>
      <c r="Q77" s="52" t="e">
        <f t="shared" si="23"/>
        <v>#REF!</v>
      </c>
    </row>
    <row r="78" spans="1:18">
      <c r="A78" s="43" t="s">
        <v>77</v>
      </c>
      <c r="B78" s="48">
        <f>'[3]US SAF Exports'!MG$290</f>
        <v>0</v>
      </c>
      <c r="C78" s="48">
        <f>'[3]US SAF Exports'!MS$290</f>
        <v>0</v>
      </c>
      <c r="D78" s="48">
        <f>'[3]US SAF Exports'!NE$290</f>
        <v>0</v>
      </c>
      <c r="E78" s="48">
        <f>'[3]US SAF Exports'!NQ$290</f>
        <v>0</v>
      </c>
      <c r="F78" s="48">
        <f>'[3]US SAF Exports'!OC$290</f>
        <v>0</v>
      </c>
      <c r="G78" s="48">
        <f>'[3]US SAF Exports'!OO$290</f>
        <v>0</v>
      </c>
      <c r="H78" s="52" t="e">
        <f t="shared" si="24"/>
        <v>#REF!</v>
      </c>
      <c r="I78" s="52" t="e">
        <f t="shared" si="24"/>
        <v>#REF!</v>
      </c>
      <c r="J78" s="52" t="e">
        <f t="shared" si="23"/>
        <v>#REF!</v>
      </c>
      <c r="K78" s="52" t="e">
        <f t="shared" si="23"/>
        <v>#REF!</v>
      </c>
      <c r="L78" s="52" t="e">
        <f t="shared" si="23"/>
        <v>#REF!</v>
      </c>
      <c r="M78" s="52" t="e">
        <f t="shared" si="23"/>
        <v>#REF!</v>
      </c>
      <c r="N78" s="52" t="e">
        <f t="shared" si="23"/>
        <v>#REF!</v>
      </c>
      <c r="O78" s="52" t="e">
        <f t="shared" si="23"/>
        <v>#REF!</v>
      </c>
      <c r="P78" s="52" t="e">
        <f t="shared" si="23"/>
        <v>#REF!</v>
      </c>
      <c r="Q78" s="52" t="e">
        <f t="shared" si="23"/>
        <v>#REF!</v>
      </c>
    </row>
    <row r="79" spans="1:18">
      <c r="A79" s="43" t="s">
        <v>78</v>
      </c>
      <c r="B79" s="48">
        <f>'[3]US SAF Exports'!MH$290</f>
        <v>0</v>
      </c>
      <c r="C79" s="48">
        <f>'[3]US SAF Exports'!MT$290</f>
        <v>0</v>
      </c>
      <c r="D79" s="48">
        <f>'[3]US SAF Exports'!NF$290</f>
        <v>0</v>
      </c>
      <c r="E79" s="48">
        <f>'[3]US SAF Exports'!NR$290</f>
        <v>0</v>
      </c>
      <c r="F79" s="48">
        <f>'[3]US SAF Exports'!OD$290</f>
        <v>0</v>
      </c>
      <c r="G79" s="48">
        <f>'[3]US SAF Exports'!OP$290</f>
        <v>0</v>
      </c>
      <c r="H79" s="52" t="e">
        <f t="shared" si="24"/>
        <v>#REF!</v>
      </c>
      <c r="I79" s="52" t="e">
        <f t="shared" si="24"/>
        <v>#REF!</v>
      </c>
      <c r="J79" s="52" t="e">
        <f t="shared" si="23"/>
        <v>#REF!</v>
      </c>
      <c r="K79" s="52" t="e">
        <f t="shared" si="23"/>
        <v>#REF!</v>
      </c>
      <c r="L79" s="52" t="e">
        <f t="shared" si="23"/>
        <v>#REF!</v>
      </c>
      <c r="M79" s="52" t="e">
        <f t="shared" si="23"/>
        <v>#REF!</v>
      </c>
      <c r="N79" s="52" t="e">
        <f t="shared" si="23"/>
        <v>#REF!</v>
      </c>
      <c r="O79" s="52" t="e">
        <f t="shared" si="23"/>
        <v>#REF!</v>
      </c>
      <c r="P79" s="52" t="e">
        <f t="shared" si="23"/>
        <v>#REF!</v>
      </c>
      <c r="Q79" s="52" t="e">
        <f t="shared" si="23"/>
        <v>#REF!</v>
      </c>
    </row>
    <row r="80" spans="1:18">
      <c r="A80" s="43" t="s">
        <v>79</v>
      </c>
      <c r="B80" s="48">
        <f>'[3]US SAF Exports'!MI$290</f>
        <v>0</v>
      </c>
      <c r="C80" s="48">
        <f>'[3]US SAF Exports'!MU$290</f>
        <v>0</v>
      </c>
      <c r="D80" s="48">
        <f>'[3]US SAF Exports'!NG$290</f>
        <v>0</v>
      </c>
      <c r="E80" s="48">
        <f>'[3]US SAF Exports'!NS$290</f>
        <v>0</v>
      </c>
      <c r="F80" s="48">
        <f>'[3]US SAF Exports'!OE$290</f>
        <v>0</v>
      </c>
      <c r="G80" s="48">
        <f>'[3]US SAF Exports'!OQ$290</f>
        <v>0</v>
      </c>
      <c r="H80" s="52" t="e">
        <f>H81-SUM(H69:H79)</f>
        <v>#REF!</v>
      </c>
      <c r="I80" s="52" t="e">
        <f>I81-SUM(I69:I79)</f>
        <v>#REF!</v>
      </c>
      <c r="J80" s="52" t="e">
        <f t="shared" ref="J80:Q80" si="25">J81-SUM(J69:J79)</f>
        <v>#REF!</v>
      </c>
      <c r="K80" s="52" t="e">
        <f t="shared" si="25"/>
        <v>#REF!</v>
      </c>
      <c r="L80" s="52" t="e">
        <f t="shared" si="25"/>
        <v>#REF!</v>
      </c>
      <c r="M80" s="52" t="e">
        <f t="shared" si="25"/>
        <v>#REF!</v>
      </c>
      <c r="N80" s="52" t="e">
        <f t="shared" si="25"/>
        <v>#REF!</v>
      </c>
      <c r="O80" s="52" t="e">
        <f t="shared" si="25"/>
        <v>#REF!</v>
      </c>
      <c r="P80" s="52" t="e">
        <f t="shared" si="25"/>
        <v>#REF!</v>
      </c>
      <c r="Q80" s="52" t="e">
        <f t="shared" si="25"/>
        <v>#REF!</v>
      </c>
    </row>
    <row r="81" spans="1:17" ht="15.75" thickBot="1">
      <c r="A81" s="43" t="s">
        <v>80</v>
      </c>
      <c r="B81" s="48">
        <f>SUM(B69:B80)</f>
        <v>0</v>
      </c>
      <c r="C81" s="48">
        <f>SUM(C70:C80)</f>
        <v>0</v>
      </c>
      <c r="D81" s="48">
        <f>SUM(D69:D80)</f>
        <v>0</v>
      </c>
      <c r="E81" s="48">
        <f>SUM(E69:E69)</f>
        <v>0</v>
      </c>
      <c r="F81" s="48">
        <f>SUM(F69:F69)</f>
        <v>0</v>
      </c>
      <c r="G81" s="48">
        <f t="shared" ref="G81" si="26">SUM(G69:G80)</f>
        <v>0</v>
      </c>
      <c r="H81" s="52">
        <f>H10</f>
        <v>0</v>
      </c>
      <c r="I81" s="52">
        <f t="shared" ref="I81:Q81" si="27">I10</f>
        <v>0</v>
      </c>
      <c r="J81" s="52">
        <f t="shared" si="27"/>
        <v>0</v>
      </c>
      <c r="K81" s="52">
        <f t="shared" si="27"/>
        <v>0</v>
      </c>
      <c r="L81" s="52">
        <f t="shared" si="27"/>
        <v>0</v>
      </c>
      <c r="M81" s="52">
        <f t="shared" si="27"/>
        <v>0</v>
      </c>
      <c r="N81" s="52">
        <f t="shared" si="27"/>
        <v>0</v>
      </c>
      <c r="O81" s="52">
        <f t="shared" si="27"/>
        <v>0</v>
      </c>
      <c r="P81" s="52">
        <f t="shared" si="27"/>
        <v>0</v>
      </c>
      <c r="Q81" s="52">
        <f t="shared" si="27"/>
        <v>0</v>
      </c>
    </row>
    <row r="82" spans="1:17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</row>
  </sheetData>
  <mergeCells count="1">
    <mergeCell ref="A3:Q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DE61-4CE0-4D7C-A1D5-1CA669E89F27}">
  <dimension ref="A1:U80"/>
  <sheetViews>
    <sheetView tabSelected="1" workbookViewId="0">
      <pane xSplit="1" ySplit="3" topLeftCell="B4" activePane="bottomRight" state="frozen"/>
      <selection activeCell="M17" sqref="M17"/>
      <selection pane="topRight" activeCell="M17" sqref="M17"/>
      <selection pane="bottomLeft" activeCell="M17" sqref="M17"/>
      <selection pane="bottomRight" activeCell="D21" sqref="D21"/>
    </sheetView>
  </sheetViews>
  <sheetFormatPr defaultRowHeight="11.25"/>
  <cols>
    <col min="1" max="1" width="68.33203125" style="64" customWidth="1"/>
    <col min="2" max="10" width="10.5" style="64" bestFit="1" customWidth="1"/>
    <col min="11" max="14" width="12" style="64" bestFit="1" customWidth="1"/>
    <col min="15" max="20" width="9.33203125" style="64"/>
    <col min="21" max="21" width="9.5" style="64" bestFit="1" customWidth="1"/>
    <col min="22" max="16384" width="9.33203125" style="64"/>
  </cols>
  <sheetData>
    <row r="1" spans="1:14" ht="18.75">
      <c r="A1" s="95" t="s">
        <v>146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14" ht="12" thickBot="1">
      <c r="A3" s="91"/>
      <c r="B3" s="92">
        <v>2023</v>
      </c>
      <c r="C3" s="92">
        <v>2024</v>
      </c>
      <c r="D3" s="92">
        <v>2025</v>
      </c>
      <c r="E3" s="92">
        <v>2026</v>
      </c>
      <c r="F3" s="92">
        <v>2027</v>
      </c>
      <c r="G3" s="92">
        <v>2028</v>
      </c>
      <c r="H3" s="92">
        <v>2029</v>
      </c>
      <c r="I3" s="92">
        <v>2030</v>
      </c>
      <c r="J3" s="92">
        <v>2031</v>
      </c>
      <c r="K3" s="92">
        <v>2032</v>
      </c>
      <c r="L3" s="92">
        <v>2033</v>
      </c>
      <c r="M3" s="92">
        <v>2034</v>
      </c>
      <c r="N3" s="92">
        <v>2035</v>
      </c>
    </row>
    <row r="4" spans="1:14">
      <c r="A4" s="65" t="s">
        <v>91</v>
      </c>
      <c r="B4" s="66">
        <v>1399.8</v>
      </c>
      <c r="C4" s="66">
        <v>1650</v>
      </c>
      <c r="D4" s="66">
        <v>1700</v>
      </c>
      <c r="E4" s="96">
        <v>1700</v>
      </c>
      <c r="F4" s="96">
        <v>1750</v>
      </c>
      <c r="G4" s="96">
        <v>1750</v>
      </c>
      <c r="H4" s="96">
        <v>1800</v>
      </c>
      <c r="I4" s="96">
        <v>1800</v>
      </c>
      <c r="J4" s="96">
        <v>1800</v>
      </c>
      <c r="K4" s="96">
        <v>1800</v>
      </c>
      <c r="L4" s="96">
        <v>1800</v>
      </c>
      <c r="M4" s="96">
        <v>1850</v>
      </c>
      <c r="N4" s="96">
        <v>1900</v>
      </c>
    </row>
    <row r="5" spans="1:14">
      <c r="A5" s="65" t="s">
        <v>92</v>
      </c>
      <c r="B5" s="66">
        <v>24500</v>
      </c>
      <c r="C5" s="66">
        <v>25750</v>
      </c>
      <c r="D5" s="96">
        <v>27000</v>
      </c>
      <c r="E5" s="96">
        <v>28250</v>
      </c>
      <c r="F5" s="96">
        <v>29500</v>
      </c>
      <c r="G5" s="96">
        <v>30750</v>
      </c>
      <c r="H5" s="96">
        <v>31750</v>
      </c>
      <c r="I5" s="96">
        <v>32500</v>
      </c>
      <c r="J5" s="96">
        <v>33250</v>
      </c>
      <c r="K5" s="96">
        <v>33750</v>
      </c>
      <c r="L5" s="96">
        <v>34500</v>
      </c>
      <c r="M5" s="96">
        <v>35000</v>
      </c>
      <c r="N5" s="96">
        <v>35500</v>
      </c>
    </row>
    <row r="6" spans="1:14">
      <c r="A6" s="65" t="s">
        <v>93</v>
      </c>
      <c r="B6" s="66">
        <v>900</v>
      </c>
      <c r="C6" s="66">
        <v>950</v>
      </c>
      <c r="D6" s="96">
        <v>700</v>
      </c>
      <c r="E6" s="96">
        <v>500</v>
      </c>
      <c r="F6" s="96">
        <v>250</v>
      </c>
      <c r="G6" s="96">
        <v>50</v>
      </c>
      <c r="H6" s="96">
        <v>-200</v>
      </c>
      <c r="I6" s="96">
        <v>-200</v>
      </c>
      <c r="J6" s="96">
        <v>-450</v>
      </c>
      <c r="K6" s="96">
        <v>-450</v>
      </c>
      <c r="L6" s="96">
        <v>-650</v>
      </c>
      <c r="M6" s="96">
        <v>-600</v>
      </c>
      <c r="N6" s="96">
        <v>-600</v>
      </c>
    </row>
    <row r="7" spans="1:14">
      <c r="A7" s="67" t="s">
        <v>94</v>
      </c>
      <c r="B7" s="68">
        <v>25400</v>
      </c>
      <c r="C7" s="68">
        <v>26700</v>
      </c>
      <c r="D7" s="97">
        <v>27700</v>
      </c>
      <c r="E7" s="97">
        <v>28750</v>
      </c>
      <c r="F7" s="97">
        <v>29750</v>
      </c>
      <c r="G7" s="97">
        <v>30800</v>
      </c>
      <c r="H7" s="97">
        <v>31550</v>
      </c>
      <c r="I7" s="97">
        <v>32300</v>
      </c>
      <c r="J7" s="97">
        <v>32800</v>
      </c>
      <c r="K7" s="97">
        <v>33300</v>
      </c>
      <c r="L7" s="97">
        <v>33850</v>
      </c>
      <c r="M7" s="97">
        <v>34400</v>
      </c>
      <c r="N7" s="97">
        <v>34900</v>
      </c>
    </row>
    <row r="8" spans="1:14">
      <c r="A8" s="65" t="s">
        <v>95</v>
      </c>
      <c r="B8" s="66">
        <v>23750</v>
      </c>
      <c r="C8" s="66">
        <v>25000</v>
      </c>
      <c r="D8" s="96">
        <v>26000</v>
      </c>
      <c r="E8" s="96">
        <v>27000</v>
      </c>
      <c r="F8" s="96">
        <v>28000</v>
      </c>
      <c r="G8" s="96">
        <v>29000</v>
      </c>
      <c r="H8" s="96">
        <v>29750</v>
      </c>
      <c r="I8" s="96">
        <v>30500</v>
      </c>
      <c r="J8" s="96">
        <v>31000</v>
      </c>
      <c r="K8" s="96">
        <v>31500</v>
      </c>
      <c r="L8" s="96">
        <v>32000</v>
      </c>
      <c r="M8" s="96">
        <v>32500</v>
      </c>
      <c r="N8" s="96">
        <v>33000</v>
      </c>
    </row>
    <row r="9" spans="1:14" ht="12" thickBot="1">
      <c r="A9" s="67" t="s">
        <v>96</v>
      </c>
      <c r="B9" s="68">
        <v>1650</v>
      </c>
      <c r="C9" s="68">
        <v>1700</v>
      </c>
      <c r="D9" s="97">
        <v>1700</v>
      </c>
      <c r="E9" s="97">
        <v>1750</v>
      </c>
      <c r="F9" s="97">
        <v>1750</v>
      </c>
      <c r="G9" s="97">
        <v>1800</v>
      </c>
      <c r="H9" s="97">
        <v>1800</v>
      </c>
      <c r="I9" s="97">
        <v>1800</v>
      </c>
      <c r="J9" s="97">
        <v>1800</v>
      </c>
      <c r="K9" s="97">
        <v>1800</v>
      </c>
      <c r="L9" s="97">
        <v>1850</v>
      </c>
      <c r="M9" s="97">
        <v>1900</v>
      </c>
      <c r="N9" s="97">
        <v>1900</v>
      </c>
    </row>
    <row r="10" spans="1:14" ht="12" thickBot="1">
      <c r="A10" s="69"/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</row>
    <row r="11" spans="1:14">
      <c r="A11" s="69" t="s">
        <v>97</v>
      </c>
      <c r="B11" s="72" t="e">
        <f>SUM(#REF!)/1000000</f>
        <v>#REF!</v>
      </c>
      <c r="C11" s="70" t="e">
        <f>SUM(#REF!)/1000000</f>
        <v>#REF!</v>
      </c>
      <c r="D11" s="70" t="e">
        <f>SUM(#REF!)/1000000</f>
        <v>#REF!</v>
      </c>
      <c r="E11" s="70" t="e">
        <f>SUM(#REF!)/1000000</f>
        <v>#REF!</v>
      </c>
      <c r="F11" s="70" t="e">
        <f>SUM(#REF!)/1000000</f>
        <v>#REF!</v>
      </c>
      <c r="G11" s="70" t="e">
        <f>SUM(#REF!)/1000000</f>
        <v>#REF!</v>
      </c>
      <c r="H11" s="70" t="e">
        <f>SUM(#REF!)/1000000</f>
        <v>#REF!</v>
      </c>
      <c r="I11" s="70" t="e">
        <f>SUM(#REF!)/1000000</f>
        <v>#REF!</v>
      </c>
      <c r="J11" s="70" t="e">
        <f>SUM(#REF!)/1000000</f>
        <v>#REF!</v>
      </c>
      <c r="K11" s="70" t="e">
        <f>SUM(#REF!)/1000000</f>
        <v>#REF!</v>
      </c>
      <c r="L11" s="70" t="e">
        <f>SUM(#REF!)/1000000</f>
        <v>#REF!</v>
      </c>
      <c r="M11" s="70" t="e">
        <f>SUM(#REF!)/1000000</f>
        <v>#REF!</v>
      </c>
      <c r="N11" s="70" t="e">
        <f>SUM(#REF!)/1000000</f>
        <v>#REF!</v>
      </c>
    </row>
    <row r="12" spans="1:14">
      <c r="A12" s="65" t="s">
        <v>98</v>
      </c>
      <c r="B12" s="73" t="e">
        <f>SUM(#REF!)/1000000</f>
        <v>#REF!</v>
      </c>
      <c r="C12" s="66" t="e">
        <f>SUM(#REF!)/1000000</f>
        <v>#REF!</v>
      </c>
      <c r="D12" s="66" t="e">
        <f>SUM(#REF!)/1000000</f>
        <v>#REF!</v>
      </c>
      <c r="E12" s="66" t="e">
        <f>SUM(#REF!)/1000000</f>
        <v>#REF!</v>
      </c>
      <c r="F12" s="66" t="e">
        <f>SUM(#REF!)/1000000</f>
        <v>#REF!</v>
      </c>
      <c r="G12" s="66" t="e">
        <f>SUM(#REF!)/1000000</f>
        <v>#REF!</v>
      </c>
      <c r="H12" s="66" t="e">
        <f>SUM(#REF!)/1000000</f>
        <v>#REF!</v>
      </c>
      <c r="I12" s="66" t="e">
        <f>SUM(#REF!)/1000000</f>
        <v>#REF!</v>
      </c>
      <c r="J12" s="66" t="e">
        <f>SUM(#REF!)/1000000</f>
        <v>#REF!</v>
      </c>
      <c r="K12" s="66" t="e">
        <f>SUM(#REF!)/1000000</f>
        <v>#REF!</v>
      </c>
      <c r="L12" s="66" t="e">
        <f>SUM(#REF!)/1000000</f>
        <v>#REF!</v>
      </c>
      <c r="M12" s="66" t="e">
        <f>SUM(#REF!)/1000000</f>
        <v>#REF!</v>
      </c>
      <c r="N12" s="66" t="e">
        <f>SUM(#REF!)/1000000</f>
        <v>#REF!</v>
      </c>
    </row>
    <row r="13" spans="1:14">
      <c r="A13" s="74" t="s">
        <v>99</v>
      </c>
      <c r="B13" s="75" t="e">
        <f>SUM(B11:B12)</f>
        <v>#REF!</v>
      </c>
      <c r="C13" s="68" t="e">
        <f>SUM(C11:C12)</f>
        <v>#REF!</v>
      </c>
      <c r="D13" s="68" t="e">
        <f t="shared" ref="D13:N13" si="0">SUM(D11:D12)</f>
        <v>#REF!</v>
      </c>
      <c r="E13" s="68" t="e">
        <f t="shared" si="0"/>
        <v>#REF!</v>
      </c>
      <c r="F13" s="68" t="e">
        <f t="shared" si="0"/>
        <v>#REF!</v>
      </c>
      <c r="G13" s="68" t="e">
        <f t="shared" si="0"/>
        <v>#REF!</v>
      </c>
      <c r="H13" s="68" t="e">
        <f t="shared" si="0"/>
        <v>#REF!</v>
      </c>
      <c r="I13" s="68" t="e">
        <f t="shared" si="0"/>
        <v>#REF!</v>
      </c>
      <c r="J13" s="68" t="e">
        <f t="shared" si="0"/>
        <v>#REF!</v>
      </c>
      <c r="K13" s="68" t="e">
        <f t="shared" si="0"/>
        <v>#REF!</v>
      </c>
      <c r="L13" s="68" t="e">
        <f t="shared" si="0"/>
        <v>#REF!</v>
      </c>
      <c r="M13" s="68" t="e">
        <f t="shared" si="0"/>
        <v>#REF!</v>
      </c>
      <c r="N13" s="68" t="e">
        <f t="shared" si="0"/>
        <v>#REF!</v>
      </c>
    </row>
    <row r="14" spans="1:14" ht="12" thickBot="1">
      <c r="A14" s="65" t="s">
        <v>100</v>
      </c>
      <c r="B14" s="76">
        <v>1.4763779527559055E-3</v>
      </c>
      <c r="C14" s="76">
        <v>4.2134831460674156E-3</v>
      </c>
      <c r="D14" s="76">
        <v>5.2346570397111911E-3</v>
      </c>
      <c r="E14" s="76">
        <v>1.0869565217391304E-2</v>
      </c>
      <c r="F14" s="76">
        <v>1.9327731092436976E-2</v>
      </c>
      <c r="G14" s="76">
        <v>2.739448051948052E-2</v>
      </c>
      <c r="H14" s="76">
        <v>3.486529318541997E-2</v>
      </c>
      <c r="I14" s="76">
        <v>4.9922600619195047E-2</v>
      </c>
      <c r="J14" s="76">
        <v>6.4634146341463417E-2</v>
      </c>
      <c r="K14" s="76">
        <v>7.8828828828828829E-2</v>
      </c>
      <c r="L14" s="76">
        <v>9.2614475627769574E-2</v>
      </c>
      <c r="M14" s="76">
        <v>0.1058139534883721</v>
      </c>
      <c r="N14" s="76">
        <v>0.11862464183381088</v>
      </c>
    </row>
    <row r="15" spans="1:14">
      <c r="A15" s="69" t="s">
        <v>59</v>
      </c>
      <c r="B15" s="77">
        <v>6.9931309335605185</v>
      </c>
      <c r="C15" s="77">
        <v>6.5082209132256326</v>
      </c>
      <c r="D15" s="77">
        <v>6.3545821202291943</v>
      </c>
      <c r="E15" s="77">
        <v>6.8096003512056882</v>
      </c>
      <c r="F15" s="77">
        <v>7.3828597330227268</v>
      </c>
      <c r="G15" s="77">
        <v>7.8019550429213433</v>
      </c>
      <c r="H15" s="77">
        <v>8.0256308412931396</v>
      </c>
      <c r="I15" s="77">
        <v>8.2283054080549931</v>
      </c>
      <c r="J15" s="77">
        <v>8.3541665731342274</v>
      </c>
      <c r="K15" s="77">
        <v>8.3408488072642957</v>
      </c>
      <c r="L15" s="77">
        <v>8.1955941604768459</v>
      </c>
      <c r="M15" s="77">
        <v>8.01456770303278</v>
      </c>
      <c r="N15" s="77">
        <v>7.784954146215056</v>
      </c>
    </row>
    <row r="16" spans="1:14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</row>
    <row r="17" spans="1:14" ht="12" thickBot="1">
      <c r="A17" s="78" t="s">
        <v>140</v>
      </c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</row>
    <row r="18" spans="1:14">
      <c r="A18" s="69" t="s">
        <v>141</v>
      </c>
      <c r="B18" s="80" t="e">
        <f>B11*8/0.93</f>
        <v>#REF!</v>
      </c>
      <c r="C18" s="80" t="e">
        <f t="shared" ref="C18:N18" si="1">C11*8/0.93</f>
        <v>#REF!</v>
      </c>
      <c r="D18" s="80" t="e">
        <f t="shared" si="1"/>
        <v>#REF!</v>
      </c>
      <c r="E18" s="80" t="e">
        <f t="shared" si="1"/>
        <v>#REF!</v>
      </c>
      <c r="F18" s="80" t="e">
        <f t="shared" si="1"/>
        <v>#REF!</v>
      </c>
      <c r="G18" s="80" t="e">
        <f t="shared" si="1"/>
        <v>#REF!</v>
      </c>
      <c r="H18" s="80" t="e">
        <f t="shared" si="1"/>
        <v>#REF!</v>
      </c>
      <c r="I18" s="80" t="e">
        <f t="shared" si="1"/>
        <v>#REF!</v>
      </c>
      <c r="J18" s="80" t="e">
        <f t="shared" si="1"/>
        <v>#REF!</v>
      </c>
      <c r="K18" s="80" t="e">
        <f>K11*8/0.93</f>
        <v>#REF!</v>
      </c>
      <c r="L18" s="80" t="e">
        <f t="shared" si="1"/>
        <v>#REF!</v>
      </c>
      <c r="M18" s="80" t="e">
        <f t="shared" si="1"/>
        <v>#REF!</v>
      </c>
      <c r="N18" s="80" t="e">
        <f t="shared" si="1"/>
        <v>#REF!</v>
      </c>
    </row>
    <row r="19" spans="1:14">
      <c r="A19" s="65" t="s">
        <v>142</v>
      </c>
      <c r="B19" s="81" t="e">
        <f>B11*8/0.93</f>
        <v>#REF!</v>
      </c>
      <c r="C19" s="81" t="e">
        <f t="shared" ref="C19:G19" si="2">C11*8/0.93</f>
        <v>#REF!</v>
      </c>
      <c r="D19" s="81" t="e">
        <f t="shared" si="2"/>
        <v>#REF!</v>
      </c>
      <c r="E19" s="81" t="e">
        <f t="shared" si="2"/>
        <v>#REF!</v>
      </c>
      <c r="F19" s="81" t="e">
        <f t="shared" si="2"/>
        <v>#REF!</v>
      </c>
      <c r="G19" s="81" t="e">
        <f t="shared" si="2"/>
        <v>#REF!</v>
      </c>
      <c r="H19" s="82" t="e">
        <f>H11*7.5/0.93</f>
        <v>#REF!</v>
      </c>
      <c r="I19" s="82" t="e">
        <f t="shared" ref="I19:N19" si="3">I11*7.5/0.93</f>
        <v>#REF!</v>
      </c>
      <c r="J19" s="82" t="e">
        <f t="shared" si="3"/>
        <v>#REF!</v>
      </c>
      <c r="K19" s="82" t="e">
        <f t="shared" si="3"/>
        <v>#REF!</v>
      </c>
      <c r="L19" s="82" t="e">
        <f t="shared" si="3"/>
        <v>#REF!</v>
      </c>
      <c r="M19" s="82" t="e">
        <f t="shared" si="3"/>
        <v>#REF!</v>
      </c>
      <c r="N19" s="82" t="e">
        <f t="shared" si="3"/>
        <v>#REF!</v>
      </c>
    </row>
    <row r="20" spans="1:14" ht="12" thickBot="1">
      <c r="A20" s="65" t="s">
        <v>143</v>
      </c>
      <c r="B20" s="83" t="e">
        <f>B11*8/0.93</f>
        <v>#REF!</v>
      </c>
      <c r="C20" s="83" t="e">
        <f t="shared" ref="C20:E20" si="4">C11*8/0.93</f>
        <v>#REF!</v>
      </c>
      <c r="D20" s="83" t="e">
        <f t="shared" si="4"/>
        <v>#REF!</v>
      </c>
      <c r="E20" s="83" t="e">
        <f t="shared" si="4"/>
        <v>#REF!</v>
      </c>
      <c r="F20" s="84" t="e">
        <f>F11*7.5/0.93</f>
        <v>#REF!</v>
      </c>
      <c r="G20" s="84" t="e">
        <f>G11*7.5/0.93</f>
        <v>#REF!</v>
      </c>
      <c r="H20" s="85" t="e">
        <f t="shared" ref="H20:N20" si="5">H11*6.75/0.93</f>
        <v>#REF!</v>
      </c>
      <c r="I20" s="85" t="e">
        <f t="shared" si="5"/>
        <v>#REF!</v>
      </c>
      <c r="J20" s="85" t="e">
        <f t="shared" si="5"/>
        <v>#REF!</v>
      </c>
      <c r="K20" s="85" t="e">
        <f t="shared" si="5"/>
        <v>#REF!</v>
      </c>
      <c r="L20" s="85" t="e">
        <f t="shared" si="5"/>
        <v>#REF!</v>
      </c>
      <c r="M20" s="85" t="e">
        <f t="shared" si="5"/>
        <v>#REF!</v>
      </c>
      <c r="N20" s="85" t="e">
        <f t="shared" si="5"/>
        <v>#REF!</v>
      </c>
    </row>
    <row r="21" spans="1:14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</row>
    <row r="22" spans="1:14" ht="12" thickBot="1">
      <c r="A22" s="78" t="s">
        <v>144</v>
      </c>
    </row>
    <row r="23" spans="1:14">
      <c r="A23" s="69" t="s">
        <v>141</v>
      </c>
      <c r="B23" s="80" t="e">
        <f>B12*8/0.93</f>
        <v>#REF!</v>
      </c>
      <c r="C23" s="80" t="e">
        <f t="shared" ref="C23:N23" si="6">C12*8/0.93</f>
        <v>#REF!</v>
      </c>
      <c r="D23" s="80" t="e">
        <f t="shared" si="6"/>
        <v>#REF!</v>
      </c>
      <c r="E23" s="80" t="e">
        <f t="shared" si="6"/>
        <v>#REF!</v>
      </c>
      <c r="F23" s="80" t="e">
        <f t="shared" si="6"/>
        <v>#REF!</v>
      </c>
      <c r="G23" s="80" t="e">
        <f t="shared" si="6"/>
        <v>#REF!</v>
      </c>
      <c r="H23" s="80" t="e">
        <f t="shared" si="6"/>
        <v>#REF!</v>
      </c>
      <c r="I23" s="80" t="e">
        <f t="shared" si="6"/>
        <v>#REF!</v>
      </c>
      <c r="J23" s="80" t="e">
        <f t="shared" si="6"/>
        <v>#REF!</v>
      </c>
      <c r="K23" s="80" t="e">
        <f t="shared" si="6"/>
        <v>#REF!</v>
      </c>
      <c r="L23" s="80" t="e">
        <f t="shared" si="6"/>
        <v>#REF!</v>
      </c>
      <c r="M23" s="80" t="e">
        <f t="shared" si="6"/>
        <v>#REF!</v>
      </c>
      <c r="N23" s="80" t="e">
        <f t="shared" si="6"/>
        <v>#REF!</v>
      </c>
    </row>
    <row r="24" spans="1:14">
      <c r="A24" s="65" t="s">
        <v>142</v>
      </c>
      <c r="B24" s="81" t="e">
        <f>B12*8/0.93</f>
        <v>#REF!</v>
      </c>
      <c r="C24" s="81" t="e">
        <f t="shared" ref="C24:G24" si="7">C12*8/0.93</f>
        <v>#REF!</v>
      </c>
      <c r="D24" s="81" t="e">
        <f t="shared" si="7"/>
        <v>#REF!</v>
      </c>
      <c r="E24" s="81" t="e">
        <f t="shared" si="7"/>
        <v>#REF!</v>
      </c>
      <c r="F24" s="81" t="e">
        <f t="shared" si="7"/>
        <v>#REF!</v>
      </c>
      <c r="G24" s="81" t="e">
        <f t="shared" si="7"/>
        <v>#REF!</v>
      </c>
      <c r="H24" s="82" t="e">
        <f t="shared" ref="H24:N24" si="8">H12*7.5/0.93</f>
        <v>#REF!</v>
      </c>
      <c r="I24" s="82" t="e">
        <f t="shared" si="8"/>
        <v>#REF!</v>
      </c>
      <c r="J24" s="82" t="e">
        <f t="shared" si="8"/>
        <v>#REF!</v>
      </c>
      <c r="K24" s="82" t="e">
        <f t="shared" si="8"/>
        <v>#REF!</v>
      </c>
      <c r="L24" s="82" t="e">
        <f t="shared" si="8"/>
        <v>#REF!</v>
      </c>
      <c r="M24" s="82" t="e">
        <f t="shared" si="8"/>
        <v>#REF!</v>
      </c>
      <c r="N24" s="82" t="e">
        <f t="shared" si="8"/>
        <v>#REF!</v>
      </c>
    </row>
    <row r="25" spans="1:14" ht="12" thickBot="1">
      <c r="A25" s="65" t="s">
        <v>143</v>
      </c>
      <c r="B25" s="81" t="e">
        <f>B12*8/0.93</f>
        <v>#REF!</v>
      </c>
      <c r="C25" s="81" t="e">
        <f t="shared" ref="C25:E25" si="9">C12*8/0.93</f>
        <v>#REF!</v>
      </c>
      <c r="D25" s="81" t="e">
        <f t="shared" si="9"/>
        <v>#REF!</v>
      </c>
      <c r="E25" s="81" t="e">
        <f t="shared" si="9"/>
        <v>#REF!</v>
      </c>
      <c r="F25" s="82" t="e">
        <f>F12*7.5/0.93</f>
        <v>#REF!</v>
      </c>
      <c r="G25" s="82" t="e">
        <f>G12*7.5/0.93</f>
        <v>#REF!</v>
      </c>
      <c r="H25" s="87" t="e">
        <f>H12*6.75/0.93</f>
        <v>#REF!</v>
      </c>
      <c r="I25" s="87" t="e">
        <f t="shared" ref="I25:N25" si="10">I12*6.75/0.93</f>
        <v>#REF!</v>
      </c>
      <c r="J25" s="87" t="e">
        <f t="shared" si="10"/>
        <v>#REF!</v>
      </c>
      <c r="K25" s="87" t="e">
        <f t="shared" si="10"/>
        <v>#REF!</v>
      </c>
      <c r="L25" s="87" t="e">
        <f t="shared" si="10"/>
        <v>#REF!</v>
      </c>
      <c r="M25" s="87" t="e">
        <f t="shared" si="10"/>
        <v>#REF!</v>
      </c>
      <c r="N25" s="87" t="e">
        <f t="shared" si="10"/>
        <v>#REF!</v>
      </c>
    </row>
    <row r="26" spans="1:14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</row>
    <row r="27" spans="1:14" ht="12" thickBot="1">
      <c r="A27" s="78" t="s">
        <v>101</v>
      </c>
    </row>
    <row r="28" spans="1:14">
      <c r="A28" s="69" t="s">
        <v>102</v>
      </c>
      <c r="B28" s="80" t="e">
        <f>B23+B18</f>
        <v>#REF!</v>
      </c>
      <c r="C28" s="80" t="e">
        <f t="shared" ref="C28:N28" si="11">C23+C18</f>
        <v>#REF!</v>
      </c>
      <c r="D28" s="80" t="e">
        <f t="shared" si="11"/>
        <v>#REF!</v>
      </c>
      <c r="E28" s="80" t="e">
        <f t="shared" si="11"/>
        <v>#REF!</v>
      </c>
      <c r="F28" s="80" t="e">
        <f t="shared" si="11"/>
        <v>#REF!</v>
      </c>
      <c r="G28" s="80" t="e">
        <f t="shared" si="11"/>
        <v>#REF!</v>
      </c>
      <c r="H28" s="80" t="e">
        <f t="shared" si="11"/>
        <v>#REF!</v>
      </c>
      <c r="I28" s="80" t="e">
        <f t="shared" si="11"/>
        <v>#REF!</v>
      </c>
      <c r="J28" s="80" t="e">
        <f t="shared" si="11"/>
        <v>#REF!</v>
      </c>
      <c r="K28" s="80" t="e">
        <f t="shared" si="11"/>
        <v>#REF!</v>
      </c>
      <c r="L28" s="80" t="e">
        <f t="shared" si="11"/>
        <v>#REF!</v>
      </c>
      <c r="M28" s="80" t="e">
        <f t="shared" si="11"/>
        <v>#REF!</v>
      </c>
      <c r="N28" s="80" t="e">
        <f t="shared" si="11"/>
        <v>#REF!</v>
      </c>
    </row>
    <row r="29" spans="1:14">
      <c r="A29" s="65" t="s">
        <v>103</v>
      </c>
      <c r="B29" s="81" t="e">
        <f t="shared" ref="B29:N30" si="12">B24+B19</f>
        <v>#REF!</v>
      </c>
      <c r="C29" s="81" t="e">
        <f t="shared" si="12"/>
        <v>#REF!</v>
      </c>
      <c r="D29" s="81" t="e">
        <f t="shared" si="12"/>
        <v>#REF!</v>
      </c>
      <c r="E29" s="81" t="e">
        <f t="shared" si="12"/>
        <v>#REF!</v>
      </c>
      <c r="F29" s="81" t="e">
        <f t="shared" si="12"/>
        <v>#REF!</v>
      </c>
      <c r="G29" s="81" t="e">
        <f t="shared" si="12"/>
        <v>#REF!</v>
      </c>
      <c r="H29" s="82" t="e">
        <f t="shared" si="12"/>
        <v>#REF!</v>
      </c>
      <c r="I29" s="82" t="e">
        <f t="shared" si="12"/>
        <v>#REF!</v>
      </c>
      <c r="J29" s="82" t="e">
        <f t="shared" si="12"/>
        <v>#REF!</v>
      </c>
      <c r="K29" s="82" t="e">
        <f t="shared" si="12"/>
        <v>#REF!</v>
      </c>
      <c r="L29" s="82" t="e">
        <f t="shared" si="12"/>
        <v>#REF!</v>
      </c>
      <c r="M29" s="82" t="e">
        <f t="shared" si="12"/>
        <v>#REF!</v>
      </c>
      <c r="N29" s="82" t="e">
        <f t="shared" si="12"/>
        <v>#REF!</v>
      </c>
    </row>
    <row r="30" spans="1:14" ht="12" thickBot="1">
      <c r="A30" s="65" t="s">
        <v>104</v>
      </c>
      <c r="B30" s="81" t="e">
        <f t="shared" si="12"/>
        <v>#REF!</v>
      </c>
      <c r="C30" s="81" t="e">
        <f t="shared" si="12"/>
        <v>#REF!</v>
      </c>
      <c r="D30" s="81" t="e">
        <f t="shared" si="12"/>
        <v>#REF!</v>
      </c>
      <c r="E30" s="81" t="e">
        <f t="shared" si="12"/>
        <v>#REF!</v>
      </c>
      <c r="F30" s="82" t="e">
        <f t="shared" si="12"/>
        <v>#REF!</v>
      </c>
      <c r="G30" s="82" t="e">
        <f t="shared" si="12"/>
        <v>#REF!</v>
      </c>
      <c r="H30" s="87" t="e">
        <f t="shared" si="12"/>
        <v>#REF!</v>
      </c>
      <c r="I30" s="87" t="e">
        <f t="shared" si="12"/>
        <v>#REF!</v>
      </c>
      <c r="J30" s="87" t="e">
        <f t="shared" si="12"/>
        <v>#REF!</v>
      </c>
      <c r="K30" s="87" t="e">
        <f t="shared" si="12"/>
        <v>#REF!</v>
      </c>
      <c r="L30" s="87" t="e">
        <f t="shared" si="12"/>
        <v>#REF!</v>
      </c>
      <c r="M30" s="87" t="e">
        <f t="shared" si="12"/>
        <v>#REF!</v>
      </c>
      <c r="N30" s="87" t="e">
        <f t="shared" si="12"/>
        <v>#REF!</v>
      </c>
    </row>
    <row r="31" spans="1:14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</row>
    <row r="33" spans="1:21">
      <c r="A33" s="65" t="s">
        <v>105</v>
      </c>
    </row>
    <row r="34" spans="1:21">
      <c r="A34" s="65" t="s">
        <v>106</v>
      </c>
      <c r="B34" s="66" t="e">
        <f>B11</f>
        <v>#REF!</v>
      </c>
      <c r="C34" s="66" t="e">
        <f>C11</f>
        <v>#REF!</v>
      </c>
      <c r="D34" s="66" t="e">
        <f>D11*2</f>
        <v>#REF!</v>
      </c>
      <c r="E34" s="66" t="e">
        <f t="shared" ref="E34:H34" si="13">E11*2</f>
        <v>#REF!</v>
      </c>
      <c r="F34" s="66" t="e">
        <f t="shared" si="13"/>
        <v>#REF!</v>
      </c>
      <c r="G34" s="66" t="e">
        <f t="shared" si="13"/>
        <v>#REF!</v>
      </c>
      <c r="H34" s="66" t="e">
        <f t="shared" si="13"/>
        <v>#REF!</v>
      </c>
      <c r="I34" s="66" t="e">
        <f>I11*1.75</f>
        <v>#REF!</v>
      </c>
      <c r="J34" s="66" t="e">
        <f>J11*1.75</f>
        <v>#REF!</v>
      </c>
      <c r="K34" s="66" t="e">
        <f t="shared" ref="K34:N34" si="14">K11*1.75</f>
        <v>#REF!</v>
      </c>
      <c r="L34" s="66" t="e">
        <f t="shared" si="14"/>
        <v>#REF!</v>
      </c>
      <c r="M34" s="66" t="e">
        <f t="shared" si="14"/>
        <v>#REF!</v>
      </c>
      <c r="N34" s="66" t="e">
        <f t="shared" si="14"/>
        <v>#REF!</v>
      </c>
      <c r="U34" s="64">
        <v>800</v>
      </c>
    </row>
    <row r="35" spans="1:21">
      <c r="A35" s="65" t="s">
        <v>107</v>
      </c>
      <c r="B35" s="66"/>
      <c r="C35" s="88" t="e">
        <f t="shared" ref="C35:E35" si="15">C34/C44</f>
        <v>#REF!</v>
      </c>
      <c r="D35" s="88" t="e">
        <f t="shared" si="15"/>
        <v>#REF!</v>
      </c>
      <c r="E35" s="88" t="e">
        <f t="shared" si="15"/>
        <v>#REF!</v>
      </c>
      <c r="F35" s="88" t="e">
        <f>F34/F44</f>
        <v>#REF!</v>
      </c>
      <c r="G35" s="88" t="e">
        <f t="shared" ref="G35:I35" si="16">G34/G44</f>
        <v>#REF!</v>
      </c>
      <c r="H35" s="88" t="e">
        <f t="shared" si="16"/>
        <v>#REF!</v>
      </c>
      <c r="I35" s="88" t="e">
        <f t="shared" si="16"/>
        <v>#REF!</v>
      </c>
      <c r="J35" s="66"/>
      <c r="K35" s="66"/>
      <c r="L35" s="66"/>
      <c r="M35" s="66"/>
      <c r="N35" s="66"/>
      <c r="U35" s="64">
        <f>U34/3.78541</f>
        <v>211.33774148639117</v>
      </c>
    </row>
    <row r="36" spans="1:21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U36" s="64">
        <f>U35/8.02</f>
        <v>26.351339337455258</v>
      </c>
    </row>
    <row r="37" spans="1:21">
      <c r="A37" s="65" t="s">
        <v>108</v>
      </c>
      <c r="B37" s="66"/>
      <c r="C37" s="66">
        <f>SUM(C45:C60)</f>
        <v>973.0500834415584</v>
      </c>
      <c r="D37" s="66">
        <f t="shared" ref="D37:N37" si="17">SUM(D45:D60)</f>
        <v>1196.0019857142856</v>
      </c>
      <c r="E37" s="66">
        <f t="shared" si="17"/>
        <v>1442.3293666666666</v>
      </c>
      <c r="F37" s="66">
        <f t="shared" si="17"/>
        <v>1493.243057142857</v>
      </c>
      <c r="G37" s="66">
        <f t="shared" si="17"/>
        <v>1683.0793666666666</v>
      </c>
      <c r="H37" s="66">
        <f t="shared" si="17"/>
        <v>1731.1001999999999</v>
      </c>
      <c r="I37" s="66">
        <f t="shared" si="17"/>
        <v>1931.1001999999999</v>
      </c>
      <c r="J37" s="66">
        <f t="shared" si="17"/>
        <v>2730.5793666666668</v>
      </c>
      <c r="K37" s="66">
        <f t="shared" si="17"/>
        <v>2988.6001999999999</v>
      </c>
      <c r="L37" s="66">
        <f t="shared" si="17"/>
        <v>3238.6001999999999</v>
      </c>
      <c r="M37" s="66">
        <f t="shared" si="17"/>
        <v>4088.6001999999999</v>
      </c>
      <c r="N37" s="66">
        <f t="shared" si="17"/>
        <v>5238.6001999999999</v>
      </c>
    </row>
    <row r="38" spans="1:21">
      <c r="A38" s="65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1:2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</row>
    <row r="40" spans="1:21">
      <c r="A40" s="65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</row>
    <row r="41" spans="1:21">
      <c r="A41" s="65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</row>
    <row r="42" spans="1:21">
      <c r="A42" s="65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</row>
    <row r="43" spans="1:21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</row>
    <row r="44" spans="1:21">
      <c r="A44" s="65" t="s">
        <v>109</v>
      </c>
      <c r="B44" s="66">
        <f t="shared" ref="B44:I44" si="18">SUM(B45:B64)</f>
        <v>442.76388888888891</v>
      </c>
      <c r="C44" s="66">
        <f t="shared" si="18"/>
        <v>991.53222629870129</v>
      </c>
      <c r="D44" s="66">
        <f t="shared" si="18"/>
        <v>1218.5019857142856</v>
      </c>
      <c r="E44" s="66">
        <f t="shared" si="18"/>
        <v>1475.8710333333333</v>
      </c>
      <c r="F44" s="66">
        <f t="shared" si="18"/>
        <v>1550.493057142857</v>
      </c>
      <c r="G44" s="66">
        <f t="shared" si="18"/>
        <v>1742.0793666666666</v>
      </c>
      <c r="H44" s="66">
        <f t="shared" si="18"/>
        <v>1790.1001999999999</v>
      </c>
      <c r="I44" s="66">
        <f t="shared" si="18"/>
        <v>1990.1001999999999</v>
      </c>
      <c r="J44" s="66">
        <f>SUM(J45:J64)</f>
        <v>2789.5793666666668</v>
      </c>
      <c r="K44" s="66">
        <f>SUM(K45:K64)</f>
        <v>3047.6001999999999</v>
      </c>
      <c r="L44" s="66">
        <f t="shared" ref="L44:N44" si="19">SUM(L45:L64)</f>
        <v>3297.6001999999999</v>
      </c>
      <c r="M44" s="66">
        <f t="shared" si="19"/>
        <v>4147.6001999999999</v>
      </c>
      <c r="N44" s="66">
        <f t="shared" si="19"/>
        <v>5297.6001999999999</v>
      </c>
    </row>
    <row r="45" spans="1:21">
      <c r="A45" s="65" t="s">
        <v>110</v>
      </c>
      <c r="B45" s="66"/>
      <c r="C45" s="66"/>
      <c r="D45" s="66">
        <f>AVERAGE('[1]Renewable Diesel'!$I$181:$I$192)</f>
        <v>117.1875</v>
      </c>
      <c r="E45" s="66">
        <f>AVERAGE('[1]Renewable Diesel'!$I$193:$I$204)</f>
        <v>125</v>
      </c>
      <c r="F45" s="66">
        <f>AVERAGE('[1]Renewable Diesel'!$I$205:$I$216)</f>
        <v>125</v>
      </c>
      <c r="G45" s="66">
        <f>AVERAGE('[1]Renewable Diesel'!$I$217:$I$228)</f>
        <v>250</v>
      </c>
      <c r="H45" s="66">
        <f>AVERAGE('[1]Renewable Diesel'!$I$229:$I$240)</f>
        <v>250</v>
      </c>
      <c r="I45" s="66">
        <f>AVERAGE('[1]Renewable Diesel'!$I$241:$I$252)</f>
        <v>250</v>
      </c>
      <c r="J45" s="66">
        <f>AVERAGE('[1]Renewable Diesel'!$I$253:$I$264)</f>
        <v>250</v>
      </c>
      <c r="K45" s="66">
        <f>AVERAGE('[1]Renewable Diesel'!$I$265:$I$276)</f>
        <v>250</v>
      </c>
      <c r="L45" s="66">
        <f>AVERAGE('[1]Renewable Diesel'!$I$277:$I$288)</f>
        <v>250</v>
      </c>
      <c r="M45" s="66">
        <f>AVERAGE('[1]Renewable Diesel'!$I$289:$I$300)</f>
        <v>250</v>
      </c>
      <c r="N45" s="66">
        <f>AVERAGE('[1]Renewable Diesel'!$I$301:$I$312)</f>
        <v>250</v>
      </c>
    </row>
    <row r="46" spans="1:21">
      <c r="A46" s="65" t="s">
        <v>111</v>
      </c>
      <c r="B46" s="66">
        <f>AVERAGE('[1]Renewable Diesel'!$H$158:$H$169)</f>
        <v>95</v>
      </c>
      <c r="C46" s="66">
        <f>AVERAGE('[1]Renewable Diesel'!$H$170:$H$180)</f>
        <v>190</v>
      </c>
      <c r="D46" s="66">
        <f>AVERAGE('[1]Renewable Diesel'!$H$181:$H$192)</f>
        <v>190</v>
      </c>
      <c r="E46" s="66">
        <f>AVERAGE('[1]Renewable Diesel'!$H$193:$H$204)</f>
        <v>190</v>
      </c>
      <c r="F46" s="66">
        <f>AVERAGE('[1]Renewable Diesel'!$H$205:$H$216)</f>
        <v>190</v>
      </c>
      <c r="G46" s="66">
        <f>AVERAGE('[1]Renewable Diesel'!$H$217:$H$228)</f>
        <v>190</v>
      </c>
      <c r="H46" s="66">
        <f>AVERAGE('[1]Renewable Diesel'!$H$229:$H$240)</f>
        <v>190</v>
      </c>
      <c r="I46" s="66">
        <f>AVERAGE('[1]Renewable Diesel'!$H$241:$H$252)</f>
        <v>190</v>
      </c>
      <c r="J46" s="66">
        <f>AVERAGE('[1]Renewable Diesel'!$H$253:$H$264)</f>
        <v>190</v>
      </c>
      <c r="K46" s="66">
        <f>AVERAGE('[1]Renewable Diesel'!$H$265:$H$276)</f>
        <v>190</v>
      </c>
      <c r="L46" s="66">
        <f>AVERAGE('[1]Renewable Diesel'!$H$277:$H$288)</f>
        <v>190</v>
      </c>
      <c r="M46" s="66">
        <f>AVERAGE('[1]Renewable Diesel'!$H$289:$H$300)</f>
        <v>190</v>
      </c>
      <c r="N46" s="66">
        <f>AVERAGE('[1]Renewable Diesel'!$H$301:$H$312)</f>
        <v>190</v>
      </c>
    </row>
    <row r="47" spans="1:21">
      <c r="A47" s="65" t="s">
        <v>112</v>
      </c>
      <c r="B47" s="66">
        <f>AVERAGE('[1]Renewable Diesel'!$O$158:$O$169)</f>
        <v>120</v>
      </c>
      <c r="C47" s="66">
        <f>AVERAGE('[1]Renewable Diesel'!$O$170:$O$180)</f>
        <v>419</v>
      </c>
      <c r="D47" s="66">
        <f>AVERAGE('[1]Renewable Diesel'!$O$181:$O$192)</f>
        <v>375</v>
      </c>
      <c r="E47" s="66">
        <f>AVERAGE('[1]Renewable Diesel'!$O$193:$O$204)</f>
        <v>375</v>
      </c>
      <c r="F47" s="66">
        <f>AVERAGE('[1]Renewable Diesel'!$O$205:$O$216)</f>
        <v>375</v>
      </c>
      <c r="G47" s="66">
        <f>AVERAGE('[1]Renewable Diesel'!$O$217:$O$228)</f>
        <v>375</v>
      </c>
      <c r="H47" s="66">
        <f>AVERAGE('[1]Renewable Diesel'!$O$229:$O$240)</f>
        <v>375</v>
      </c>
      <c r="I47" s="66">
        <f>AVERAGE('[1]Renewable Diesel'!$O$241:$O$252)</f>
        <v>375</v>
      </c>
      <c r="J47" s="66">
        <f>AVERAGE('[1]Renewable Diesel'!$O$253:$O$264)</f>
        <v>375</v>
      </c>
      <c r="K47" s="66">
        <f>AVERAGE('[1]Renewable Diesel'!$O$265:$O$276)</f>
        <v>375</v>
      </c>
      <c r="L47" s="66">
        <f>AVERAGE('[1]Renewable Diesel'!$O$277:$O$288)</f>
        <v>375</v>
      </c>
      <c r="M47" s="66">
        <f>AVERAGE('[1]Renewable Diesel'!$O$289:$O$300)</f>
        <v>375</v>
      </c>
      <c r="N47" s="66">
        <f>AVERAGE('[1]Renewable Diesel'!$O$301:$O$312)</f>
        <v>375</v>
      </c>
    </row>
    <row r="48" spans="1:21">
      <c r="A48" s="65" t="s">
        <v>113</v>
      </c>
      <c r="B48" s="66">
        <f>AVERAGE('[1]Renewable Diesel'!$R$158:$R$169)</f>
        <v>100</v>
      </c>
      <c r="C48" s="66">
        <f>AVERAGE('[1]Renewable Diesel'!$R$170:$R$180)</f>
        <v>100</v>
      </c>
      <c r="D48" s="66">
        <f>AVERAGE('[1]Renewable Diesel'!$R$181:$R$192)</f>
        <v>100</v>
      </c>
      <c r="E48" s="66">
        <f>AVERAGE('[1]Renewable Diesel'!$R$193:$R$204)</f>
        <v>100</v>
      </c>
      <c r="F48" s="66">
        <f>AVERAGE('[1]Renewable Diesel'!$R$205:$R$216)</f>
        <v>100</v>
      </c>
      <c r="G48" s="66">
        <f>AVERAGE('[1]Renewable Diesel'!$R$217:$R$228)</f>
        <v>100</v>
      </c>
      <c r="H48" s="66">
        <f>AVERAGE('[1]Renewable Diesel'!$R$229:$R$240)</f>
        <v>100</v>
      </c>
      <c r="I48" s="66">
        <f>AVERAGE('[1]Renewable Diesel'!$R$241:$R$252)</f>
        <v>100</v>
      </c>
      <c r="J48" s="66">
        <f>AVERAGE('[1]Renewable Diesel'!$R$253:$R$264)</f>
        <v>100</v>
      </c>
      <c r="K48" s="66">
        <f>AVERAGE('[1]Renewable Diesel'!$R$265:$R$276)</f>
        <v>100</v>
      </c>
      <c r="L48" s="66">
        <f>AVERAGE('[1]Renewable Diesel'!$R$277:$R$288)</f>
        <v>100</v>
      </c>
      <c r="M48" s="66">
        <f>AVERAGE('[1]Renewable Diesel'!$R$289:$R$300)</f>
        <v>100</v>
      </c>
      <c r="N48" s="66">
        <f>AVERAGE('[1]Renewable Diesel'!$R$301:$R$312)</f>
        <v>100</v>
      </c>
    </row>
    <row r="49" spans="1:14">
      <c r="A49" s="65" t="s">
        <v>114</v>
      </c>
      <c r="B49" s="66"/>
      <c r="C49" s="66">
        <f>AVERAGE('[1]Renewable Diesel'!$S$170:$S$180)*0.41667</f>
        <v>23.958524999999998</v>
      </c>
      <c r="D49" s="66">
        <f>AVERAGE('[1]Renewable Diesel'!$S$181:$S$192)*0.41667</f>
        <v>25.0002</v>
      </c>
      <c r="E49" s="66">
        <f>AVERAGE('[1]Renewable Diesel'!$S$193:$S$204)*0.41667</f>
        <v>25.0002</v>
      </c>
      <c r="F49" s="66">
        <f>AVERAGE('[1]Renewable Diesel'!$S$205:$S$216)*0.41667</f>
        <v>25.0002</v>
      </c>
      <c r="G49" s="66">
        <f>AVERAGE('[1]Renewable Diesel'!$S$217:$S$228)*0.41667</f>
        <v>25.0002</v>
      </c>
      <c r="H49" s="66">
        <f>AVERAGE('[1]Renewable Diesel'!$S$229:$S$240)*0.41667</f>
        <v>25.0002</v>
      </c>
      <c r="I49" s="66">
        <f>AVERAGE('[1]Renewable Diesel'!$S$241:$S$252)*0.41667</f>
        <v>25.0002</v>
      </c>
      <c r="J49" s="66">
        <f>AVERAGE('[1]Renewable Diesel'!$S$253:$S$264)*0.41667</f>
        <v>25.0002</v>
      </c>
      <c r="K49" s="66">
        <f>AVERAGE('[1]Renewable Diesel'!$S$265:$S$276)*0.41667</f>
        <v>25.0002</v>
      </c>
      <c r="L49" s="66">
        <f>AVERAGE('[1]Renewable Diesel'!$S$277:$S$288)*0.41667</f>
        <v>25.0002</v>
      </c>
      <c r="M49" s="66">
        <f>AVERAGE('[1]Renewable Diesel'!$S$289:$S$300)*0.41667</f>
        <v>25.0002</v>
      </c>
      <c r="N49" s="66">
        <f>AVERAGE('[1]Renewable Diesel'!$S$301:$S$312)*0.41667</f>
        <v>25.0002</v>
      </c>
    </row>
    <row r="50" spans="1:14">
      <c r="A50" s="65" t="s">
        <v>115</v>
      </c>
      <c r="B50" s="66">
        <f>AVERAGE('[1]Renewable Diesel'!$T$158:$T$169)</f>
        <v>34.200000000000003</v>
      </c>
      <c r="C50" s="66">
        <f>AVERAGE('[1]Renewable Diesel'!$T$170:$T$180)</f>
        <v>36</v>
      </c>
      <c r="D50" s="66">
        <f>AVERAGE('[1]Renewable Diesel'!$T$181:$T$192)</f>
        <v>36</v>
      </c>
      <c r="E50" s="66">
        <f>AVERAGE('[1]Renewable Diesel'!$T$193:$T$204)</f>
        <v>36</v>
      </c>
      <c r="F50" s="66">
        <f>AVERAGE('[1]Renewable Diesel'!$T$205:$T$216)</f>
        <v>36</v>
      </c>
      <c r="G50" s="66">
        <f>AVERAGE('[1]Renewable Diesel'!$T$217:$T$228)</f>
        <v>36</v>
      </c>
      <c r="H50" s="66">
        <f>AVERAGE('[1]Renewable Diesel'!$T$229:$T$240)</f>
        <v>36</v>
      </c>
      <c r="I50" s="66">
        <f>AVERAGE('[1]Renewable Diesel'!$T$241:$T$252)</f>
        <v>36</v>
      </c>
      <c r="J50" s="66">
        <f>AVERAGE('[1]Renewable Diesel'!$T$253:$T$264)</f>
        <v>36</v>
      </c>
      <c r="K50" s="66">
        <f>AVERAGE('[1]Renewable Diesel'!$T$265:$T$276)</f>
        <v>36</v>
      </c>
      <c r="L50" s="66">
        <f>AVERAGE('[1]Renewable Diesel'!$T$277:$T$288)</f>
        <v>36</v>
      </c>
      <c r="M50" s="66">
        <f>AVERAGE('[1]Renewable Diesel'!$T$289:$T$300)</f>
        <v>36</v>
      </c>
      <c r="N50" s="66">
        <f>AVERAGE('[1]Renewable Diesel'!$T$301:$T$312)</f>
        <v>36</v>
      </c>
    </row>
    <row r="51" spans="1:14">
      <c r="A51" s="65" t="s">
        <v>116</v>
      </c>
      <c r="B51" s="66">
        <f>AVERAGE('[1]Renewable Diesel'!$Y$158:$Y$169)</f>
        <v>3.0138888888888888</v>
      </c>
      <c r="C51" s="66">
        <f>AVERAGE('[1]Renewable Diesel'!$Y$170:$Y$180)</f>
        <v>3.5</v>
      </c>
      <c r="D51" s="66">
        <f>AVERAGE('[1]Renewable Diesel'!$Y$181:$Y$192)</f>
        <v>3.5</v>
      </c>
      <c r="E51" s="66">
        <f>AVERAGE('[1]Renewable Diesel'!$Y$193:$Y$204)</f>
        <v>3.5</v>
      </c>
      <c r="F51" s="66">
        <f>AVERAGE('[1]Renewable Diesel'!$Y$205:$Y$216)</f>
        <v>3.5</v>
      </c>
      <c r="G51" s="66">
        <f>AVERAGE('[1]Renewable Diesel'!$Y$217:$Y$228)</f>
        <v>3.5</v>
      </c>
      <c r="H51" s="66">
        <f>AVERAGE('[1]Renewable Diesel'!$Y$229:$Y$240)</f>
        <v>3.5</v>
      </c>
      <c r="I51" s="66">
        <f>AVERAGE('[1]Renewable Diesel'!$Y$241:$Y$252)</f>
        <v>3.5</v>
      </c>
      <c r="J51" s="66">
        <f>AVERAGE('[1]Renewable Diesel'!$Y$253:$Y$264)</f>
        <v>3.5</v>
      </c>
      <c r="K51" s="66">
        <f>AVERAGE('[1]Renewable Diesel'!$Y$265:$Y$276)</f>
        <v>3.5</v>
      </c>
      <c r="L51" s="66">
        <f>AVERAGE('[1]Renewable Diesel'!$Y$277:$Y$288)</f>
        <v>3.5</v>
      </c>
      <c r="M51" s="66">
        <f>AVERAGE('[1]Renewable Diesel'!$Y$289:$Y$300)</f>
        <v>3.5</v>
      </c>
      <c r="N51" s="66">
        <f>AVERAGE('[1]Renewable Diesel'!$Y$301:$Y$312)</f>
        <v>3.5</v>
      </c>
    </row>
    <row r="52" spans="1:14">
      <c r="A52" s="65" t="s">
        <v>117</v>
      </c>
      <c r="B52" s="66"/>
      <c r="C52" s="66">
        <f>AVERAGE('[1]Renewable Diesel'!$Z$170:$Z$180)</f>
        <v>51.964285714285715</v>
      </c>
      <c r="D52" s="66">
        <f>AVERAGE('[1]Renewable Diesel'!$Z$181:$Z$192)</f>
        <v>57.5</v>
      </c>
      <c r="E52" s="66">
        <f>AVERAGE('[1]Renewable Diesel'!$Z$193:$Z$204)</f>
        <v>106.97916666666667</v>
      </c>
      <c r="F52" s="66">
        <f>AVERAGE('[1]Renewable Diesel'!$Z$205:$Z$216)</f>
        <v>115</v>
      </c>
      <c r="G52" s="66">
        <f>AVERAGE('[1]Renewable Diesel'!$Z$217:$Z$228)</f>
        <v>164.47916666666666</v>
      </c>
      <c r="H52" s="66">
        <f>AVERAGE('[1]Renewable Diesel'!$Z$229:$Z$240)</f>
        <v>172.5</v>
      </c>
      <c r="I52" s="66">
        <f>AVERAGE('[1]Renewable Diesel'!$Z$241:$Z$252)</f>
        <v>172.5</v>
      </c>
      <c r="J52" s="66">
        <f>AVERAGE('[1]Renewable Diesel'!$Z$253:$Z$264)</f>
        <v>221.97916666666666</v>
      </c>
      <c r="K52" s="66">
        <f>AVERAGE('[1]Renewable Diesel'!$Z$265:$Z$276)</f>
        <v>230</v>
      </c>
      <c r="L52" s="66">
        <f>AVERAGE('[1]Renewable Diesel'!$Z$277:$Z$288)</f>
        <v>230</v>
      </c>
      <c r="M52" s="66">
        <f>AVERAGE('[1]Renewable Diesel'!$Z$289:$Z$300)</f>
        <v>230</v>
      </c>
      <c r="N52" s="66">
        <f>AVERAGE('[1]Renewable Diesel'!$Z$301:$Z$312)</f>
        <v>230</v>
      </c>
    </row>
    <row r="53" spans="1:14">
      <c r="A53" s="65" t="s">
        <v>118</v>
      </c>
      <c r="B53" s="66">
        <f>AVERAGE('[1]Renewable Diesel'!$AE$158:$AE$169)</f>
        <v>0.54999999999999993</v>
      </c>
      <c r="C53" s="66">
        <f>AVERAGE('[1]Renewable Diesel'!$AE$170:$AE$180)</f>
        <v>0.89999999999999991</v>
      </c>
      <c r="D53" s="66">
        <f>AVERAGE('[1]Renewable Diesel'!$AE$181:$AE$192)</f>
        <v>1.0999999999999999</v>
      </c>
      <c r="E53" s="66">
        <f>AVERAGE('[1]Renewable Diesel'!$AE$193:$AE$204)</f>
        <v>1.0999999999999999</v>
      </c>
      <c r="F53" s="66">
        <f>AVERAGE('[1]Renewable Diesel'!$AE$205:$AE$216)</f>
        <v>1.0999999999999999</v>
      </c>
      <c r="G53" s="66">
        <f>AVERAGE('[1]Renewable Diesel'!$AE$217:$AE$228)</f>
        <v>1.0999999999999999</v>
      </c>
      <c r="H53" s="66">
        <f>AVERAGE('[1]Renewable Diesel'!$AE$229:$AE$240)</f>
        <v>1.0999999999999999</v>
      </c>
      <c r="I53" s="66">
        <f>AVERAGE('[1]Renewable Diesel'!$AE$241:$AE$252)</f>
        <v>1.0999999999999999</v>
      </c>
      <c r="J53" s="66">
        <f>AVERAGE('[1]Renewable Diesel'!$AE$253:$AE$264)</f>
        <v>1.0999999999999999</v>
      </c>
      <c r="K53" s="66">
        <f>AVERAGE('[1]Renewable Diesel'!$AE$265:$AE$276)</f>
        <v>1.0999999999999999</v>
      </c>
      <c r="L53" s="66">
        <f>AVERAGE('[1]Renewable Diesel'!$AE$277:$AE$288)</f>
        <v>1.0999999999999999</v>
      </c>
      <c r="M53" s="66">
        <f>AVERAGE('[1]Renewable Diesel'!$AE$289:$AE$300)</f>
        <v>1.0999999999999999</v>
      </c>
      <c r="N53" s="66">
        <f>AVERAGE('[1]Renewable Diesel'!$AE$301:$AE$312)</f>
        <v>1.0999999999999999</v>
      </c>
    </row>
    <row r="54" spans="1:14">
      <c r="A54" s="65" t="s">
        <v>119</v>
      </c>
      <c r="B54" s="66">
        <f>AVERAGE('[1]Renewable Diesel'!$AF$158:$AF$169)</f>
        <v>90</v>
      </c>
      <c r="C54" s="66">
        <f>AVERAGE('[1]Renewable Diesel'!$AF$170:$AF$180)</f>
        <v>147.72727272727272</v>
      </c>
      <c r="D54" s="66">
        <f>AVERAGE('[1]Renewable Diesel'!$AF$181:$AF$192)</f>
        <v>275</v>
      </c>
      <c r="E54" s="66">
        <f>AVERAGE('[1]Renewable Diesel'!$AF$193:$AF$204)</f>
        <v>275</v>
      </c>
      <c r="F54" s="66">
        <f>AVERAGE('[1]Renewable Diesel'!$AF$205:$AF$216)</f>
        <v>275</v>
      </c>
      <c r="G54" s="66">
        <f>AVERAGE('[1]Renewable Diesel'!$AF$217:$AF$228)</f>
        <v>275</v>
      </c>
      <c r="H54" s="66">
        <f>AVERAGE('[1]Renewable Diesel'!$AF$229:$AF$240)</f>
        <v>275</v>
      </c>
      <c r="I54" s="66">
        <f>AVERAGE('[1]Renewable Diesel'!$AF$241:$AF$252)</f>
        <v>275</v>
      </c>
      <c r="J54" s="66">
        <f>AVERAGE('[1]Renewable Diesel'!$AF$253:$AF$264)</f>
        <v>275</v>
      </c>
      <c r="K54" s="66">
        <f>AVERAGE('[1]Renewable Diesel'!$AF$265:$AF$276)</f>
        <v>275</v>
      </c>
      <c r="L54" s="66">
        <f>AVERAGE('[1]Renewable Diesel'!$AF$277:$AF$288)</f>
        <v>275</v>
      </c>
      <c r="M54" s="66">
        <f>AVERAGE('[1]Renewable Diesel'!$AF$289:$AF$300)</f>
        <v>275</v>
      </c>
      <c r="N54" s="66">
        <f>AVERAGE('[1]Renewable Diesel'!$AF$301:$AF$312)</f>
        <v>275</v>
      </c>
    </row>
    <row r="55" spans="1:14">
      <c r="A55" s="65" t="s">
        <v>120</v>
      </c>
      <c r="B55" s="66"/>
      <c r="C55" s="66"/>
      <c r="D55" s="66"/>
      <c r="E55" s="66">
        <f>AVERAGE('[1]Renewable Diesel'!$AJ$193:$AJ$204)</f>
        <v>78.75</v>
      </c>
      <c r="F55" s="66">
        <f>AVERAGE('[1]Renewable Diesel'!$AJ$205:$AJ$216)</f>
        <v>90</v>
      </c>
      <c r="G55" s="66">
        <f>AVERAGE('[1]Renewable Diesel'!$AJ$217:$AJ$228)</f>
        <v>90</v>
      </c>
      <c r="H55" s="66">
        <f>AVERAGE('[1]Renewable Diesel'!$AJ$229:$AJ$240)</f>
        <v>90</v>
      </c>
      <c r="I55" s="66">
        <f>AVERAGE('[1]Renewable Diesel'!$AJ$241:$AJ$252)</f>
        <v>90</v>
      </c>
      <c r="J55" s="66">
        <f>AVERAGE('[1]Renewable Diesel'!$AJ$253:$AJ$264)</f>
        <v>90</v>
      </c>
      <c r="K55" s="66">
        <f>AVERAGE('[1]Renewable Diesel'!$AJ$265:$AJ$276)</f>
        <v>90</v>
      </c>
      <c r="L55" s="66">
        <f>AVERAGE('[1]Renewable Diesel'!$AJ$277:$AJ$288)</f>
        <v>90</v>
      </c>
      <c r="M55" s="66">
        <f>AVERAGE('[1]Renewable Diesel'!$AJ$289:$AJ$300)</f>
        <v>90</v>
      </c>
      <c r="N55" s="66">
        <f>AVERAGE('[1]Renewable Diesel'!$AJ$301:$AJ$312)</f>
        <v>90</v>
      </c>
    </row>
    <row r="56" spans="1:14">
      <c r="A56" s="65" t="s">
        <v>121</v>
      </c>
      <c r="B56" s="66"/>
      <c r="C56" s="66"/>
      <c r="D56" s="66">
        <f>AVERAGE('[1]Renewable Diesel'!$AO$181:$AO$192)</f>
        <v>15.714285714285714</v>
      </c>
      <c r="E56" s="66">
        <f>AVERAGE('[1]Renewable Diesel'!$AO$193:$AO$204)</f>
        <v>19</v>
      </c>
      <c r="F56" s="66">
        <f>AVERAGE('[1]Renewable Diesel'!$AO$205:$AO$216)</f>
        <v>19</v>
      </c>
      <c r="G56" s="66">
        <f>AVERAGE('[1]Renewable Diesel'!$AO$217:$AO$228)</f>
        <v>19</v>
      </c>
      <c r="H56" s="66">
        <f>AVERAGE('[1]Renewable Diesel'!$AO$229:$AO$240)</f>
        <v>19</v>
      </c>
      <c r="I56" s="66">
        <f>AVERAGE('[1]Renewable Diesel'!$AO$241:$AO$252)</f>
        <v>19</v>
      </c>
      <c r="J56" s="66">
        <f>AVERAGE('[1]Renewable Diesel'!$AO$253:$AO$264)</f>
        <v>19</v>
      </c>
      <c r="K56" s="66">
        <f>AVERAGE('[1]Renewable Diesel'!$AO$265:$AO$276)</f>
        <v>19</v>
      </c>
      <c r="L56" s="66">
        <f>AVERAGE('[1]Renewable Diesel'!$AO$277:$AO$288)</f>
        <v>19</v>
      </c>
      <c r="M56" s="66">
        <f>AVERAGE('[1]Renewable Diesel'!$AO$289:$AO$300)</f>
        <v>19</v>
      </c>
      <c r="N56" s="66">
        <f>AVERAGE('[1]Renewable Diesel'!$AO$301:$AO$312)</f>
        <v>19</v>
      </c>
    </row>
    <row r="57" spans="1:14">
      <c r="A57" s="65" t="s">
        <v>121</v>
      </c>
      <c r="B57" s="66"/>
      <c r="C57" s="66"/>
      <c r="D57" s="66"/>
      <c r="E57" s="66"/>
      <c r="F57" s="66">
        <f>AVERAGE('[1]Renewable Diesel'!$AP$205:$AP$216)</f>
        <v>14</v>
      </c>
      <c r="G57" s="66">
        <f>AVERAGE('[1]Renewable Diesel'!$AP$217:$AP$228)</f>
        <v>19</v>
      </c>
      <c r="H57" s="66">
        <f>AVERAGE('[1]Renewable Diesel'!$AP$229:$AP$240)</f>
        <v>19</v>
      </c>
      <c r="I57" s="66">
        <f>AVERAGE('[1]Renewable Diesel'!$AP$241:$AP$252)</f>
        <v>19</v>
      </c>
      <c r="J57" s="66">
        <f>AVERAGE('[1]Renewable Diesel'!$AP$253:$AP$264)</f>
        <v>19</v>
      </c>
      <c r="K57" s="66">
        <f>AVERAGE('[1]Renewable Diesel'!$AP$265:$AP$276)</f>
        <v>19</v>
      </c>
      <c r="L57" s="66">
        <f>AVERAGE('[1]Renewable Diesel'!$AP$277:$AP$288)</f>
        <v>19</v>
      </c>
      <c r="M57" s="66">
        <f>AVERAGE('[1]Renewable Diesel'!$AP$289:$AP$300)</f>
        <v>19</v>
      </c>
      <c r="N57" s="66">
        <f>AVERAGE('[1]Renewable Diesel'!$AP$301:$AP$312)</f>
        <v>19</v>
      </c>
    </row>
    <row r="58" spans="1:14">
      <c r="A58" s="65" t="s">
        <v>122</v>
      </c>
      <c r="B58" s="66"/>
      <c r="C58" s="66"/>
      <c r="D58" s="66"/>
      <c r="E58" s="66"/>
      <c r="F58" s="66">
        <f>AVERAGE('[1]Renewable Diesel'!$AQ$205:$AQ$216)</f>
        <v>4.6428571428571432</v>
      </c>
      <c r="G58" s="66">
        <f>AVERAGE('[1]Renewable Diesel'!$AQ$217:$AQ$228)</f>
        <v>5</v>
      </c>
      <c r="H58" s="66">
        <f>AVERAGE('[1]Renewable Diesel'!$AQ$229:$AQ$240)</f>
        <v>5</v>
      </c>
      <c r="I58" s="66">
        <f>AVERAGE('[1]Renewable Diesel'!$AQ$241:$AQ$252)</f>
        <v>5</v>
      </c>
      <c r="J58" s="66">
        <f>AVERAGE('[1]Renewable Diesel'!$AQ$253:$AQ$264)</f>
        <v>5</v>
      </c>
      <c r="K58" s="66">
        <f>AVERAGE('[1]Renewable Diesel'!$AQ$265:$AQ$276)</f>
        <v>5</v>
      </c>
      <c r="L58" s="66">
        <f>AVERAGE('[1]Renewable Diesel'!$AQ$277:$AQ$288)</f>
        <v>5</v>
      </c>
      <c r="M58" s="66">
        <f>AVERAGE('[1]Renewable Diesel'!$AQ$289:$AQ$300)</f>
        <v>5</v>
      </c>
      <c r="N58" s="66">
        <f>AVERAGE('[1]Renewable Diesel'!$AQ$301:$AQ$312)</f>
        <v>5</v>
      </c>
    </row>
    <row r="59" spans="1:14">
      <c r="A59" s="65" t="s">
        <v>123</v>
      </c>
      <c r="B59" s="66"/>
      <c r="C59" s="66"/>
      <c r="D59" s="66"/>
      <c r="E59" s="66">
        <v>107</v>
      </c>
      <c r="F59" s="66">
        <f>AVERAGE('[1]Renewable Diesel'!$AR$205:$AR$216)</f>
        <v>120</v>
      </c>
      <c r="G59" s="66">
        <f>AVERAGE('[1]Renewable Diesel'!$AR$217:$AR$228)</f>
        <v>120</v>
      </c>
      <c r="H59" s="66">
        <f>AVERAGE('[1]Renewable Diesel'!$AR$229:$AR$240)</f>
        <v>120</v>
      </c>
      <c r="I59" s="66">
        <f>AVERAGE('[1]Renewable Diesel'!$AR$241:$AR$252)</f>
        <v>120</v>
      </c>
      <c r="J59" s="66">
        <f>AVERAGE('[1]Renewable Diesel'!$AR$253:$AR$264)</f>
        <v>120</v>
      </c>
      <c r="K59" s="66">
        <f>AVERAGE('[1]Renewable Diesel'!$AR$265:$AR$276)</f>
        <v>120</v>
      </c>
      <c r="L59" s="66">
        <f>AVERAGE('[1]Renewable Diesel'!$AR$277:$AR$288)</f>
        <v>120</v>
      </c>
      <c r="M59" s="66">
        <f>AVERAGE('[1]Renewable Diesel'!$AR$289:$AR$300)</f>
        <v>120</v>
      </c>
      <c r="N59" s="66">
        <f>AVERAGE('[1]Renewable Diesel'!$AR$301:$AR$312)</f>
        <v>120</v>
      </c>
    </row>
    <row r="60" spans="1:14">
      <c r="A60" s="65" t="s">
        <v>124</v>
      </c>
      <c r="B60" s="66"/>
      <c r="C60" s="66"/>
      <c r="D60" s="66"/>
      <c r="E60" s="66"/>
      <c r="F60" s="66"/>
      <c r="G60" s="66">
        <v>10</v>
      </c>
      <c r="H60" s="66">
        <v>50</v>
      </c>
      <c r="I60" s="66">
        <v>250</v>
      </c>
      <c r="J60" s="66">
        <v>1000</v>
      </c>
      <c r="K60" s="66">
        <v>1250</v>
      </c>
      <c r="L60" s="66">
        <v>1500</v>
      </c>
      <c r="M60" s="66">
        <v>2350</v>
      </c>
      <c r="N60" s="66">
        <v>3500</v>
      </c>
    </row>
    <row r="61" spans="1:14">
      <c r="A61" s="65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</row>
    <row r="62" spans="1:14">
      <c r="A62" s="65" t="s">
        <v>125</v>
      </c>
      <c r="B62" s="66"/>
      <c r="C62" s="66"/>
      <c r="D62" s="66"/>
      <c r="E62" s="66"/>
      <c r="F62" s="66">
        <f>AVERAGE('[1]Renewable Diesel'!$AK$205:$AK$216)</f>
        <v>12.25</v>
      </c>
      <c r="G62" s="66">
        <f>AVERAGE('[1]Renewable Diesel'!$AK$217:$AK$228)</f>
        <v>14</v>
      </c>
      <c r="H62" s="66">
        <f>AVERAGE('[1]Renewable Diesel'!$AK$229:$AK$240)</f>
        <v>14</v>
      </c>
      <c r="I62" s="66">
        <f>AVERAGE('[1]Renewable Diesel'!$AK$241:$AK$252)</f>
        <v>14</v>
      </c>
      <c r="J62" s="66">
        <f>AVERAGE('[1]Renewable Diesel'!$AK$253:$AK$264)</f>
        <v>14</v>
      </c>
      <c r="K62" s="66">
        <f>AVERAGE('[1]Renewable Diesel'!$AK$265:$AK$276)</f>
        <v>14</v>
      </c>
      <c r="L62" s="66">
        <f>AVERAGE('[1]Renewable Diesel'!$AK$277:$AK$288)</f>
        <v>14</v>
      </c>
      <c r="M62" s="66">
        <f>AVERAGE('[1]Renewable Diesel'!$AK$289:$AK$300)</f>
        <v>14</v>
      </c>
      <c r="N62" s="66">
        <f>AVERAGE('[1]Renewable Diesel'!$AK$301:$AK$312)</f>
        <v>14</v>
      </c>
    </row>
    <row r="63" spans="1:14">
      <c r="A63" s="65" t="s">
        <v>126</v>
      </c>
      <c r="B63" s="66"/>
      <c r="C63" s="66"/>
      <c r="D63" s="66">
        <f>AVERAGE('[1]Renewable Diesel'!$V$181:$V$192)</f>
        <v>0</v>
      </c>
      <c r="E63" s="66">
        <f>AVERAGE('[1]Renewable Diesel'!$V$193:$V$204)</f>
        <v>0</v>
      </c>
      <c r="F63" s="66">
        <f>AVERAGE('[1]Renewable Diesel'!$V$205:$V$216)</f>
        <v>0</v>
      </c>
      <c r="G63" s="66">
        <f>AVERAGE('[1]Renewable Diesel'!$V$217:$V$228)</f>
        <v>0</v>
      </c>
      <c r="H63" s="66">
        <f>AVERAGE('[1]Renewable Diesel'!$V$229:$V$240)</f>
        <v>0</v>
      </c>
      <c r="I63" s="66">
        <f>AVERAGE('[1]Renewable Diesel'!$V$241:$V$252)</f>
        <v>0</v>
      </c>
      <c r="J63" s="66">
        <f>AVERAGE('[1]Renewable Diesel'!$V$253:$V$264)</f>
        <v>0</v>
      </c>
      <c r="K63" s="66">
        <f>AVERAGE('[1]Renewable Diesel'!$V$265:$V$276)</f>
        <v>0</v>
      </c>
      <c r="L63" s="66">
        <f>AVERAGE('[1]Renewable Diesel'!$V$277:$V$288)</f>
        <v>0</v>
      </c>
      <c r="M63" s="66">
        <f>AVERAGE('[1]Renewable Diesel'!$V$289:$V$300)</f>
        <v>0</v>
      </c>
      <c r="N63" s="66">
        <f>AVERAGE('[1]Renewable Diesel'!$V$301:$V$312)</f>
        <v>0</v>
      </c>
    </row>
    <row r="64" spans="1:14">
      <c r="A64" s="65" t="s">
        <v>127</v>
      </c>
      <c r="B64" s="66"/>
      <c r="C64" s="66">
        <f>AVERAGE('[1]Renewable Diesel'!$AL$170:$AL$180)</f>
        <v>18.482142857142858</v>
      </c>
      <c r="D64" s="66">
        <f>AVERAGE('[1]Renewable Diesel'!$AL$181:$AL$192)</f>
        <v>22.5</v>
      </c>
      <c r="E64" s="66">
        <f>AVERAGE('[1]Renewable Diesel'!$AL$193:$AL$204)</f>
        <v>33.541666666666664</v>
      </c>
      <c r="F64" s="66">
        <f>AVERAGE('[1]Renewable Diesel'!$AL$205:$AL$216)</f>
        <v>45</v>
      </c>
      <c r="G64" s="66">
        <f>AVERAGE('[1]Renewable Diesel'!$AL$217:$AL$228)</f>
        <v>45</v>
      </c>
      <c r="H64" s="66">
        <f>AVERAGE('[1]Renewable Diesel'!$AL$229:$AL$240)</f>
        <v>45</v>
      </c>
      <c r="I64" s="66">
        <f>AVERAGE('[1]Renewable Diesel'!$AL$241:$AL$252)</f>
        <v>45</v>
      </c>
      <c r="J64" s="66">
        <f>AVERAGE('[1]Renewable Diesel'!$AL$253:$AL$264)</f>
        <v>45</v>
      </c>
      <c r="K64" s="66">
        <f>AVERAGE('[1]Renewable Diesel'!$AL$265:$AL$276)</f>
        <v>45</v>
      </c>
      <c r="L64" s="66">
        <f>AVERAGE('[1]Renewable Diesel'!$AL$277:$AL$288)</f>
        <v>45</v>
      </c>
      <c r="M64" s="66">
        <f>AVERAGE('[1]Renewable Diesel'!$AL$289:$AL$300)</f>
        <v>45</v>
      </c>
      <c r="N64" s="66">
        <f>AVERAGE('[1]Renewable Diesel'!$AL$301:$AL$312)</f>
        <v>45</v>
      </c>
    </row>
    <row r="65" spans="1:14"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</row>
    <row r="67" spans="1:14" ht="12" thickBot="1">
      <c r="A67" s="78" t="s">
        <v>145</v>
      </c>
    </row>
    <row r="68" spans="1:14" ht="12" thickBot="1">
      <c r="A68" s="89"/>
      <c r="B68" s="80">
        <f>[2]Feedstocks!AC$6+[2]Feedstocks!AC$7</f>
        <v>69256.08985543836</v>
      </c>
      <c r="C68" s="80">
        <f>[2]Feedstocks!AD$6+[2]Feedstocks!AD$7</f>
        <v>72488.376652098828</v>
      </c>
      <c r="D68" s="80">
        <f>[2]Feedstocks!AE$6+[2]Feedstocks!AE$7</f>
        <v>76790.172201339461</v>
      </c>
      <c r="E68" s="80">
        <f>[2]Feedstocks!AF$6+[2]Feedstocks!AF$7</f>
        <v>76955.725709561462</v>
      </c>
      <c r="F68" s="80">
        <f>[2]Feedstocks!AG$6+[2]Feedstocks!AG$7</f>
        <v>82386.50121518111</v>
      </c>
      <c r="G68" s="80">
        <f>[2]Feedstocks!AH$6+[2]Feedstocks!AH$7</f>
        <v>86126.583277683152</v>
      </c>
      <c r="H68" s="80">
        <f>[2]Feedstocks!AI$6+[2]Feedstocks!AI$7</f>
        <v>87861.393447445022</v>
      </c>
      <c r="I68" s="80">
        <f>[2]Feedstocks!AJ$6+[2]Feedstocks!AJ$7</f>
        <v>90316.524727080134</v>
      </c>
      <c r="J68" s="80">
        <f>[2]Feedstocks!AK$6+[2]Feedstocks!AK$7</f>
        <v>94972.900444231855</v>
      </c>
      <c r="K68" s="80">
        <f>[2]Feedstocks!AL$6+[2]Feedstocks!AL$7</f>
        <v>97938.590897037939</v>
      </c>
      <c r="L68" s="80">
        <f>[2]Feedstocks!AM$6+[2]Feedstocks!AM$7</f>
        <v>103368.77472666687</v>
      </c>
      <c r="M68" s="80">
        <f>[2]Feedstocks!AN$6+[2]Feedstocks!AN$7</f>
        <v>106344.7485348052</v>
      </c>
      <c r="N68" s="80">
        <f>[2]Feedstocks!AO$6+[2]Feedstocks!AO$7</f>
        <v>101706.13540874816</v>
      </c>
    </row>
    <row r="69" spans="1:14">
      <c r="A69" s="69" t="s">
        <v>128</v>
      </c>
      <c r="B69" s="80">
        <f>'[2]Soybean Complex'!AC$38+'[2]Soybean Complex'!AC$39</f>
        <v>29820.068682693502</v>
      </c>
      <c r="C69" s="80">
        <f>'[2]Soybean Complex'!AD$38+'[2]Soybean Complex'!AD$39</f>
        <v>30764.314961906861</v>
      </c>
      <c r="D69" s="80">
        <f>'[2]Soybean Complex'!AE$38+'[2]Soybean Complex'!AE$39</f>
        <v>31618.506671709827</v>
      </c>
      <c r="E69" s="80">
        <f>'[2]Soybean Complex'!AF$38+'[2]Soybean Complex'!AF$39</f>
        <v>30357.352073095517</v>
      </c>
      <c r="F69" s="80">
        <f>'[2]Soybean Complex'!AG$38+'[2]Soybean Complex'!AG$39</f>
        <v>32933.302746203233</v>
      </c>
      <c r="G69" s="80">
        <f>'[2]Soybean Complex'!AH$38+'[2]Soybean Complex'!AH$39</f>
        <v>33348.396453035217</v>
      </c>
      <c r="H69" s="80">
        <f>'[2]Soybean Complex'!AI$38+'[2]Soybean Complex'!AI$39</f>
        <v>34119.038430473207</v>
      </c>
      <c r="I69" s="80">
        <f>'[2]Soybean Complex'!AJ$38+'[2]Soybean Complex'!AJ$39</f>
        <v>35185.088679603927</v>
      </c>
      <c r="J69" s="80">
        <f>'[2]Soybean Complex'!AK$38+'[2]Soybean Complex'!AK$39</f>
        <v>37156.830629468503</v>
      </c>
      <c r="K69" s="80">
        <f>'[2]Soybean Complex'!AL$38+'[2]Soybean Complex'!AL$39</f>
        <v>37835.08733185898</v>
      </c>
      <c r="L69" s="80">
        <f>'[2]Soybean Complex'!AM$38+'[2]Soybean Complex'!AM$39</f>
        <v>39498.3780097692</v>
      </c>
      <c r="M69" s="80">
        <f>'[2]Soybean Complex'!AN$38+'[2]Soybean Complex'!AN$39</f>
        <v>39520.232572998779</v>
      </c>
      <c r="N69" s="80">
        <f>'[2]Soybean Complex'!AO$38+'[2]Soybean Complex'!AO$39</f>
        <v>41129.007010181704</v>
      </c>
    </row>
    <row r="70" spans="1:14">
      <c r="A70" s="65" t="s">
        <v>129</v>
      </c>
      <c r="B70" s="81">
        <f>'[2]Canola Complex'!AC$75+'[2]Canola Complex'!AC$76</f>
        <v>6156.3193995380007</v>
      </c>
      <c r="C70" s="81">
        <f>'[2]Canola Complex'!AD$75+'[2]Canola Complex'!AD$76</f>
        <v>8209.3433760799999</v>
      </c>
      <c r="D70" s="81">
        <f>'[2]Canola Complex'!AE$75+'[2]Canola Complex'!AE$76</f>
        <v>9400.8644063211996</v>
      </c>
      <c r="E70" s="81">
        <f>'[2]Canola Complex'!AF$75+'[2]Canola Complex'!AF$76</f>
        <v>8029.1668607420761</v>
      </c>
      <c r="F70" s="81">
        <f>'[2]Canola Complex'!AG$75+'[2]Canola Complex'!AG$76</f>
        <v>8155.3786002202196</v>
      </c>
      <c r="G70" s="81">
        <f>'[2]Canola Complex'!AH$75+'[2]Canola Complex'!AH$76</f>
        <v>8744.1785581481417</v>
      </c>
      <c r="H70" s="81">
        <f>'[2]Canola Complex'!AI$75+'[2]Canola Complex'!AI$76</f>
        <v>9160.3814070397548</v>
      </c>
      <c r="I70" s="81">
        <f>'[2]Canola Complex'!AJ$75+'[2]Canola Complex'!AJ$76</f>
        <v>9628.2797901511804</v>
      </c>
      <c r="J70" s="81">
        <f>'[2]Canola Complex'!AK$75+'[2]Canola Complex'!AK$76</f>
        <v>10129.64744589158</v>
      </c>
      <c r="K70" s="81">
        <f>'[2]Canola Complex'!AL$75+'[2]Canola Complex'!AL$76</f>
        <v>10425.286180988105</v>
      </c>
      <c r="L70" s="81">
        <f>'[2]Canola Complex'!AM$75+'[2]Canola Complex'!AM$76</f>
        <v>11393.811161052288</v>
      </c>
      <c r="M70" s="81">
        <f>'[2]Canola Complex'!AN$75+'[2]Canola Complex'!AN$76</f>
        <v>11675.470037512288</v>
      </c>
      <c r="N70" s="81">
        <f>'[2]Canola Complex'!AO$75+'[2]Canola Complex'!AO$76</f>
        <v>11868.489526723806</v>
      </c>
    </row>
    <row r="71" spans="1:14">
      <c r="A71" s="65" t="s">
        <v>130</v>
      </c>
      <c r="B71" s="81">
        <f>[2]UCO!AC$23+[2]UCO!AC$24</f>
        <v>6138.890588588235</v>
      </c>
      <c r="C71" s="81">
        <f>[2]UCO!AD$23+[2]UCO!AD$24</f>
        <v>9593.1674608235298</v>
      </c>
      <c r="D71" s="81">
        <f>[2]UCO!AE$23+[2]UCO!AE$24</f>
        <v>12459.48443282353</v>
      </c>
      <c r="E71" s="81">
        <f>[2]UCO!AF$23+[2]UCO!AF$24</f>
        <v>12949.859291745257</v>
      </c>
      <c r="F71" s="81">
        <f>[2]UCO!AG$23+[2]UCO!AG$24</f>
        <v>14709.634755593412</v>
      </c>
      <c r="G71" s="81">
        <f>[2]UCO!AH$23+[2]UCO!AH$24</f>
        <v>17332.164553511597</v>
      </c>
      <c r="H71" s="81">
        <f>[2]UCO!AI$23+[2]UCO!AI$24</f>
        <v>18890.332962738335</v>
      </c>
      <c r="I71" s="81">
        <f>[2]UCO!AJ$23+[2]UCO!AJ$24</f>
        <v>22002.386596739132</v>
      </c>
      <c r="J71" s="81">
        <f>[2]UCO!AK$23+[2]UCO!AK$24</f>
        <v>26745.50231287759</v>
      </c>
      <c r="K71" s="81">
        <f>[2]UCO!AL$23+[2]UCO!AL$24</f>
        <v>29817.629051364194</v>
      </c>
      <c r="L71" s="81">
        <f>[2]UCO!AM$23+[2]UCO!AM$24</f>
        <v>34054.594732159174</v>
      </c>
      <c r="M71" s="81">
        <f>[2]UCO!AN$23+[2]UCO!AN$24</f>
        <v>36642.281681115448</v>
      </c>
      <c r="N71" s="81">
        <f>[2]UCO!AO$23+[2]UCO!AO$24</f>
        <v>36360.598051526802</v>
      </c>
    </row>
    <row r="72" spans="1:14">
      <c r="A72" s="65" t="s">
        <v>131</v>
      </c>
      <c r="B72" s="81">
        <f>[2]DCO!AC$6</f>
        <v>4370.4074985573379</v>
      </c>
      <c r="C72" s="81">
        <f>[2]DCO!AD$6</f>
        <v>4520.042280018527</v>
      </c>
      <c r="D72" s="81">
        <f>[2]DCO!AE$6</f>
        <v>4732.3509163176132</v>
      </c>
      <c r="E72" s="81">
        <f>[2]DCO!AF$6</f>
        <v>4770.5562969603952</v>
      </c>
      <c r="F72" s="81">
        <f>[2]DCO!AG$6</f>
        <v>4777.7264236868787</v>
      </c>
      <c r="G72" s="81">
        <f>[2]DCO!AH$6</f>
        <v>4839.4539122264459</v>
      </c>
      <c r="H72" s="81">
        <f>[2]DCO!AI$6</f>
        <v>4958.472302280531</v>
      </c>
      <c r="I72" s="81">
        <f>[2]DCO!AJ$6</f>
        <v>5049.4344221644606</v>
      </c>
      <c r="J72" s="81">
        <f>[2]DCO!AK$6</f>
        <v>5373.3046161203838</v>
      </c>
      <c r="K72" s="81">
        <f>[2]DCO!AL$6</f>
        <v>5488.5458307455419</v>
      </c>
      <c r="L72" s="81">
        <f>[2]DCO!AM$6</f>
        <v>5493.7104179570006</v>
      </c>
      <c r="M72" s="81">
        <f>[2]DCO!AN$6</f>
        <v>5617.6979763552208</v>
      </c>
      <c r="N72" s="81">
        <f>[2]DCO!AO$6</f>
        <v>5735.7153386120281</v>
      </c>
    </row>
    <row r="73" spans="1:14">
      <c r="A73" s="65" t="s">
        <v>132</v>
      </c>
      <c r="B73" s="81">
        <f>'[2]Inedible Tallow'!AC$6+'[2]Inedible Tallow'!AC$7</f>
        <v>7030.4871007097918</v>
      </c>
      <c r="C73" s="81">
        <f>'[2]Inedible Tallow'!AD$6+'[2]Inedible Tallow'!AD$7</f>
        <v>7363.5452736422812</v>
      </c>
      <c r="D73" s="81">
        <f>'[2]Inedible Tallow'!AE$6+'[2]Inedible Tallow'!AE$7</f>
        <v>8004.5251421365538</v>
      </c>
      <c r="E73" s="81">
        <f>'[2]Inedible Tallow'!AF$6+'[2]Inedible Tallow'!AF$7</f>
        <v>9249.872796481337</v>
      </c>
      <c r="F73" s="81">
        <f>'[2]Inedible Tallow'!AG$6+'[2]Inedible Tallow'!AG$7</f>
        <v>9666.3547952788103</v>
      </c>
      <c r="G73" s="81">
        <f>'[2]Inedible Tallow'!AH$6+'[2]Inedible Tallow'!AH$7</f>
        <v>11356.263461869275</v>
      </c>
      <c r="H73" s="81">
        <f>'[2]Inedible Tallow'!AI$6+'[2]Inedible Tallow'!AI$7</f>
        <v>11527.153304389674</v>
      </c>
      <c r="I73" s="81">
        <f>'[2]Inedible Tallow'!AJ$6+'[2]Inedible Tallow'!AJ$7</f>
        <v>11425.299189181573</v>
      </c>
      <c r="J73" s="81">
        <f>'[2]Inedible Tallow'!AK$6+'[2]Inedible Tallow'!AK$7</f>
        <v>11985.376015797992</v>
      </c>
      <c r="K73" s="81">
        <f>'[2]Inedible Tallow'!AL$6+'[2]Inedible Tallow'!AL$7</f>
        <v>12755.01535902921</v>
      </c>
      <c r="L73" s="81">
        <f>'[2]Inedible Tallow'!AM$6+'[2]Inedible Tallow'!AM$7</f>
        <v>14323.653984388015</v>
      </c>
      <c r="M73" s="81">
        <f>'[2]Inedible Tallow'!AN$6+'[2]Inedible Tallow'!AN$7</f>
        <v>15303.379030809709</v>
      </c>
      <c r="N73" s="81">
        <f>'[2]Inedible Tallow'!AO$6+'[2]Inedible Tallow'!AO$7</f>
        <v>15367.637338565477</v>
      </c>
    </row>
    <row r="74" spans="1:14">
      <c r="A74" s="65" t="s">
        <v>133</v>
      </c>
      <c r="B74" s="81">
        <f>'[2]Choice White Grease'!AC$6+'[2]Choice White Grease'!AC$7</f>
        <v>2138.5886207829976</v>
      </c>
      <c r="C74" s="81">
        <f>'[2]Choice White Grease'!AD$6+'[2]Choice White Grease'!AD$7</f>
        <v>2151.3226821684657</v>
      </c>
      <c r="D74" s="81">
        <f>'[2]Choice White Grease'!AE$6+'[2]Choice White Grease'!AE$7</f>
        <v>2200.8142992673183</v>
      </c>
      <c r="E74" s="81">
        <f>'[2]Choice White Grease'!AF$6+'[2]Choice White Grease'!AF$7</f>
        <v>2251.5139879247613</v>
      </c>
      <c r="F74" s="81">
        <f>'[2]Choice White Grease'!AG$6+'[2]Choice White Grease'!AG$7</f>
        <v>2413.7917776328059</v>
      </c>
      <c r="G74" s="81">
        <f>'[2]Choice White Grease'!AH$6+'[2]Choice White Grease'!AH$7</f>
        <v>2476.8961176060006</v>
      </c>
      <c r="H74" s="81">
        <f>'[2]Choice White Grease'!AI$6+'[2]Choice White Grease'!AI$7</f>
        <v>2465.364606869246</v>
      </c>
      <c r="I74" s="81">
        <f>'[2]Choice White Grease'!AJ$6+'[2]Choice White Grease'!AJ$7</f>
        <v>2673.9398538878272</v>
      </c>
      <c r="J74" s="81">
        <f>'[2]Choice White Grease'!AK$6+'[2]Choice White Grease'!AK$7</f>
        <v>2932.4691124381088</v>
      </c>
      <c r="K74" s="81">
        <f>'[2]Choice White Grease'!AL$6+'[2]Choice White Grease'!AL$7</f>
        <v>3116.0434041147018</v>
      </c>
      <c r="L74" s="81">
        <f>'[2]Choice White Grease'!AM$6+'[2]Choice White Grease'!AM$7</f>
        <v>3198.6628266382977</v>
      </c>
      <c r="M74" s="81">
        <f>'[2]Choice White Grease'!AN$6+'[2]Choice White Grease'!AN$7</f>
        <v>2883.8778216429655</v>
      </c>
      <c r="N74" s="81">
        <f>'[2]Choice White Grease'!AO$6+'[2]Choice White Grease'!AO$7</f>
        <v>2943.6311912568722</v>
      </c>
    </row>
    <row r="75" spans="1:14" ht="12" thickBot="1">
      <c r="A75" s="65" t="s">
        <v>134</v>
      </c>
      <c r="B75" s="83">
        <f>'[2]Poultry Fat'!AC$6+'[2]Poultry Fat'!AC$7</f>
        <v>3315.8843754966147</v>
      </c>
      <c r="C75" s="83">
        <f>'[2]Poultry Fat'!AD$6+'[2]Poultry Fat'!AD$7</f>
        <v>3632.4023434671244</v>
      </c>
      <c r="D75" s="83">
        <f>'[2]Poultry Fat'!AE$6+'[2]Poultry Fat'!AE$7</f>
        <v>3561.3530618194914</v>
      </c>
      <c r="E75" s="83">
        <f>'[2]Poultry Fat'!AF$6+'[2]Poultry Fat'!AF$7</f>
        <v>3666.6680119347943</v>
      </c>
      <c r="F75" s="83">
        <f>'[2]Poultry Fat'!AG$6+'[2]Poultry Fat'!AG$7</f>
        <v>3753.9761858209363</v>
      </c>
      <c r="G75" s="83">
        <f>'[2]Poultry Fat'!AH$6+'[2]Poultry Fat'!AH$7</f>
        <v>3842.7965365825744</v>
      </c>
      <c r="H75" s="83">
        <f>'[2]Poultry Fat'!AI$6+'[2]Poultry Fat'!AI$7</f>
        <v>3952.7928719933043</v>
      </c>
      <c r="I75" s="83">
        <f>'[2]Poultry Fat'!AJ$6+'[2]Poultry Fat'!AJ$7</f>
        <v>4012.8467338729524</v>
      </c>
      <c r="J75" s="83">
        <f>'[2]Poultry Fat'!AK$6+'[2]Poultry Fat'!AK$7</f>
        <v>4109.2059559426853</v>
      </c>
      <c r="K75" s="83">
        <f>'[2]Poultry Fat'!AL$6+'[2]Poultry Fat'!AL$7</f>
        <v>4220.0730672364498</v>
      </c>
      <c r="L75" s="83">
        <f>'[2]Poultry Fat'!AM$6+'[2]Poultry Fat'!AM$7</f>
        <v>4331.2753322023236</v>
      </c>
      <c r="M75" s="83">
        <f>'[2]Poultry Fat'!AN$6+'[2]Poultry Fat'!AN$7</f>
        <v>4409.2172679095793</v>
      </c>
      <c r="N75" s="83">
        <f>'[2]Poultry Fat'!AO$6+'[2]Poultry Fat'!AO$7</f>
        <v>4521.3986838832325</v>
      </c>
    </row>
    <row r="76" spans="1:14">
      <c r="A76" s="86" t="s">
        <v>135</v>
      </c>
      <c r="B76" s="80">
        <f>SUM(B69:B75)</f>
        <v>58970.646266366479</v>
      </c>
      <c r="C76" s="80">
        <f t="shared" ref="C76:N76" si="20">SUM(C69:C75)</f>
        <v>66234.138378106785</v>
      </c>
      <c r="D76" s="80">
        <f t="shared" si="20"/>
        <v>71977.898930395546</v>
      </c>
      <c r="E76" s="80">
        <f t="shared" si="20"/>
        <v>71274.989318884123</v>
      </c>
      <c r="F76" s="80">
        <f t="shared" si="20"/>
        <v>76410.165284436298</v>
      </c>
      <c r="G76" s="80">
        <f t="shared" si="20"/>
        <v>81940.149592979258</v>
      </c>
      <c r="H76" s="80">
        <f t="shared" si="20"/>
        <v>85073.535885784047</v>
      </c>
      <c r="I76" s="80">
        <f t="shared" si="20"/>
        <v>89977.275265601056</v>
      </c>
      <c r="J76" s="80">
        <f t="shared" si="20"/>
        <v>98432.336088536846</v>
      </c>
      <c r="K76" s="80">
        <f t="shared" si="20"/>
        <v>103657.68022533717</v>
      </c>
      <c r="L76" s="80">
        <f t="shared" si="20"/>
        <v>112294.08646416629</v>
      </c>
      <c r="M76" s="80">
        <f t="shared" si="20"/>
        <v>116052.156388344</v>
      </c>
      <c r="N76" s="80">
        <f t="shared" si="20"/>
        <v>117926.47714074994</v>
      </c>
    </row>
    <row r="77" spans="1:14">
      <c r="A77" s="65" t="s">
        <v>136</v>
      </c>
      <c r="B77" s="90">
        <f>[2]Feedstocks!AC$13</f>
        <v>40464.506859383691</v>
      </c>
      <c r="C77" s="90">
        <f>[2]Feedstocks!AD$13</f>
        <v>33778.596745392046</v>
      </c>
      <c r="D77" s="90">
        <f>[2]Feedstocks!AE$13</f>
        <v>31717.256029224773</v>
      </c>
      <c r="E77" s="90">
        <f>[2]Feedstocks!AF$13</f>
        <v>35296.617838499034</v>
      </c>
      <c r="F77" s="90">
        <f>[2]Feedstocks!AG$13</f>
        <v>35401.881479755124</v>
      </c>
      <c r="G77" s="90">
        <f>[2]Feedstocks!AH$13</f>
        <v>29694.167237704576</v>
      </c>
      <c r="H77" s="90">
        <f>[2]Feedstocks!AI$13</f>
        <v>30906.886563110427</v>
      </c>
      <c r="I77" s="90">
        <f>[2]Feedstocks!AJ$13</f>
        <v>27693.236367458871</v>
      </c>
      <c r="J77" s="90">
        <f>[2]Feedstocks!AK$13</f>
        <v>25614.109127789518</v>
      </c>
      <c r="K77" s="90">
        <f>[2]Feedstocks!AL$13</f>
        <v>22206.598022816237</v>
      </c>
      <c r="L77" s="90">
        <f>[2]Feedstocks!AM$13</f>
        <v>14401.393520903046</v>
      </c>
      <c r="M77" s="90">
        <f>[2]Feedstocks!AN$13</f>
        <v>17357.353163797437</v>
      </c>
      <c r="N77" s="90">
        <f>[2]Feedstocks!AO$13</f>
        <v>9989.7961793290888</v>
      </c>
    </row>
    <row r="78" spans="1:14">
      <c r="A78" s="65" t="s">
        <v>137</v>
      </c>
      <c r="B78" s="81">
        <f>B68-B77</f>
        <v>28791.582996054669</v>
      </c>
      <c r="C78" s="81">
        <f t="shared" ref="C78:N78" si="21">C68-C77</f>
        <v>38709.779906706783</v>
      </c>
      <c r="D78" s="81">
        <f>D68-D77</f>
        <v>45072.916172114688</v>
      </c>
      <c r="E78" s="81">
        <f t="shared" si="21"/>
        <v>41659.107871062428</v>
      </c>
      <c r="F78" s="81">
        <f t="shared" si="21"/>
        <v>46984.619735425986</v>
      </c>
      <c r="G78" s="81">
        <f t="shared" si="21"/>
        <v>56432.416039978576</v>
      </c>
      <c r="H78" s="81">
        <f t="shared" si="21"/>
        <v>56954.506884334594</v>
      </c>
      <c r="I78" s="81">
        <f t="shared" si="21"/>
        <v>62623.288359621263</v>
      </c>
      <c r="J78" s="81">
        <f t="shared" si="21"/>
        <v>69358.791316442337</v>
      </c>
      <c r="K78" s="81">
        <f t="shared" si="21"/>
        <v>75731.992874221702</v>
      </c>
      <c r="L78" s="81">
        <f t="shared" si="21"/>
        <v>88967.381205763828</v>
      </c>
      <c r="M78" s="81">
        <f t="shared" si="21"/>
        <v>88987.395371007762</v>
      </c>
      <c r="N78" s="81">
        <f t="shared" si="21"/>
        <v>91716.339229419071</v>
      </c>
    </row>
    <row r="79" spans="1:14">
      <c r="A79" s="65" t="s">
        <v>138</v>
      </c>
      <c r="B79" s="90">
        <f>[2]Feedstocks!AC$10</f>
        <v>28520.725358270691</v>
      </c>
      <c r="C79" s="90">
        <f>[2]Feedstocks!AD$10</f>
        <v>38622.427397764157</v>
      </c>
      <c r="D79" s="90">
        <f>[2]Feedstocks!AE$10</f>
        <v>44682.917288556571</v>
      </c>
      <c r="E79" s="90">
        <f>[2]Feedstocks!AF$10</f>
        <v>41482.956805755617</v>
      </c>
      <c r="F79" s="90">
        <f>[2]Feedstocks!AG$10</f>
        <v>45805.038049763789</v>
      </c>
      <c r="G79" s="90">
        <f>[2]Feedstocks!AH$10</f>
        <v>55958.129418978482</v>
      </c>
      <c r="H79" s="90">
        <f>[2]Feedstocks!AI$10</f>
        <v>56754.721289660098</v>
      </c>
      <c r="I79" s="90">
        <f>[2]Feedstocks!AJ$10</f>
        <v>62099.410978980726</v>
      </c>
      <c r="J79" s="90">
        <f>[2]Feedstocks!AK$10</f>
        <v>68960.12899730455</v>
      </c>
      <c r="K79" s="90">
        <f>[2]Feedstocks!AL$10</f>
        <v>75268.036777984875</v>
      </c>
      <c r="L79" s="90">
        <f>[2]Feedstocks!AM$10</f>
        <v>88308.814763419825</v>
      </c>
      <c r="M79" s="90">
        <f>[2]Feedstocks!AN$10</f>
        <v>87920.1077722763</v>
      </c>
      <c r="N79" s="90">
        <f>[2]Feedstocks!AO$10</f>
        <v>91385.208771793521</v>
      </c>
    </row>
    <row r="80" spans="1:14">
      <c r="A80" s="65" t="s">
        <v>139</v>
      </c>
      <c r="C80" s="81">
        <f>C78-C79</f>
        <v>87.352508942625718</v>
      </c>
      <c r="D80" s="81">
        <f t="shared" ref="D80:N80" si="22">D78-D79</f>
        <v>389.99888355811709</v>
      </c>
      <c r="E80" s="81">
        <f t="shared" si="22"/>
        <v>176.15106530681078</v>
      </c>
      <c r="F80" s="81">
        <f t="shared" si="22"/>
        <v>1179.5816856621968</v>
      </c>
      <c r="G80" s="81">
        <f t="shared" si="22"/>
        <v>474.28662100009387</v>
      </c>
      <c r="H80" s="81">
        <f t="shared" si="22"/>
        <v>199.78559467449668</v>
      </c>
      <c r="I80" s="81">
        <f t="shared" si="22"/>
        <v>523.87738064053701</v>
      </c>
      <c r="J80" s="81">
        <f t="shared" si="22"/>
        <v>398.66231913778756</v>
      </c>
      <c r="K80" s="81">
        <f t="shared" si="22"/>
        <v>463.95609623682685</v>
      </c>
      <c r="L80" s="81">
        <f t="shared" si="22"/>
        <v>658.56644234400301</v>
      </c>
      <c r="M80" s="81">
        <f t="shared" si="22"/>
        <v>1067.2875987314619</v>
      </c>
      <c r="N80" s="81">
        <f t="shared" si="22"/>
        <v>331.13045762554975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SBO</vt:lpstr>
      <vt:lpstr>CO</vt:lpstr>
      <vt:lpstr>UCO</vt:lpstr>
      <vt:lpstr>DCO</vt:lpstr>
      <vt:lpstr>Tallow</vt:lpstr>
      <vt:lpstr>Credit Values</vt:lpstr>
      <vt:lpstr>HRD</vt:lpstr>
      <vt:lpstr>Jet Fuel</vt:lpstr>
      <vt:lpstr>Biomass-Based Diesel-SAF</vt:lpstr>
      <vt:lpstr>SAF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2025-07-17T09:35:15Z</dcterms:created>
  <dcterms:modified xsi:type="dcterms:W3CDTF">2025-09-10T09:29:46Z</dcterms:modified>
</cp:coreProperties>
</file>