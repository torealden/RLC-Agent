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Biofuels\"/>
    </mc:Choice>
  </mc:AlternateContent>
  <xr:revisionPtr revIDLastSave="0" documentId="13_ncr:1_{776938F0-2960-430E-8945-FB8D942A41DE}" xr6:coauthVersionLast="47" xr6:coauthVersionMax="47" xr10:uidLastSave="{00000000-0000-0000-0000-000000000000}"/>
  <bookViews>
    <workbookView xWindow="240" yWindow="555" windowWidth="24795" windowHeight="14970" xr2:uid="{1E7A9680-0583-44B9-8BE0-401FCBB5D8EC}"/>
  </bookViews>
  <sheets>
    <sheet name="Data Sources" sheetId="1" r:id="rId1"/>
    <sheet name="Capacity" sheetId="2" r:id="rId2"/>
    <sheet name="annual_data" sheetId="3" r:id="rId3"/>
    <sheet name="monthly_data" sheetId="4" r:id="rId4"/>
    <sheet name="BD" sheetId="5" r:id="rId5"/>
    <sheet name="RD" sheetId="6" r:id="rId6"/>
    <sheet name="SAF" sheetId="7" r:id="rId7"/>
    <sheet name="Jet Fuel" sheetId="8" r:id="rId8"/>
    <sheet name="Diesel" sheetId="9" r:id="rId9"/>
  </sheets>
  <externalReferences>
    <externalReference r:id="rId10"/>
  </externalReferences>
  <definedNames>
    <definedName name="maincontent" localSheetId="0">'Data Sources'!#REF!</definedName>
    <definedName name="_xlnm.Print_Area" localSheetId="4">BD!$A$2:$I$13</definedName>
    <definedName name="_xlnm.Print_Area" localSheetId="5">RD!$A$2:$I$13</definedName>
    <definedName name="Z_11027877_8754_42DF_AEF4_DF91AFC7E3D7_.wvu.PrintArea" localSheetId="4" hidden="1">BD!$A$1:$F$13</definedName>
    <definedName name="Z_11027877_8754_42DF_AEF4_DF91AFC7E3D7_.wvu.PrintArea" localSheetId="5" hidden="1">RD!$A$1:$F$13</definedName>
    <definedName name="Z_2C7BB91D_B6C7_4C7E_824A_AD371B7FEFAE_.wvu.Cols" localSheetId="4" hidden="1">BD!#REF!</definedName>
    <definedName name="Z_2C7BB91D_B6C7_4C7E_824A_AD371B7FEFAE_.wvu.Cols" localSheetId="5" hidden="1">RD!#REF!</definedName>
    <definedName name="Z_2C7BB91D_B6C7_4C7E_824A_AD371B7FEFAE_.wvu.PrintArea" localSheetId="4" hidden="1">BD!$A$1:$F$13</definedName>
    <definedName name="Z_2C7BB91D_B6C7_4C7E_824A_AD371B7FEFAE_.wvu.PrintArea" localSheetId="5" hidden="1">RD!$A$1:$F$13</definedName>
    <definedName name="Z_3389ABBF_4A47_4E3C_9E30_013DEA936013_.wvu.PrintArea" localSheetId="4" hidden="1">BD!$A$1:$F$13</definedName>
    <definedName name="Z_3389ABBF_4A47_4E3C_9E30_013DEA936013_.wvu.PrintArea" localSheetId="5" hidden="1">RD!$A$1:$F$13</definedName>
    <definedName name="Z_63FD8648_A18A_466A_B152_26B7B5EB5F8A_.wvu.PrintArea" localSheetId="4" hidden="1">BD!$A$1:$F$13</definedName>
    <definedName name="Z_63FD8648_A18A_466A_B152_26B7B5EB5F8A_.wvu.PrintArea" localSheetId="5" hidden="1">RD!$A$1:$F$13</definedName>
    <definedName name="Z_896AD9BE_343E_4241_9567_E97EA3C7D73E_.wvu.PrintArea" localSheetId="4" hidden="1">BD!$A$1:$F$13</definedName>
    <definedName name="Z_896AD9BE_343E_4241_9567_E97EA3C7D73E_.wvu.PrintArea" localSheetId="5" hidden="1">RD!$A$1:$F$13</definedName>
    <definedName name="Z_8F904101_0CD0_4EB8_918C_6C9451EECAE3_.wvu.PrintArea" localSheetId="4" hidden="1">BD!$A$1:$F$13</definedName>
    <definedName name="Z_8F904101_0CD0_4EB8_918C_6C9451EECAE3_.wvu.PrintArea" localSheetId="5" hidden="1">RD!$A$1:$F$13</definedName>
    <definedName name="Z_A9F82761_E541_4BC7_AF39_E754A8EE4364_.wvu.PrintArea" localSheetId="4" hidden="1">BD!$A$1:$F$13</definedName>
    <definedName name="Z_A9F82761_E541_4BC7_AF39_E754A8EE4364_.wvu.PrintArea" localSheetId="5" hidden="1">RD!$A$1:$F$13</definedName>
    <definedName name="Z_BDBF5671_C3A9_474A_BD59_73FB0F340729_.wvu.PrintArea" localSheetId="4" hidden="1">BD!$A$1:$F$13</definedName>
    <definedName name="Z_BDBF5671_C3A9_474A_BD59_73FB0F340729_.wvu.PrintArea" localSheetId="5" hidden="1">RD!$A$1:$F$13</definedName>
    <definedName name="Z_BE7D4983_2668_442B_8E12_AE767275E8F1_.wvu.PrintArea" localSheetId="4" hidden="1">BD!$A$1:$F$13</definedName>
    <definedName name="Z_BE7D4983_2668_442B_8E12_AE767275E8F1_.wvu.PrintArea" localSheetId="5" hidden="1">RD!$A$1:$F$13</definedName>
    <definedName name="Z_F5DE2E4F_A48B_4F36_85E7_0AB7ADB29149_.wvu.PrintArea" localSheetId="4" hidden="1">BD!$A$1:$F$13</definedName>
    <definedName name="Z_F5DE2E4F_A48B_4F36_85E7_0AB7ADB29149_.wvu.PrintArea" localSheetId="5" hidden="1">RD!$A$1:$F$13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7" i="8" l="1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H94" i="9" l="1"/>
  <c r="H11" i="9" s="1"/>
  <c r="G94" i="9"/>
  <c r="G11" i="9" s="1"/>
  <c r="F94" i="9"/>
  <c r="E94" i="9"/>
  <c r="D94" i="9"/>
  <c r="C94" i="9"/>
  <c r="C11" i="9" s="1"/>
  <c r="D4" i="9" s="1"/>
  <c r="B94" i="9"/>
  <c r="B11" i="9" s="1"/>
  <c r="C4" i="9" s="1"/>
  <c r="H93" i="9"/>
  <c r="G93" i="9"/>
  <c r="F93" i="9"/>
  <c r="E93" i="9"/>
  <c r="D93" i="9"/>
  <c r="C93" i="9"/>
  <c r="B93" i="9"/>
  <c r="H92" i="9"/>
  <c r="G92" i="9"/>
  <c r="F92" i="9"/>
  <c r="E92" i="9"/>
  <c r="D92" i="9"/>
  <c r="C92" i="9"/>
  <c r="B92" i="9"/>
  <c r="H91" i="9"/>
  <c r="G91" i="9"/>
  <c r="F91" i="9"/>
  <c r="E91" i="9"/>
  <c r="D91" i="9"/>
  <c r="C91" i="9"/>
  <c r="B91" i="9"/>
  <c r="H90" i="9"/>
  <c r="G90" i="9"/>
  <c r="F90" i="9"/>
  <c r="E90" i="9"/>
  <c r="D90" i="9"/>
  <c r="C90" i="9"/>
  <c r="B90" i="9"/>
  <c r="H89" i="9"/>
  <c r="G89" i="9"/>
  <c r="F89" i="9"/>
  <c r="E89" i="9"/>
  <c r="D89" i="9"/>
  <c r="C89" i="9"/>
  <c r="B89" i="9"/>
  <c r="H88" i="9"/>
  <c r="G88" i="9"/>
  <c r="F88" i="9"/>
  <c r="E88" i="9"/>
  <c r="D88" i="9"/>
  <c r="C88" i="9"/>
  <c r="B88" i="9"/>
  <c r="H87" i="9"/>
  <c r="G87" i="9"/>
  <c r="F87" i="9"/>
  <c r="E87" i="9"/>
  <c r="D87" i="9"/>
  <c r="C87" i="9"/>
  <c r="B87" i="9"/>
  <c r="H86" i="9"/>
  <c r="G86" i="9"/>
  <c r="F86" i="9"/>
  <c r="E86" i="9"/>
  <c r="D86" i="9"/>
  <c r="C86" i="9"/>
  <c r="B86" i="9"/>
  <c r="H85" i="9"/>
  <c r="G85" i="9"/>
  <c r="F85" i="9"/>
  <c r="E85" i="9"/>
  <c r="D85" i="9"/>
  <c r="C85" i="9"/>
  <c r="B85" i="9"/>
  <c r="H84" i="9"/>
  <c r="G84" i="9"/>
  <c r="F84" i="9"/>
  <c r="E84" i="9"/>
  <c r="D84" i="9"/>
  <c r="C84" i="9"/>
  <c r="B84" i="9"/>
  <c r="H83" i="9"/>
  <c r="G83" i="9"/>
  <c r="F83" i="9"/>
  <c r="E83" i="9"/>
  <c r="D83" i="9"/>
  <c r="C83" i="9"/>
  <c r="B83" i="9"/>
  <c r="B4" i="9" s="1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H74" i="9"/>
  <c r="G71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H63" i="9"/>
  <c r="H9" i="9" s="1"/>
  <c r="H62" i="9"/>
  <c r="G62" i="9"/>
  <c r="F62" i="9"/>
  <c r="E62" i="9"/>
  <c r="D62" i="9"/>
  <c r="C62" i="9"/>
  <c r="B62" i="9"/>
  <c r="H61" i="9"/>
  <c r="G61" i="9"/>
  <c r="F61" i="9"/>
  <c r="E61" i="9"/>
  <c r="D61" i="9"/>
  <c r="C61" i="9"/>
  <c r="B61" i="9"/>
  <c r="H60" i="9"/>
  <c r="G60" i="9"/>
  <c r="F60" i="9"/>
  <c r="E60" i="9"/>
  <c r="D60" i="9"/>
  <c r="C60" i="9"/>
  <c r="B60" i="9"/>
  <c r="H59" i="9"/>
  <c r="G59" i="9"/>
  <c r="F59" i="9"/>
  <c r="E59" i="9"/>
  <c r="D59" i="9"/>
  <c r="C59" i="9"/>
  <c r="B59" i="9"/>
  <c r="H58" i="9"/>
  <c r="G58" i="9"/>
  <c r="F58" i="9"/>
  <c r="E58" i="9"/>
  <c r="D58" i="9"/>
  <c r="C58" i="9"/>
  <c r="B58" i="9"/>
  <c r="H57" i="9"/>
  <c r="G57" i="9"/>
  <c r="F57" i="9"/>
  <c r="E57" i="9"/>
  <c r="D57" i="9"/>
  <c r="C57" i="9"/>
  <c r="B57" i="9"/>
  <c r="H56" i="9"/>
  <c r="G56" i="9"/>
  <c r="F56" i="9"/>
  <c r="E56" i="9"/>
  <c r="D56" i="9"/>
  <c r="C56" i="9"/>
  <c r="B56" i="9"/>
  <c r="H55" i="9"/>
  <c r="G55" i="9"/>
  <c r="F55" i="9"/>
  <c r="E55" i="9"/>
  <c r="D55" i="9"/>
  <c r="C55" i="9"/>
  <c r="B55" i="9"/>
  <c r="H54" i="9"/>
  <c r="G54" i="9"/>
  <c r="F54" i="9"/>
  <c r="E54" i="9"/>
  <c r="D54" i="9"/>
  <c r="C54" i="9"/>
  <c r="B54" i="9"/>
  <c r="H53" i="9"/>
  <c r="G53" i="9"/>
  <c r="F53" i="9"/>
  <c r="E53" i="9"/>
  <c r="D53" i="9"/>
  <c r="C53" i="9"/>
  <c r="B53" i="9"/>
  <c r="H52" i="9"/>
  <c r="G52" i="9"/>
  <c r="F52" i="9"/>
  <c r="E52" i="9"/>
  <c r="D52" i="9"/>
  <c r="C52" i="9"/>
  <c r="C63" i="9" s="1"/>
  <c r="C9" i="9" s="1"/>
  <c r="B52" i="9"/>
  <c r="B63" i="9" s="1"/>
  <c r="B9" i="9" s="1"/>
  <c r="H51" i="9"/>
  <c r="G51" i="9"/>
  <c r="F51" i="9"/>
  <c r="E51" i="9"/>
  <c r="D51" i="9"/>
  <c r="C51" i="9"/>
  <c r="B51" i="9"/>
  <c r="P50" i="9"/>
  <c r="O50" i="9"/>
  <c r="N50" i="9"/>
  <c r="H50" i="9"/>
  <c r="G50" i="9"/>
  <c r="C50" i="9"/>
  <c r="H46" i="9"/>
  <c r="G46" i="9"/>
  <c r="F46" i="9"/>
  <c r="E46" i="9"/>
  <c r="D46" i="9"/>
  <c r="C46" i="9"/>
  <c r="B46" i="9"/>
  <c r="H45" i="9"/>
  <c r="G45" i="9"/>
  <c r="F45" i="9"/>
  <c r="E45" i="9"/>
  <c r="D45" i="9"/>
  <c r="C45" i="9"/>
  <c r="B45" i="9"/>
  <c r="H44" i="9"/>
  <c r="G44" i="9"/>
  <c r="F44" i="9"/>
  <c r="E44" i="9"/>
  <c r="D44" i="9"/>
  <c r="C44" i="9"/>
  <c r="B44" i="9"/>
  <c r="H43" i="9"/>
  <c r="G43" i="9"/>
  <c r="F43" i="9"/>
  <c r="E43" i="9"/>
  <c r="D43" i="9"/>
  <c r="C43" i="9"/>
  <c r="B43" i="9"/>
  <c r="H42" i="9"/>
  <c r="G42" i="9"/>
  <c r="F42" i="9"/>
  <c r="E42" i="9"/>
  <c r="D42" i="9"/>
  <c r="C42" i="9"/>
  <c r="B42" i="9"/>
  <c r="H41" i="9"/>
  <c r="G41" i="9"/>
  <c r="F41" i="9"/>
  <c r="E41" i="9"/>
  <c r="D41" i="9"/>
  <c r="C41" i="9"/>
  <c r="B41" i="9"/>
  <c r="H40" i="9"/>
  <c r="G40" i="9"/>
  <c r="F40" i="9"/>
  <c r="E40" i="9"/>
  <c r="D40" i="9"/>
  <c r="C40" i="9"/>
  <c r="B40" i="9"/>
  <c r="H39" i="9"/>
  <c r="G39" i="9"/>
  <c r="F39" i="9"/>
  <c r="E39" i="9"/>
  <c r="D39" i="9"/>
  <c r="C39" i="9"/>
  <c r="B39" i="9"/>
  <c r="H38" i="9"/>
  <c r="G38" i="9"/>
  <c r="F38" i="9"/>
  <c r="E38" i="9"/>
  <c r="D38" i="9"/>
  <c r="C38" i="9"/>
  <c r="B38" i="9"/>
  <c r="H37" i="9"/>
  <c r="G37" i="9"/>
  <c r="F37" i="9"/>
  <c r="E37" i="9"/>
  <c r="D37" i="9"/>
  <c r="C37" i="9"/>
  <c r="B37" i="9"/>
  <c r="H36" i="9"/>
  <c r="G36" i="9"/>
  <c r="F36" i="9"/>
  <c r="E36" i="9"/>
  <c r="E47" i="9" s="1"/>
  <c r="E6" i="9" s="1"/>
  <c r="D36" i="9"/>
  <c r="C36" i="9"/>
  <c r="B36" i="9"/>
  <c r="H35" i="9"/>
  <c r="G35" i="9"/>
  <c r="F35" i="9"/>
  <c r="E35" i="9"/>
  <c r="D35" i="9"/>
  <c r="C35" i="9"/>
  <c r="B35" i="9"/>
  <c r="S34" i="9"/>
  <c r="S50" i="9" s="1"/>
  <c r="R34" i="9"/>
  <c r="R50" i="9" s="1"/>
  <c r="Q34" i="9"/>
  <c r="Q50" i="9" s="1"/>
  <c r="P34" i="9"/>
  <c r="O34" i="9"/>
  <c r="N34" i="9"/>
  <c r="M34" i="9"/>
  <c r="M50" i="9" s="1"/>
  <c r="L34" i="9"/>
  <c r="L50" i="9" s="1"/>
  <c r="K34" i="9"/>
  <c r="K50" i="9" s="1"/>
  <c r="J34" i="9"/>
  <c r="J50" i="9" s="1"/>
  <c r="I34" i="9"/>
  <c r="I50" i="9" s="1"/>
  <c r="H34" i="9"/>
  <c r="G34" i="9"/>
  <c r="F34" i="9"/>
  <c r="F50" i="9" s="1"/>
  <c r="E34" i="9"/>
  <c r="E50" i="9" s="1"/>
  <c r="D34" i="9"/>
  <c r="D50" i="9" s="1"/>
  <c r="C34" i="9"/>
  <c r="B34" i="9"/>
  <c r="B50" i="9" s="1"/>
  <c r="E30" i="9"/>
  <c r="D30" i="9"/>
  <c r="C30" i="9"/>
  <c r="H27" i="9"/>
  <c r="F22" i="9"/>
  <c r="B20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C12" i="9"/>
  <c r="F11" i="9"/>
  <c r="F12" i="9" s="1"/>
  <c r="E11" i="9"/>
  <c r="D11" i="9"/>
  <c r="I9" i="9"/>
  <c r="I63" i="9" s="1"/>
  <c r="I4" i="9"/>
  <c r="H4" i="9"/>
  <c r="G4" i="9"/>
  <c r="F4" i="9"/>
  <c r="H96" i="8"/>
  <c r="H12" i="8" s="1"/>
  <c r="G96" i="8"/>
  <c r="G12" i="8" s="1"/>
  <c r="F96" i="8"/>
  <c r="F12" i="8" s="1"/>
  <c r="E96" i="8"/>
  <c r="E12" i="8" s="1"/>
  <c r="D96" i="8"/>
  <c r="D12" i="8" s="1"/>
  <c r="C96" i="8"/>
  <c r="C12" i="8" s="1"/>
  <c r="B96" i="8"/>
  <c r="B12" i="8" s="1"/>
  <c r="H95" i="8"/>
  <c r="G95" i="8"/>
  <c r="F95" i="8"/>
  <c r="E95" i="8"/>
  <c r="D95" i="8"/>
  <c r="C95" i="8"/>
  <c r="B95" i="8"/>
  <c r="H94" i="8"/>
  <c r="G94" i="8"/>
  <c r="F94" i="8"/>
  <c r="E94" i="8"/>
  <c r="D94" i="8"/>
  <c r="C94" i="8"/>
  <c r="B94" i="8"/>
  <c r="H93" i="8"/>
  <c r="G93" i="8"/>
  <c r="F93" i="8"/>
  <c r="E93" i="8"/>
  <c r="D93" i="8"/>
  <c r="C93" i="8"/>
  <c r="B93" i="8"/>
  <c r="H92" i="8"/>
  <c r="G92" i="8"/>
  <c r="F92" i="8"/>
  <c r="E92" i="8"/>
  <c r="D92" i="8"/>
  <c r="C92" i="8"/>
  <c r="B92" i="8"/>
  <c r="H91" i="8"/>
  <c r="G91" i="8"/>
  <c r="F91" i="8"/>
  <c r="E91" i="8"/>
  <c r="D91" i="8"/>
  <c r="C91" i="8"/>
  <c r="B91" i="8"/>
  <c r="H90" i="8"/>
  <c r="G90" i="8"/>
  <c r="F90" i="8"/>
  <c r="E90" i="8"/>
  <c r="D90" i="8"/>
  <c r="C90" i="8"/>
  <c r="B90" i="8"/>
  <c r="H89" i="8"/>
  <c r="G89" i="8"/>
  <c r="F89" i="8"/>
  <c r="E89" i="8"/>
  <c r="D89" i="8"/>
  <c r="C89" i="8"/>
  <c r="B89" i="8"/>
  <c r="H88" i="8"/>
  <c r="G88" i="8"/>
  <c r="F88" i="8"/>
  <c r="E88" i="8"/>
  <c r="D88" i="8"/>
  <c r="C88" i="8"/>
  <c r="B88" i="8"/>
  <c r="H87" i="8"/>
  <c r="G87" i="8"/>
  <c r="F87" i="8"/>
  <c r="E87" i="8"/>
  <c r="D87" i="8"/>
  <c r="C87" i="8"/>
  <c r="B87" i="8"/>
  <c r="H86" i="8"/>
  <c r="G86" i="8"/>
  <c r="F86" i="8"/>
  <c r="E86" i="8"/>
  <c r="D86" i="8"/>
  <c r="C86" i="8"/>
  <c r="B86" i="8"/>
  <c r="H85" i="8"/>
  <c r="G85" i="8"/>
  <c r="F85" i="8"/>
  <c r="E85" i="8"/>
  <c r="D85" i="8"/>
  <c r="C85" i="8"/>
  <c r="B85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H80" i="8"/>
  <c r="G80" i="8"/>
  <c r="F80" i="8"/>
  <c r="E80" i="8"/>
  <c r="D80" i="8"/>
  <c r="C80" i="8"/>
  <c r="B80" i="8"/>
  <c r="H79" i="8"/>
  <c r="G79" i="8"/>
  <c r="F79" i="8"/>
  <c r="E79" i="8"/>
  <c r="D79" i="8"/>
  <c r="C79" i="8"/>
  <c r="B79" i="8"/>
  <c r="H78" i="8"/>
  <c r="G78" i="8"/>
  <c r="F78" i="8"/>
  <c r="E78" i="8"/>
  <c r="D78" i="8"/>
  <c r="C78" i="8"/>
  <c r="B78" i="8"/>
  <c r="H77" i="8"/>
  <c r="G77" i="8"/>
  <c r="F77" i="8"/>
  <c r="E77" i="8"/>
  <c r="D77" i="8"/>
  <c r="C77" i="8"/>
  <c r="B77" i="8"/>
  <c r="H76" i="8"/>
  <c r="G76" i="8"/>
  <c r="F76" i="8"/>
  <c r="E76" i="8"/>
  <c r="D76" i="8"/>
  <c r="C76" i="8"/>
  <c r="B76" i="8"/>
  <c r="H75" i="8"/>
  <c r="G75" i="8"/>
  <c r="F75" i="8"/>
  <c r="E75" i="8"/>
  <c r="D75" i="8"/>
  <c r="C75" i="8"/>
  <c r="B75" i="8"/>
  <c r="H74" i="8"/>
  <c r="G74" i="8"/>
  <c r="F74" i="8"/>
  <c r="E74" i="8"/>
  <c r="D74" i="8"/>
  <c r="C74" i="8"/>
  <c r="B74" i="8"/>
  <c r="H73" i="8"/>
  <c r="G73" i="8"/>
  <c r="F73" i="8"/>
  <c r="E73" i="8"/>
  <c r="D73" i="8"/>
  <c r="C73" i="8"/>
  <c r="B73" i="8"/>
  <c r="H72" i="8"/>
  <c r="H81" i="8" s="1"/>
  <c r="G72" i="8"/>
  <c r="F72" i="8"/>
  <c r="E72" i="8"/>
  <c r="D72" i="8"/>
  <c r="C72" i="8"/>
  <c r="B72" i="8"/>
  <c r="H71" i="8"/>
  <c r="G71" i="8"/>
  <c r="F71" i="8"/>
  <c r="E71" i="8"/>
  <c r="D71" i="8"/>
  <c r="C71" i="8"/>
  <c r="B71" i="8"/>
  <c r="H70" i="8"/>
  <c r="G70" i="8"/>
  <c r="F70" i="8"/>
  <c r="E70" i="8"/>
  <c r="D70" i="8"/>
  <c r="C70" i="8"/>
  <c r="B70" i="8"/>
  <c r="H69" i="8"/>
  <c r="G69" i="8"/>
  <c r="F69" i="8"/>
  <c r="F81" i="8" s="1"/>
  <c r="E69" i="8"/>
  <c r="E81" i="8" s="1"/>
  <c r="D69" i="8"/>
  <c r="C69" i="8"/>
  <c r="B69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H64" i="8"/>
  <c r="G64" i="8"/>
  <c r="F64" i="8"/>
  <c r="E64" i="8"/>
  <c r="D64" i="8"/>
  <c r="C64" i="8"/>
  <c r="B64" i="8"/>
  <c r="H63" i="8"/>
  <c r="G63" i="8"/>
  <c r="F63" i="8"/>
  <c r="E63" i="8"/>
  <c r="D63" i="8"/>
  <c r="C63" i="8"/>
  <c r="B63" i="8"/>
  <c r="H62" i="8"/>
  <c r="G62" i="8"/>
  <c r="F62" i="8"/>
  <c r="E62" i="8"/>
  <c r="D62" i="8"/>
  <c r="C62" i="8"/>
  <c r="B62" i="8"/>
  <c r="H61" i="8"/>
  <c r="G61" i="8"/>
  <c r="F61" i="8"/>
  <c r="E61" i="8"/>
  <c r="D61" i="8"/>
  <c r="C61" i="8"/>
  <c r="B61" i="8"/>
  <c r="H60" i="8"/>
  <c r="G60" i="8"/>
  <c r="F60" i="8"/>
  <c r="E60" i="8"/>
  <c r="D60" i="8"/>
  <c r="C60" i="8"/>
  <c r="B60" i="8"/>
  <c r="H59" i="8"/>
  <c r="G59" i="8"/>
  <c r="F59" i="8"/>
  <c r="E59" i="8"/>
  <c r="D59" i="8"/>
  <c r="C59" i="8"/>
  <c r="B59" i="8"/>
  <c r="H58" i="8"/>
  <c r="G58" i="8"/>
  <c r="F58" i="8"/>
  <c r="E58" i="8"/>
  <c r="D58" i="8"/>
  <c r="D65" i="8" s="1"/>
  <c r="D10" i="8" s="1"/>
  <c r="D11" i="8" s="1"/>
  <c r="C58" i="8"/>
  <c r="C65" i="8" s="1"/>
  <c r="C10" i="8" s="1"/>
  <c r="C11" i="8" s="1"/>
  <c r="B58" i="8"/>
  <c r="H57" i="8"/>
  <c r="G57" i="8"/>
  <c r="F57" i="8"/>
  <c r="E57" i="8"/>
  <c r="D57" i="8"/>
  <c r="C57" i="8"/>
  <c r="B57" i="8"/>
  <c r="H56" i="8"/>
  <c r="G56" i="8"/>
  <c r="F56" i="8"/>
  <c r="E56" i="8"/>
  <c r="D56" i="8"/>
  <c r="C56" i="8"/>
  <c r="B56" i="8"/>
  <c r="H55" i="8"/>
  <c r="G55" i="8"/>
  <c r="F55" i="8"/>
  <c r="E55" i="8"/>
  <c r="D55" i="8"/>
  <c r="C55" i="8"/>
  <c r="B55" i="8"/>
  <c r="H54" i="8"/>
  <c r="G54" i="8"/>
  <c r="F54" i="8"/>
  <c r="E54" i="8"/>
  <c r="D54" i="8"/>
  <c r="C54" i="8"/>
  <c r="B54" i="8"/>
  <c r="H53" i="8"/>
  <c r="G53" i="8"/>
  <c r="F53" i="8"/>
  <c r="E53" i="8"/>
  <c r="D53" i="8"/>
  <c r="C53" i="8"/>
  <c r="B53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H48" i="8"/>
  <c r="G48" i="8"/>
  <c r="F48" i="8"/>
  <c r="E48" i="8"/>
  <c r="D48" i="8"/>
  <c r="C48" i="8"/>
  <c r="B48" i="8"/>
  <c r="H47" i="8"/>
  <c r="G47" i="8"/>
  <c r="F47" i="8"/>
  <c r="E47" i="8"/>
  <c r="D47" i="8"/>
  <c r="C47" i="8"/>
  <c r="B47" i="8"/>
  <c r="H46" i="8"/>
  <c r="G46" i="8"/>
  <c r="G49" i="8" s="1"/>
  <c r="G7" i="8" s="1"/>
  <c r="F46" i="8"/>
  <c r="F49" i="8" s="1"/>
  <c r="F7" i="8" s="1"/>
  <c r="E46" i="8"/>
  <c r="D46" i="8"/>
  <c r="C46" i="8"/>
  <c r="B46" i="8"/>
  <c r="H45" i="8"/>
  <c r="G45" i="8"/>
  <c r="F45" i="8"/>
  <c r="E45" i="8"/>
  <c r="D45" i="8"/>
  <c r="C45" i="8"/>
  <c r="B45" i="8"/>
  <c r="H44" i="8"/>
  <c r="G44" i="8"/>
  <c r="F44" i="8"/>
  <c r="E44" i="8"/>
  <c r="D44" i="8"/>
  <c r="C44" i="8"/>
  <c r="B44" i="8"/>
  <c r="H43" i="8"/>
  <c r="G43" i="8"/>
  <c r="F43" i="8"/>
  <c r="E43" i="8"/>
  <c r="D43" i="8"/>
  <c r="C43" i="8"/>
  <c r="B43" i="8"/>
  <c r="H42" i="8"/>
  <c r="G42" i="8"/>
  <c r="F42" i="8"/>
  <c r="E42" i="8"/>
  <c r="D42" i="8"/>
  <c r="C42" i="8"/>
  <c r="B42" i="8"/>
  <c r="H41" i="8"/>
  <c r="G41" i="8"/>
  <c r="F41" i="8"/>
  <c r="E41" i="8"/>
  <c r="D41" i="8"/>
  <c r="C41" i="8"/>
  <c r="B41" i="8"/>
  <c r="H40" i="8"/>
  <c r="G40" i="8"/>
  <c r="F40" i="8"/>
  <c r="E40" i="8"/>
  <c r="D40" i="8"/>
  <c r="C40" i="8"/>
  <c r="B40" i="8"/>
  <c r="H39" i="8"/>
  <c r="G39" i="8"/>
  <c r="F39" i="8"/>
  <c r="E39" i="8"/>
  <c r="D39" i="8"/>
  <c r="C39" i="8"/>
  <c r="B39" i="8"/>
  <c r="H38" i="8"/>
  <c r="G38" i="8"/>
  <c r="F38" i="8"/>
  <c r="E38" i="8"/>
  <c r="D38" i="8"/>
  <c r="C38" i="8"/>
  <c r="B38" i="8"/>
  <c r="H37" i="8"/>
  <c r="G37" i="8"/>
  <c r="F37" i="8"/>
  <c r="E37" i="8"/>
  <c r="E49" i="8" s="1"/>
  <c r="D37" i="8"/>
  <c r="D49" i="8" s="1"/>
  <c r="D7" i="8" s="1"/>
  <c r="C37" i="8"/>
  <c r="C49" i="8" s="1"/>
  <c r="B37" i="8"/>
  <c r="B49" i="8" s="1"/>
  <c r="B7" i="8" s="1"/>
  <c r="K36" i="8"/>
  <c r="F33" i="8"/>
  <c r="F6" i="8" s="1"/>
  <c r="H32" i="8"/>
  <c r="G32" i="8"/>
  <c r="F32" i="8"/>
  <c r="E32" i="8"/>
  <c r="D32" i="8"/>
  <c r="C32" i="8"/>
  <c r="B32" i="8"/>
  <c r="H31" i="8"/>
  <c r="G31" i="8"/>
  <c r="F31" i="8"/>
  <c r="E31" i="8"/>
  <c r="D31" i="8"/>
  <c r="C31" i="8"/>
  <c r="B31" i="8"/>
  <c r="H30" i="8"/>
  <c r="G30" i="8"/>
  <c r="F30" i="8"/>
  <c r="E30" i="8"/>
  <c r="D30" i="8"/>
  <c r="C30" i="8"/>
  <c r="B30" i="8"/>
  <c r="H29" i="8"/>
  <c r="G29" i="8"/>
  <c r="F29" i="8"/>
  <c r="E29" i="8"/>
  <c r="D29" i="8"/>
  <c r="C29" i="8"/>
  <c r="B29" i="8"/>
  <c r="H28" i="8"/>
  <c r="G28" i="8"/>
  <c r="F28" i="8"/>
  <c r="E28" i="8"/>
  <c r="D28" i="8"/>
  <c r="C28" i="8"/>
  <c r="B28" i="8"/>
  <c r="H27" i="8"/>
  <c r="G27" i="8"/>
  <c r="F27" i="8"/>
  <c r="E27" i="8"/>
  <c r="D27" i="8"/>
  <c r="C27" i="8"/>
  <c r="B27" i="8"/>
  <c r="H26" i="8"/>
  <c r="G26" i="8"/>
  <c r="F26" i="8"/>
  <c r="E26" i="8"/>
  <c r="D26" i="8"/>
  <c r="C26" i="8"/>
  <c r="B26" i="8"/>
  <c r="H25" i="8"/>
  <c r="G25" i="8"/>
  <c r="F25" i="8"/>
  <c r="E25" i="8"/>
  <c r="D25" i="8"/>
  <c r="C25" i="8"/>
  <c r="B25" i="8"/>
  <c r="H24" i="8"/>
  <c r="G24" i="8"/>
  <c r="G33" i="8" s="1"/>
  <c r="G6" i="8" s="1"/>
  <c r="F24" i="8"/>
  <c r="E24" i="8"/>
  <c r="D24" i="8"/>
  <c r="D33" i="8" s="1"/>
  <c r="D6" i="8" s="1"/>
  <c r="C24" i="8"/>
  <c r="C33" i="8" s="1"/>
  <c r="C6" i="8" s="1"/>
  <c r="B24" i="8"/>
  <c r="H23" i="8"/>
  <c r="G23" i="8"/>
  <c r="F23" i="8"/>
  <c r="E23" i="8"/>
  <c r="D23" i="8"/>
  <c r="C23" i="8"/>
  <c r="B23" i="8"/>
  <c r="H22" i="8"/>
  <c r="G22" i="8"/>
  <c r="F22" i="8"/>
  <c r="E22" i="8"/>
  <c r="D22" i="8"/>
  <c r="C22" i="8"/>
  <c r="B22" i="8"/>
  <c r="H21" i="8"/>
  <c r="H33" i="8" s="1"/>
  <c r="H6" i="8" s="1"/>
  <c r="G21" i="8"/>
  <c r="F21" i="8"/>
  <c r="E21" i="8"/>
  <c r="D21" i="8"/>
  <c r="C21" i="8"/>
  <c r="B21" i="8"/>
  <c r="S20" i="8"/>
  <c r="S36" i="8" s="1"/>
  <c r="R20" i="8"/>
  <c r="R36" i="8" s="1"/>
  <c r="Q20" i="8"/>
  <c r="Q36" i="8" s="1"/>
  <c r="P20" i="8"/>
  <c r="P36" i="8" s="1"/>
  <c r="O20" i="8"/>
  <c r="O36" i="8" s="1"/>
  <c r="N20" i="8"/>
  <c r="N36" i="8" s="1"/>
  <c r="M20" i="8"/>
  <c r="M36" i="8" s="1"/>
  <c r="L20" i="8"/>
  <c r="L36" i="8" s="1"/>
  <c r="K20" i="8"/>
  <c r="J20" i="8"/>
  <c r="J36" i="8" s="1"/>
  <c r="I20" i="8"/>
  <c r="I36" i="8" s="1"/>
  <c r="H20" i="8"/>
  <c r="H36" i="8" s="1"/>
  <c r="G20" i="8"/>
  <c r="G36" i="8" s="1"/>
  <c r="F20" i="8"/>
  <c r="F36" i="8" s="1"/>
  <c r="E20" i="8"/>
  <c r="E36" i="8" s="1"/>
  <c r="D20" i="8"/>
  <c r="D36" i="8" s="1"/>
  <c r="C20" i="8"/>
  <c r="C36" i="8" s="1"/>
  <c r="B20" i="8"/>
  <c r="B36" i="8" s="1"/>
  <c r="P18" i="8"/>
  <c r="O18" i="8"/>
  <c r="N18" i="8"/>
  <c r="H18" i="8"/>
  <c r="G18" i="8"/>
  <c r="F18" i="8"/>
  <c r="E18" i="8"/>
  <c r="D18" i="8"/>
  <c r="C18" i="8"/>
  <c r="S18" i="8"/>
  <c r="Q18" i="8"/>
  <c r="M18" i="8"/>
  <c r="I18" i="8"/>
  <c r="E7" i="8"/>
  <c r="C7" i="8"/>
  <c r="I5" i="8"/>
  <c r="H5" i="8"/>
  <c r="G5" i="8"/>
  <c r="F5" i="8"/>
  <c r="R53" i="7"/>
  <c r="Q53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H37" i="7"/>
  <c r="G37" i="7"/>
  <c r="F37" i="7"/>
  <c r="E37" i="7"/>
  <c r="D37" i="7"/>
  <c r="C37" i="7"/>
  <c r="R34" i="7"/>
  <c r="Q34" i="7"/>
  <c r="P34" i="7"/>
  <c r="O34" i="7"/>
  <c r="N34" i="7"/>
  <c r="M34" i="7"/>
  <c r="L34" i="7"/>
  <c r="K34" i="7"/>
  <c r="J34" i="7"/>
  <c r="I34" i="7"/>
  <c r="H33" i="7"/>
  <c r="G33" i="7"/>
  <c r="F33" i="7"/>
  <c r="E33" i="7"/>
  <c r="D33" i="7"/>
  <c r="C33" i="7"/>
  <c r="B33" i="7"/>
  <c r="H32" i="7"/>
  <c r="G32" i="7"/>
  <c r="F32" i="7"/>
  <c r="E32" i="7"/>
  <c r="D32" i="7"/>
  <c r="C32" i="7"/>
  <c r="B32" i="7"/>
  <c r="H31" i="7"/>
  <c r="G31" i="7"/>
  <c r="F31" i="7"/>
  <c r="E31" i="7"/>
  <c r="D31" i="7"/>
  <c r="C31" i="7"/>
  <c r="B31" i="7"/>
  <c r="H30" i="7"/>
  <c r="G30" i="7"/>
  <c r="F30" i="7"/>
  <c r="E30" i="7"/>
  <c r="D30" i="7"/>
  <c r="C30" i="7"/>
  <c r="B30" i="7"/>
  <c r="H29" i="7"/>
  <c r="G29" i="7"/>
  <c r="F29" i="7"/>
  <c r="E29" i="7"/>
  <c r="D29" i="7"/>
  <c r="C29" i="7"/>
  <c r="B29" i="7"/>
  <c r="H28" i="7"/>
  <c r="G28" i="7"/>
  <c r="F28" i="7"/>
  <c r="E28" i="7"/>
  <c r="D28" i="7"/>
  <c r="C28" i="7"/>
  <c r="B28" i="7"/>
  <c r="H27" i="7"/>
  <c r="G27" i="7"/>
  <c r="F27" i="7"/>
  <c r="E27" i="7"/>
  <c r="D27" i="7"/>
  <c r="C27" i="7"/>
  <c r="B27" i="7"/>
  <c r="H26" i="7"/>
  <c r="G26" i="7"/>
  <c r="F26" i="7"/>
  <c r="E26" i="7"/>
  <c r="D26" i="7"/>
  <c r="C26" i="7"/>
  <c r="B26" i="7"/>
  <c r="H25" i="7"/>
  <c r="G25" i="7"/>
  <c r="F25" i="7"/>
  <c r="E25" i="7"/>
  <c r="D25" i="7"/>
  <c r="C25" i="7"/>
  <c r="B25" i="7"/>
  <c r="H24" i="7"/>
  <c r="G24" i="7"/>
  <c r="F24" i="7"/>
  <c r="E24" i="7"/>
  <c r="D24" i="7"/>
  <c r="C24" i="7"/>
  <c r="B24" i="7"/>
  <c r="H23" i="7"/>
  <c r="G23" i="7"/>
  <c r="F23" i="7"/>
  <c r="E23" i="7"/>
  <c r="D23" i="7"/>
  <c r="C23" i="7"/>
  <c r="B23" i="7"/>
  <c r="H22" i="7"/>
  <c r="G22" i="7"/>
  <c r="F22" i="7"/>
  <c r="E22" i="7"/>
  <c r="D22" i="7"/>
  <c r="C22" i="7"/>
  <c r="B22" i="7"/>
  <c r="H21" i="7"/>
  <c r="G21" i="7"/>
  <c r="F21" i="7"/>
  <c r="E21" i="7"/>
  <c r="D21" i="7"/>
  <c r="C21" i="7"/>
  <c r="C34" i="7" s="1"/>
  <c r="C8" i="7" s="1"/>
  <c r="B21" i="7"/>
  <c r="B34" i="7" s="1"/>
  <c r="B8" i="7" s="1"/>
  <c r="B7" i="7" s="1"/>
  <c r="R20" i="7"/>
  <c r="R37" i="7" s="1"/>
  <c r="Q20" i="7"/>
  <c r="Q37" i="7" s="1"/>
  <c r="P20" i="7"/>
  <c r="P37" i="7" s="1"/>
  <c r="O20" i="7"/>
  <c r="O37" i="7" s="1"/>
  <c r="N20" i="7"/>
  <c r="N37" i="7" s="1"/>
  <c r="M20" i="7"/>
  <c r="M37" i="7" s="1"/>
  <c r="L20" i="7"/>
  <c r="L37" i="7" s="1"/>
  <c r="K20" i="7"/>
  <c r="K37" i="7" s="1"/>
  <c r="J20" i="7"/>
  <c r="J37" i="7" s="1"/>
  <c r="I20" i="7"/>
  <c r="I37" i="7" s="1"/>
  <c r="H20" i="7"/>
  <c r="G20" i="7"/>
  <c r="F20" i="7"/>
  <c r="E20" i="7"/>
  <c r="D20" i="7"/>
  <c r="C20" i="7"/>
  <c r="B20" i="7"/>
  <c r="B37" i="7" s="1"/>
  <c r="I18" i="7"/>
  <c r="I6" i="7" s="1"/>
  <c r="H18" i="7"/>
  <c r="L16" i="7"/>
  <c r="M16" i="7" s="1"/>
  <c r="N16" i="7" s="1"/>
  <c r="O16" i="7" s="1"/>
  <c r="P16" i="7" s="1"/>
  <c r="Q16" i="7" s="1"/>
  <c r="R16" i="7" s="1"/>
  <c r="S16" i="7" s="1"/>
  <c r="T16" i="7" s="1"/>
  <c r="U16" i="7" s="1"/>
  <c r="V16" i="7" s="1"/>
  <c r="W16" i="7" s="1"/>
  <c r="X16" i="7" s="1"/>
  <c r="K16" i="7"/>
  <c r="J16" i="7"/>
  <c r="R14" i="7"/>
  <c r="B11" i="7"/>
  <c r="B9" i="7" s="1"/>
  <c r="B17" i="7" s="1"/>
  <c r="G10" i="7"/>
  <c r="F10" i="7"/>
  <c r="E10" i="7"/>
  <c r="D10" i="7"/>
  <c r="C10" i="7"/>
  <c r="B10" i="7"/>
  <c r="H6" i="7"/>
  <c r="G6" i="7"/>
  <c r="F6" i="7"/>
  <c r="E6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L131" i="6"/>
  <c r="I131" i="6"/>
  <c r="G131" i="6"/>
  <c r="F131" i="6"/>
  <c r="E131" i="6"/>
  <c r="D131" i="6"/>
  <c r="B131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U126" i="6"/>
  <c r="T126" i="6"/>
  <c r="S126" i="6"/>
  <c r="R126" i="6"/>
  <c r="Q126" i="6"/>
  <c r="P126" i="6"/>
  <c r="O126" i="6"/>
  <c r="N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U119" i="6"/>
  <c r="U131" i="6" s="1"/>
  <c r="T119" i="6"/>
  <c r="T131" i="6" s="1"/>
  <c r="S119" i="6"/>
  <c r="S131" i="6" s="1"/>
  <c r="R119" i="6"/>
  <c r="R131" i="6" s="1"/>
  <c r="Q119" i="6"/>
  <c r="Q131" i="6" s="1"/>
  <c r="P119" i="6"/>
  <c r="P131" i="6" s="1"/>
  <c r="O119" i="6"/>
  <c r="O131" i="6" s="1"/>
  <c r="N119" i="6"/>
  <c r="N131" i="6" s="1"/>
  <c r="M119" i="6"/>
  <c r="M131" i="6" s="1"/>
  <c r="L119" i="6"/>
  <c r="K119" i="6"/>
  <c r="K131" i="6" s="1"/>
  <c r="J119" i="6"/>
  <c r="J131" i="6" s="1"/>
  <c r="I119" i="6"/>
  <c r="H119" i="6"/>
  <c r="H131" i="6" s="1"/>
  <c r="G119" i="6"/>
  <c r="F119" i="6"/>
  <c r="E119" i="6"/>
  <c r="D119" i="6"/>
  <c r="C119" i="6"/>
  <c r="C131" i="6" s="1"/>
  <c r="B119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U99" i="6"/>
  <c r="I99" i="6"/>
  <c r="H99" i="6"/>
  <c r="G99" i="6"/>
  <c r="F99" i="6"/>
  <c r="E99" i="6"/>
  <c r="D99" i="6"/>
  <c r="C99" i="6"/>
  <c r="B99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U68" i="6"/>
  <c r="J68" i="6"/>
  <c r="I68" i="6"/>
  <c r="H68" i="6"/>
  <c r="H8" i="6" s="1"/>
  <c r="G68" i="6"/>
  <c r="G8" i="6" s="1"/>
  <c r="F68" i="6"/>
  <c r="F8" i="6" s="1"/>
  <c r="F10" i="6" s="1"/>
  <c r="E68" i="6"/>
  <c r="E8" i="6" s="1"/>
  <c r="D68" i="6"/>
  <c r="D8" i="6" s="1"/>
  <c r="D10" i="6" s="1"/>
  <c r="C68" i="6"/>
  <c r="C8" i="6" s="1"/>
  <c r="B68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B6" i="6" s="1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U36" i="6"/>
  <c r="U5" i="6" s="1"/>
  <c r="T36" i="6"/>
  <c r="T5" i="6" s="1"/>
  <c r="S36" i="6"/>
  <c r="S5" i="6" s="1"/>
  <c r="R36" i="6"/>
  <c r="R5" i="6" s="1"/>
  <c r="Q36" i="6"/>
  <c r="Q5" i="6" s="1"/>
  <c r="P36" i="6"/>
  <c r="O36" i="6"/>
  <c r="N36" i="6"/>
  <c r="M36" i="6"/>
  <c r="L36" i="6"/>
  <c r="L5" i="6" s="1"/>
  <c r="K36" i="6"/>
  <c r="K5" i="6" s="1"/>
  <c r="J36" i="6"/>
  <c r="J5" i="6" s="1"/>
  <c r="I36" i="6"/>
  <c r="H36" i="6"/>
  <c r="G36" i="6"/>
  <c r="F36" i="6"/>
  <c r="E36" i="6"/>
  <c r="E5" i="6" s="1"/>
  <c r="D36" i="6"/>
  <c r="D5" i="6" s="1"/>
  <c r="C36" i="6"/>
  <c r="C5" i="6" s="1"/>
  <c r="B36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U13" i="6"/>
  <c r="J13" i="6"/>
  <c r="I13" i="6"/>
  <c r="H13" i="6"/>
  <c r="G13" i="6"/>
  <c r="J11" i="6"/>
  <c r="I11" i="6"/>
  <c r="H11" i="6"/>
  <c r="G11" i="6"/>
  <c r="F11" i="6"/>
  <c r="F13" i="6" s="1"/>
  <c r="E11" i="6"/>
  <c r="E13" i="6" s="1"/>
  <c r="D11" i="6"/>
  <c r="C11" i="6"/>
  <c r="B11" i="6"/>
  <c r="B13" i="6" s="1"/>
  <c r="J10" i="6"/>
  <c r="I10" i="6"/>
  <c r="H10" i="6"/>
  <c r="G10" i="6"/>
  <c r="E10" i="6"/>
  <c r="J8" i="6"/>
  <c r="J99" i="6" s="1"/>
  <c r="I8" i="6"/>
  <c r="B8" i="6"/>
  <c r="B10" i="6" s="1"/>
  <c r="K7" i="6"/>
  <c r="J7" i="6"/>
  <c r="C7" i="6"/>
  <c r="J6" i="6"/>
  <c r="I6" i="6"/>
  <c r="H6" i="6"/>
  <c r="G6" i="6"/>
  <c r="F6" i="6"/>
  <c r="E6" i="6"/>
  <c r="D6" i="6"/>
  <c r="C6" i="6"/>
  <c r="P5" i="6"/>
  <c r="O5" i="6"/>
  <c r="N5" i="6"/>
  <c r="M5" i="6"/>
  <c r="I5" i="6"/>
  <c r="H5" i="6"/>
  <c r="G5" i="6"/>
  <c r="F5" i="6"/>
  <c r="B5" i="6"/>
  <c r="B7" i="6" s="1"/>
  <c r="K4" i="6"/>
  <c r="J4" i="6"/>
  <c r="I4" i="6"/>
  <c r="I7" i="6" s="1"/>
  <c r="H4" i="6"/>
  <c r="H7" i="6" s="1"/>
  <c r="C4" i="6"/>
  <c r="B4" i="6"/>
  <c r="R115" i="5"/>
  <c r="Q115" i="5"/>
  <c r="P115" i="5"/>
  <c r="N115" i="5"/>
  <c r="M115" i="5"/>
  <c r="L115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H114" i="5"/>
  <c r="G114" i="5"/>
  <c r="U113" i="5"/>
  <c r="T113" i="5"/>
  <c r="S113" i="5"/>
  <c r="R113" i="5"/>
  <c r="Q113" i="5"/>
  <c r="P113" i="5"/>
  <c r="O113" i="5"/>
  <c r="N113" i="5"/>
  <c r="M113" i="5"/>
  <c r="L113" i="5"/>
  <c r="J113" i="5"/>
  <c r="G113" i="5"/>
  <c r="F113" i="5"/>
  <c r="E113" i="5"/>
  <c r="U112" i="5"/>
  <c r="T112" i="5"/>
  <c r="S112" i="5"/>
  <c r="R112" i="5"/>
  <c r="Q112" i="5"/>
  <c r="P112" i="5"/>
  <c r="O112" i="5"/>
  <c r="N112" i="5"/>
  <c r="M112" i="5"/>
  <c r="L112" i="5"/>
  <c r="I112" i="5"/>
  <c r="H112" i="5"/>
  <c r="F112" i="5"/>
  <c r="E112" i="5"/>
  <c r="U111" i="5"/>
  <c r="T111" i="5"/>
  <c r="S111" i="5"/>
  <c r="R111" i="5"/>
  <c r="Q111" i="5"/>
  <c r="P111" i="5"/>
  <c r="O111" i="5"/>
  <c r="N111" i="5"/>
  <c r="M111" i="5"/>
  <c r="L111" i="5"/>
  <c r="G111" i="5"/>
  <c r="U110" i="5"/>
  <c r="T110" i="5"/>
  <c r="S110" i="5"/>
  <c r="R110" i="5"/>
  <c r="Q110" i="5"/>
  <c r="P110" i="5"/>
  <c r="O110" i="5"/>
  <c r="N110" i="5"/>
  <c r="M110" i="5"/>
  <c r="L110" i="5"/>
  <c r="U109" i="5"/>
  <c r="T109" i="5"/>
  <c r="S109" i="5"/>
  <c r="R109" i="5"/>
  <c r="Q109" i="5"/>
  <c r="P109" i="5"/>
  <c r="O109" i="5"/>
  <c r="N109" i="5"/>
  <c r="M109" i="5"/>
  <c r="L109" i="5"/>
  <c r="U108" i="5"/>
  <c r="T108" i="5"/>
  <c r="S108" i="5"/>
  <c r="R108" i="5"/>
  <c r="Q108" i="5"/>
  <c r="P108" i="5"/>
  <c r="O108" i="5"/>
  <c r="N108" i="5"/>
  <c r="M108" i="5"/>
  <c r="L108" i="5"/>
  <c r="E108" i="5"/>
  <c r="D108" i="5"/>
  <c r="C108" i="5"/>
  <c r="B108" i="5"/>
  <c r="U107" i="5"/>
  <c r="T107" i="5"/>
  <c r="S107" i="5"/>
  <c r="R107" i="5"/>
  <c r="Q107" i="5"/>
  <c r="P107" i="5"/>
  <c r="O107" i="5"/>
  <c r="N107" i="5"/>
  <c r="M107" i="5"/>
  <c r="L107" i="5"/>
  <c r="G107" i="5"/>
  <c r="B107" i="5"/>
  <c r="U106" i="5"/>
  <c r="T106" i="5"/>
  <c r="S106" i="5"/>
  <c r="R106" i="5"/>
  <c r="Q106" i="5"/>
  <c r="P106" i="5"/>
  <c r="O106" i="5"/>
  <c r="N106" i="5"/>
  <c r="M106" i="5"/>
  <c r="L106" i="5"/>
  <c r="U105" i="5"/>
  <c r="T105" i="5"/>
  <c r="S105" i="5"/>
  <c r="R105" i="5"/>
  <c r="Q105" i="5"/>
  <c r="P105" i="5"/>
  <c r="O105" i="5"/>
  <c r="N105" i="5"/>
  <c r="M105" i="5"/>
  <c r="L105" i="5"/>
  <c r="U104" i="5"/>
  <c r="T104" i="5"/>
  <c r="S104" i="5"/>
  <c r="R104" i="5"/>
  <c r="Q104" i="5"/>
  <c r="P104" i="5"/>
  <c r="O104" i="5"/>
  <c r="N104" i="5"/>
  <c r="M104" i="5"/>
  <c r="L104" i="5"/>
  <c r="J104" i="5"/>
  <c r="I104" i="5"/>
  <c r="C104" i="5"/>
  <c r="U103" i="5"/>
  <c r="T103" i="5"/>
  <c r="S103" i="5"/>
  <c r="R103" i="5"/>
  <c r="Q103" i="5"/>
  <c r="P103" i="5"/>
  <c r="O103" i="5"/>
  <c r="N103" i="5"/>
  <c r="M103" i="5"/>
  <c r="L103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J100" i="5"/>
  <c r="I100" i="5"/>
  <c r="H100" i="5"/>
  <c r="G100" i="5"/>
  <c r="F100" i="5"/>
  <c r="E100" i="5"/>
  <c r="D100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B68" i="5"/>
  <c r="K67" i="5"/>
  <c r="J67" i="5"/>
  <c r="I67" i="5"/>
  <c r="H67" i="5"/>
  <c r="G67" i="5"/>
  <c r="F67" i="5"/>
  <c r="E67" i="5"/>
  <c r="D67" i="5"/>
  <c r="C67" i="5"/>
  <c r="K66" i="5"/>
  <c r="J66" i="5"/>
  <c r="I66" i="5"/>
  <c r="H66" i="5"/>
  <c r="G66" i="5"/>
  <c r="F66" i="5"/>
  <c r="E66" i="5"/>
  <c r="D66" i="5"/>
  <c r="C66" i="5"/>
  <c r="K65" i="5"/>
  <c r="J65" i="5"/>
  <c r="I65" i="5"/>
  <c r="H65" i="5"/>
  <c r="G65" i="5"/>
  <c r="F65" i="5"/>
  <c r="E65" i="5"/>
  <c r="D65" i="5"/>
  <c r="C65" i="5"/>
  <c r="K64" i="5"/>
  <c r="J64" i="5"/>
  <c r="I64" i="5"/>
  <c r="H64" i="5"/>
  <c r="G64" i="5"/>
  <c r="F64" i="5"/>
  <c r="E64" i="5"/>
  <c r="D64" i="5"/>
  <c r="C64" i="5"/>
  <c r="K63" i="5"/>
  <c r="J63" i="5"/>
  <c r="I63" i="5"/>
  <c r="H63" i="5"/>
  <c r="G63" i="5"/>
  <c r="F63" i="5"/>
  <c r="E63" i="5"/>
  <c r="D63" i="5"/>
  <c r="C63" i="5"/>
  <c r="K62" i="5"/>
  <c r="J62" i="5"/>
  <c r="I62" i="5"/>
  <c r="H62" i="5"/>
  <c r="G62" i="5"/>
  <c r="F62" i="5"/>
  <c r="E62" i="5"/>
  <c r="D62" i="5"/>
  <c r="C62" i="5"/>
  <c r="K61" i="5"/>
  <c r="J61" i="5"/>
  <c r="I61" i="5"/>
  <c r="H61" i="5"/>
  <c r="G61" i="5"/>
  <c r="F61" i="5"/>
  <c r="E61" i="5"/>
  <c r="D61" i="5"/>
  <c r="C61" i="5"/>
  <c r="K60" i="5"/>
  <c r="J60" i="5"/>
  <c r="I60" i="5"/>
  <c r="H60" i="5"/>
  <c r="G60" i="5"/>
  <c r="F60" i="5"/>
  <c r="E60" i="5"/>
  <c r="D60" i="5"/>
  <c r="C60" i="5"/>
  <c r="K59" i="5"/>
  <c r="J59" i="5"/>
  <c r="I59" i="5"/>
  <c r="H59" i="5"/>
  <c r="G59" i="5"/>
  <c r="F59" i="5"/>
  <c r="E59" i="5"/>
  <c r="D59" i="5"/>
  <c r="C59" i="5"/>
  <c r="K58" i="5"/>
  <c r="J58" i="5"/>
  <c r="I58" i="5"/>
  <c r="H58" i="5"/>
  <c r="G58" i="5"/>
  <c r="F58" i="5"/>
  <c r="E58" i="5"/>
  <c r="E68" i="5" s="1"/>
  <c r="D58" i="5"/>
  <c r="D68" i="5" s="1"/>
  <c r="C58" i="5"/>
  <c r="K57" i="5"/>
  <c r="J57" i="5"/>
  <c r="I57" i="5"/>
  <c r="H57" i="5"/>
  <c r="G57" i="5"/>
  <c r="F57" i="5"/>
  <c r="E57" i="5"/>
  <c r="D57" i="5"/>
  <c r="C57" i="5"/>
  <c r="K56" i="5"/>
  <c r="J56" i="5"/>
  <c r="I56" i="5"/>
  <c r="H56" i="5"/>
  <c r="H68" i="5" s="1"/>
  <c r="G56" i="5"/>
  <c r="F56" i="5"/>
  <c r="E56" i="5"/>
  <c r="D56" i="5"/>
  <c r="C56" i="5"/>
  <c r="C68" i="5" s="1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U52" i="5"/>
  <c r="T52" i="5"/>
  <c r="S52" i="5"/>
  <c r="R52" i="5"/>
  <c r="Q52" i="5"/>
  <c r="P52" i="5"/>
  <c r="O52" i="5"/>
  <c r="N52" i="5"/>
  <c r="M52" i="5"/>
  <c r="L52" i="5"/>
  <c r="K51" i="5"/>
  <c r="J51" i="5"/>
  <c r="I51" i="5"/>
  <c r="H51" i="5"/>
  <c r="G51" i="5"/>
  <c r="F51" i="5"/>
  <c r="E51" i="5"/>
  <c r="D51" i="5"/>
  <c r="C51" i="5"/>
  <c r="K50" i="5"/>
  <c r="J50" i="5"/>
  <c r="I50" i="5"/>
  <c r="H50" i="5"/>
  <c r="G50" i="5"/>
  <c r="F50" i="5"/>
  <c r="E50" i="5"/>
  <c r="D50" i="5"/>
  <c r="C50" i="5"/>
  <c r="K49" i="5"/>
  <c r="J49" i="5"/>
  <c r="I49" i="5"/>
  <c r="H49" i="5"/>
  <c r="G49" i="5"/>
  <c r="F49" i="5"/>
  <c r="E49" i="5"/>
  <c r="D49" i="5"/>
  <c r="C49" i="5"/>
  <c r="K48" i="5"/>
  <c r="J48" i="5"/>
  <c r="I48" i="5"/>
  <c r="H48" i="5"/>
  <c r="G48" i="5"/>
  <c r="F48" i="5"/>
  <c r="E48" i="5"/>
  <c r="D48" i="5"/>
  <c r="C48" i="5"/>
  <c r="K47" i="5"/>
  <c r="J47" i="5"/>
  <c r="I47" i="5"/>
  <c r="H47" i="5"/>
  <c r="G47" i="5"/>
  <c r="F47" i="5"/>
  <c r="E47" i="5"/>
  <c r="D47" i="5"/>
  <c r="C47" i="5"/>
  <c r="K46" i="5"/>
  <c r="J46" i="5"/>
  <c r="I46" i="5"/>
  <c r="H46" i="5"/>
  <c r="G46" i="5"/>
  <c r="F46" i="5"/>
  <c r="E46" i="5"/>
  <c r="D46" i="5"/>
  <c r="C46" i="5"/>
  <c r="K45" i="5"/>
  <c r="J45" i="5"/>
  <c r="I45" i="5"/>
  <c r="H45" i="5"/>
  <c r="G45" i="5"/>
  <c r="F45" i="5"/>
  <c r="E45" i="5"/>
  <c r="D45" i="5"/>
  <c r="C45" i="5"/>
  <c r="K44" i="5"/>
  <c r="J44" i="5"/>
  <c r="I44" i="5"/>
  <c r="H44" i="5"/>
  <c r="G44" i="5"/>
  <c r="F44" i="5"/>
  <c r="E44" i="5"/>
  <c r="D44" i="5"/>
  <c r="C44" i="5"/>
  <c r="K43" i="5"/>
  <c r="J43" i="5"/>
  <c r="I43" i="5"/>
  <c r="H43" i="5"/>
  <c r="G43" i="5"/>
  <c r="F43" i="5"/>
  <c r="E43" i="5"/>
  <c r="D43" i="5"/>
  <c r="C43" i="5"/>
  <c r="K42" i="5"/>
  <c r="J42" i="5"/>
  <c r="I42" i="5"/>
  <c r="H42" i="5"/>
  <c r="H52" i="5" s="1"/>
  <c r="G42" i="5"/>
  <c r="G52" i="5" s="1"/>
  <c r="F42" i="5"/>
  <c r="E42" i="5"/>
  <c r="D42" i="5"/>
  <c r="C42" i="5"/>
  <c r="K41" i="5"/>
  <c r="J41" i="5"/>
  <c r="I41" i="5"/>
  <c r="H41" i="5"/>
  <c r="G41" i="5"/>
  <c r="F41" i="5"/>
  <c r="E41" i="5"/>
  <c r="D41" i="5"/>
  <c r="C41" i="5"/>
  <c r="K40" i="5"/>
  <c r="J40" i="5"/>
  <c r="J52" i="5" s="1"/>
  <c r="J6" i="5" s="1"/>
  <c r="I40" i="5"/>
  <c r="H40" i="5"/>
  <c r="G40" i="5"/>
  <c r="F40" i="5"/>
  <c r="F52" i="5" s="1"/>
  <c r="E40" i="5"/>
  <c r="D40" i="5"/>
  <c r="C40" i="5"/>
  <c r="C52" i="5" s="1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U36" i="5"/>
  <c r="U115" i="5" s="1"/>
  <c r="T36" i="5"/>
  <c r="S36" i="5"/>
  <c r="S115" i="5" s="1"/>
  <c r="R36" i="5"/>
  <c r="R5" i="5" s="1"/>
  <c r="Q36" i="5"/>
  <c r="Q5" i="5" s="1"/>
  <c r="P36" i="5"/>
  <c r="O36" i="5"/>
  <c r="O115" i="5" s="1"/>
  <c r="N36" i="5"/>
  <c r="M36" i="5"/>
  <c r="L36" i="5"/>
  <c r="K35" i="5"/>
  <c r="H35" i="5"/>
  <c r="G35" i="5"/>
  <c r="F35" i="5"/>
  <c r="F114" i="5" s="1"/>
  <c r="D35" i="5"/>
  <c r="D114" i="5" s="1"/>
  <c r="C35" i="5"/>
  <c r="C114" i="5" s="1"/>
  <c r="B35" i="5"/>
  <c r="B114" i="5" s="1"/>
  <c r="J34" i="5"/>
  <c r="E34" i="5"/>
  <c r="I33" i="5"/>
  <c r="F33" i="5"/>
  <c r="E33" i="5"/>
  <c r="B33" i="5"/>
  <c r="B112" i="5" s="1"/>
  <c r="K32" i="5"/>
  <c r="K111" i="5" s="1"/>
  <c r="G32" i="5"/>
  <c r="F32" i="5"/>
  <c r="F111" i="5" s="1"/>
  <c r="I30" i="5"/>
  <c r="I109" i="5" s="1"/>
  <c r="H30" i="5"/>
  <c r="H109" i="5" s="1"/>
  <c r="G30" i="5"/>
  <c r="G109" i="5" s="1"/>
  <c r="F30" i="5"/>
  <c r="F109" i="5" s="1"/>
  <c r="E30" i="5"/>
  <c r="E109" i="5" s="1"/>
  <c r="D30" i="5"/>
  <c r="D109" i="5" s="1"/>
  <c r="K29" i="5"/>
  <c r="K108" i="5" s="1"/>
  <c r="J29" i="5"/>
  <c r="J108" i="5" s="1"/>
  <c r="K28" i="5"/>
  <c r="K107" i="5" s="1"/>
  <c r="I28" i="5"/>
  <c r="I107" i="5" s="1"/>
  <c r="G28" i="5"/>
  <c r="C28" i="5"/>
  <c r="C107" i="5" s="1"/>
  <c r="B28" i="5"/>
  <c r="J27" i="5"/>
  <c r="J106" i="5" s="1"/>
  <c r="I27" i="5"/>
  <c r="I106" i="5" s="1"/>
  <c r="H27" i="5"/>
  <c r="H106" i="5" s="1"/>
  <c r="G27" i="5"/>
  <c r="G106" i="5" s="1"/>
  <c r="C27" i="5"/>
  <c r="C106" i="5" s="1"/>
  <c r="J26" i="5"/>
  <c r="J105" i="5" s="1"/>
  <c r="J25" i="5"/>
  <c r="F25" i="5"/>
  <c r="F104" i="5" s="1"/>
  <c r="E25" i="5"/>
  <c r="E104" i="5" s="1"/>
  <c r="D25" i="5"/>
  <c r="D104" i="5" s="1"/>
  <c r="K24" i="5"/>
  <c r="H24" i="5"/>
  <c r="G24" i="5"/>
  <c r="F24" i="5"/>
  <c r="E24" i="5"/>
  <c r="D24" i="5"/>
  <c r="D103" i="5" s="1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G13" i="5"/>
  <c r="D13" i="5"/>
  <c r="C13" i="5"/>
  <c r="B13" i="5"/>
  <c r="J11" i="5"/>
  <c r="I10" i="5"/>
  <c r="H10" i="5"/>
  <c r="G10" i="5"/>
  <c r="F10" i="5"/>
  <c r="E10" i="5"/>
  <c r="C10" i="5"/>
  <c r="B10" i="5"/>
  <c r="I9" i="5"/>
  <c r="H9" i="5"/>
  <c r="G9" i="5"/>
  <c r="F9" i="5"/>
  <c r="E9" i="5"/>
  <c r="D9" i="5"/>
  <c r="D10" i="5" s="1"/>
  <c r="C9" i="5"/>
  <c r="B9" i="5"/>
  <c r="I8" i="5"/>
  <c r="I13" i="5" s="1"/>
  <c r="H8" i="5"/>
  <c r="H13" i="5" s="1"/>
  <c r="G8" i="5"/>
  <c r="F8" i="5"/>
  <c r="F13" i="5" s="1"/>
  <c r="E8" i="5"/>
  <c r="E13" i="5" s="1"/>
  <c r="D8" i="5"/>
  <c r="C8" i="5"/>
  <c r="B8" i="5"/>
  <c r="H7" i="5"/>
  <c r="G7" i="5"/>
  <c r="F7" i="5"/>
  <c r="I6" i="5"/>
  <c r="H6" i="5"/>
  <c r="G6" i="5"/>
  <c r="F6" i="5"/>
  <c r="E6" i="5"/>
  <c r="D6" i="5"/>
  <c r="C6" i="5"/>
  <c r="B6" i="5"/>
  <c r="U5" i="5"/>
  <c r="S5" i="5"/>
  <c r="P5" i="5"/>
  <c r="O5" i="5"/>
  <c r="N5" i="5"/>
  <c r="M5" i="5"/>
  <c r="L5" i="5"/>
  <c r="I5" i="5"/>
  <c r="H5" i="5"/>
  <c r="G5" i="5"/>
  <c r="F5" i="5"/>
  <c r="E5" i="5"/>
  <c r="E7" i="5" s="1"/>
  <c r="D5" i="5"/>
  <c r="D7" i="5" s="1"/>
  <c r="C5" i="5"/>
  <c r="C7" i="5" s="1"/>
  <c r="B5" i="5"/>
  <c r="K4" i="5"/>
  <c r="AD131" i="4"/>
  <c r="AA131" i="4"/>
  <c r="R131" i="4"/>
  <c r="Q131" i="4"/>
  <c r="P131" i="4"/>
  <c r="O131" i="4"/>
  <c r="AD130" i="4"/>
  <c r="H78" i="9" s="1"/>
  <c r="AA130" i="4"/>
  <c r="H30" i="9" s="1"/>
  <c r="R130" i="4"/>
  <c r="Q130" i="4"/>
  <c r="P130" i="4"/>
  <c r="O130" i="4"/>
  <c r="AD129" i="4"/>
  <c r="H77" i="9" s="1"/>
  <c r="AA129" i="4"/>
  <c r="H29" i="9" s="1"/>
  <c r="R129" i="4"/>
  <c r="Q129" i="4"/>
  <c r="P129" i="4"/>
  <c r="K34" i="5" s="1"/>
  <c r="K113" i="5" s="1"/>
  <c r="O129" i="4"/>
  <c r="AD128" i="4"/>
  <c r="H76" i="9" s="1"/>
  <c r="AA128" i="4"/>
  <c r="H28" i="9" s="1"/>
  <c r="R128" i="4"/>
  <c r="Q128" i="4"/>
  <c r="P128" i="4"/>
  <c r="K33" i="5" s="1"/>
  <c r="K112" i="5" s="1"/>
  <c r="O128" i="4"/>
  <c r="AD127" i="4"/>
  <c r="H75" i="9" s="1"/>
  <c r="AA127" i="4"/>
  <c r="R127" i="4"/>
  <c r="Q127" i="4"/>
  <c r="P127" i="4"/>
  <c r="O127" i="4"/>
  <c r="AD126" i="4"/>
  <c r="AA126" i="4"/>
  <c r="H26" i="9" s="1"/>
  <c r="R126" i="4"/>
  <c r="Q126" i="4"/>
  <c r="P126" i="4"/>
  <c r="K31" i="5" s="1"/>
  <c r="K110" i="5" s="1"/>
  <c r="O126" i="4"/>
  <c r="AD125" i="4"/>
  <c r="H73" i="9" s="1"/>
  <c r="AA125" i="4"/>
  <c r="H25" i="9" s="1"/>
  <c r="R125" i="4"/>
  <c r="Q125" i="4"/>
  <c r="P125" i="4"/>
  <c r="K30" i="5" s="1"/>
  <c r="K109" i="5" s="1"/>
  <c r="O125" i="4"/>
  <c r="AD124" i="4"/>
  <c r="H72" i="9" s="1"/>
  <c r="AA124" i="4"/>
  <c r="H24" i="9" s="1"/>
  <c r="R124" i="4"/>
  <c r="Q124" i="4"/>
  <c r="P124" i="4"/>
  <c r="O124" i="4"/>
  <c r="AD123" i="4"/>
  <c r="H71" i="9" s="1"/>
  <c r="AA123" i="4"/>
  <c r="H23" i="9" s="1"/>
  <c r="R123" i="4"/>
  <c r="Q123" i="4"/>
  <c r="P123" i="4"/>
  <c r="O123" i="4"/>
  <c r="AD122" i="4"/>
  <c r="H70" i="9" s="1"/>
  <c r="AA122" i="4"/>
  <c r="H22" i="9" s="1"/>
  <c r="R122" i="4"/>
  <c r="Q122" i="4"/>
  <c r="P122" i="4"/>
  <c r="K27" i="5" s="1"/>
  <c r="K106" i="5" s="1"/>
  <c r="O122" i="4"/>
  <c r="AD121" i="4"/>
  <c r="H69" i="9" s="1"/>
  <c r="AA121" i="4"/>
  <c r="H21" i="9" s="1"/>
  <c r="R121" i="4"/>
  <c r="Q121" i="4"/>
  <c r="P121" i="4"/>
  <c r="K26" i="5" s="1"/>
  <c r="K105" i="5" s="1"/>
  <c r="O121" i="4"/>
  <c r="AD120" i="4"/>
  <c r="H68" i="9" s="1"/>
  <c r="AA120" i="4"/>
  <c r="H20" i="9" s="1"/>
  <c r="R120" i="4"/>
  <c r="Q120" i="4"/>
  <c r="P120" i="4"/>
  <c r="K25" i="5" s="1"/>
  <c r="K104" i="5" s="1"/>
  <c r="O120" i="4"/>
  <c r="AD119" i="4"/>
  <c r="H67" i="9" s="1"/>
  <c r="H79" i="9" s="1"/>
  <c r="H8" i="9" s="1"/>
  <c r="AA119" i="4"/>
  <c r="H19" i="9" s="1"/>
  <c r="H31" i="9" s="1"/>
  <c r="H5" i="9" s="1"/>
  <c r="I5" i="9" s="1"/>
  <c r="R119" i="4"/>
  <c r="Q119" i="4"/>
  <c r="P119" i="4"/>
  <c r="O119" i="4"/>
  <c r="AD118" i="4"/>
  <c r="G78" i="9" s="1"/>
  <c r="AA118" i="4"/>
  <c r="G30" i="9" s="1"/>
  <c r="R118" i="4"/>
  <c r="Q118" i="4"/>
  <c r="P118" i="4"/>
  <c r="J35" i="5" s="1"/>
  <c r="O118" i="4"/>
  <c r="AD117" i="4"/>
  <c r="G77" i="9" s="1"/>
  <c r="AA117" i="4"/>
  <c r="G29" i="9" s="1"/>
  <c r="R117" i="4"/>
  <c r="Q117" i="4"/>
  <c r="P117" i="4"/>
  <c r="O117" i="4"/>
  <c r="AD116" i="4"/>
  <c r="G76" i="9" s="1"/>
  <c r="AA116" i="4"/>
  <c r="G28" i="9" s="1"/>
  <c r="R116" i="4"/>
  <c r="Q116" i="4"/>
  <c r="P116" i="4"/>
  <c r="J33" i="5" s="1"/>
  <c r="J112" i="5" s="1"/>
  <c r="O116" i="4"/>
  <c r="AD115" i="4"/>
  <c r="G75" i="9" s="1"/>
  <c r="AA115" i="4"/>
  <c r="G27" i="9" s="1"/>
  <c r="R115" i="4"/>
  <c r="Q115" i="4"/>
  <c r="P115" i="4"/>
  <c r="J32" i="5" s="1"/>
  <c r="J111" i="5" s="1"/>
  <c r="O115" i="4"/>
  <c r="AD114" i="4"/>
  <c r="G74" i="9" s="1"/>
  <c r="AA114" i="4"/>
  <c r="G26" i="9" s="1"/>
  <c r="R114" i="4"/>
  <c r="Q114" i="4"/>
  <c r="P114" i="4"/>
  <c r="J31" i="5" s="1"/>
  <c r="J110" i="5" s="1"/>
  <c r="O114" i="4"/>
  <c r="AD113" i="4"/>
  <c r="G73" i="9" s="1"/>
  <c r="AA113" i="4"/>
  <c r="G25" i="9" s="1"/>
  <c r="R113" i="4"/>
  <c r="Q113" i="4"/>
  <c r="P113" i="4"/>
  <c r="J30" i="5" s="1"/>
  <c r="J109" i="5" s="1"/>
  <c r="O113" i="4"/>
  <c r="AD112" i="4"/>
  <c r="G72" i="9" s="1"/>
  <c r="AA112" i="4"/>
  <c r="G24" i="9" s="1"/>
  <c r="R112" i="4"/>
  <c r="Q112" i="4"/>
  <c r="P112" i="4"/>
  <c r="O112" i="4"/>
  <c r="AD111" i="4"/>
  <c r="AA111" i="4"/>
  <c r="G23" i="9" s="1"/>
  <c r="R111" i="4"/>
  <c r="Q111" i="4"/>
  <c r="P111" i="4"/>
  <c r="J28" i="5" s="1"/>
  <c r="J107" i="5" s="1"/>
  <c r="O111" i="4"/>
  <c r="AD110" i="4"/>
  <c r="G70" i="9" s="1"/>
  <c r="AA110" i="4"/>
  <c r="G22" i="9" s="1"/>
  <c r="R110" i="4"/>
  <c r="Q110" i="4"/>
  <c r="P110" i="4"/>
  <c r="O110" i="4"/>
  <c r="AD109" i="4"/>
  <c r="G69" i="9" s="1"/>
  <c r="AA109" i="4"/>
  <c r="G21" i="9" s="1"/>
  <c r="R109" i="4"/>
  <c r="Q109" i="4"/>
  <c r="P109" i="4"/>
  <c r="O109" i="4"/>
  <c r="AD108" i="4"/>
  <c r="G68" i="9" s="1"/>
  <c r="AA108" i="4"/>
  <c r="G20" i="9" s="1"/>
  <c r="R108" i="4"/>
  <c r="Q108" i="4"/>
  <c r="P108" i="4"/>
  <c r="O108" i="4"/>
  <c r="AD107" i="4"/>
  <c r="G67" i="9" s="1"/>
  <c r="AA107" i="4"/>
  <c r="G19" i="9" s="1"/>
  <c r="R107" i="4"/>
  <c r="Q107" i="4"/>
  <c r="P107" i="4"/>
  <c r="J24" i="5" s="1"/>
  <c r="J103" i="5" s="1"/>
  <c r="O107" i="4"/>
  <c r="AD106" i="4"/>
  <c r="F78" i="9" s="1"/>
  <c r="AA106" i="4"/>
  <c r="F30" i="9" s="1"/>
  <c r="R106" i="4"/>
  <c r="Q106" i="4"/>
  <c r="P106" i="4"/>
  <c r="I35" i="5" s="1"/>
  <c r="I114" i="5" s="1"/>
  <c r="O106" i="4"/>
  <c r="AD105" i="4"/>
  <c r="F77" i="9" s="1"/>
  <c r="AA105" i="4"/>
  <c r="F29" i="9" s="1"/>
  <c r="R105" i="4"/>
  <c r="Q105" i="4"/>
  <c r="P105" i="4"/>
  <c r="I34" i="5" s="1"/>
  <c r="I113" i="5" s="1"/>
  <c r="O105" i="4"/>
  <c r="AD104" i="4"/>
  <c r="F76" i="9" s="1"/>
  <c r="AA104" i="4"/>
  <c r="F28" i="9" s="1"/>
  <c r="R104" i="4"/>
  <c r="Q104" i="4"/>
  <c r="P104" i="4"/>
  <c r="O104" i="4"/>
  <c r="AD103" i="4"/>
  <c r="F75" i="9" s="1"/>
  <c r="AA103" i="4"/>
  <c r="F27" i="9" s="1"/>
  <c r="R103" i="4"/>
  <c r="Q103" i="4"/>
  <c r="P103" i="4"/>
  <c r="I32" i="5" s="1"/>
  <c r="I111" i="5" s="1"/>
  <c r="O103" i="4"/>
  <c r="AD102" i="4"/>
  <c r="F74" i="9" s="1"/>
  <c r="AA102" i="4"/>
  <c r="F26" i="9" s="1"/>
  <c r="R102" i="4"/>
  <c r="Q102" i="4"/>
  <c r="P102" i="4"/>
  <c r="I31" i="5" s="1"/>
  <c r="I110" i="5" s="1"/>
  <c r="O102" i="4"/>
  <c r="AD101" i="4"/>
  <c r="F73" i="9" s="1"/>
  <c r="AA101" i="4"/>
  <c r="F25" i="9" s="1"/>
  <c r="R101" i="4"/>
  <c r="Q101" i="4"/>
  <c r="P101" i="4"/>
  <c r="O101" i="4"/>
  <c r="AD100" i="4"/>
  <c r="F72" i="9" s="1"/>
  <c r="AA100" i="4"/>
  <c r="F24" i="9" s="1"/>
  <c r="R100" i="4"/>
  <c r="Q100" i="4"/>
  <c r="P100" i="4"/>
  <c r="I29" i="5" s="1"/>
  <c r="I108" i="5" s="1"/>
  <c r="O100" i="4"/>
  <c r="AD99" i="4"/>
  <c r="F71" i="9" s="1"/>
  <c r="AA99" i="4"/>
  <c r="F23" i="9" s="1"/>
  <c r="R99" i="4"/>
  <c r="Q99" i="4"/>
  <c r="P99" i="4"/>
  <c r="O99" i="4"/>
  <c r="AD98" i="4"/>
  <c r="F70" i="9" s="1"/>
  <c r="AA98" i="4"/>
  <c r="R98" i="4"/>
  <c r="Q98" i="4"/>
  <c r="P98" i="4"/>
  <c r="O98" i="4"/>
  <c r="AD97" i="4"/>
  <c r="F69" i="9" s="1"/>
  <c r="AA97" i="4"/>
  <c r="F21" i="9" s="1"/>
  <c r="R97" i="4"/>
  <c r="Q97" i="4"/>
  <c r="P97" i="4"/>
  <c r="I26" i="5" s="1"/>
  <c r="I105" i="5" s="1"/>
  <c r="O97" i="4"/>
  <c r="AD96" i="4"/>
  <c r="F68" i="9" s="1"/>
  <c r="AA96" i="4"/>
  <c r="F20" i="9" s="1"/>
  <c r="R96" i="4"/>
  <c r="Q96" i="4"/>
  <c r="P96" i="4"/>
  <c r="I25" i="5" s="1"/>
  <c r="O96" i="4"/>
  <c r="AD95" i="4"/>
  <c r="F67" i="9" s="1"/>
  <c r="AA95" i="4"/>
  <c r="F19" i="9" s="1"/>
  <c r="R95" i="4"/>
  <c r="Q95" i="4"/>
  <c r="P95" i="4"/>
  <c r="I24" i="5" s="1"/>
  <c r="I103" i="5" s="1"/>
  <c r="O95" i="4"/>
  <c r="AD94" i="4"/>
  <c r="E78" i="9" s="1"/>
  <c r="AA94" i="4"/>
  <c r="R94" i="4"/>
  <c r="Q94" i="4"/>
  <c r="P94" i="4"/>
  <c r="O94" i="4"/>
  <c r="AD93" i="4"/>
  <c r="E77" i="9" s="1"/>
  <c r="AA93" i="4"/>
  <c r="E29" i="9" s="1"/>
  <c r="R93" i="4"/>
  <c r="Q93" i="4"/>
  <c r="P93" i="4"/>
  <c r="H34" i="5" s="1"/>
  <c r="H113" i="5" s="1"/>
  <c r="O93" i="4"/>
  <c r="AD92" i="4"/>
  <c r="E76" i="9" s="1"/>
  <c r="AA92" i="4"/>
  <c r="E28" i="9" s="1"/>
  <c r="R92" i="4"/>
  <c r="Q92" i="4"/>
  <c r="P92" i="4"/>
  <c r="H33" i="5" s="1"/>
  <c r="O92" i="4"/>
  <c r="AD91" i="4"/>
  <c r="E75" i="9" s="1"/>
  <c r="AA91" i="4"/>
  <c r="E27" i="9" s="1"/>
  <c r="R91" i="4"/>
  <c r="Q91" i="4"/>
  <c r="P91" i="4"/>
  <c r="H32" i="5" s="1"/>
  <c r="H111" i="5" s="1"/>
  <c r="O91" i="4"/>
  <c r="AD90" i="4"/>
  <c r="E74" i="9" s="1"/>
  <c r="AA90" i="4"/>
  <c r="E26" i="9" s="1"/>
  <c r="R90" i="4"/>
  <c r="Q90" i="4"/>
  <c r="P90" i="4"/>
  <c r="H31" i="5" s="1"/>
  <c r="H110" i="5" s="1"/>
  <c r="O90" i="4"/>
  <c r="AD89" i="4"/>
  <c r="E73" i="9" s="1"/>
  <c r="AA89" i="4"/>
  <c r="E25" i="9" s="1"/>
  <c r="R89" i="4"/>
  <c r="Q89" i="4"/>
  <c r="P89" i="4"/>
  <c r="O89" i="4"/>
  <c r="AD88" i="4"/>
  <c r="E72" i="9" s="1"/>
  <c r="AA88" i="4"/>
  <c r="E24" i="9" s="1"/>
  <c r="R88" i="4"/>
  <c r="Q88" i="4"/>
  <c r="P88" i="4"/>
  <c r="H29" i="5" s="1"/>
  <c r="H108" i="5" s="1"/>
  <c r="O88" i="4"/>
  <c r="AD87" i="4"/>
  <c r="E71" i="9" s="1"/>
  <c r="AA87" i="4"/>
  <c r="E23" i="9" s="1"/>
  <c r="R87" i="4"/>
  <c r="Q87" i="4"/>
  <c r="P87" i="4"/>
  <c r="H28" i="5" s="1"/>
  <c r="H107" i="5" s="1"/>
  <c r="O87" i="4"/>
  <c r="AD86" i="4"/>
  <c r="E70" i="9" s="1"/>
  <c r="AA86" i="4"/>
  <c r="E22" i="9" s="1"/>
  <c r="R86" i="4"/>
  <c r="Q86" i="4"/>
  <c r="P86" i="4"/>
  <c r="O86" i="4"/>
  <c r="AD85" i="4"/>
  <c r="E69" i="9" s="1"/>
  <c r="AA85" i="4"/>
  <c r="E21" i="9" s="1"/>
  <c r="Q85" i="4"/>
  <c r="P85" i="4"/>
  <c r="H26" i="5" s="1"/>
  <c r="H105" i="5" s="1"/>
  <c r="O85" i="4"/>
  <c r="AD84" i="4"/>
  <c r="E68" i="9" s="1"/>
  <c r="AA84" i="4"/>
  <c r="E20" i="9" s="1"/>
  <c r="Q84" i="4"/>
  <c r="P84" i="4"/>
  <c r="H25" i="5" s="1"/>
  <c r="H104" i="5" s="1"/>
  <c r="O84" i="4"/>
  <c r="AD83" i="4"/>
  <c r="E67" i="9" s="1"/>
  <c r="AA83" i="4"/>
  <c r="E19" i="9" s="1"/>
  <c r="Q83" i="4"/>
  <c r="P83" i="4"/>
  <c r="O83" i="4"/>
  <c r="AD82" i="4"/>
  <c r="D78" i="9" s="1"/>
  <c r="AA82" i="4"/>
  <c r="Q82" i="4"/>
  <c r="P82" i="4"/>
  <c r="O82" i="4"/>
  <c r="AD81" i="4"/>
  <c r="D77" i="9" s="1"/>
  <c r="AA81" i="4"/>
  <c r="D29" i="9" s="1"/>
  <c r="Q81" i="4"/>
  <c r="P81" i="4"/>
  <c r="G34" i="5" s="1"/>
  <c r="O81" i="4"/>
  <c r="AD80" i="4"/>
  <c r="D76" i="9" s="1"/>
  <c r="AA80" i="4"/>
  <c r="D28" i="9" s="1"/>
  <c r="Q80" i="4"/>
  <c r="P80" i="4"/>
  <c r="G33" i="5" s="1"/>
  <c r="G112" i="5" s="1"/>
  <c r="O80" i="4"/>
  <c r="AD79" i="4"/>
  <c r="D75" i="9" s="1"/>
  <c r="AA79" i="4"/>
  <c r="D27" i="9" s="1"/>
  <c r="Q79" i="4"/>
  <c r="P79" i="4"/>
  <c r="O79" i="4"/>
  <c r="AD78" i="4"/>
  <c r="D74" i="9" s="1"/>
  <c r="AA78" i="4"/>
  <c r="D26" i="9" s="1"/>
  <c r="Q78" i="4"/>
  <c r="P78" i="4"/>
  <c r="G31" i="5" s="1"/>
  <c r="G110" i="5" s="1"/>
  <c r="O78" i="4"/>
  <c r="AD77" i="4"/>
  <c r="D73" i="9" s="1"/>
  <c r="AA77" i="4"/>
  <c r="D25" i="9" s="1"/>
  <c r="Q77" i="4"/>
  <c r="P77" i="4"/>
  <c r="O77" i="4"/>
  <c r="AD76" i="4"/>
  <c r="D72" i="9" s="1"/>
  <c r="AA76" i="4"/>
  <c r="D24" i="9" s="1"/>
  <c r="Q76" i="4"/>
  <c r="P76" i="4"/>
  <c r="G29" i="5" s="1"/>
  <c r="G108" i="5" s="1"/>
  <c r="O76" i="4"/>
  <c r="AD75" i="4"/>
  <c r="D71" i="9" s="1"/>
  <c r="AA75" i="4"/>
  <c r="D23" i="9" s="1"/>
  <c r="Q75" i="4"/>
  <c r="P75" i="4"/>
  <c r="O75" i="4"/>
  <c r="AD74" i="4"/>
  <c r="D70" i="9" s="1"/>
  <c r="AA74" i="4"/>
  <c r="D22" i="9" s="1"/>
  <c r="Q74" i="4"/>
  <c r="P74" i="4"/>
  <c r="O74" i="4"/>
  <c r="AD73" i="4"/>
  <c r="D69" i="9" s="1"/>
  <c r="AA73" i="4"/>
  <c r="D21" i="9" s="1"/>
  <c r="Q73" i="4"/>
  <c r="P73" i="4"/>
  <c r="G26" i="5" s="1"/>
  <c r="G105" i="5" s="1"/>
  <c r="O73" i="4"/>
  <c r="AD72" i="4"/>
  <c r="D68" i="9" s="1"/>
  <c r="AA72" i="4"/>
  <c r="D20" i="9" s="1"/>
  <c r="Q72" i="4"/>
  <c r="P72" i="4"/>
  <c r="G25" i="5" s="1"/>
  <c r="G104" i="5" s="1"/>
  <c r="O72" i="4"/>
  <c r="AD71" i="4"/>
  <c r="D67" i="9" s="1"/>
  <c r="AA71" i="4"/>
  <c r="D19" i="9" s="1"/>
  <c r="Q71" i="4"/>
  <c r="P71" i="4"/>
  <c r="O71" i="4"/>
  <c r="AD70" i="4"/>
  <c r="C78" i="9" s="1"/>
  <c r="AA70" i="4"/>
  <c r="Q70" i="4"/>
  <c r="P70" i="4"/>
  <c r="O70" i="4"/>
  <c r="AD69" i="4"/>
  <c r="C77" i="9" s="1"/>
  <c r="AA69" i="4"/>
  <c r="C29" i="9" s="1"/>
  <c r="Q69" i="4"/>
  <c r="P69" i="4"/>
  <c r="F34" i="5" s="1"/>
  <c r="O69" i="4"/>
  <c r="AD68" i="4"/>
  <c r="C76" i="9" s="1"/>
  <c r="AA68" i="4"/>
  <c r="C28" i="9" s="1"/>
  <c r="Q68" i="4"/>
  <c r="P68" i="4"/>
  <c r="O68" i="4"/>
  <c r="AD67" i="4"/>
  <c r="C75" i="9" s="1"/>
  <c r="AA67" i="4"/>
  <c r="C27" i="9" s="1"/>
  <c r="Q67" i="4"/>
  <c r="P67" i="4"/>
  <c r="O67" i="4"/>
  <c r="AD66" i="4"/>
  <c r="C74" i="9" s="1"/>
  <c r="AA66" i="4"/>
  <c r="C26" i="9" s="1"/>
  <c r="Q66" i="4"/>
  <c r="P66" i="4"/>
  <c r="F31" i="5" s="1"/>
  <c r="F110" i="5" s="1"/>
  <c r="O66" i="4"/>
  <c r="AD65" i="4"/>
  <c r="C73" i="9" s="1"/>
  <c r="AA65" i="4"/>
  <c r="C25" i="9" s="1"/>
  <c r="Q65" i="4"/>
  <c r="P65" i="4"/>
  <c r="O65" i="4"/>
  <c r="AD64" i="4"/>
  <c r="C72" i="9" s="1"/>
  <c r="AA64" i="4"/>
  <c r="C24" i="9" s="1"/>
  <c r="Q64" i="4"/>
  <c r="P64" i="4"/>
  <c r="F29" i="5" s="1"/>
  <c r="F108" i="5" s="1"/>
  <c r="O64" i="4"/>
  <c r="AD63" i="4"/>
  <c r="C71" i="9" s="1"/>
  <c r="AA63" i="4"/>
  <c r="C23" i="9" s="1"/>
  <c r="Q63" i="4"/>
  <c r="P63" i="4"/>
  <c r="F28" i="5" s="1"/>
  <c r="F107" i="5" s="1"/>
  <c r="O63" i="4"/>
  <c r="AD62" i="4"/>
  <c r="C70" i="9" s="1"/>
  <c r="AA62" i="4"/>
  <c r="C22" i="9" s="1"/>
  <c r="Q62" i="4"/>
  <c r="P62" i="4"/>
  <c r="F27" i="5" s="1"/>
  <c r="F106" i="5" s="1"/>
  <c r="O62" i="4"/>
  <c r="AD61" i="4"/>
  <c r="C69" i="9" s="1"/>
  <c r="AA61" i="4"/>
  <c r="C21" i="9" s="1"/>
  <c r="Q61" i="4"/>
  <c r="P61" i="4"/>
  <c r="F26" i="5" s="1"/>
  <c r="F105" i="5" s="1"/>
  <c r="O61" i="4"/>
  <c r="AD60" i="4"/>
  <c r="C68" i="9" s="1"/>
  <c r="AA60" i="4"/>
  <c r="C20" i="9" s="1"/>
  <c r="Q60" i="4"/>
  <c r="P60" i="4"/>
  <c r="O60" i="4"/>
  <c r="AD59" i="4"/>
  <c r="C67" i="9" s="1"/>
  <c r="AA59" i="4"/>
  <c r="C19" i="9" s="1"/>
  <c r="Q59" i="4"/>
  <c r="P59" i="4"/>
  <c r="O59" i="4"/>
  <c r="AD58" i="4"/>
  <c r="B78" i="9" s="1"/>
  <c r="AA58" i="4"/>
  <c r="B30" i="9" s="1"/>
  <c r="Q58" i="4"/>
  <c r="P58" i="4"/>
  <c r="E35" i="5" s="1"/>
  <c r="E114" i="5" s="1"/>
  <c r="O58" i="4"/>
  <c r="AD57" i="4"/>
  <c r="B77" i="9" s="1"/>
  <c r="AA57" i="4"/>
  <c r="B29" i="9" s="1"/>
  <c r="Q57" i="4"/>
  <c r="P57" i="4"/>
  <c r="O57" i="4"/>
  <c r="AD56" i="4"/>
  <c r="B76" i="9" s="1"/>
  <c r="AA56" i="4"/>
  <c r="B28" i="9" s="1"/>
  <c r="Q56" i="4"/>
  <c r="P56" i="4"/>
  <c r="O56" i="4"/>
  <c r="AD55" i="4"/>
  <c r="B75" i="9" s="1"/>
  <c r="AA55" i="4"/>
  <c r="B27" i="9" s="1"/>
  <c r="Q55" i="4"/>
  <c r="P55" i="4"/>
  <c r="E32" i="5" s="1"/>
  <c r="E111" i="5" s="1"/>
  <c r="O55" i="4"/>
  <c r="AD54" i="4"/>
  <c r="B74" i="9" s="1"/>
  <c r="AA54" i="4"/>
  <c r="B26" i="9" s="1"/>
  <c r="Q54" i="4"/>
  <c r="P54" i="4"/>
  <c r="E31" i="5" s="1"/>
  <c r="E110" i="5" s="1"/>
  <c r="O54" i="4"/>
  <c r="AD53" i="4"/>
  <c r="B73" i="9" s="1"/>
  <c r="AA53" i="4"/>
  <c r="B25" i="9" s="1"/>
  <c r="Q53" i="4"/>
  <c r="P53" i="4"/>
  <c r="O53" i="4"/>
  <c r="AD52" i="4"/>
  <c r="B72" i="9" s="1"/>
  <c r="AA52" i="4"/>
  <c r="B24" i="9" s="1"/>
  <c r="Q52" i="4"/>
  <c r="P52" i="4"/>
  <c r="E29" i="5" s="1"/>
  <c r="O52" i="4"/>
  <c r="AD51" i="4"/>
  <c r="B71" i="9" s="1"/>
  <c r="AA51" i="4"/>
  <c r="B23" i="9" s="1"/>
  <c r="Q51" i="4"/>
  <c r="P51" i="4"/>
  <c r="E28" i="5" s="1"/>
  <c r="E107" i="5" s="1"/>
  <c r="O51" i="4"/>
  <c r="AD50" i="4"/>
  <c r="B70" i="9" s="1"/>
  <c r="AA50" i="4"/>
  <c r="B22" i="9" s="1"/>
  <c r="Q50" i="4"/>
  <c r="P50" i="4"/>
  <c r="E27" i="5" s="1"/>
  <c r="E106" i="5" s="1"/>
  <c r="O50" i="4"/>
  <c r="AD49" i="4"/>
  <c r="B69" i="9" s="1"/>
  <c r="AA49" i="4"/>
  <c r="B21" i="9" s="1"/>
  <c r="Q49" i="4"/>
  <c r="P49" i="4"/>
  <c r="E26" i="5" s="1"/>
  <c r="E105" i="5" s="1"/>
  <c r="O49" i="4"/>
  <c r="AD48" i="4"/>
  <c r="B68" i="9" s="1"/>
  <c r="AA48" i="4"/>
  <c r="Q48" i="4"/>
  <c r="P48" i="4"/>
  <c r="O48" i="4"/>
  <c r="AD47" i="4"/>
  <c r="B67" i="9" s="1"/>
  <c r="AA47" i="4"/>
  <c r="B19" i="9" s="1"/>
  <c r="Q47" i="4"/>
  <c r="P47" i="4"/>
  <c r="O47" i="4"/>
  <c r="AD46" i="4"/>
  <c r="AA46" i="4"/>
  <c r="Q46" i="4"/>
  <c r="P46" i="4"/>
  <c r="O46" i="4"/>
  <c r="AD45" i="4"/>
  <c r="AA45" i="4"/>
  <c r="Q45" i="4"/>
  <c r="P45" i="4"/>
  <c r="D34" i="5" s="1"/>
  <c r="D113" i="5" s="1"/>
  <c r="O45" i="4"/>
  <c r="AD44" i="4"/>
  <c r="AA44" i="4"/>
  <c r="Q44" i="4"/>
  <c r="P44" i="4"/>
  <c r="D33" i="5" s="1"/>
  <c r="D112" i="5" s="1"/>
  <c r="O44" i="4"/>
  <c r="AD43" i="4"/>
  <c r="AA43" i="4"/>
  <c r="Q43" i="4"/>
  <c r="P43" i="4"/>
  <c r="D32" i="5" s="1"/>
  <c r="D111" i="5" s="1"/>
  <c r="O43" i="4"/>
  <c r="AD42" i="4"/>
  <c r="AA42" i="4"/>
  <c r="Q42" i="4"/>
  <c r="P42" i="4"/>
  <c r="D31" i="5" s="1"/>
  <c r="D110" i="5" s="1"/>
  <c r="O42" i="4"/>
  <c r="AD41" i="4"/>
  <c r="AA41" i="4"/>
  <c r="Q41" i="4"/>
  <c r="P41" i="4"/>
  <c r="O41" i="4"/>
  <c r="AD40" i="4"/>
  <c r="AA40" i="4"/>
  <c r="Q40" i="4"/>
  <c r="P40" i="4"/>
  <c r="D29" i="5" s="1"/>
  <c r="O40" i="4"/>
  <c r="AD39" i="4"/>
  <c r="AA39" i="4"/>
  <c r="Q39" i="4"/>
  <c r="P39" i="4"/>
  <c r="D28" i="5" s="1"/>
  <c r="D107" i="5" s="1"/>
  <c r="O39" i="4"/>
  <c r="AD38" i="4"/>
  <c r="AA38" i="4"/>
  <c r="Q38" i="4"/>
  <c r="P38" i="4"/>
  <c r="D27" i="5" s="1"/>
  <c r="D106" i="5" s="1"/>
  <c r="O38" i="4"/>
  <c r="AD37" i="4"/>
  <c r="AA37" i="4"/>
  <c r="Q37" i="4"/>
  <c r="P37" i="4"/>
  <c r="D26" i="5" s="1"/>
  <c r="D105" i="5" s="1"/>
  <c r="O37" i="4"/>
  <c r="AD36" i="4"/>
  <c r="AA36" i="4"/>
  <c r="Q36" i="4"/>
  <c r="P36" i="4"/>
  <c r="O36" i="4"/>
  <c r="AD35" i="4"/>
  <c r="AA35" i="4"/>
  <c r="Q35" i="4"/>
  <c r="P35" i="4"/>
  <c r="O35" i="4"/>
  <c r="AD34" i="4"/>
  <c r="AA34" i="4"/>
  <c r="Q34" i="4"/>
  <c r="P34" i="4"/>
  <c r="O34" i="4"/>
  <c r="AD33" i="4"/>
  <c r="AA33" i="4"/>
  <c r="Q33" i="4"/>
  <c r="P33" i="4"/>
  <c r="C34" i="5" s="1"/>
  <c r="C113" i="5" s="1"/>
  <c r="O33" i="4"/>
  <c r="AD32" i="4"/>
  <c r="AA32" i="4"/>
  <c r="Q32" i="4"/>
  <c r="P32" i="4"/>
  <c r="C33" i="5" s="1"/>
  <c r="C112" i="5" s="1"/>
  <c r="O32" i="4"/>
  <c r="AD31" i="4"/>
  <c r="AA31" i="4"/>
  <c r="Q31" i="4"/>
  <c r="P31" i="4"/>
  <c r="C32" i="5" s="1"/>
  <c r="C111" i="5" s="1"/>
  <c r="O31" i="4"/>
  <c r="AD30" i="4"/>
  <c r="AA30" i="4"/>
  <c r="Q30" i="4"/>
  <c r="P30" i="4"/>
  <c r="C31" i="5" s="1"/>
  <c r="C110" i="5" s="1"/>
  <c r="O30" i="4"/>
  <c r="AD29" i="4"/>
  <c r="AA29" i="4"/>
  <c r="Q29" i="4"/>
  <c r="P29" i="4"/>
  <c r="C30" i="5" s="1"/>
  <c r="C109" i="5" s="1"/>
  <c r="O29" i="4"/>
  <c r="AD28" i="4"/>
  <c r="AA28" i="4"/>
  <c r="Q28" i="4"/>
  <c r="P28" i="4"/>
  <c r="C29" i="5" s="1"/>
  <c r="O28" i="4"/>
  <c r="AD27" i="4"/>
  <c r="AA27" i="4"/>
  <c r="Q27" i="4"/>
  <c r="P27" i="4"/>
  <c r="O27" i="4"/>
  <c r="AD26" i="4"/>
  <c r="AA26" i="4"/>
  <c r="Q26" i="4"/>
  <c r="P26" i="4"/>
  <c r="O26" i="4"/>
  <c r="AD25" i="4"/>
  <c r="AA25" i="4"/>
  <c r="Q25" i="4"/>
  <c r="P25" i="4"/>
  <c r="C26" i="5" s="1"/>
  <c r="C105" i="5" s="1"/>
  <c r="O25" i="4"/>
  <c r="AD24" i="4"/>
  <c r="AA24" i="4"/>
  <c r="Q24" i="4"/>
  <c r="P24" i="4"/>
  <c r="C25" i="5" s="1"/>
  <c r="O24" i="4"/>
  <c r="AD23" i="4"/>
  <c r="AA23" i="4"/>
  <c r="Q23" i="4"/>
  <c r="P23" i="4"/>
  <c r="C24" i="5" s="1"/>
  <c r="O23" i="4"/>
  <c r="N23" i="4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AD22" i="4"/>
  <c r="AA22" i="4"/>
  <c r="Q22" i="4"/>
  <c r="P22" i="4"/>
  <c r="O22" i="4"/>
  <c r="AD21" i="4"/>
  <c r="AA21" i="4"/>
  <c r="Q21" i="4"/>
  <c r="P21" i="4"/>
  <c r="B34" i="5" s="1"/>
  <c r="B113" i="5" s="1"/>
  <c r="O21" i="4"/>
  <c r="AD20" i="4"/>
  <c r="AA20" i="4"/>
  <c r="Q20" i="4"/>
  <c r="P20" i="4"/>
  <c r="O20" i="4"/>
  <c r="AD19" i="4"/>
  <c r="AA19" i="4"/>
  <c r="Q19" i="4"/>
  <c r="P19" i="4"/>
  <c r="B32" i="5" s="1"/>
  <c r="B111" i="5" s="1"/>
  <c r="O19" i="4"/>
  <c r="AD18" i="4"/>
  <c r="AA18" i="4"/>
  <c r="Q18" i="4"/>
  <c r="P18" i="4"/>
  <c r="B31" i="5" s="1"/>
  <c r="B110" i="5" s="1"/>
  <c r="O18" i="4"/>
  <c r="AD17" i="4"/>
  <c r="AA17" i="4"/>
  <c r="Q17" i="4"/>
  <c r="P17" i="4"/>
  <c r="B30" i="5" s="1"/>
  <c r="B109" i="5" s="1"/>
  <c r="O17" i="4"/>
  <c r="AD16" i="4"/>
  <c r="AA16" i="4"/>
  <c r="Q16" i="4"/>
  <c r="P16" i="4"/>
  <c r="B29" i="5" s="1"/>
  <c r="O16" i="4"/>
  <c r="AD15" i="4"/>
  <c r="AA15" i="4"/>
  <c r="Q15" i="4"/>
  <c r="P15" i="4"/>
  <c r="O15" i="4"/>
  <c r="AD14" i="4"/>
  <c r="AA14" i="4"/>
  <c r="Q14" i="4"/>
  <c r="P14" i="4"/>
  <c r="B27" i="5" s="1"/>
  <c r="B106" i="5" s="1"/>
  <c r="O14" i="4"/>
  <c r="AD13" i="4"/>
  <c r="AA13" i="4"/>
  <c r="Q13" i="4"/>
  <c r="P13" i="4"/>
  <c r="B26" i="5" s="1"/>
  <c r="B105" i="5" s="1"/>
  <c r="O13" i="4"/>
  <c r="AD12" i="4"/>
  <c r="AA12" i="4"/>
  <c r="Q12" i="4"/>
  <c r="P12" i="4"/>
  <c r="B25" i="5" s="1"/>
  <c r="B104" i="5" s="1"/>
  <c r="O12" i="4"/>
  <c r="AD11" i="4"/>
  <c r="AA11" i="4"/>
  <c r="Q11" i="4"/>
  <c r="P11" i="4"/>
  <c r="B24" i="5" s="1"/>
  <c r="O11" i="4"/>
  <c r="AD10" i="4"/>
  <c r="AA10" i="4"/>
  <c r="Q10" i="4"/>
  <c r="P10" i="4"/>
  <c r="O10" i="4"/>
  <c r="AD9" i="4"/>
  <c r="AA9" i="4"/>
  <c r="Q9" i="4"/>
  <c r="P9" i="4"/>
  <c r="O9" i="4"/>
  <c r="AD8" i="4"/>
  <c r="AA8" i="4"/>
  <c r="Q8" i="4"/>
  <c r="P8" i="4"/>
  <c r="O8" i="4"/>
  <c r="AD7" i="4"/>
  <c r="AA7" i="4"/>
  <c r="Q7" i="4"/>
  <c r="P7" i="4"/>
  <c r="O7" i="4"/>
  <c r="AD6" i="4"/>
  <c r="AA6" i="4"/>
  <c r="Q6" i="4"/>
  <c r="P6" i="4"/>
  <c r="O6" i="4"/>
  <c r="AD5" i="4"/>
  <c r="AA5" i="4"/>
  <c r="Q5" i="4"/>
  <c r="P5" i="4"/>
  <c r="O5" i="4"/>
  <c r="AD4" i="4"/>
  <c r="AA4" i="4"/>
  <c r="Q4" i="4"/>
  <c r="P4" i="4"/>
  <c r="O4" i="4"/>
  <c r="AD3" i="4"/>
  <c r="AA3" i="4"/>
  <c r="Q3" i="4"/>
  <c r="P3" i="4"/>
  <c r="O3" i="4"/>
  <c r="X11" i="3"/>
  <c r="F9" i="8" s="1"/>
  <c r="G9" i="8" s="1"/>
  <c r="H9" i="8" s="1"/>
  <c r="X10" i="3"/>
  <c r="E9" i="8" s="1"/>
  <c r="X9" i="3"/>
  <c r="D9" i="8" s="1"/>
  <c r="X8" i="3"/>
  <c r="C9" i="8" s="1"/>
  <c r="X7" i="3"/>
  <c r="B9" i="8" s="1"/>
  <c r="X6" i="3"/>
  <c r="X5" i="3"/>
  <c r="X4" i="3"/>
  <c r="X3" i="3"/>
  <c r="F68" i="5" l="1"/>
  <c r="K103" i="5"/>
  <c r="K36" i="5"/>
  <c r="E52" i="5"/>
  <c r="K68" i="5"/>
  <c r="K9" i="5" s="1"/>
  <c r="I6" i="8"/>
  <c r="I52" i="5"/>
  <c r="L46" i="5" s="1"/>
  <c r="L40" i="5"/>
  <c r="D4" i="6"/>
  <c r="D7" i="6" s="1"/>
  <c r="C13" i="6"/>
  <c r="I68" i="5"/>
  <c r="J68" i="5"/>
  <c r="J9" i="5" s="1"/>
  <c r="C36" i="5"/>
  <c r="C115" i="5" s="1"/>
  <c r="C103" i="5"/>
  <c r="T115" i="5"/>
  <c r="T5" i="5"/>
  <c r="C31" i="9"/>
  <c r="C5" i="9" s="1"/>
  <c r="D36" i="5"/>
  <c r="D115" i="5" s="1"/>
  <c r="C7" i="7"/>
  <c r="C11" i="7"/>
  <c r="G65" i="8"/>
  <c r="G10" i="8" s="1"/>
  <c r="G11" i="8" s="1"/>
  <c r="F14" i="8" s="1"/>
  <c r="H16" i="9"/>
  <c r="I8" i="9"/>
  <c r="E5" i="8"/>
  <c r="E8" i="8" s="1"/>
  <c r="H15" i="9"/>
  <c r="E79" i="9"/>
  <c r="E8" i="9" s="1"/>
  <c r="B31" i="9"/>
  <c r="B5" i="9" s="1"/>
  <c r="B79" i="9"/>
  <c r="B8" i="9" s="1"/>
  <c r="E31" i="9"/>
  <c r="E5" i="9" s="1"/>
  <c r="E15" i="9" s="1"/>
  <c r="E65" i="8"/>
  <c r="E10" i="8" s="1"/>
  <c r="E11" i="8" s="1"/>
  <c r="D14" i="8" s="1"/>
  <c r="B10" i="9"/>
  <c r="L44" i="5"/>
  <c r="E33" i="8"/>
  <c r="E6" i="8" s="1"/>
  <c r="D13" i="6"/>
  <c r="E4" i="6"/>
  <c r="E7" i="6" s="1"/>
  <c r="I31" i="9"/>
  <c r="J5" i="9"/>
  <c r="G103" i="5"/>
  <c r="G36" i="5"/>
  <c r="G115" i="5" s="1"/>
  <c r="G68" i="5"/>
  <c r="B36" i="5"/>
  <c r="B115" i="5" s="1"/>
  <c r="B103" i="5"/>
  <c r="B7" i="5"/>
  <c r="C10" i="6"/>
  <c r="K8" i="6"/>
  <c r="Q8" i="6" s="1"/>
  <c r="L41" i="5"/>
  <c r="B14" i="8"/>
  <c r="C5" i="8"/>
  <c r="C8" i="8" s="1"/>
  <c r="I9" i="8"/>
  <c r="J9" i="9"/>
  <c r="F103" i="5"/>
  <c r="F36" i="5"/>
  <c r="F115" i="5" s="1"/>
  <c r="H103" i="5"/>
  <c r="H36" i="5"/>
  <c r="H115" i="5" s="1"/>
  <c r="K52" i="5"/>
  <c r="K6" i="5" s="1"/>
  <c r="I15" i="9"/>
  <c r="D52" i="5"/>
  <c r="G81" i="8"/>
  <c r="E103" i="5"/>
  <c r="E36" i="5"/>
  <c r="E115" i="5" s="1"/>
  <c r="C14" i="8"/>
  <c r="D5" i="8"/>
  <c r="D8" i="8" s="1"/>
  <c r="G4" i="6"/>
  <c r="G7" i="6" s="1"/>
  <c r="J18" i="7"/>
  <c r="C79" i="9"/>
  <c r="C8" i="9" s="1"/>
  <c r="C10" i="9" s="1"/>
  <c r="I36" i="5"/>
  <c r="I115" i="5" s="1"/>
  <c r="H49" i="8"/>
  <c r="H7" i="8" s="1"/>
  <c r="I7" i="8" s="1"/>
  <c r="G31" i="9"/>
  <c r="G5" i="9" s="1"/>
  <c r="J36" i="5"/>
  <c r="G79" i="9"/>
  <c r="G8" i="9" s="1"/>
  <c r="H10" i="9"/>
  <c r="D34" i="7"/>
  <c r="D8" i="7" s="1"/>
  <c r="F8" i="8"/>
  <c r="H65" i="8"/>
  <c r="H10" i="8" s="1"/>
  <c r="D31" i="9"/>
  <c r="D5" i="9" s="1"/>
  <c r="F31" i="9"/>
  <c r="F5" i="9" s="1"/>
  <c r="E34" i="7"/>
  <c r="E8" i="7" s="1"/>
  <c r="G8" i="8"/>
  <c r="D79" i="9"/>
  <c r="D8" i="9" s="1"/>
  <c r="F79" i="9"/>
  <c r="F8" i="9" s="1"/>
  <c r="F16" i="9" s="1"/>
  <c r="L48" i="5"/>
  <c r="L49" i="5"/>
  <c r="M49" i="5" s="1"/>
  <c r="F34" i="7"/>
  <c r="F8" i="7" s="1"/>
  <c r="I7" i="5"/>
  <c r="B33" i="8"/>
  <c r="B6" i="8" s="1"/>
  <c r="B8" i="8" s="1"/>
  <c r="C47" i="9"/>
  <c r="C6" i="9" s="1"/>
  <c r="H34" i="7"/>
  <c r="H8" i="7" s="1"/>
  <c r="D47" i="9"/>
  <c r="D6" i="9" s="1"/>
  <c r="G34" i="7"/>
  <c r="G8" i="7" s="1"/>
  <c r="J18" i="8"/>
  <c r="L18" i="8"/>
  <c r="K18" i="8"/>
  <c r="B65" i="8"/>
  <c r="B10" i="8" s="1"/>
  <c r="B11" i="8" s="1"/>
  <c r="D12" i="9"/>
  <c r="E4" i="9"/>
  <c r="F47" i="9"/>
  <c r="F6" i="9" s="1"/>
  <c r="E63" i="9"/>
  <c r="E9" i="9" s="1"/>
  <c r="E10" i="9" s="1"/>
  <c r="F63" i="9"/>
  <c r="F9" i="9" s="1"/>
  <c r="F4" i="6"/>
  <c r="F7" i="6" s="1"/>
  <c r="R18" i="8"/>
  <c r="D81" i="8"/>
  <c r="G63" i="9"/>
  <c r="G9" i="9" s="1"/>
  <c r="G10" i="9" s="1"/>
  <c r="E12" i="9"/>
  <c r="G47" i="9"/>
  <c r="G6" i="9" s="1"/>
  <c r="C7" i="9"/>
  <c r="H47" i="9"/>
  <c r="H6" i="9" s="1"/>
  <c r="I6" i="9" s="1"/>
  <c r="D7" i="9"/>
  <c r="F65" i="8"/>
  <c r="F10" i="8" s="1"/>
  <c r="F11" i="8" s="1"/>
  <c r="E14" i="8" s="1"/>
  <c r="B81" i="8"/>
  <c r="C81" i="8"/>
  <c r="D63" i="9"/>
  <c r="D9" i="9" s="1"/>
  <c r="G12" i="9"/>
  <c r="H12" i="9"/>
  <c r="B47" i="9"/>
  <c r="B6" i="9" s="1"/>
  <c r="M46" i="5" l="1"/>
  <c r="Q68" i="6"/>
  <c r="Q99" i="6"/>
  <c r="Q10" i="6"/>
  <c r="I57" i="9"/>
  <c r="L51" i="5"/>
  <c r="O48" i="5"/>
  <c r="S8" i="6"/>
  <c r="E7" i="7"/>
  <c r="E11" i="7"/>
  <c r="I79" i="9"/>
  <c r="J8" i="9"/>
  <c r="I16" i="9"/>
  <c r="I10" i="9"/>
  <c r="K115" i="5"/>
  <c r="K5" i="5"/>
  <c r="N40" i="5"/>
  <c r="N48" i="5"/>
  <c r="L42" i="5"/>
  <c r="C9" i="7"/>
  <c r="C17" i="7" s="1"/>
  <c r="B14" i="7"/>
  <c r="L8" i="6"/>
  <c r="I54" i="9"/>
  <c r="I53" i="9"/>
  <c r="J5" i="5"/>
  <c r="J115" i="5"/>
  <c r="I58" i="9"/>
  <c r="L47" i="5"/>
  <c r="M40" i="5"/>
  <c r="M41" i="5"/>
  <c r="O41" i="5" s="1"/>
  <c r="N41" i="5"/>
  <c r="N49" i="5"/>
  <c r="G15" i="9"/>
  <c r="I52" i="9"/>
  <c r="J31" i="9"/>
  <c r="K5" i="9"/>
  <c r="J15" i="9"/>
  <c r="L43" i="5"/>
  <c r="K10" i="6"/>
  <c r="K11" i="6" s="1"/>
  <c r="K68" i="6"/>
  <c r="K99" i="6"/>
  <c r="O40" i="5"/>
  <c r="P40" i="5" s="1"/>
  <c r="P8" i="6"/>
  <c r="G11" i="7"/>
  <c r="G7" i="7"/>
  <c r="I59" i="9"/>
  <c r="F10" i="9"/>
  <c r="G7" i="9"/>
  <c r="I33" i="8"/>
  <c r="J6" i="8"/>
  <c r="F15" i="9"/>
  <c r="D7" i="7"/>
  <c r="D11" i="7"/>
  <c r="I49" i="8"/>
  <c r="J7" i="8"/>
  <c r="I23" i="9"/>
  <c r="I29" i="9"/>
  <c r="I25" i="9"/>
  <c r="I24" i="9"/>
  <c r="I19" i="9"/>
  <c r="I21" i="9"/>
  <c r="I20" i="9"/>
  <c r="I28" i="9"/>
  <c r="I27" i="9"/>
  <c r="I26" i="9"/>
  <c r="I22" i="9"/>
  <c r="I51" i="9"/>
  <c r="O8" i="6"/>
  <c r="I62" i="9"/>
  <c r="M48" i="5"/>
  <c r="H11" i="7"/>
  <c r="H7" i="7"/>
  <c r="H7" i="9"/>
  <c r="E7" i="9"/>
  <c r="H8" i="8"/>
  <c r="I55" i="9"/>
  <c r="L45" i="5"/>
  <c r="J63" i="9"/>
  <c r="K9" i="9"/>
  <c r="M44" i="5"/>
  <c r="J9" i="8"/>
  <c r="I81" i="8"/>
  <c r="I9" i="7"/>
  <c r="I8" i="8"/>
  <c r="G16" i="9"/>
  <c r="F11" i="7"/>
  <c r="F7" i="7"/>
  <c r="N8" i="6"/>
  <c r="I60" i="9"/>
  <c r="B7" i="9"/>
  <c r="M8" i="6"/>
  <c r="I47" i="9"/>
  <c r="J6" i="9"/>
  <c r="H11" i="8"/>
  <c r="G14" i="8" s="1"/>
  <c r="I10" i="8"/>
  <c r="I56" i="9"/>
  <c r="I7" i="9"/>
  <c r="I61" i="9"/>
  <c r="D10" i="9"/>
  <c r="F7" i="9"/>
  <c r="L50" i="5"/>
  <c r="J6" i="7"/>
  <c r="K18" i="7"/>
  <c r="R8" i="6"/>
  <c r="E16" i="9"/>
  <c r="I17" i="7" l="1"/>
  <c r="I7" i="7"/>
  <c r="I8" i="7" s="1"/>
  <c r="I11" i="7" s="1"/>
  <c r="H14" i="7" s="1"/>
  <c r="O44" i="5"/>
  <c r="M43" i="5"/>
  <c r="N43" i="5"/>
  <c r="K63" i="9"/>
  <c r="L9" i="9"/>
  <c r="J55" i="9"/>
  <c r="J61" i="9"/>
  <c r="J62" i="9"/>
  <c r="J51" i="9"/>
  <c r="J57" i="9"/>
  <c r="J52" i="9"/>
  <c r="J58" i="9"/>
  <c r="J56" i="9"/>
  <c r="J60" i="9"/>
  <c r="J54" i="9"/>
  <c r="J53" i="9"/>
  <c r="J59" i="9"/>
  <c r="M42" i="5"/>
  <c r="N42" i="5"/>
  <c r="J49" i="8"/>
  <c r="K7" i="8"/>
  <c r="O46" i="5"/>
  <c r="S68" i="6"/>
  <c r="S99" i="6"/>
  <c r="S10" i="6"/>
  <c r="Q40" i="5"/>
  <c r="I69" i="8"/>
  <c r="I75" i="8"/>
  <c r="I76" i="8"/>
  <c r="I71" i="8"/>
  <c r="I70" i="8"/>
  <c r="I73" i="8"/>
  <c r="I78" i="8"/>
  <c r="I74" i="8"/>
  <c r="I72" i="8"/>
  <c r="I77" i="8"/>
  <c r="I79" i="8"/>
  <c r="M50" i="5"/>
  <c r="D9" i="7"/>
  <c r="D17" i="7" s="1"/>
  <c r="C14" i="7"/>
  <c r="R10" i="6"/>
  <c r="R68" i="6"/>
  <c r="R99" i="6"/>
  <c r="K6" i="7"/>
  <c r="L18" i="7"/>
  <c r="I11" i="9"/>
  <c r="G14" i="7"/>
  <c r="H9" i="7"/>
  <c r="H17" i="7" s="1"/>
  <c r="M10" i="6"/>
  <c r="M68" i="6"/>
  <c r="M99" i="6"/>
  <c r="I84" i="9"/>
  <c r="L4" i="6"/>
  <c r="L7" i="6" s="1"/>
  <c r="L11" i="6" s="1"/>
  <c r="K13" i="6"/>
  <c r="J81" i="8"/>
  <c r="K9" i="8"/>
  <c r="J9" i="7"/>
  <c r="P48" i="5"/>
  <c r="K31" i="9"/>
  <c r="L5" i="9"/>
  <c r="K15" i="9"/>
  <c r="K7" i="5"/>
  <c r="I36" i="9"/>
  <c r="I42" i="9"/>
  <c r="I90" i="9" s="1"/>
  <c r="I38" i="9"/>
  <c r="I39" i="9"/>
  <c r="I87" i="9" s="1"/>
  <c r="I37" i="9"/>
  <c r="I85" i="9" s="1"/>
  <c r="I43" i="9"/>
  <c r="I91" i="9" s="1"/>
  <c r="I44" i="9"/>
  <c r="I92" i="9" s="1"/>
  <c r="I35" i="9"/>
  <c r="I83" i="9" s="1"/>
  <c r="I40" i="9"/>
  <c r="I88" i="9" s="1"/>
  <c r="I45" i="9"/>
  <c r="I93" i="9" s="1"/>
  <c r="I41" i="9"/>
  <c r="I89" i="9" s="1"/>
  <c r="M47" i="5"/>
  <c r="N47" i="5"/>
  <c r="L10" i="6"/>
  <c r="L68" i="6"/>
  <c r="L99" i="6"/>
  <c r="T8" i="6"/>
  <c r="M45" i="5"/>
  <c r="N45" i="5"/>
  <c r="J29" i="9"/>
  <c r="J24" i="9"/>
  <c r="J25" i="9"/>
  <c r="J20" i="9"/>
  <c r="J19" i="9"/>
  <c r="J21" i="9"/>
  <c r="J28" i="9"/>
  <c r="J27" i="9"/>
  <c r="J23" i="9"/>
  <c r="J22" i="9"/>
  <c r="J26" i="9"/>
  <c r="K6" i="9"/>
  <c r="J47" i="9"/>
  <c r="O68" i="6"/>
  <c r="O99" i="6"/>
  <c r="O10" i="6"/>
  <c r="N68" i="6"/>
  <c r="N10" i="6"/>
  <c r="N99" i="6"/>
  <c r="I86" i="9"/>
  <c r="J7" i="5"/>
  <c r="J10" i="5" s="1"/>
  <c r="J8" i="5" s="1"/>
  <c r="M9" i="5"/>
  <c r="M68" i="5" s="1"/>
  <c r="J79" i="9"/>
  <c r="K8" i="9"/>
  <c r="J16" i="9"/>
  <c r="J10" i="9"/>
  <c r="N44" i="5"/>
  <c r="I43" i="8"/>
  <c r="I38" i="8"/>
  <c r="I39" i="8"/>
  <c r="I45" i="8"/>
  <c r="I42" i="8"/>
  <c r="I47" i="8"/>
  <c r="I41" i="8"/>
  <c r="I40" i="8"/>
  <c r="I37" i="8"/>
  <c r="I46" i="8"/>
  <c r="I44" i="8"/>
  <c r="P46" i="5"/>
  <c r="F14" i="7"/>
  <c r="G9" i="7"/>
  <c r="I73" i="9"/>
  <c r="I68" i="9"/>
  <c r="I75" i="9"/>
  <c r="I77" i="9"/>
  <c r="I71" i="9"/>
  <c r="I76" i="9"/>
  <c r="I70" i="9"/>
  <c r="I78" i="9"/>
  <c r="I72" i="9"/>
  <c r="I67" i="9"/>
  <c r="I69" i="9"/>
  <c r="I74" i="9"/>
  <c r="P49" i="5"/>
  <c r="I11" i="8"/>
  <c r="H14" i="8" s="1"/>
  <c r="I65" i="8"/>
  <c r="J10" i="8"/>
  <c r="P41" i="5"/>
  <c r="O49" i="5"/>
  <c r="J33" i="8"/>
  <c r="K6" i="8"/>
  <c r="I30" i="8"/>
  <c r="I25" i="8"/>
  <c r="I26" i="8"/>
  <c r="I22" i="8"/>
  <c r="I29" i="8"/>
  <c r="I23" i="8"/>
  <c r="I27" i="8"/>
  <c r="I31" i="8"/>
  <c r="I21" i="8"/>
  <c r="I28" i="8"/>
  <c r="I24" i="8"/>
  <c r="N46" i="5"/>
  <c r="P44" i="5"/>
  <c r="F9" i="7"/>
  <c r="E14" i="7"/>
  <c r="I30" i="9"/>
  <c r="P68" i="6"/>
  <c r="P99" i="6"/>
  <c r="P10" i="6"/>
  <c r="L9" i="5"/>
  <c r="E9" i="7"/>
  <c r="D14" i="7"/>
  <c r="I80" i="8" l="1"/>
  <c r="I48" i="8"/>
  <c r="Q48" i="5"/>
  <c r="J65" i="8"/>
  <c r="K10" i="8"/>
  <c r="J11" i="8"/>
  <c r="J85" i="9"/>
  <c r="J17" i="7"/>
  <c r="J7" i="7"/>
  <c r="J8" i="7" s="1"/>
  <c r="J11" i="7" s="1"/>
  <c r="I14" i="7" s="1"/>
  <c r="I56" i="8"/>
  <c r="I62" i="8"/>
  <c r="I63" i="8"/>
  <c r="I58" i="8"/>
  <c r="I59" i="8"/>
  <c r="I61" i="8"/>
  <c r="I55" i="8"/>
  <c r="I53" i="8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60" i="8"/>
  <c r="I54" i="8"/>
  <c r="I57" i="8"/>
  <c r="J83" i="9"/>
  <c r="K81" i="8"/>
  <c r="L9" i="8"/>
  <c r="K9" i="7"/>
  <c r="O9" i="5"/>
  <c r="O68" i="5" s="1"/>
  <c r="J84" i="9"/>
  <c r="J69" i="8"/>
  <c r="J75" i="8"/>
  <c r="J71" i="8"/>
  <c r="J76" i="8"/>
  <c r="J73" i="8"/>
  <c r="J78" i="8"/>
  <c r="J70" i="8"/>
  <c r="J74" i="8"/>
  <c r="J72" i="8"/>
  <c r="J77" i="8"/>
  <c r="J79" i="8"/>
  <c r="J85" i="5"/>
  <c r="J13" i="5"/>
  <c r="L8" i="5"/>
  <c r="L63" i="9"/>
  <c r="M9" i="9"/>
  <c r="I46" i="9"/>
  <c r="I94" i="9" s="1"/>
  <c r="M4" i="6"/>
  <c r="M7" i="6" s="1"/>
  <c r="M11" i="6" s="1"/>
  <c r="L13" i="6"/>
  <c r="M51" i="5"/>
  <c r="K55" i="9"/>
  <c r="K61" i="9"/>
  <c r="K57" i="9"/>
  <c r="K52" i="9"/>
  <c r="K58" i="9"/>
  <c r="K56" i="9"/>
  <c r="K54" i="9"/>
  <c r="K59" i="9"/>
  <c r="K60" i="9"/>
  <c r="K62" i="9"/>
  <c r="K53" i="9"/>
  <c r="K51" i="9"/>
  <c r="J93" i="9"/>
  <c r="N50" i="5"/>
  <c r="R40" i="5"/>
  <c r="K49" i="8"/>
  <c r="L7" i="8"/>
  <c r="J43" i="8"/>
  <c r="J38" i="8"/>
  <c r="J45" i="8"/>
  <c r="J42" i="8"/>
  <c r="J46" i="8"/>
  <c r="J47" i="8"/>
  <c r="J41" i="8"/>
  <c r="J39" i="8"/>
  <c r="J37" i="8"/>
  <c r="J40" i="8"/>
  <c r="J44" i="8"/>
  <c r="O43" i="5"/>
  <c r="O45" i="5"/>
  <c r="R48" i="5"/>
  <c r="P42" i="5"/>
  <c r="J42" i="9"/>
  <c r="J90" i="9" s="1"/>
  <c r="J37" i="9"/>
  <c r="J38" i="9"/>
  <c r="J86" i="9" s="1"/>
  <c r="J44" i="9"/>
  <c r="J92" i="9" s="1"/>
  <c r="J39" i="9"/>
  <c r="J36" i="9"/>
  <c r="J45" i="9"/>
  <c r="J43" i="9"/>
  <c r="J35" i="9"/>
  <c r="J46" i="9" s="1"/>
  <c r="J40" i="9"/>
  <c r="J88" i="9" s="1"/>
  <c r="J41" i="9"/>
  <c r="J89" i="9" s="1"/>
  <c r="T10" i="6"/>
  <c r="T99" i="6"/>
  <c r="T68" i="6"/>
  <c r="R46" i="5"/>
  <c r="O42" i="5"/>
  <c r="L6" i="9"/>
  <c r="K47" i="9"/>
  <c r="I32" i="8"/>
  <c r="Q44" i="5"/>
  <c r="R41" i="5"/>
  <c r="S41" i="5" s="1"/>
  <c r="K8" i="5"/>
  <c r="J4" i="9"/>
  <c r="J7" i="9" s="1"/>
  <c r="J11" i="9" s="1"/>
  <c r="I12" i="9"/>
  <c r="Q46" i="5"/>
  <c r="N51" i="5"/>
  <c r="Q41" i="5"/>
  <c r="K79" i="9"/>
  <c r="L8" i="9"/>
  <c r="K16" i="9"/>
  <c r="K10" i="9"/>
  <c r="S40" i="5"/>
  <c r="L6" i="8"/>
  <c r="K33" i="8"/>
  <c r="J68" i="9"/>
  <c r="J74" i="9"/>
  <c r="J75" i="9"/>
  <c r="J91" i="9" s="1"/>
  <c r="J70" i="9"/>
  <c r="J77" i="9"/>
  <c r="J73" i="9"/>
  <c r="J71" i="9"/>
  <c r="J67" i="9"/>
  <c r="J78" i="9"/>
  <c r="J72" i="9"/>
  <c r="J76" i="9"/>
  <c r="J69" i="9"/>
  <c r="J30" i="9"/>
  <c r="L6" i="7"/>
  <c r="M18" i="7"/>
  <c r="Q49" i="5"/>
  <c r="L68" i="5"/>
  <c r="J30" i="8"/>
  <c r="J25" i="8"/>
  <c r="J26" i="8"/>
  <c r="J22" i="8"/>
  <c r="J29" i="8"/>
  <c r="J23" i="8"/>
  <c r="J31" i="8"/>
  <c r="J21" i="8"/>
  <c r="J27" i="8"/>
  <c r="J28" i="8"/>
  <c r="J24" i="8"/>
  <c r="J87" i="9"/>
  <c r="O47" i="5"/>
  <c r="L31" i="9"/>
  <c r="M5" i="9"/>
  <c r="L15" i="9"/>
  <c r="N9" i="5"/>
  <c r="K29" i="9"/>
  <c r="K24" i="9"/>
  <c r="K20" i="9"/>
  <c r="K22" i="9"/>
  <c r="K27" i="9"/>
  <c r="K21" i="9"/>
  <c r="K26" i="9"/>
  <c r="K28" i="9"/>
  <c r="K23" i="9"/>
  <c r="K25" i="9"/>
  <c r="K19" i="9"/>
  <c r="K30" i="9" s="1"/>
  <c r="J80" i="8" l="1"/>
  <c r="J32" i="8"/>
  <c r="J48" i="8"/>
  <c r="U40" i="5"/>
  <c r="M8" i="9"/>
  <c r="L16" i="9"/>
  <c r="L79" i="9"/>
  <c r="L10" i="9"/>
  <c r="K38" i="8"/>
  <c r="K44" i="8"/>
  <c r="K45" i="8"/>
  <c r="K40" i="8"/>
  <c r="K43" i="8"/>
  <c r="K47" i="8"/>
  <c r="K41" i="8"/>
  <c r="K39" i="8"/>
  <c r="K37" i="8"/>
  <c r="K46" i="8"/>
  <c r="K42" i="8"/>
  <c r="S48" i="5"/>
  <c r="T48" i="5" s="1"/>
  <c r="U48" i="5" s="1"/>
  <c r="K68" i="9"/>
  <c r="K74" i="9"/>
  <c r="K70" i="9"/>
  <c r="K75" i="9"/>
  <c r="K73" i="9"/>
  <c r="K89" i="9" s="1"/>
  <c r="K67" i="9"/>
  <c r="K69" i="9"/>
  <c r="K72" i="9"/>
  <c r="K77" i="9"/>
  <c r="K76" i="9"/>
  <c r="K71" i="9"/>
  <c r="K78" i="9"/>
  <c r="N4" i="6"/>
  <c r="N7" i="6" s="1"/>
  <c r="N11" i="6" s="1"/>
  <c r="M13" i="6"/>
  <c r="I64" i="8"/>
  <c r="I96" i="8" s="1"/>
  <c r="K75" i="8"/>
  <c r="K70" i="8"/>
  <c r="K71" i="8"/>
  <c r="K77" i="8"/>
  <c r="K76" i="8"/>
  <c r="K73" i="8"/>
  <c r="K79" i="8"/>
  <c r="K78" i="8"/>
  <c r="K74" i="8"/>
  <c r="K72" i="8"/>
  <c r="K69" i="8"/>
  <c r="P9" i="5"/>
  <c r="P68" i="5" s="1"/>
  <c r="T40" i="5"/>
  <c r="L49" i="8"/>
  <c r="M7" i="8"/>
  <c r="K65" i="8"/>
  <c r="L10" i="8"/>
  <c r="K11" i="8"/>
  <c r="R44" i="5"/>
  <c r="L33" i="8"/>
  <c r="M6" i="8"/>
  <c r="O50" i="5"/>
  <c r="J56" i="8"/>
  <c r="J62" i="8"/>
  <c r="J58" i="8"/>
  <c r="J59" i="8"/>
  <c r="J57" i="8"/>
  <c r="J54" i="8"/>
  <c r="J63" i="8"/>
  <c r="J64" i="8" s="1"/>
  <c r="J61" i="8"/>
  <c r="J53" i="8"/>
  <c r="J55" i="8"/>
  <c r="J60" i="8"/>
  <c r="M8" i="5"/>
  <c r="P43" i="5"/>
  <c r="K25" i="8"/>
  <c r="K31" i="8"/>
  <c r="K27" i="8"/>
  <c r="K26" i="8"/>
  <c r="K22" i="8"/>
  <c r="K29" i="8"/>
  <c r="K23" i="8"/>
  <c r="K30" i="8"/>
  <c r="K28" i="8"/>
  <c r="K21" i="8"/>
  <c r="K24" i="8"/>
  <c r="T41" i="5"/>
  <c r="U41" i="5" s="1"/>
  <c r="N18" i="7"/>
  <c r="M6" i="7"/>
  <c r="L61" i="9"/>
  <c r="L56" i="9"/>
  <c r="L57" i="9"/>
  <c r="L52" i="9"/>
  <c r="L55" i="9"/>
  <c r="L58" i="9"/>
  <c r="L54" i="9"/>
  <c r="L59" i="9"/>
  <c r="L60" i="9"/>
  <c r="L62" i="9"/>
  <c r="L53" i="9"/>
  <c r="L51" i="9"/>
  <c r="K17" i="7"/>
  <c r="K7" i="7"/>
  <c r="K8" i="7" s="1"/>
  <c r="K11" i="7" s="1"/>
  <c r="J14" i="7" s="1"/>
  <c r="L81" i="8"/>
  <c r="L9" i="7"/>
  <c r="M9" i="8"/>
  <c r="K42" i="9"/>
  <c r="K90" i="9" s="1"/>
  <c r="K37" i="9"/>
  <c r="K85" i="9" s="1"/>
  <c r="K44" i="9"/>
  <c r="K92" i="9" s="1"/>
  <c r="K39" i="9"/>
  <c r="K87" i="9" s="1"/>
  <c r="K36" i="9"/>
  <c r="K84" i="9" s="1"/>
  <c r="K45" i="9"/>
  <c r="K93" i="9" s="1"/>
  <c r="K35" i="9"/>
  <c r="K83" i="9" s="1"/>
  <c r="K38" i="9"/>
  <c r="K86" i="9" s="1"/>
  <c r="K43" i="9"/>
  <c r="K91" i="9" s="1"/>
  <c r="K41" i="9"/>
  <c r="K40" i="9"/>
  <c r="L66" i="5"/>
  <c r="M66" i="5" s="1"/>
  <c r="L64" i="5"/>
  <c r="M64" i="5" s="1"/>
  <c r="L65" i="5"/>
  <c r="M65" i="5" s="1"/>
  <c r="L61" i="5"/>
  <c r="M61" i="5" s="1"/>
  <c r="L56" i="5"/>
  <c r="M56" i="5" s="1"/>
  <c r="L57" i="5"/>
  <c r="M57" i="5" s="1"/>
  <c r="L59" i="5"/>
  <c r="M59" i="5" s="1"/>
  <c r="L58" i="5"/>
  <c r="M58" i="5" s="1"/>
  <c r="L62" i="5"/>
  <c r="M62" i="5" s="1"/>
  <c r="L63" i="5"/>
  <c r="M63" i="5" s="1"/>
  <c r="L60" i="5"/>
  <c r="M60" i="5" s="1"/>
  <c r="S46" i="5"/>
  <c r="U46" i="5" s="1"/>
  <c r="T46" i="5"/>
  <c r="S44" i="5"/>
  <c r="K88" i="9"/>
  <c r="P45" i="5"/>
  <c r="M15" i="9"/>
  <c r="N5" i="9"/>
  <c r="M31" i="9"/>
  <c r="Q47" i="5"/>
  <c r="P47" i="5"/>
  <c r="R49" i="5"/>
  <c r="K4" i="9"/>
  <c r="K7" i="9" s="1"/>
  <c r="K11" i="9" s="1"/>
  <c r="J12" i="9"/>
  <c r="L84" i="5"/>
  <c r="L10" i="5"/>
  <c r="L24" i="9"/>
  <c r="L19" i="9"/>
  <c r="L30" i="9" s="1"/>
  <c r="L20" i="9"/>
  <c r="L26" i="9"/>
  <c r="L22" i="9"/>
  <c r="L29" i="9"/>
  <c r="L27" i="9"/>
  <c r="L21" i="9"/>
  <c r="L28" i="9"/>
  <c r="L25" i="9"/>
  <c r="L23" i="9"/>
  <c r="M63" i="9"/>
  <c r="N9" i="9"/>
  <c r="K10" i="5"/>
  <c r="K11" i="5" s="1"/>
  <c r="K84" i="5"/>
  <c r="M6" i="9"/>
  <c r="L47" i="9"/>
  <c r="N68" i="5"/>
  <c r="Q42" i="5"/>
  <c r="O51" i="5"/>
  <c r="J94" i="9"/>
  <c r="K48" i="8" l="1"/>
  <c r="K32" i="8"/>
  <c r="K80" i="8"/>
  <c r="P57" i="5"/>
  <c r="P58" i="5"/>
  <c r="P64" i="5"/>
  <c r="P63" i="5"/>
  <c r="P59" i="5"/>
  <c r="N6" i="9"/>
  <c r="M47" i="9"/>
  <c r="L81" i="5"/>
  <c r="L75" i="5"/>
  <c r="L78" i="5"/>
  <c r="L74" i="5"/>
  <c r="L77" i="5"/>
  <c r="L80" i="5"/>
  <c r="L79" i="5"/>
  <c r="L73" i="5"/>
  <c r="L76" i="5"/>
  <c r="L72" i="5"/>
  <c r="K12" i="9"/>
  <c r="L4" i="9"/>
  <c r="L7" i="9" s="1"/>
  <c r="L11" i="9" s="1"/>
  <c r="S42" i="5"/>
  <c r="U42" i="5" s="1"/>
  <c r="M33" i="8"/>
  <c r="N6" i="8"/>
  <c r="N8" i="5"/>
  <c r="K46" i="9"/>
  <c r="K94" i="9" s="1"/>
  <c r="M81" i="8"/>
  <c r="M9" i="7"/>
  <c r="N9" i="8"/>
  <c r="L17" i="7"/>
  <c r="L7" i="7"/>
  <c r="L8" i="7" s="1"/>
  <c r="L11" i="7" s="1"/>
  <c r="K14" i="7" s="1"/>
  <c r="N63" i="9"/>
  <c r="O9" i="9"/>
  <c r="R47" i="5"/>
  <c r="S47" i="5" s="1"/>
  <c r="L75" i="8"/>
  <c r="L70" i="8"/>
  <c r="L77" i="8"/>
  <c r="L76" i="8"/>
  <c r="L73" i="8"/>
  <c r="L79" i="8"/>
  <c r="L71" i="8"/>
  <c r="L78" i="8"/>
  <c r="L74" i="8"/>
  <c r="L72" i="8"/>
  <c r="L69" i="8"/>
  <c r="L25" i="8"/>
  <c r="L31" i="8"/>
  <c r="L29" i="8"/>
  <c r="L23" i="8"/>
  <c r="L27" i="8"/>
  <c r="L24" i="8"/>
  <c r="L30" i="8"/>
  <c r="L21" i="8"/>
  <c r="L28" i="8"/>
  <c r="L26" i="8"/>
  <c r="L22" i="8"/>
  <c r="Q43" i="5"/>
  <c r="T43" i="5" s="1"/>
  <c r="T42" i="5"/>
  <c r="N59" i="5"/>
  <c r="O59" i="5" s="1"/>
  <c r="N66" i="5"/>
  <c r="O66" i="5" s="1"/>
  <c r="N60" i="5"/>
  <c r="O60" i="5" s="1"/>
  <c r="N65" i="5"/>
  <c r="O65" i="5" s="1"/>
  <c r="N62" i="5"/>
  <c r="P62" i="5" s="1"/>
  <c r="N61" i="5"/>
  <c r="O61" i="5" s="1"/>
  <c r="N56" i="5"/>
  <c r="N67" i="5" s="1"/>
  <c r="N58" i="5"/>
  <c r="O58" i="5" s="1"/>
  <c r="N57" i="5"/>
  <c r="O57" i="5" s="1"/>
  <c r="N64" i="5"/>
  <c r="O64" i="5" s="1"/>
  <c r="N63" i="5"/>
  <c r="O63" i="5" s="1"/>
  <c r="N8" i="9"/>
  <c r="M16" i="9"/>
  <c r="M79" i="9"/>
  <c r="M10" i="9"/>
  <c r="P50" i="5"/>
  <c r="L67" i="5"/>
  <c r="K13" i="5"/>
  <c r="L4" i="5"/>
  <c r="L7" i="5" s="1"/>
  <c r="L11" i="5" s="1"/>
  <c r="K100" i="5"/>
  <c r="M67" i="5"/>
  <c r="O62" i="5"/>
  <c r="R42" i="5"/>
  <c r="K82" i="5"/>
  <c r="K98" i="5" s="1"/>
  <c r="K62" i="8"/>
  <c r="K57" i="8"/>
  <c r="K58" i="8"/>
  <c r="K53" i="8"/>
  <c r="K59" i="8"/>
  <c r="K60" i="8"/>
  <c r="K54" i="8"/>
  <c r="K56" i="8"/>
  <c r="K63" i="8"/>
  <c r="K61" i="8"/>
  <c r="K55" i="8"/>
  <c r="O4" i="6"/>
  <c r="O7" i="6" s="1"/>
  <c r="O11" i="6" s="1"/>
  <c r="N13" i="6"/>
  <c r="M84" i="5"/>
  <c r="M10" i="5"/>
  <c r="R43" i="5"/>
  <c r="S43" i="5" s="1"/>
  <c r="I12" i="8"/>
  <c r="J85" i="8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M61" i="9"/>
  <c r="M56" i="9"/>
  <c r="M52" i="9"/>
  <c r="M55" i="9"/>
  <c r="M58" i="9"/>
  <c r="M62" i="9"/>
  <c r="M54" i="9"/>
  <c r="M59" i="9"/>
  <c r="M57" i="9"/>
  <c r="M60" i="9"/>
  <c r="M53" i="9"/>
  <c r="M51" i="9"/>
  <c r="L87" i="9"/>
  <c r="L85" i="9"/>
  <c r="N7" i="8"/>
  <c r="M49" i="8"/>
  <c r="T44" i="5"/>
  <c r="U44" i="5" s="1"/>
  <c r="L74" i="9"/>
  <c r="L69" i="9"/>
  <c r="L70" i="9"/>
  <c r="L76" i="9"/>
  <c r="L75" i="9"/>
  <c r="L68" i="9"/>
  <c r="L73" i="9"/>
  <c r="L71" i="9"/>
  <c r="L67" i="9"/>
  <c r="L78" i="9"/>
  <c r="L72" i="9"/>
  <c r="L77" i="9"/>
  <c r="O18" i="7"/>
  <c r="N6" i="7"/>
  <c r="P51" i="5"/>
  <c r="M24" i="9"/>
  <c r="M19" i="9"/>
  <c r="M26" i="9"/>
  <c r="M22" i="9"/>
  <c r="M21" i="9"/>
  <c r="M29" i="9"/>
  <c r="M28" i="9"/>
  <c r="M20" i="9"/>
  <c r="M23" i="9"/>
  <c r="M25" i="9"/>
  <c r="M27" i="9"/>
  <c r="N15" i="9"/>
  <c r="N31" i="9"/>
  <c r="O5" i="9"/>
  <c r="L91" i="9"/>
  <c r="Q45" i="5"/>
  <c r="L38" i="8"/>
  <c r="L44" i="8"/>
  <c r="L40" i="8"/>
  <c r="L37" i="8"/>
  <c r="L45" i="8"/>
  <c r="L43" i="8"/>
  <c r="L47" i="8"/>
  <c r="L41" i="8"/>
  <c r="L39" i="8"/>
  <c r="L42" i="8"/>
  <c r="L46" i="8"/>
  <c r="S49" i="5"/>
  <c r="L37" i="9"/>
  <c r="L43" i="9"/>
  <c r="L44" i="9"/>
  <c r="L92" i="9" s="1"/>
  <c r="L39" i="9"/>
  <c r="L36" i="9"/>
  <c r="L84" i="9" s="1"/>
  <c r="L42" i="9"/>
  <c r="L90" i="9" s="1"/>
  <c r="L45" i="9"/>
  <c r="L93" i="9" s="1"/>
  <c r="L35" i="9"/>
  <c r="L83" i="9" s="1"/>
  <c r="L38" i="9"/>
  <c r="L86" i="9" s="1"/>
  <c r="L40" i="9"/>
  <c r="L88" i="9" s="1"/>
  <c r="L41" i="9"/>
  <c r="L89" i="9" s="1"/>
  <c r="L65" i="8"/>
  <c r="M10" i="8"/>
  <c r="L11" i="8"/>
  <c r="Q9" i="5"/>
  <c r="L48" i="8" l="1"/>
  <c r="K64" i="8"/>
  <c r="L32" i="8"/>
  <c r="L80" i="8"/>
  <c r="T47" i="5"/>
  <c r="U47" i="5"/>
  <c r="M44" i="8"/>
  <c r="M39" i="8"/>
  <c r="M40" i="8"/>
  <c r="M46" i="8"/>
  <c r="M37" i="8"/>
  <c r="M43" i="8"/>
  <c r="M38" i="8"/>
  <c r="M41" i="8"/>
  <c r="M47" i="8"/>
  <c r="M45" i="8"/>
  <c r="M42" i="8"/>
  <c r="O13" i="6"/>
  <c r="P4" i="6"/>
  <c r="P7" i="6" s="1"/>
  <c r="P11" i="6" s="1"/>
  <c r="R45" i="5"/>
  <c r="Q50" i="5"/>
  <c r="L12" i="9"/>
  <c r="M4" i="9"/>
  <c r="M7" i="9" s="1"/>
  <c r="M11" i="9" s="1"/>
  <c r="P56" i="5"/>
  <c r="M65" i="8"/>
  <c r="N10" i="8"/>
  <c r="M11" i="8"/>
  <c r="M37" i="9"/>
  <c r="M43" i="9"/>
  <c r="M91" i="9" s="1"/>
  <c r="M39" i="9"/>
  <c r="M87" i="9" s="1"/>
  <c r="M42" i="9"/>
  <c r="M45" i="9"/>
  <c r="M93" i="9" s="1"/>
  <c r="M40" i="9"/>
  <c r="M88" i="9" s="1"/>
  <c r="M44" i="9"/>
  <c r="M35" i="9"/>
  <c r="M83" i="9" s="1"/>
  <c r="M41" i="9"/>
  <c r="M89" i="9" s="1"/>
  <c r="M38" i="9"/>
  <c r="M36" i="9"/>
  <c r="M84" i="9" s="1"/>
  <c r="L46" i="9"/>
  <c r="L94" i="9" s="1"/>
  <c r="O56" i="5"/>
  <c r="O67" i="5" s="1"/>
  <c r="P61" i="5"/>
  <c r="P65" i="5"/>
  <c r="O6" i="9"/>
  <c r="N47" i="9"/>
  <c r="M74" i="9"/>
  <c r="M69" i="9"/>
  <c r="M76" i="9"/>
  <c r="M75" i="9"/>
  <c r="M68" i="9"/>
  <c r="M73" i="9"/>
  <c r="M71" i="9"/>
  <c r="M78" i="9"/>
  <c r="M67" i="9"/>
  <c r="M70" i="9"/>
  <c r="M72" i="9"/>
  <c r="M77" i="9"/>
  <c r="P60" i="5"/>
  <c r="N49" i="8"/>
  <c r="O7" i="8"/>
  <c r="M31" i="8"/>
  <c r="M26" i="8"/>
  <c r="M27" i="8"/>
  <c r="M23" i="8"/>
  <c r="M30" i="8"/>
  <c r="M25" i="8"/>
  <c r="M28" i="8"/>
  <c r="M29" i="8"/>
  <c r="M21" i="8"/>
  <c r="M24" i="8"/>
  <c r="M22" i="8"/>
  <c r="U49" i="5"/>
  <c r="M92" i="9"/>
  <c r="P66" i="5"/>
  <c r="M7" i="7"/>
  <c r="M8" i="7" s="1"/>
  <c r="M11" i="7" s="1"/>
  <c r="L14" i="7" s="1"/>
  <c r="M17" i="7"/>
  <c r="M70" i="8"/>
  <c r="M76" i="8"/>
  <c r="M77" i="8"/>
  <c r="M72" i="8"/>
  <c r="M73" i="8"/>
  <c r="M79" i="8"/>
  <c r="M74" i="8"/>
  <c r="M71" i="8"/>
  <c r="M78" i="8"/>
  <c r="M69" i="8"/>
  <c r="M75" i="8"/>
  <c r="M72" i="5"/>
  <c r="M75" i="5"/>
  <c r="M82" i="5"/>
  <c r="M77" i="5"/>
  <c r="M78" i="5"/>
  <c r="M81" i="5"/>
  <c r="M74" i="5"/>
  <c r="M80" i="5"/>
  <c r="M79" i="5"/>
  <c r="M83" i="5" s="1"/>
  <c r="M76" i="5"/>
  <c r="M73" i="5"/>
  <c r="N84" i="5"/>
  <c r="N10" i="5"/>
  <c r="O8" i="5"/>
  <c r="L100" i="5"/>
  <c r="L13" i="5"/>
  <c r="M4" i="5"/>
  <c r="M7" i="5" s="1"/>
  <c r="M11" i="5" s="1"/>
  <c r="Q68" i="5"/>
  <c r="R9" i="5"/>
  <c r="N16" i="9"/>
  <c r="N10" i="9"/>
  <c r="N79" i="9"/>
  <c r="O8" i="9"/>
  <c r="N33" i="8"/>
  <c r="O6" i="8"/>
  <c r="M85" i="9"/>
  <c r="P9" i="9"/>
  <c r="O63" i="9"/>
  <c r="M86" i="9"/>
  <c r="N56" i="9"/>
  <c r="N62" i="9"/>
  <c r="N51" i="9"/>
  <c r="N52" i="9"/>
  <c r="N58" i="9"/>
  <c r="N55" i="9"/>
  <c r="N61" i="9"/>
  <c r="N59" i="9"/>
  <c r="N53" i="9"/>
  <c r="N54" i="9"/>
  <c r="N57" i="9"/>
  <c r="N60" i="9"/>
  <c r="M90" i="9"/>
  <c r="T49" i="5"/>
  <c r="K83" i="5"/>
  <c r="K99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P18" i="7"/>
  <c r="O6" i="7"/>
  <c r="O15" i="9"/>
  <c r="O31" i="9"/>
  <c r="P5" i="9"/>
  <c r="U43" i="5"/>
  <c r="K85" i="8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J12" i="8"/>
  <c r="L82" i="5"/>
  <c r="L83" i="5" s="1"/>
  <c r="L62" i="8"/>
  <c r="L57" i="8"/>
  <c r="L53" i="8"/>
  <c r="L59" i="8"/>
  <c r="L55" i="8"/>
  <c r="L60" i="8"/>
  <c r="L58" i="8"/>
  <c r="L56" i="8"/>
  <c r="L54" i="8"/>
  <c r="L63" i="8"/>
  <c r="L61" i="8"/>
  <c r="N30" i="9"/>
  <c r="N19" i="9"/>
  <c r="N25" i="9"/>
  <c r="N26" i="9"/>
  <c r="N21" i="9"/>
  <c r="N24" i="9"/>
  <c r="N22" i="9"/>
  <c r="N20" i="9"/>
  <c r="N29" i="9"/>
  <c r="N28" i="9"/>
  <c r="N23" i="9"/>
  <c r="N27" i="9"/>
  <c r="M30" i="9"/>
  <c r="I14" i="8"/>
  <c r="J5" i="8"/>
  <c r="J8" i="8" s="1"/>
  <c r="N81" i="8"/>
  <c r="N9" i="7"/>
  <c r="O9" i="8"/>
  <c r="M80" i="8" l="1"/>
  <c r="M48" i="8"/>
  <c r="L64" i="8"/>
  <c r="M32" i="8"/>
  <c r="Q18" i="7"/>
  <c r="P6" i="7"/>
  <c r="N69" i="9"/>
  <c r="N75" i="9"/>
  <c r="N76" i="9"/>
  <c r="N71" i="9"/>
  <c r="N73" i="9"/>
  <c r="N78" i="9"/>
  <c r="N67" i="9"/>
  <c r="N70" i="9"/>
  <c r="N72" i="9"/>
  <c r="N77" i="9"/>
  <c r="N68" i="9"/>
  <c r="N84" i="9" s="1"/>
  <c r="N74" i="9"/>
  <c r="Q9" i="9"/>
  <c r="P63" i="9"/>
  <c r="R68" i="5"/>
  <c r="S9" i="5"/>
  <c r="O16" i="9"/>
  <c r="O10" i="9"/>
  <c r="O79" i="9"/>
  <c r="P8" i="9"/>
  <c r="Q66" i="5"/>
  <c r="Q60" i="5"/>
  <c r="Q61" i="5"/>
  <c r="Q56" i="5"/>
  <c r="Q67" i="5" s="1"/>
  <c r="Q57" i="5"/>
  <c r="Q58" i="5"/>
  <c r="Q62" i="5"/>
  <c r="Q64" i="5"/>
  <c r="Q59" i="5"/>
  <c r="Q65" i="5"/>
  <c r="Q63" i="5"/>
  <c r="N43" i="9"/>
  <c r="N91" i="9" s="1"/>
  <c r="N38" i="9"/>
  <c r="N86" i="9" s="1"/>
  <c r="N39" i="9"/>
  <c r="N87" i="9" s="1"/>
  <c r="N45" i="9"/>
  <c r="N93" i="9" s="1"/>
  <c r="N40" i="9"/>
  <c r="N88" i="9" s="1"/>
  <c r="N42" i="9"/>
  <c r="N90" i="9" s="1"/>
  <c r="N36" i="9"/>
  <c r="N35" i="9"/>
  <c r="N37" i="9"/>
  <c r="N41" i="9"/>
  <c r="N44" i="9"/>
  <c r="N65" i="8"/>
  <c r="O10" i="8"/>
  <c r="N11" i="8"/>
  <c r="M46" i="9"/>
  <c r="M100" i="5"/>
  <c r="M13" i="5"/>
  <c r="N4" i="5"/>
  <c r="N7" i="5" s="1"/>
  <c r="N11" i="5" s="1"/>
  <c r="P6" i="9"/>
  <c r="O47" i="9"/>
  <c r="M57" i="8"/>
  <c r="M63" i="8"/>
  <c r="M53" i="8"/>
  <c r="M59" i="8"/>
  <c r="M62" i="8"/>
  <c r="M60" i="8"/>
  <c r="M58" i="8"/>
  <c r="M54" i="8"/>
  <c r="M61" i="8"/>
  <c r="M56" i="8"/>
  <c r="M55" i="8"/>
  <c r="P31" i="9"/>
  <c r="P15" i="9"/>
  <c r="Q5" i="9"/>
  <c r="N7" i="7"/>
  <c r="N8" i="7" s="1"/>
  <c r="N11" i="7" s="1"/>
  <c r="M14" i="7" s="1"/>
  <c r="N17" i="7"/>
  <c r="O9" i="7"/>
  <c r="P9" i="8"/>
  <c r="O81" i="8"/>
  <c r="K12" i="8"/>
  <c r="L85" i="8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O49" i="8"/>
  <c r="P7" i="8"/>
  <c r="O19" i="9"/>
  <c r="O25" i="9"/>
  <c r="O21" i="9"/>
  <c r="O24" i="9"/>
  <c r="O22" i="9"/>
  <c r="O20" i="9"/>
  <c r="O29" i="9"/>
  <c r="O27" i="9"/>
  <c r="O26" i="9"/>
  <c r="O23" i="9"/>
  <c r="O28" i="9"/>
  <c r="O56" i="9"/>
  <c r="O62" i="9"/>
  <c r="O51" i="9"/>
  <c r="O58" i="9"/>
  <c r="O61" i="9"/>
  <c r="O52" i="9"/>
  <c r="O59" i="9"/>
  <c r="O53" i="9"/>
  <c r="O54" i="9"/>
  <c r="O57" i="9"/>
  <c r="O55" i="9"/>
  <c r="O60" i="9"/>
  <c r="N31" i="8"/>
  <c r="N26" i="8"/>
  <c r="N23" i="8"/>
  <c r="N25" i="8"/>
  <c r="N28" i="8"/>
  <c r="N21" i="8"/>
  <c r="N22" i="8"/>
  <c r="N32" i="8" s="1"/>
  <c r="N30" i="8"/>
  <c r="N29" i="8"/>
  <c r="N27" i="8"/>
  <c r="N24" i="8"/>
  <c r="P67" i="5"/>
  <c r="N44" i="8"/>
  <c r="N39" i="8"/>
  <c r="N46" i="8"/>
  <c r="N37" i="8"/>
  <c r="N43" i="8"/>
  <c r="N40" i="8"/>
  <c r="N38" i="8"/>
  <c r="N47" i="8"/>
  <c r="N45" i="8"/>
  <c r="N41" i="8"/>
  <c r="N42" i="8"/>
  <c r="S50" i="5"/>
  <c r="Q51" i="5"/>
  <c r="O33" i="8"/>
  <c r="P6" i="8"/>
  <c r="M12" i="9"/>
  <c r="N4" i="9"/>
  <c r="N7" i="9" s="1"/>
  <c r="N11" i="9" s="1"/>
  <c r="N72" i="5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82" i="5"/>
  <c r="N77" i="5"/>
  <c r="N81" i="5"/>
  <c r="N75" i="5"/>
  <c r="N76" i="5"/>
  <c r="N74" i="5"/>
  <c r="N80" i="5"/>
  <c r="N78" i="5"/>
  <c r="N79" i="5"/>
  <c r="N73" i="5"/>
  <c r="N83" i="5" s="1"/>
  <c r="R50" i="5"/>
  <c r="N70" i="8"/>
  <c r="N76" i="8"/>
  <c r="N72" i="8"/>
  <c r="N73" i="8"/>
  <c r="N79" i="8"/>
  <c r="N71" i="8"/>
  <c r="N78" i="8"/>
  <c r="N69" i="8"/>
  <c r="N74" i="8"/>
  <c r="N77" i="8"/>
  <c r="N75" i="8"/>
  <c r="N92" i="9"/>
  <c r="J14" i="8"/>
  <c r="K5" i="8"/>
  <c r="K8" i="8" s="1"/>
  <c r="N89" i="9"/>
  <c r="S45" i="5"/>
  <c r="S51" i="5" s="1"/>
  <c r="Q4" i="6"/>
  <c r="Q7" i="6" s="1"/>
  <c r="Q11" i="6" s="1"/>
  <c r="P13" i="6"/>
  <c r="M94" i="9"/>
  <c r="O84" i="5"/>
  <c r="O10" i="5"/>
  <c r="P8" i="5"/>
  <c r="N85" i="9"/>
  <c r="N83" i="9"/>
  <c r="N80" i="8" l="1"/>
  <c r="M64" i="8"/>
  <c r="N48" i="8"/>
  <c r="S68" i="5"/>
  <c r="T9" i="5"/>
  <c r="R61" i="5"/>
  <c r="R56" i="5"/>
  <c r="R67" i="5" s="1"/>
  <c r="R57" i="5"/>
  <c r="R66" i="5"/>
  <c r="R58" i="5"/>
  <c r="R62" i="5"/>
  <c r="R59" i="5"/>
  <c r="R65" i="5"/>
  <c r="R60" i="5"/>
  <c r="R63" i="5"/>
  <c r="R64" i="5"/>
  <c r="P62" i="9"/>
  <c r="P51" i="9"/>
  <c r="P57" i="9"/>
  <c r="P58" i="9"/>
  <c r="P53" i="9"/>
  <c r="P52" i="9"/>
  <c r="P61" i="9"/>
  <c r="P55" i="9"/>
  <c r="P59" i="9"/>
  <c r="P56" i="9"/>
  <c r="P54" i="9"/>
  <c r="P60" i="9"/>
  <c r="O30" i="9"/>
  <c r="Q63" i="9"/>
  <c r="R9" i="9"/>
  <c r="O76" i="8"/>
  <c r="O71" i="8"/>
  <c r="O72" i="8"/>
  <c r="O78" i="8"/>
  <c r="O79" i="8"/>
  <c r="O77" i="8"/>
  <c r="O73" i="8"/>
  <c r="O74" i="8"/>
  <c r="O70" i="8"/>
  <c r="O75" i="8"/>
  <c r="O69" i="8"/>
  <c r="O80" i="8" s="1"/>
  <c r="O4" i="5"/>
  <c r="O7" i="5" s="1"/>
  <c r="O11" i="5" s="1"/>
  <c r="N13" i="5"/>
  <c r="N100" i="5"/>
  <c r="O39" i="8"/>
  <c r="O45" i="8"/>
  <c r="O46" i="8"/>
  <c r="O41" i="8"/>
  <c r="O37" i="8"/>
  <c r="O43" i="8"/>
  <c r="O40" i="8"/>
  <c r="O47" i="8"/>
  <c r="O38" i="8"/>
  <c r="O44" i="8"/>
  <c r="O42" i="8"/>
  <c r="Q9" i="8"/>
  <c r="P81" i="8"/>
  <c r="P9" i="7"/>
  <c r="Q6" i="9"/>
  <c r="P47" i="9"/>
  <c r="N12" i="9"/>
  <c r="O4" i="9"/>
  <c r="O7" i="9" s="1"/>
  <c r="O11" i="9" s="1"/>
  <c r="Q31" i="9"/>
  <c r="Q15" i="9"/>
  <c r="R5" i="9"/>
  <c r="O65" i="8"/>
  <c r="P10" i="8"/>
  <c r="O11" i="8"/>
  <c r="K14" i="8"/>
  <c r="L5" i="8"/>
  <c r="L8" i="8" s="1"/>
  <c r="T45" i="5"/>
  <c r="U45" i="5" s="1"/>
  <c r="Q13" i="6"/>
  <c r="R4" i="6"/>
  <c r="R7" i="6" s="1"/>
  <c r="R11" i="6" s="1"/>
  <c r="N46" i="9"/>
  <c r="N94" i="9" s="1"/>
  <c r="N57" i="8"/>
  <c r="N63" i="8"/>
  <c r="N59" i="8"/>
  <c r="N54" i="8"/>
  <c r="N62" i="8"/>
  <c r="N55" i="8"/>
  <c r="N60" i="8"/>
  <c r="N58" i="8"/>
  <c r="N56" i="8"/>
  <c r="N53" i="8"/>
  <c r="N61" i="8"/>
  <c r="P33" i="8"/>
  <c r="Q6" i="8"/>
  <c r="P25" i="9"/>
  <c r="P20" i="9"/>
  <c r="P21" i="9"/>
  <c r="P27" i="9"/>
  <c r="P29" i="9"/>
  <c r="P24" i="9"/>
  <c r="P26" i="9"/>
  <c r="P23" i="9"/>
  <c r="P28" i="9"/>
  <c r="P22" i="9"/>
  <c r="P19" i="9"/>
  <c r="P30" i="9" s="1"/>
  <c r="O85" i="9"/>
  <c r="O89" i="9"/>
  <c r="P49" i="8"/>
  <c r="Q7" i="8"/>
  <c r="M85" i="8"/>
  <c r="M86" i="8" s="1"/>
  <c r="M87" i="8" s="1"/>
  <c r="M88" i="8" s="1"/>
  <c r="M89" i="8" s="1"/>
  <c r="M90" i="8" s="1"/>
  <c r="M91" i="8" s="1"/>
  <c r="M92" i="8" s="1"/>
  <c r="M93" i="8" s="1"/>
  <c r="M94" i="8" s="1"/>
  <c r="M95" i="8" s="1"/>
  <c r="M96" i="8" s="1"/>
  <c r="L12" i="8"/>
  <c r="O43" i="9"/>
  <c r="O38" i="9"/>
  <c r="O86" i="9" s="1"/>
  <c r="O45" i="9"/>
  <c r="O39" i="9"/>
  <c r="O42" i="9"/>
  <c r="O90" i="9" s="1"/>
  <c r="O40" i="9"/>
  <c r="O88" i="9" s="1"/>
  <c r="O35" i="9"/>
  <c r="O83" i="9" s="1"/>
  <c r="O37" i="9"/>
  <c r="O41" i="9"/>
  <c r="O44" i="9"/>
  <c r="O92" i="9" s="1"/>
  <c r="O36" i="9"/>
  <c r="O84" i="9" s="1"/>
  <c r="P84" i="5"/>
  <c r="P10" i="5"/>
  <c r="O26" i="8"/>
  <c r="O28" i="8"/>
  <c r="O23" i="8"/>
  <c r="O30" i="8"/>
  <c r="O25" i="8"/>
  <c r="O21" i="8"/>
  <c r="O24" i="8"/>
  <c r="O22" i="8"/>
  <c r="O29" i="8"/>
  <c r="O27" i="8"/>
  <c r="O31" i="8"/>
  <c r="O91" i="9"/>
  <c r="Q8" i="9"/>
  <c r="P16" i="9"/>
  <c r="P10" i="9"/>
  <c r="P79" i="9"/>
  <c r="O74" i="5"/>
  <c r="O77" i="5"/>
  <c r="O72" i="5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76" i="5"/>
  <c r="O79" i="5"/>
  <c r="O80" i="5"/>
  <c r="O73" i="5"/>
  <c r="O83" i="5" s="1"/>
  <c r="O78" i="5"/>
  <c r="O82" i="5"/>
  <c r="O75" i="5"/>
  <c r="O81" i="5"/>
  <c r="O69" i="9"/>
  <c r="O75" i="9"/>
  <c r="O71" i="9"/>
  <c r="O73" i="9"/>
  <c r="O78" i="9"/>
  <c r="O67" i="9"/>
  <c r="O70" i="9"/>
  <c r="O72" i="9"/>
  <c r="O77" i="9"/>
  <c r="O93" i="9" s="1"/>
  <c r="O68" i="9"/>
  <c r="O76" i="9"/>
  <c r="O74" i="9"/>
  <c r="O17" i="7"/>
  <c r="O7" i="7"/>
  <c r="O8" i="7" s="1"/>
  <c r="O11" i="7" s="1"/>
  <c r="N14" i="7" s="1"/>
  <c r="O87" i="9"/>
  <c r="Q8" i="5"/>
  <c r="R18" i="7"/>
  <c r="R6" i="7" s="1"/>
  <c r="Q6" i="7"/>
  <c r="R51" i="5"/>
  <c r="T50" i="5"/>
  <c r="N64" i="8" l="1"/>
  <c r="O32" i="8"/>
  <c r="O48" i="8"/>
  <c r="O99" i="5"/>
  <c r="P17" i="7"/>
  <c r="P7" i="7"/>
  <c r="P8" i="7" s="1"/>
  <c r="P11" i="7" s="1"/>
  <c r="O14" i="7" s="1"/>
  <c r="O94" i="9"/>
  <c r="O12" i="9"/>
  <c r="P4" i="9"/>
  <c r="P7" i="9" s="1"/>
  <c r="P11" i="9" s="1"/>
  <c r="P76" i="8"/>
  <c r="P71" i="8"/>
  <c r="P78" i="8"/>
  <c r="P69" i="8"/>
  <c r="P74" i="8"/>
  <c r="P72" i="8"/>
  <c r="P70" i="8"/>
  <c r="P73" i="8"/>
  <c r="P75" i="8"/>
  <c r="P77" i="8"/>
  <c r="P79" i="8"/>
  <c r="R13" i="6"/>
  <c r="S4" i="6"/>
  <c r="S7" i="6" s="1"/>
  <c r="S11" i="6" s="1"/>
  <c r="R63" i="9"/>
  <c r="S9" i="9"/>
  <c r="S63" i="9" s="1"/>
  <c r="O46" i="9"/>
  <c r="Q49" i="8"/>
  <c r="R7" i="8"/>
  <c r="P74" i="5"/>
  <c r="P77" i="5"/>
  <c r="P72" i="5"/>
  <c r="P83" i="5" s="1"/>
  <c r="P80" i="5"/>
  <c r="P79" i="5"/>
  <c r="P73" i="5"/>
  <c r="P76" i="5"/>
  <c r="P82" i="5"/>
  <c r="P78" i="5"/>
  <c r="P75" i="5"/>
  <c r="P81" i="5"/>
  <c r="R8" i="9"/>
  <c r="Q16" i="9"/>
  <c r="Q10" i="9"/>
  <c r="Q79" i="9"/>
  <c r="Q33" i="8"/>
  <c r="R6" i="8"/>
  <c r="O63" i="8"/>
  <c r="O58" i="8"/>
  <c r="O59" i="8"/>
  <c r="O54" i="8"/>
  <c r="O57" i="8"/>
  <c r="O60" i="8"/>
  <c r="O62" i="8"/>
  <c r="O55" i="8"/>
  <c r="O56" i="8"/>
  <c r="O61" i="8"/>
  <c r="O53" i="8"/>
  <c r="O64" i="8" s="1"/>
  <c r="Q10" i="5"/>
  <c r="Q84" i="5"/>
  <c r="R8" i="5"/>
  <c r="R6" i="9"/>
  <c r="Q47" i="9"/>
  <c r="R9" i="8"/>
  <c r="Q9" i="7"/>
  <c r="Q81" i="8"/>
  <c r="P75" i="9"/>
  <c r="P70" i="9"/>
  <c r="P86" i="9" s="1"/>
  <c r="P71" i="9"/>
  <c r="P77" i="9"/>
  <c r="P73" i="9"/>
  <c r="P78" i="9"/>
  <c r="P76" i="9"/>
  <c r="P92" i="9" s="1"/>
  <c r="P69" i="9"/>
  <c r="P67" i="9"/>
  <c r="P83" i="9" s="1"/>
  <c r="P72" i="9"/>
  <c r="P68" i="9"/>
  <c r="P74" i="9"/>
  <c r="P93" i="9"/>
  <c r="Q62" i="9"/>
  <c r="Q51" i="9"/>
  <c r="Q57" i="9"/>
  <c r="Q53" i="9"/>
  <c r="Q58" i="9"/>
  <c r="Q59" i="9"/>
  <c r="Q56" i="9"/>
  <c r="Q61" i="9"/>
  <c r="Q52" i="9"/>
  <c r="Q60" i="9"/>
  <c r="Q55" i="9"/>
  <c r="Q54" i="9"/>
  <c r="R31" i="9"/>
  <c r="R15" i="9"/>
  <c r="S5" i="9"/>
  <c r="T68" i="5"/>
  <c r="U9" i="5"/>
  <c r="U68" i="5" s="1"/>
  <c r="P39" i="8"/>
  <c r="P45" i="8"/>
  <c r="P41" i="8"/>
  <c r="P37" i="8"/>
  <c r="P43" i="8"/>
  <c r="P40" i="8"/>
  <c r="P38" i="8"/>
  <c r="P47" i="8"/>
  <c r="P44" i="8"/>
  <c r="P42" i="8"/>
  <c r="P46" i="8"/>
  <c r="P38" i="9"/>
  <c r="P44" i="9"/>
  <c r="P45" i="9"/>
  <c r="P40" i="9"/>
  <c r="P88" i="9" s="1"/>
  <c r="P37" i="9"/>
  <c r="P85" i="9" s="1"/>
  <c r="P43" i="9"/>
  <c r="P91" i="9" s="1"/>
  <c r="P35" i="9"/>
  <c r="P41" i="9"/>
  <c r="P42" i="9"/>
  <c r="P90" i="9" s="1"/>
  <c r="P39" i="9"/>
  <c r="P87" i="9" s="1"/>
  <c r="P36" i="9"/>
  <c r="P84" i="9" s="1"/>
  <c r="P46" i="9"/>
  <c r="P94" i="9" s="1"/>
  <c r="T51" i="5"/>
  <c r="S56" i="5"/>
  <c r="S67" i="5" s="1"/>
  <c r="S61" i="5"/>
  <c r="S57" i="5"/>
  <c r="S66" i="5"/>
  <c r="S58" i="5"/>
  <c r="S62" i="5"/>
  <c r="S63" i="5"/>
  <c r="S59" i="5"/>
  <c r="S65" i="5"/>
  <c r="S60" i="5"/>
  <c r="S64" i="5"/>
  <c r="P65" i="8"/>
  <c r="Q10" i="8"/>
  <c r="P11" i="8"/>
  <c r="P26" i="8"/>
  <c r="P30" i="8"/>
  <c r="P24" i="8"/>
  <c r="P28" i="8"/>
  <c r="P23" i="8"/>
  <c r="P21" i="8"/>
  <c r="P27" i="8"/>
  <c r="P25" i="8"/>
  <c r="P22" i="8"/>
  <c r="P29" i="8"/>
  <c r="P31" i="8"/>
  <c r="U50" i="5"/>
  <c r="U51" i="5" s="1"/>
  <c r="L14" i="8"/>
  <c r="M5" i="8"/>
  <c r="M8" i="8" s="1"/>
  <c r="Q25" i="9"/>
  <c r="Q20" i="9"/>
  <c r="Q27" i="9"/>
  <c r="Q29" i="9"/>
  <c r="Q24" i="9"/>
  <c r="Q21" i="9"/>
  <c r="Q26" i="9"/>
  <c r="Q23" i="9"/>
  <c r="Q22" i="9"/>
  <c r="Q28" i="9"/>
  <c r="Q19" i="9"/>
  <c r="Q30" i="9" s="1"/>
  <c r="P89" i="9"/>
  <c r="N85" i="8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N96" i="8" s="1"/>
  <c r="M12" i="8"/>
  <c r="O100" i="5"/>
  <c r="P4" i="5"/>
  <c r="P7" i="5" s="1"/>
  <c r="P11" i="5" s="1"/>
  <c r="O13" i="5"/>
  <c r="P80" i="8" l="1"/>
  <c r="P48" i="8"/>
  <c r="P32" i="8"/>
  <c r="O85" i="8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N12" i="8"/>
  <c r="P100" i="5"/>
  <c r="P13" i="5"/>
  <c r="Q4" i="5"/>
  <c r="Q7" i="5" s="1"/>
  <c r="Q11" i="5" s="1"/>
  <c r="S31" i="9"/>
  <c r="S15" i="9"/>
  <c r="R49" i="8"/>
  <c r="S7" i="8"/>
  <c r="S49" i="8" s="1"/>
  <c r="Q4" i="9"/>
  <c r="Q7" i="9" s="1"/>
  <c r="Q11" i="9" s="1"/>
  <c r="P12" i="9"/>
  <c r="P63" i="8"/>
  <c r="P58" i="8"/>
  <c r="P54" i="8"/>
  <c r="P57" i="8"/>
  <c r="P60" i="8"/>
  <c r="P59" i="8"/>
  <c r="P62" i="8"/>
  <c r="P55" i="8"/>
  <c r="P53" i="8"/>
  <c r="P56" i="8"/>
  <c r="P61" i="8"/>
  <c r="S6" i="8"/>
  <c r="S33" i="8" s="1"/>
  <c r="R33" i="8"/>
  <c r="Q76" i="5"/>
  <c r="Q77" i="5"/>
  <c r="Q72" i="5"/>
  <c r="Q79" i="5"/>
  <c r="Q74" i="5"/>
  <c r="Q80" i="5"/>
  <c r="Q73" i="5"/>
  <c r="Q83" i="5" s="1"/>
  <c r="Q75" i="5"/>
  <c r="Q78" i="5"/>
  <c r="Q82" i="5"/>
  <c r="Q81" i="5"/>
  <c r="Q85" i="9"/>
  <c r="U61" i="5"/>
  <c r="U60" i="5"/>
  <c r="Q75" i="9"/>
  <c r="Q70" i="9"/>
  <c r="Q77" i="9"/>
  <c r="Q73" i="9"/>
  <c r="Q89" i="9" s="1"/>
  <c r="Q71" i="9"/>
  <c r="Q78" i="9"/>
  <c r="Q76" i="9"/>
  <c r="Q92" i="9" s="1"/>
  <c r="Q69" i="9"/>
  <c r="Q67" i="9"/>
  <c r="Q72" i="9"/>
  <c r="Q68" i="9"/>
  <c r="Q74" i="9"/>
  <c r="Q17" i="7"/>
  <c r="Q7" i="7"/>
  <c r="Q8" i="7" s="1"/>
  <c r="Q11" i="7" s="1"/>
  <c r="P14" i="7" s="1"/>
  <c r="N5" i="8"/>
  <c r="N8" i="8" s="1"/>
  <c r="M14" i="8"/>
  <c r="Q90" i="9"/>
  <c r="R9" i="7"/>
  <c r="S9" i="8"/>
  <c r="S81" i="8" s="1"/>
  <c r="R81" i="8"/>
  <c r="S57" i="9"/>
  <c r="S52" i="9"/>
  <c r="S59" i="9"/>
  <c r="S56" i="9"/>
  <c r="S60" i="9"/>
  <c r="S62" i="9"/>
  <c r="S53" i="9"/>
  <c r="S58" i="9"/>
  <c r="S51" i="9"/>
  <c r="T60" i="5"/>
  <c r="T61" i="5"/>
  <c r="T62" i="5"/>
  <c r="U62" i="5" s="1"/>
  <c r="T63" i="5"/>
  <c r="U63" i="5" s="1"/>
  <c r="T57" i="5"/>
  <c r="U57" i="5" s="1"/>
  <c r="T66" i="5"/>
  <c r="U66" i="5" s="1"/>
  <c r="T58" i="5"/>
  <c r="U58" i="5" s="1"/>
  <c r="T59" i="5"/>
  <c r="U59" i="5" s="1"/>
  <c r="T64" i="5"/>
  <c r="U64" i="5" s="1"/>
  <c r="T65" i="5"/>
  <c r="U65" i="5" s="1"/>
  <c r="T56" i="5"/>
  <c r="T67" i="5" s="1"/>
  <c r="Q38" i="9"/>
  <c r="Q86" i="9" s="1"/>
  <c r="Q44" i="9"/>
  <c r="Q40" i="9"/>
  <c r="Q45" i="9"/>
  <c r="Q93" i="9" s="1"/>
  <c r="Q37" i="9"/>
  <c r="Q46" i="9"/>
  <c r="Q94" i="9" s="1"/>
  <c r="Q43" i="9"/>
  <c r="Q91" i="9" s="1"/>
  <c r="Q36" i="9"/>
  <c r="Q84" i="9" s="1"/>
  <c r="Q35" i="9"/>
  <c r="Q83" i="9" s="1"/>
  <c r="Q41" i="9"/>
  <c r="Q39" i="9"/>
  <c r="Q87" i="9" s="1"/>
  <c r="Q42" i="9"/>
  <c r="S8" i="9"/>
  <c r="R16" i="9"/>
  <c r="R10" i="9"/>
  <c r="R79" i="9"/>
  <c r="R57" i="9"/>
  <c r="R52" i="9"/>
  <c r="R53" i="9"/>
  <c r="R59" i="9"/>
  <c r="R58" i="9"/>
  <c r="R56" i="9"/>
  <c r="R62" i="9"/>
  <c r="R61" i="9"/>
  <c r="S61" i="9" s="1"/>
  <c r="R54" i="9"/>
  <c r="S54" i="9" s="1"/>
  <c r="R60" i="9"/>
  <c r="R55" i="9"/>
  <c r="S55" i="9" s="1"/>
  <c r="R51" i="9"/>
  <c r="Q88" i="9"/>
  <c r="Q27" i="8"/>
  <c r="Q28" i="8"/>
  <c r="Q30" i="8"/>
  <c r="Q24" i="8"/>
  <c r="Q23" i="8"/>
  <c r="Q21" i="8"/>
  <c r="Q32" i="8" s="1"/>
  <c r="Q22" i="8"/>
  <c r="Q31" i="8"/>
  <c r="Q25" i="8"/>
  <c r="Q29" i="8"/>
  <c r="Q26" i="8"/>
  <c r="Q71" i="8"/>
  <c r="Q77" i="8"/>
  <c r="Q78" i="8"/>
  <c r="Q73" i="8"/>
  <c r="Q74" i="8"/>
  <c r="Q69" i="8"/>
  <c r="Q76" i="8"/>
  <c r="Q72" i="8"/>
  <c r="Q70" i="8"/>
  <c r="Q75" i="8"/>
  <c r="Q79" i="8"/>
  <c r="S6" i="9"/>
  <c r="S47" i="9" s="1"/>
  <c r="R47" i="9"/>
  <c r="P88" i="5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R20" i="9"/>
  <c r="R26" i="9"/>
  <c r="R27" i="9"/>
  <c r="R22" i="9"/>
  <c r="R29" i="9"/>
  <c r="R25" i="9"/>
  <c r="R23" i="9"/>
  <c r="R28" i="9"/>
  <c r="R24" i="9"/>
  <c r="R19" i="9"/>
  <c r="R21" i="9"/>
  <c r="R30" i="9" s="1"/>
  <c r="Q65" i="8"/>
  <c r="R10" i="8"/>
  <c r="Q11" i="8"/>
  <c r="Q45" i="8"/>
  <c r="Q40" i="8"/>
  <c r="Q41" i="8"/>
  <c r="Q47" i="8"/>
  <c r="Q43" i="8"/>
  <c r="Q46" i="8"/>
  <c r="Q44" i="8"/>
  <c r="Q39" i="8"/>
  <c r="Q37" i="8"/>
  <c r="Q38" i="8"/>
  <c r="Q42" i="8"/>
  <c r="R10" i="5"/>
  <c r="R84" i="5"/>
  <c r="S8" i="5"/>
  <c r="S13" i="6"/>
  <c r="T4" i="6"/>
  <c r="T7" i="6" s="1"/>
  <c r="T11" i="6" s="1"/>
  <c r="P64" i="8" l="1"/>
  <c r="Q48" i="8"/>
  <c r="Q80" i="8"/>
  <c r="R4" i="9"/>
  <c r="R7" i="9" s="1"/>
  <c r="R11" i="9" s="1"/>
  <c r="Q12" i="9"/>
  <c r="R45" i="8"/>
  <c r="S45" i="8" s="1"/>
  <c r="R40" i="8"/>
  <c r="S40" i="8" s="1"/>
  <c r="R47" i="8"/>
  <c r="S47" i="8" s="1"/>
  <c r="R46" i="8"/>
  <c r="S46" i="8" s="1"/>
  <c r="R43" i="8"/>
  <c r="S43" i="8" s="1"/>
  <c r="R41" i="8"/>
  <c r="S41" i="8" s="1"/>
  <c r="R39" i="8"/>
  <c r="S39" i="8" s="1"/>
  <c r="R37" i="8"/>
  <c r="S37" i="8" s="1"/>
  <c r="R42" i="8"/>
  <c r="S42" i="8" s="1"/>
  <c r="R38" i="8"/>
  <c r="S38" i="8" s="1"/>
  <c r="R44" i="8"/>
  <c r="S44" i="8" s="1"/>
  <c r="R76" i="5"/>
  <c r="R72" i="5"/>
  <c r="R79" i="5"/>
  <c r="R74" i="5"/>
  <c r="R80" i="5"/>
  <c r="R77" i="5"/>
  <c r="R82" i="5"/>
  <c r="R73" i="5"/>
  <c r="R83" i="5" s="1"/>
  <c r="R78" i="5"/>
  <c r="R75" i="5"/>
  <c r="R81" i="5"/>
  <c r="S72" i="8"/>
  <c r="S79" i="8"/>
  <c r="S78" i="8"/>
  <c r="S76" i="8"/>
  <c r="S70" i="8"/>
  <c r="S10" i="8"/>
  <c r="R11" i="8"/>
  <c r="R65" i="8"/>
  <c r="U56" i="5"/>
  <c r="U67" i="5" s="1"/>
  <c r="R17" i="7"/>
  <c r="R7" i="7"/>
  <c r="R8" i="7" s="1"/>
  <c r="R11" i="7" s="1"/>
  <c r="Q14" i="7" s="1"/>
  <c r="R27" i="8"/>
  <c r="S27" i="8" s="1"/>
  <c r="R30" i="8"/>
  <c r="S30" i="8" s="1"/>
  <c r="R24" i="8"/>
  <c r="S24" i="8" s="1"/>
  <c r="R23" i="8"/>
  <c r="S23" i="8" s="1"/>
  <c r="R28" i="8"/>
  <c r="S28" i="8" s="1"/>
  <c r="R21" i="8"/>
  <c r="R22" i="8"/>
  <c r="S22" i="8" s="1"/>
  <c r="R26" i="8"/>
  <c r="S26" i="8" s="1"/>
  <c r="R25" i="8"/>
  <c r="S25" i="8" s="1"/>
  <c r="R31" i="8"/>
  <c r="S31" i="8" s="1"/>
  <c r="R29" i="8"/>
  <c r="S29" i="8" s="1"/>
  <c r="S20" i="9"/>
  <c r="S26" i="9"/>
  <c r="S22" i="9"/>
  <c r="S29" i="9"/>
  <c r="S27" i="9"/>
  <c r="S25" i="9"/>
  <c r="S23" i="9"/>
  <c r="S28" i="9"/>
  <c r="S24" i="9"/>
  <c r="S19" i="9"/>
  <c r="S21" i="9"/>
  <c r="S30" i="9" s="1"/>
  <c r="R93" i="9"/>
  <c r="R71" i="8"/>
  <c r="S71" i="8" s="1"/>
  <c r="R77" i="8"/>
  <c r="S77" i="8" s="1"/>
  <c r="R73" i="8"/>
  <c r="S73" i="8" s="1"/>
  <c r="R74" i="8"/>
  <c r="S74" i="8" s="1"/>
  <c r="R78" i="8"/>
  <c r="R69" i="8"/>
  <c r="R76" i="8"/>
  <c r="R72" i="8"/>
  <c r="R70" i="8"/>
  <c r="R75" i="8"/>
  <c r="S75" i="8" s="1"/>
  <c r="R79" i="8"/>
  <c r="R70" i="9"/>
  <c r="R76" i="9"/>
  <c r="R92" i="9" s="1"/>
  <c r="R77" i="9"/>
  <c r="R72" i="9"/>
  <c r="R71" i="9"/>
  <c r="R78" i="9"/>
  <c r="R67" i="9"/>
  <c r="R73" i="9"/>
  <c r="R89" i="9" s="1"/>
  <c r="R75" i="9"/>
  <c r="R68" i="9"/>
  <c r="R69" i="9"/>
  <c r="R85" i="9" s="1"/>
  <c r="R74" i="9"/>
  <c r="R4" i="5"/>
  <c r="R7" i="5" s="1"/>
  <c r="R11" i="5" s="1"/>
  <c r="Q13" i="5"/>
  <c r="Q100" i="5"/>
  <c r="R88" i="9"/>
  <c r="R87" i="9"/>
  <c r="R86" i="9"/>
  <c r="Q88" i="5"/>
  <c r="Q89" i="5" s="1"/>
  <c r="Q90" i="5" s="1"/>
  <c r="Q91" i="5" s="1"/>
  <c r="Q92" i="5" s="1"/>
  <c r="Q93" i="5" s="1"/>
  <c r="Q94" i="5" s="1"/>
  <c r="Q95" i="5" s="1"/>
  <c r="Q96" i="5" s="1"/>
  <c r="Q97" i="5" s="1"/>
  <c r="Q98" i="5" s="1"/>
  <c r="Q99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S10" i="5"/>
  <c r="S84" i="5"/>
  <c r="T8" i="5"/>
  <c r="R44" i="9"/>
  <c r="R39" i="9"/>
  <c r="R40" i="9"/>
  <c r="S40" i="9" s="1"/>
  <c r="R46" i="9"/>
  <c r="R94" i="9" s="1"/>
  <c r="R35" i="9"/>
  <c r="R83" i="9" s="1"/>
  <c r="R37" i="9"/>
  <c r="R43" i="9"/>
  <c r="R91" i="9" s="1"/>
  <c r="R36" i="9"/>
  <c r="S36" i="9" s="1"/>
  <c r="R38" i="9"/>
  <c r="S38" i="9" s="1"/>
  <c r="R41" i="9"/>
  <c r="S41" i="9" s="1"/>
  <c r="R45" i="9"/>
  <c r="S45" i="9" s="1"/>
  <c r="R42" i="9"/>
  <c r="S42" i="9" s="1"/>
  <c r="S10" i="9"/>
  <c r="S16" i="9"/>
  <c r="S79" i="9"/>
  <c r="S44" i="9"/>
  <c r="S39" i="9"/>
  <c r="S46" i="9"/>
  <c r="S35" i="9"/>
  <c r="S37" i="9"/>
  <c r="S43" i="9"/>
  <c r="O5" i="8"/>
  <c r="O8" i="8" s="1"/>
  <c r="N14" i="8"/>
  <c r="Q58" i="8"/>
  <c r="Q53" i="8"/>
  <c r="Q54" i="8"/>
  <c r="Q60" i="8"/>
  <c r="Q57" i="8"/>
  <c r="Q63" i="8"/>
  <c r="Q55" i="8"/>
  <c r="Q62" i="8"/>
  <c r="Q56" i="8"/>
  <c r="Q61" i="8"/>
  <c r="Q59" i="8"/>
  <c r="T13" i="6"/>
  <c r="U4" i="6"/>
  <c r="O12" i="8"/>
  <c r="P85" i="8"/>
  <c r="P86" i="8" s="1"/>
  <c r="P87" i="8" s="1"/>
  <c r="P88" i="8" s="1"/>
  <c r="P89" i="8" s="1"/>
  <c r="P90" i="8" s="1"/>
  <c r="P91" i="8" s="1"/>
  <c r="P92" i="8" s="1"/>
  <c r="P93" i="8" s="1"/>
  <c r="P94" i="8" s="1"/>
  <c r="P95" i="8" s="1"/>
  <c r="P96" i="8" s="1"/>
  <c r="R48" i="8" l="1"/>
  <c r="R80" i="8"/>
  <c r="Q64" i="8"/>
  <c r="R32" i="8"/>
  <c r="S48" i="8"/>
  <c r="S78" i="5"/>
  <c r="S72" i="5"/>
  <c r="S79" i="5"/>
  <c r="S74" i="5"/>
  <c r="S80" i="5"/>
  <c r="S77" i="5"/>
  <c r="S82" i="5"/>
  <c r="S73" i="5"/>
  <c r="S83" i="5" s="1"/>
  <c r="S76" i="5"/>
  <c r="S81" i="5"/>
  <c r="S75" i="5"/>
  <c r="S4" i="9"/>
  <c r="S7" i="9" s="1"/>
  <c r="S11" i="9" s="1"/>
  <c r="S12" i="9" s="1"/>
  <c r="R12" i="9"/>
  <c r="S83" i="9"/>
  <c r="S88" i="9"/>
  <c r="S92" i="9"/>
  <c r="S87" i="9"/>
  <c r="S91" i="9"/>
  <c r="S65" i="8"/>
  <c r="S11" i="8"/>
  <c r="R90" i="9"/>
  <c r="S21" i="8"/>
  <c r="S32" i="8" s="1"/>
  <c r="S4" i="5"/>
  <c r="S7" i="5" s="1"/>
  <c r="S11" i="5" s="1"/>
  <c r="R13" i="5"/>
  <c r="R100" i="5"/>
  <c r="R99" i="5"/>
  <c r="S88" i="5" s="1"/>
  <c r="S89" i="5" s="1"/>
  <c r="S90" i="5" s="1"/>
  <c r="R58" i="8"/>
  <c r="R53" i="8"/>
  <c r="R60" i="8"/>
  <c r="R57" i="8"/>
  <c r="R63" i="8"/>
  <c r="R54" i="8"/>
  <c r="R61" i="8"/>
  <c r="R62" i="8"/>
  <c r="R55" i="8"/>
  <c r="R56" i="8"/>
  <c r="R59" i="8"/>
  <c r="S70" i="9"/>
  <c r="S86" i="9" s="1"/>
  <c r="S76" i="9"/>
  <c r="S72" i="9"/>
  <c r="S71" i="9"/>
  <c r="S78" i="9"/>
  <c r="S94" i="9" s="1"/>
  <c r="S69" i="9"/>
  <c r="S85" i="9" s="1"/>
  <c r="S67" i="9"/>
  <c r="S73" i="9"/>
  <c r="S89" i="9" s="1"/>
  <c r="S68" i="9"/>
  <c r="S84" i="9" s="1"/>
  <c r="S77" i="9"/>
  <c r="S93" i="9" s="1"/>
  <c r="S75" i="9"/>
  <c r="S74" i="9"/>
  <c r="S90" i="9" s="1"/>
  <c r="R84" i="9"/>
  <c r="S69" i="8"/>
  <c r="S80" i="8" s="1"/>
  <c r="Q85" i="8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P12" i="8"/>
  <c r="P5" i="8"/>
  <c r="P8" i="8" s="1"/>
  <c r="O14" i="8"/>
  <c r="T10" i="5"/>
  <c r="T84" i="5"/>
  <c r="U8" i="5"/>
  <c r="R64" i="8" l="1"/>
  <c r="R85" i="8"/>
  <c r="R86" i="8" s="1"/>
  <c r="R87" i="8" s="1"/>
  <c r="R88" i="8" s="1"/>
  <c r="R89" i="8" s="1"/>
  <c r="R90" i="8" s="1"/>
  <c r="R91" i="8" s="1"/>
  <c r="R92" i="8" s="1"/>
  <c r="R93" i="8" s="1"/>
  <c r="R94" i="8" s="1"/>
  <c r="R95" i="8" s="1"/>
  <c r="R96" i="8" s="1"/>
  <c r="Q12" i="8"/>
  <c r="S53" i="8"/>
  <c r="S59" i="8"/>
  <c r="S60" i="8"/>
  <c r="S55" i="8"/>
  <c r="S63" i="8"/>
  <c r="S54" i="8"/>
  <c r="S62" i="8"/>
  <c r="S56" i="8"/>
  <c r="S58" i="8"/>
  <c r="S61" i="8"/>
  <c r="S57" i="8"/>
  <c r="Q5" i="8"/>
  <c r="Q8" i="8" s="1"/>
  <c r="P14" i="8"/>
  <c r="S91" i="5"/>
  <c r="S92" i="5" s="1"/>
  <c r="S93" i="5" s="1"/>
  <c r="S94" i="5" s="1"/>
  <c r="S95" i="5" s="1"/>
  <c r="S96" i="5" s="1"/>
  <c r="S97" i="5" s="1"/>
  <c r="S98" i="5" s="1"/>
  <c r="S99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S13" i="5"/>
  <c r="S100" i="5"/>
  <c r="T4" i="5"/>
  <c r="T7" i="5" s="1"/>
  <c r="T11" i="5" s="1"/>
  <c r="U10" i="5"/>
  <c r="U84" i="5"/>
  <c r="T78" i="5"/>
  <c r="T79" i="5"/>
  <c r="T74" i="5"/>
  <c r="T80" i="5"/>
  <c r="T77" i="5"/>
  <c r="T73" i="5"/>
  <c r="T76" i="5"/>
  <c r="T82" i="5"/>
  <c r="T72" i="5"/>
  <c r="T83" i="5" s="1"/>
  <c r="T81" i="5"/>
  <c r="T75" i="5"/>
  <c r="S64" i="8" l="1"/>
  <c r="U80" i="5"/>
  <c r="U79" i="5"/>
  <c r="U74" i="5"/>
  <c r="U81" i="5"/>
  <c r="U77" i="5"/>
  <c r="U73" i="5"/>
  <c r="U76" i="5"/>
  <c r="U82" i="5"/>
  <c r="U78" i="5"/>
  <c r="U72" i="5"/>
  <c r="U83" i="5" s="1"/>
  <c r="U75" i="5"/>
  <c r="T100" i="5"/>
  <c r="T13" i="5"/>
  <c r="U4" i="5"/>
  <c r="U7" i="5" s="1"/>
  <c r="U11" i="5" s="1"/>
  <c r="R5" i="8"/>
  <c r="R8" i="8" s="1"/>
  <c r="Q14" i="8"/>
  <c r="T99" i="5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S85" i="8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12" i="8" s="1"/>
  <c r="S14" i="8" s="1"/>
  <c r="R12" i="8"/>
  <c r="U99" i="5" l="1"/>
  <c r="U100" i="5"/>
  <c r="U13" i="5"/>
  <c r="S5" i="8"/>
  <c r="S8" i="8" s="1"/>
  <c r="R14" i="8"/>
</calcChain>
</file>

<file path=xl/sharedStrings.xml><?xml version="1.0" encoding="utf-8"?>
<sst xmlns="http://schemas.openxmlformats.org/spreadsheetml/2006/main" count="809" uniqueCount="197">
  <si>
    <t> Joint Organisations Data Initiative - Secondary (15 months) </t>
  </si>
  <si>
    <t>Data Series and Source</t>
  </si>
  <si>
    <t>Link</t>
  </si>
  <si>
    <t>Web Page</t>
  </si>
  <si>
    <t>Department for Transportation - Government of UK</t>
  </si>
  <si>
    <t>Renewable fuel statistics - GOV.UK (www.gov.uk)</t>
  </si>
  <si>
    <t>Other:</t>
  </si>
  <si>
    <r>
      <t>   </t>
    </r>
    <r>
      <rPr>
        <sz val="10"/>
        <color rgb="FF000000"/>
        <rFont val="Verdana"/>
        <family val="2"/>
      </rPr>
      <t>Unit - Thousand Metric Tons (kmt)  </t>
    </r>
  </si>
  <si>
    <r>
      <t>   </t>
    </r>
    <r>
      <rPr>
        <sz val="10"/>
        <color rgb="FF000000"/>
        <rFont val="Verdana"/>
        <family val="2"/>
      </rPr>
      <t>Product - of which: kerosene type jet fuel  </t>
    </r>
  </si>
  <si>
    <r>
      <t>   </t>
    </r>
    <r>
      <rPr>
        <sz val="10"/>
        <color rgb="FF000000"/>
        <rFont val="Verdana"/>
        <family val="2"/>
      </rPr>
      <t>Country - United Kingdom  </t>
    </r>
  </si>
  <si>
    <t>Biodiesel Information United Nations Statistics Division</t>
  </si>
  <si>
    <t>UNdata | record view | Biodiesel</t>
  </si>
  <si>
    <t>    Time  </t>
  </si>
  <si>
    <t>Energy use: fossil fuels by fuel type (annual)</t>
  </si>
  <si>
    <t>Energy use: fossil fuels by fuel type - Office for National Statistics (ons.gov.uk)</t>
  </si>
  <si>
    <t>    BALANCE  </t>
  </si>
  <si>
    <t>Energy use: renewable and waste sources (annual)</t>
  </si>
  <si>
    <t>Energy use: renewable and waste sources - Office for National Statistics (ons.gov.uk)</t>
  </si>
  <si>
    <t>Refinery output </t>
  </si>
  <si>
    <t>JODI (Joint Organizations Data Initiative) / International Energy Forum (IEF)</t>
  </si>
  <si>
    <t>http://www.jodidb.org/ReportFolders/reportFolders.aspx</t>
  </si>
  <si>
    <t>Receipts </t>
  </si>
  <si>
    <t>Energy data for the UK</t>
  </si>
  <si>
    <t>https://www.gov.uk/government/statistics/oil-and-oil-products-section-3-energy-trends</t>
  </si>
  <si>
    <t>Imports </t>
  </si>
  <si>
    <t>Exports </t>
  </si>
  <si>
    <t>Products transferred </t>
  </si>
  <si>
    <t>Last update: 1/17/2025</t>
  </si>
  <si>
    <t>Interproduct transfers </t>
  </si>
  <si>
    <t>Stock change </t>
  </si>
  <si>
    <t>Statistical difference </t>
  </si>
  <si>
    <t>Demand </t>
  </si>
  <si>
    <t>Closing stocks </t>
  </si>
  <si>
    <t>Annual Total</t>
  </si>
  <si>
    <t>UN Data (tons)</t>
  </si>
  <si>
    <t>https://www.ons.gov.uk/economy/environmentalaccounts/datasets/ukenvironmentalaccountsfuelusebytype</t>
  </si>
  <si>
    <t>Fuel use by type (excluding fuels from renewable and waste sources)</t>
  </si>
  <si>
    <t>Gross calorific values, Million tonnes of oil equivalent (Mtoe)</t>
  </si>
  <si>
    <t>million tonnes</t>
  </si>
  <si>
    <t>Biodiesel - Production</t>
  </si>
  <si>
    <t>Biodiesel - Imports</t>
  </si>
  <si>
    <t>Biodiesel - Exports</t>
  </si>
  <si>
    <t>Biodiesel - Stock changes</t>
  </si>
  <si>
    <t>Biodiesel - Final energy consumption</t>
  </si>
  <si>
    <t>Biodiesel - Consumption in transport</t>
  </si>
  <si>
    <t>Biodiesel - Total energy supply</t>
  </si>
  <si>
    <t>Gas Oil/ Diesel Oil - Production</t>
  </si>
  <si>
    <t>Gas Oil/ Diesel Oil - Imports</t>
  </si>
  <si>
    <t>Gas Oil/ Diesel Oil - Exports</t>
  </si>
  <si>
    <t>Gas Oil/ Diesel Oil - Consumption by transport</t>
  </si>
  <si>
    <t>Gas Oil/ Diesel Oil - Final energy consumption</t>
  </si>
  <si>
    <t>Gas Oil/ Diesel Oil - Stock changes</t>
  </si>
  <si>
    <t>Kerosene-type Jet Fuel - Consumption by domestic aviation</t>
  </si>
  <si>
    <t>Kerosene-type Jet Fuel - International aviation bunkers</t>
  </si>
  <si>
    <t>Kerosene-type Jet Fuel - Production</t>
  </si>
  <si>
    <t>Kerosene-type Jet Fuel - production from refineries</t>
  </si>
  <si>
    <t>Kerosene-type Jet Fuel - Stock changes</t>
  </si>
  <si>
    <t>Kerosene-type Jet Fuel - Total energy supply</t>
  </si>
  <si>
    <t>Kerosene-type Jet Fuel - Transfers and recycled products</t>
  </si>
  <si>
    <t>Diesel oil for road vehicles (DERV)</t>
  </si>
  <si>
    <t>Aviation fuel</t>
  </si>
  <si>
    <t>Energy Trends: UK oil and oil products - GOV.UK</t>
  </si>
  <si>
    <t>Components for total diesel prodution</t>
  </si>
  <si>
    <t>Components for total diesel sales</t>
  </si>
  <si>
    <t>GTT Data Biodiesel 3826</t>
  </si>
  <si>
    <t>GTT Data 2710.19.21</t>
  </si>
  <si>
    <t>GTT Data 2710.19.11</t>
  </si>
  <si>
    <t>Diesel (mn l)</t>
  </si>
  <si>
    <t>Biodiesel FAME (mn l)</t>
  </si>
  <si>
    <t>HVO (renewable portion) (mn l)</t>
  </si>
  <si>
    <t>Avtur (renewable) (mn l)</t>
  </si>
  <si>
    <t>Days in category</t>
  </si>
  <si>
    <t>Jet Production (th tons) ET3.12</t>
  </si>
  <si>
    <t>Jet Sales (th tons) ET3.13</t>
  </si>
  <si>
    <t>Jet Inventory (th tons) ET3.11</t>
  </si>
  <si>
    <t>Jet Imports ET3.14</t>
  </si>
  <si>
    <t>Jet Exports ET3.15</t>
  </si>
  <si>
    <t>Gas oil ET3.12</t>
  </si>
  <si>
    <t>White diesel ET3.12</t>
  </si>
  <si>
    <t>Diesel Production (th tons)</t>
  </si>
  <si>
    <t>White diesel ET3.13</t>
  </si>
  <si>
    <t>Red diesel (Gas oil) ET3.13</t>
  </si>
  <si>
    <t>Diesel Sales (th tons)</t>
  </si>
  <si>
    <t>Total Diesel Inventory (th tons) ET3.11</t>
  </si>
  <si>
    <t>Diesel Imports ET3.14</t>
  </si>
  <si>
    <t>Diesel Exports ET3.15</t>
  </si>
  <si>
    <t>UK Biodiesel Imports (th tons)</t>
  </si>
  <si>
    <t>UK Biodiesel Exports (th tons)</t>
  </si>
  <si>
    <t>UK Jet Fuel Imports (th tons)</t>
  </si>
  <si>
    <t>UK Jet Fuel Exports (th tons)</t>
  </si>
  <si>
    <t>UK Diesel Fuel Imports (th tons)</t>
  </si>
  <si>
    <t>UK Diesel Fuel Exports (th tons)</t>
  </si>
  <si>
    <t>Apr - May</t>
  </si>
  <si>
    <t>May</t>
  </si>
  <si>
    <t>May - Jun</t>
  </si>
  <si>
    <t>Jun</t>
  </si>
  <si>
    <t>Jun - Jul</t>
  </si>
  <si>
    <t>Jul</t>
  </si>
  <si>
    <t>Jul - Aug</t>
  </si>
  <si>
    <t>Aug</t>
  </si>
  <si>
    <t>Aug - Sep</t>
  </si>
  <si>
    <t>Sep</t>
  </si>
  <si>
    <t>Sep - Oct</t>
  </si>
  <si>
    <t>Oct</t>
  </si>
  <si>
    <t>Oct -Nov</t>
  </si>
  <si>
    <t>Nov</t>
  </si>
  <si>
    <t>Nov - Dec</t>
  </si>
  <si>
    <t>Dec</t>
  </si>
  <si>
    <t>Dec - Jan</t>
  </si>
  <si>
    <t>Jan</t>
  </si>
  <si>
    <t>Jan -Feb</t>
  </si>
  <si>
    <t>Feb</t>
  </si>
  <si>
    <t>Feb - Mar</t>
  </si>
  <si>
    <t>Mar</t>
  </si>
  <si>
    <t>Mar - Apr</t>
  </si>
  <si>
    <t>Apr</t>
  </si>
  <si>
    <t>Jan - Feb</t>
  </si>
  <si>
    <t>Jan-Feb</t>
  </si>
  <si>
    <t>Oct - Nov</t>
  </si>
  <si>
    <t>UK BIODIESEL SUPPLY AND DEMAND</t>
  </si>
  <si>
    <t>thousand tonnes</t>
  </si>
  <si>
    <t xml:space="preserve">BD SUPPLY AND DEMAND </t>
  </si>
  <si>
    <t>Beginning Stocks</t>
  </si>
  <si>
    <t xml:space="preserve">Production </t>
  </si>
  <si>
    <t xml:space="preserve">Imports </t>
  </si>
  <si>
    <t xml:space="preserve">    Total Supply</t>
  </si>
  <si>
    <t xml:space="preserve">Consumption </t>
  </si>
  <si>
    <t>Exports</t>
  </si>
  <si>
    <t xml:space="preserve">    Total Use</t>
  </si>
  <si>
    <t xml:space="preserve">Final Stocks  </t>
  </si>
  <si>
    <t>Yield</t>
  </si>
  <si>
    <t>Stocks/Use</t>
  </si>
  <si>
    <t>BIODIESEL PRODUCTION (thousand tonnes)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</si>
  <si>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</si>
  <si>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</si>
  <si>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</si>
  <si>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</si>
  <si>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</si>
  <si>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</si>
  <si>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</si>
  <si>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</si>
  <si>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</si>
  <si>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</si>
  <si>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</si>
  <si>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Total</t>
  </si>
  <si>
    <t>BIODIESEL IMPORTS (thousand tonnes)</t>
  </si>
  <si>
    <t>BIODIESEL EXPORTS (thousand tonnes)</t>
  </si>
  <si>
    <t>BIODIESEL CONSUMPTION (thousand tonnes)</t>
  </si>
  <si>
    <t>BIODIESEL STOCKS (metric tons)</t>
  </si>
  <si>
    <t>BIODIESEL PERCENT OF BIOMASS-BASED DIESEL PRODUCTION</t>
  </si>
  <si>
    <t xml:space="preserve">  Average</t>
  </si>
  <si>
    <t>UK RENEWABLE DIESEL SUPPLY AND DEMAND</t>
  </si>
  <si>
    <t>RENEWABLE DIESEL SUPPLY AND DEMAND  (th tonnes)</t>
  </si>
  <si>
    <t>Consumption</t>
  </si>
  <si>
    <t>Final Stocks  (December 31)</t>
  </si>
  <si>
    <t>RENEWABLE DIESEL PRODUCTION (th tonnes)</t>
  </si>
  <si>
    <t>RENEWABLE DIESEL IMPORTS (th tonnes)</t>
  </si>
  <si>
    <t>RENEWABLE DIESEL CONSUMPTION (th tonnes)</t>
  </si>
  <si>
    <t>RENEWABLE DIESEL STOCKS (th tonnes)</t>
  </si>
  <si>
    <t>RENEWABLE DIESEL CAPACITY (million gallons per year)</t>
  </si>
  <si>
    <t>RENEWABLE DIESEL CAPACITY UTILIZATION</t>
  </si>
  <si>
    <t>UK Sustainable Aviation Fuel Supply and Demand</t>
  </si>
  <si>
    <t>Production</t>
  </si>
  <si>
    <t>Imports</t>
  </si>
  <si>
    <t xml:space="preserve">  Total Supply</t>
  </si>
  <si>
    <t>Domestic Use</t>
  </si>
  <si>
    <t>NOTE: WAY short on capacity and production</t>
  </si>
  <si>
    <t xml:space="preserve">  Total Demand</t>
  </si>
  <si>
    <t xml:space="preserve">  Ending Stocks</t>
  </si>
  <si>
    <t>Days of Coverage</t>
  </si>
  <si>
    <t>Mandate</t>
  </si>
  <si>
    <t>Blending Rate</t>
  </si>
  <si>
    <t>Capacity</t>
  </si>
  <si>
    <t>SAF Domestic Supply</t>
  </si>
  <si>
    <t xml:space="preserve">  Total</t>
  </si>
  <si>
    <t>SAF Imports - Census Bureau</t>
  </si>
  <si>
    <t>tonnes</t>
  </si>
  <si>
    <t>SAF Exports - Census Bureau</t>
  </si>
  <si>
    <t>UK Aviation Fuel Supply and Demand</t>
  </si>
  <si>
    <t>Passenger Miles</t>
  </si>
  <si>
    <t>Passenger miles growth</t>
  </si>
  <si>
    <t>Jet Fuel Domestic Production</t>
  </si>
  <si>
    <t>Jet Fuel Imports</t>
  </si>
  <si>
    <t xml:space="preserve">Jet Fuel Exports </t>
  </si>
  <si>
    <t>Jet Fuel Domestic Use</t>
  </si>
  <si>
    <t>Jet Fuel End-of-Month Inventory</t>
  </si>
  <si>
    <t xml:space="preserve">UK DISTILATE FUEL OIL SUPPLY AND DEMAND  </t>
  </si>
  <si>
    <t>RENEWABLE DISTILATE FUEL OIL SUPPLY AND DEMAND  (Million Gallons)</t>
  </si>
  <si>
    <t>Domestic Consumption</t>
  </si>
  <si>
    <t xml:space="preserve">Stocks Change  </t>
  </si>
  <si>
    <t>Production Growth</t>
  </si>
  <si>
    <t>Domestic Consumption Growth</t>
  </si>
  <si>
    <t>DISTILATE FUEL OIL PRODUCTION</t>
  </si>
  <si>
    <t>IMPORTS</t>
  </si>
  <si>
    <t xml:space="preserve">EXPORTS </t>
  </si>
  <si>
    <t>DISTILATE FUEL OIL SALES</t>
  </si>
  <si>
    <t xml:space="preserve">DISTILATE FUEL OIL STOCKS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</si>
</sst>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[$-409]mmm\-yy;@"/>
    <numFmt numFmtId="165" formatCode="#,##0.0_);[Red]\(#,##0.0\)"/>
    <numFmt numFmtId="166" formatCode="#,##0.000_);[Red]\(#,##0.000\)"/>
    <numFmt numFmtId="167" formatCode="0.000"/>
    <numFmt numFmtId="168" formatCode="0.0"/>
    <numFmt numFmtId="169" formatCode="[=0]&quot;0&quot;;[&lt;0.5]&quot;[low]&quot;;#,##0"/>
    <numFmt numFmtId="170" formatCode="0.0%"/>
    <numFmt numFmtId="171" formatCode="0.000%"/>
    <numFmt numFmtId="172" formatCode="0_);[Red]\(0\)"/>
    <numFmt numFmtId="173" formatCode="#,##0.0"/>
  </numFmts>
  <fonts count="4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b/>
      <sz val="7"/>
      <color rgb="FF000000"/>
      <name val="Verdana"/>
      <family val="2"/>
    </font>
    <font>
      <sz val="11"/>
      <color rgb="FF000000"/>
      <name val="Aptos Narrow"/>
      <family val="2"/>
      <scheme val="minor"/>
    </font>
    <font>
      <sz val="10"/>
      <color rgb="FF000000"/>
      <name val="Verdana"/>
      <family val="2"/>
    </font>
    <font>
      <sz val="8"/>
      <color rgb="FF000000"/>
      <name val="Verdana"/>
      <family val="2"/>
    </font>
    <font>
      <u/>
      <sz val="11"/>
      <color theme="10"/>
      <name val="Aptos Display"/>
      <family val="2"/>
    </font>
    <font>
      <sz val="9"/>
      <color rgb="FF000000"/>
      <name val="Verdana"/>
      <family val="2"/>
    </font>
    <font>
      <sz val="10"/>
      <color theme="1"/>
      <name val="Aptos Display"/>
      <family val="2"/>
    </font>
    <font>
      <b/>
      <sz val="10"/>
      <color rgb="FF000000"/>
      <name val="Aptos Narrow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ptos Display"/>
      <family val="2"/>
    </font>
    <font>
      <b/>
      <sz val="11"/>
      <color rgb="FFC00000"/>
      <name val="Aptos Display"/>
      <family val="2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theme="0"/>
      <name val="Aptos Display"/>
      <family val="2"/>
    </font>
    <font>
      <sz val="11"/>
      <color theme="1"/>
      <name val="Helvetica"/>
      <family val="2"/>
    </font>
    <font>
      <sz val="10"/>
      <name val="MS Sans Serif"/>
      <family val="2"/>
    </font>
    <font>
      <b/>
      <sz val="11"/>
      <name val="Aptos Display"/>
      <family val="2"/>
    </font>
    <font>
      <b/>
      <sz val="10"/>
      <color theme="0"/>
      <name val="Aptos Display"/>
      <family val="2"/>
    </font>
    <font>
      <sz val="11"/>
      <name val="Aptos Display"/>
      <family val="2"/>
    </font>
    <font>
      <sz val="10"/>
      <name val="Aptos Display"/>
      <family val="2"/>
    </font>
    <font>
      <b/>
      <sz val="10"/>
      <name val="Aptos Display"/>
      <family val="2"/>
    </font>
    <font>
      <b/>
      <sz val="10"/>
      <color theme="1"/>
      <name val="Aptos Display"/>
      <family val="2"/>
    </font>
    <font>
      <sz val="8"/>
      <color theme="1"/>
      <name val="Abadi"/>
      <family val="2"/>
    </font>
    <font>
      <sz val="10"/>
      <color theme="1"/>
      <name val="Arial Narrow"/>
      <family val="2"/>
    </font>
    <font>
      <sz val="11"/>
      <color rgb="FFFF0000"/>
      <name val="Aptos Display"/>
      <family val="2"/>
    </font>
    <font>
      <sz val="11"/>
      <color theme="1"/>
      <name val="Abadi"/>
      <family val="2"/>
    </font>
    <font>
      <b/>
      <sz val="11"/>
      <color rgb="FF6F0791"/>
      <name val="Aptos Display"/>
      <family val="2"/>
    </font>
    <font>
      <b/>
      <sz val="10"/>
      <color theme="0"/>
      <name val="Helvetica"/>
      <family val="2"/>
    </font>
    <font>
      <b/>
      <sz val="1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i/>
      <sz val="11"/>
      <color rgb="FFFF0000"/>
      <name val="Aptos Narrow"/>
      <family val="2"/>
      <scheme val="minor"/>
    </font>
    <font>
      <b/>
      <sz val="10"/>
      <color theme="1"/>
      <name val="Arial Narrow"/>
      <family val="2"/>
    </font>
    <font>
      <sz val="10"/>
      <name val="Arial Narrow"/>
      <family val="2"/>
    </font>
    <font>
      <b/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ECF1"/>
        <bgColor indexed="64"/>
      </patternFill>
    </fill>
    <fill>
      <patternFill patternType="solid">
        <fgColor rgb="FF7ACCC8"/>
        <bgColor indexed="64"/>
      </patternFill>
    </fill>
    <fill>
      <patternFill patternType="solid">
        <fgColor rgb="FFFFF2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F0791"/>
      </top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7030A0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thick">
        <color rgb="FF8C8C8C"/>
      </top>
      <bottom style="medium">
        <color rgb="FF8C8C8C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double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rgb="FF8C8C8C"/>
      </top>
      <bottom/>
      <diagonal/>
    </border>
    <border>
      <left/>
      <right/>
      <top style="thick">
        <color rgb="FF8C8C8C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9" fillId="0" borderId="0">
      <alignment vertical="center" wrapText="1"/>
    </xf>
    <xf numFmtId="0" fontId="19" fillId="0" borderId="0">
      <alignment vertical="center" wrapText="1"/>
    </xf>
    <xf numFmtId="40" fontId="23" fillId="0" borderId="0" applyFont="0" applyFill="0" applyBorder="0" applyAlignment="0" applyProtection="0"/>
    <xf numFmtId="0" fontId="1" fillId="0" borderId="0"/>
    <xf numFmtId="9" fontId="31" fillId="0" borderId="0" applyFont="0" applyFill="0" applyBorder="0" applyAlignment="0" applyProtection="0"/>
  </cellStyleXfs>
  <cellXfs count="220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3" fillId="0" borderId="0" xfId="2"/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6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 wrapText="1"/>
    </xf>
    <xf numFmtId="17" fontId="9" fillId="3" borderId="5" xfId="0" applyNumberFormat="1" applyFont="1" applyFill="1" applyBorder="1" applyAlignment="1">
      <alignment horizontal="center" vertical="top" wrapText="1"/>
    </xf>
    <xf numFmtId="0" fontId="9" fillId="3" borderId="6" xfId="0" applyFont="1" applyFill="1" applyBorder="1" applyAlignment="1">
      <alignment horizontal="center" vertical="top"/>
    </xf>
    <xf numFmtId="0" fontId="10" fillId="0" borderId="0" xfId="2" applyFont="1"/>
    <xf numFmtId="0" fontId="11" fillId="4" borderId="7" xfId="0" applyFont="1" applyFill="1" applyBorder="1" applyAlignment="1">
      <alignment horizontal="right" vertical="center" wrapText="1"/>
    </xf>
    <xf numFmtId="3" fontId="11" fillId="4" borderId="7" xfId="0" applyNumberFormat="1" applyFont="1" applyFill="1" applyBorder="1" applyAlignment="1">
      <alignment horizontal="right" vertical="center" wrapText="1"/>
    </xf>
    <xf numFmtId="0" fontId="11" fillId="5" borderId="7" xfId="0" applyFont="1" applyFill="1" applyBorder="1" applyAlignment="1">
      <alignment horizontal="right" vertical="center" wrapText="1"/>
    </xf>
    <xf numFmtId="0" fontId="11" fillId="2" borderId="7" xfId="0" applyFont="1" applyFill="1" applyBorder="1" applyAlignment="1">
      <alignment horizontal="right" vertical="center" wrapText="1"/>
    </xf>
    <xf numFmtId="0" fontId="12" fillId="0" borderId="0" xfId="0" applyFont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2" applyAlignment="1">
      <alignment wrapText="1"/>
    </xf>
    <xf numFmtId="0" fontId="14" fillId="0" borderId="0" xfId="0" applyFont="1" applyAlignment="1">
      <alignment vertical="center"/>
    </xf>
    <xf numFmtId="0" fontId="15" fillId="0" borderId="8" xfId="0" applyFont="1" applyBorder="1" applyAlignment="1">
      <alignment horizontal="right" vertical="center"/>
    </xf>
    <xf numFmtId="0" fontId="15" fillId="0" borderId="8" xfId="0" quotePrefix="1" applyFont="1" applyBorder="1" applyAlignment="1">
      <alignment horizontal="left" vertical="center"/>
    </xf>
    <xf numFmtId="0" fontId="16" fillId="6" borderId="0" xfId="0" applyFont="1" applyFill="1" applyAlignment="1">
      <alignment vertical="center" wrapText="1"/>
    </xf>
    <xf numFmtId="0" fontId="16" fillId="6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164" fontId="17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9" xfId="3" applyBorder="1" applyAlignment="1">
      <alignment horizontal="center" vertical="center" wrapText="1"/>
    </xf>
    <xf numFmtId="0" fontId="19" fillId="0" borderId="10" xfId="3" applyBorder="1" applyAlignment="1">
      <alignment horizontal="center" vertical="center" wrapText="1"/>
    </xf>
    <xf numFmtId="0" fontId="19" fillId="0" borderId="9" xfId="4" applyBorder="1" applyAlignment="1">
      <alignment horizontal="center" vertical="center" wrapText="1"/>
    </xf>
    <xf numFmtId="0" fontId="19" fillId="0" borderId="10" xfId="4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165" fontId="12" fillId="0" borderId="0" xfId="0" applyNumberFormat="1" applyFont="1"/>
    <xf numFmtId="166" fontId="1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7" fontId="12" fillId="0" borderId="0" xfId="0" applyNumberFormat="1" applyFont="1"/>
    <xf numFmtId="38" fontId="12" fillId="0" borderId="0" xfId="0" applyNumberFormat="1" applyFont="1"/>
    <xf numFmtId="168" fontId="12" fillId="0" borderId="0" xfId="0" applyNumberFormat="1" applyFont="1"/>
    <xf numFmtId="169" fontId="0" fillId="0" borderId="0" xfId="0" applyNumberFormat="1" applyAlignment="1">
      <alignment horizontal="right"/>
    </xf>
    <xf numFmtId="3" fontId="20" fillId="0" borderId="0" xfId="0" applyNumberFormat="1" applyFont="1" applyAlignment="1">
      <alignment vertical="center" wrapText="1"/>
    </xf>
    <xf numFmtId="0" fontId="20" fillId="0" borderId="0" xfId="0" applyFont="1" applyAlignment="1">
      <alignment vertical="center" wrapText="1"/>
    </xf>
    <xf numFmtId="164" fontId="0" fillId="0" borderId="0" xfId="0" applyNumberFormat="1"/>
    <xf numFmtId="0" fontId="2" fillId="0" borderId="0" xfId="0" applyFont="1"/>
    <xf numFmtId="0" fontId="21" fillId="7" borderId="11" xfId="0" applyFont="1" applyFill="1" applyBorder="1"/>
    <xf numFmtId="0" fontId="4" fillId="7" borderId="12" xfId="0" applyFont="1" applyFill="1" applyBorder="1"/>
    <xf numFmtId="0" fontId="5" fillId="7" borderId="12" xfId="0" applyFont="1" applyFill="1" applyBorder="1"/>
    <xf numFmtId="0" fontId="4" fillId="0" borderId="12" xfId="0" applyFont="1" applyBorder="1"/>
    <xf numFmtId="0" fontId="22" fillId="8" borderId="13" xfId="0" applyFont="1" applyFill="1" applyBorder="1" applyAlignment="1">
      <alignment horizontal="right"/>
    </xf>
    <xf numFmtId="0" fontId="24" fillId="8" borderId="0" xfId="5" quotePrefix="1" applyNumberFormat="1" applyFont="1" applyFill="1" applyBorder="1" applyAlignment="1">
      <alignment horizontal="center"/>
    </xf>
    <xf numFmtId="0" fontId="25" fillId="7" borderId="11" xfId="0" applyFont="1" applyFill="1" applyBorder="1"/>
    <xf numFmtId="0" fontId="4" fillId="7" borderId="11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4" fillId="8" borderId="0" xfId="0" applyFont="1" applyFill="1"/>
    <xf numFmtId="38" fontId="4" fillId="8" borderId="0" xfId="0" applyNumberFormat="1" applyFont="1" applyFill="1" applyAlignment="1">
      <alignment horizontal="center"/>
    </xf>
    <xf numFmtId="38" fontId="5" fillId="8" borderId="0" xfId="0" applyNumberFormat="1" applyFont="1" applyFill="1" applyAlignment="1">
      <alignment horizontal="center"/>
    </xf>
    <xf numFmtId="0" fontId="26" fillId="8" borderId="14" xfId="0" applyFont="1" applyFill="1" applyBorder="1"/>
    <xf numFmtId="38" fontId="26" fillId="8" borderId="14" xfId="0" applyNumberFormat="1" applyFont="1" applyFill="1" applyBorder="1" applyAlignment="1">
      <alignment horizontal="center"/>
    </xf>
    <xf numFmtId="38" fontId="24" fillId="8" borderId="14" xfId="0" applyNumberFormat="1" applyFont="1" applyFill="1" applyBorder="1" applyAlignment="1">
      <alignment horizontal="center"/>
    </xf>
    <xf numFmtId="0" fontId="26" fillId="0" borderId="0" xfId="0" applyFont="1"/>
    <xf numFmtId="0" fontId="4" fillId="8" borderId="15" xfId="0" applyFont="1" applyFill="1" applyBorder="1"/>
    <xf numFmtId="38" fontId="4" fillId="8" borderId="15" xfId="0" applyNumberFormat="1" applyFont="1" applyFill="1" applyBorder="1" applyAlignment="1">
      <alignment horizontal="center"/>
    </xf>
    <xf numFmtId="38" fontId="5" fillId="8" borderId="15" xfId="0" applyNumberFormat="1" applyFont="1" applyFill="1" applyBorder="1" applyAlignment="1">
      <alignment horizontal="center"/>
    </xf>
    <xf numFmtId="38" fontId="4" fillId="8" borderId="0" xfId="0" applyNumberFormat="1" applyFont="1" applyFill="1"/>
    <xf numFmtId="38" fontId="4" fillId="8" borderId="16" xfId="0" applyNumberFormat="1" applyFont="1" applyFill="1" applyBorder="1"/>
    <xf numFmtId="38" fontId="4" fillId="8" borderId="16" xfId="0" applyNumberFormat="1" applyFont="1" applyFill="1" applyBorder="1" applyAlignment="1">
      <alignment horizontal="center"/>
    </xf>
    <xf numFmtId="38" fontId="5" fillId="8" borderId="16" xfId="0" applyNumberFormat="1" applyFont="1" applyFill="1" applyBorder="1" applyAlignment="1">
      <alignment horizontal="center"/>
    </xf>
    <xf numFmtId="2" fontId="26" fillId="8" borderId="0" xfId="0" applyNumberFormat="1" applyFont="1" applyFill="1"/>
    <xf numFmtId="2" fontId="24" fillId="8" borderId="0" xfId="1" applyNumberFormat="1" applyFont="1" applyFill="1" applyBorder="1" applyAlignment="1">
      <alignment horizontal="center"/>
    </xf>
    <xf numFmtId="0" fontId="4" fillId="8" borderId="14" xfId="0" applyFont="1" applyFill="1" applyBorder="1"/>
    <xf numFmtId="170" fontId="4" fillId="8" borderId="14" xfId="1" applyNumberFormat="1" applyFont="1" applyFill="1" applyBorder="1" applyAlignment="1">
      <alignment horizontal="center"/>
    </xf>
    <xf numFmtId="170" fontId="5" fillId="8" borderId="14" xfId="1" applyNumberFormat="1" applyFont="1" applyFill="1" applyBorder="1" applyAlignment="1">
      <alignment horizontal="center"/>
    </xf>
    <xf numFmtId="40" fontId="4" fillId="8" borderId="0" xfId="0" applyNumberFormat="1" applyFont="1" applyFill="1" applyAlignment="1">
      <alignment horizontal="center"/>
    </xf>
    <xf numFmtId="40" fontId="5" fillId="8" borderId="0" xfId="0" applyNumberFormat="1" applyFont="1" applyFill="1" applyAlignment="1">
      <alignment horizontal="center"/>
    </xf>
    <xf numFmtId="9" fontId="4" fillId="8" borderId="0" xfId="1" applyFont="1" applyFill="1" applyAlignment="1">
      <alignment horizontal="center"/>
    </xf>
    <xf numFmtId="9" fontId="5" fillId="8" borderId="0" xfId="1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17" xfId="0" applyFont="1" applyBorder="1"/>
    <xf numFmtId="38" fontId="27" fillId="0" borderId="0" xfId="0" applyNumberFormat="1" applyFont="1"/>
    <xf numFmtId="38" fontId="28" fillId="0" borderId="0" xfId="0" applyNumberFormat="1" applyFont="1"/>
    <xf numFmtId="0" fontId="4" fillId="0" borderId="14" xfId="0" applyFont="1" applyBorder="1"/>
    <xf numFmtId="38" fontId="12" fillId="0" borderId="14" xfId="0" applyNumberFormat="1" applyFont="1" applyBorder="1"/>
    <xf numFmtId="38" fontId="29" fillId="0" borderId="14" xfId="0" applyNumberFormat="1" applyFont="1" applyBorder="1"/>
    <xf numFmtId="38" fontId="5" fillId="0" borderId="0" xfId="0" applyNumberFormat="1" applyFont="1"/>
    <xf numFmtId="4" fontId="5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5" fillId="0" borderId="17" xfId="0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3" fontId="29" fillId="0" borderId="0" xfId="0" applyNumberFormat="1" applyFont="1" applyAlignment="1">
      <alignment horizontal="center"/>
    </xf>
    <xf numFmtId="38" fontId="12" fillId="0" borderId="14" xfId="0" applyNumberFormat="1" applyFont="1" applyBorder="1" applyAlignment="1">
      <alignment horizontal="center"/>
    </xf>
    <xf numFmtId="38" fontId="29" fillId="0" borderId="14" xfId="0" applyNumberFormat="1" applyFont="1" applyBorder="1" applyAlignment="1">
      <alignment horizontal="center"/>
    </xf>
    <xf numFmtId="0" fontId="4" fillId="0" borderId="15" xfId="0" applyFont="1" applyBorder="1"/>
    <xf numFmtId="38" fontId="5" fillId="0" borderId="15" xfId="0" applyNumberFormat="1" applyFont="1" applyBorder="1"/>
    <xf numFmtId="3" fontId="12" fillId="0" borderId="0" xfId="0" applyNumberFormat="1" applyFont="1"/>
    <xf numFmtId="3" fontId="29" fillId="0" borderId="0" xfId="0" applyNumberFormat="1" applyFont="1"/>
    <xf numFmtId="0" fontId="5" fillId="0" borderId="0" xfId="0" applyFont="1" applyAlignment="1">
      <alignment horizontal="center"/>
    </xf>
    <xf numFmtId="0" fontId="4" fillId="0" borderId="15" xfId="0" applyFont="1" applyBorder="1" applyAlignment="1">
      <alignment horizontal="center"/>
    </xf>
    <xf numFmtId="38" fontId="4" fillId="0" borderId="15" xfId="0" applyNumberFormat="1" applyFont="1" applyBorder="1" applyAlignment="1">
      <alignment horizontal="center"/>
    </xf>
    <xf numFmtId="38" fontId="5" fillId="0" borderId="15" xfId="0" applyNumberFormat="1" applyFont="1" applyBorder="1" applyAlignment="1">
      <alignment horizontal="center"/>
    </xf>
    <xf numFmtId="170" fontId="4" fillId="0" borderId="0" xfId="1" applyNumberFormat="1" applyFont="1"/>
    <xf numFmtId="0" fontId="4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24" fillId="8" borderId="13" xfId="5" quotePrefix="1" applyNumberFormat="1" applyFont="1" applyFill="1" applyBorder="1" applyAlignment="1">
      <alignment horizontal="center"/>
    </xf>
    <xf numFmtId="38" fontId="4" fillId="8" borderId="14" xfId="0" applyNumberFormat="1" applyFont="1" applyFill="1" applyBorder="1" applyAlignment="1">
      <alignment horizontal="center"/>
    </xf>
    <xf numFmtId="38" fontId="5" fillId="8" borderId="14" xfId="0" applyNumberFormat="1" applyFont="1" applyFill="1" applyBorder="1" applyAlignment="1">
      <alignment horizontal="center"/>
    </xf>
    <xf numFmtId="38" fontId="4" fillId="0" borderId="0" xfId="0" applyNumberFormat="1" applyFont="1"/>
    <xf numFmtId="38" fontId="4" fillId="0" borderId="0" xfId="0" applyNumberFormat="1" applyFont="1" applyAlignment="1">
      <alignment horizontal="center"/>
    </xf>
    <xf numFmtId="38" fontId="5" fillId="0" borderId="0" xfId="0" applyNumberFormat="1" applyFont="1" applyAlignment="1">
      <alignment horizontal="center"/>
    </xf>
    <xf numFmtId="38" fontId="4" fillId="8" borderId="15" xfId="0" applyNumberFormat="1" applyFont="1" applyFill="1" applyBorder="1"/>
    <xf numFmtId="9" fontId="4" fillId="8" borderId="0" xfId="1" applyFont="1" applyFill="1" applyBorder="1" applyAlignment="1">
      <alignment horizontal="center"/>
    </xf>
    <xf numFmtId="9" fontId="5" fillId="8" borderId="0" xfId="1" applyFont="1" applyFill="1" applyBorder="1" applyAlignment="1">
      <alignment horizontal="center"/>
    </xf>
    <xf numFmtId="0" fontId="5" fillId="0" borderId="17" xfId="0" applyFont="1" applyBorder="1" applyAlignment="1">
      <alignment horizontal="right"/>
    </xf>
    <xf numFmtId="38" fontId="4" fillId="0" borderId="0" xfId="0" applyNumberFormat="1" applyFont="1" applyAlignment="1">
      <alignment horizontal="right"/>
    </xf>
    <xf numFmtId="38" fontId="5" fillId="0" borderId="0" xfId="0" applyNumberFormat="1" applyFont="1" applyAlignment="1">
      <alignment horizontal="right"/>
    </xf>
    <xf numFmtId="38" fontId="4" fillId="0" borderId="14" xfId="0" applyNumberFormat="1" applyFont="1" applyBorder="1" applyAlignment="1">
      <alignment horizontal="right"/>
    </xf>
    <xf numFmtId="38" fontId="5" fillId="0" borderId="14" xfId="0" applyNumberFormat="1" applyFont="1" applyBorder="1" applyAlignment="1">
      <alignment horizontal="right"/>
    </xf>
    <xf numFmtId="38" fontId="12" fillId="0" borderId="0" xfId="0" applyNumberFormat="1" applyFont="1" applyAlignment="1">
      <alignment horizontal="center"/>
    </xf>
    <xf numFmtId="38" fontId="29" fillId="0" borderId="0" xfId="0" applyNumberFormat="1" applyFont="1" applyAlignment="1">
      <alignment horizontal="center"/>
    </xf>
    <xf numFmtId="0" fontId="5" fillId="0" borderId="15" xfId="0" applyFont="1" applyBorder="1" applyAlignment="1">
      <alignment horizontal="center"/>
    </xf>
    <xf numFmtId="1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center"/>
    </xf>
    <xf numFmtId="38" fontId="4" fillId="0" borderId="15" xfId="0" applyNumberFormat="1" applyFont="1" applyBorder="1"/>
    <xf numFmtId="170" fontId="12" fillId="0" borderId="0" xfId="1" applyNumberFormat="1" applyFont="1" applyAlignment="1">
      <alignment horizontal="right"/>
    </xf>
    <xf numFmtId="170" fontId="29" fillId="0" borderId="0" xfId="1" applyNumberFormat="1" applyFont="1" applyAlignment="1">
      <alignment horizontal="right"/>
    </xf>
    <xf numFmtId="170" fontId="12" fillId="0" borderId="0" xfId="0" applyNumberFormat="1" applyFont="1"/>
    <xf numFmtId="170" fontId="29" fillId="0" borderId="0" xfId="0" applyNumberFormat="1" applyFont="1"/>
    <xf numFmtId="0" fontId="4" fillId="0" borderId="0" xfId="6" applyFont="1"/>
    <xf numFmtId="0" fontId="5" fillId="0" borderId="0" xfId="6" applyFont="1"/>
    <xf numFmtId="0" fontId="30" fillId="0" borderId="19" xfId="6" applyFont="1" applyBorder="1" applyAlignment="1">
      <alignment horizontal="right"/>
    </xf>
    <xf numFmtId="0" fontId="4" fillId="0" borderId="19" xfId="6" applyFont="1" applyBorder="1" applyAlignment="1">
      <alignment horizontal="center"/>
    </xf>
    <xf numFmtId="38" fontId="4" fillId="0" borderId="0" xfId="6" applyNumberFormat="1" applyFont="1" applyAlignment="1">
      <alignment horizontal="center" vertical="center"/>
    </xf>
    <xf numFmtId="38" fontId="5" fillId="0" borderId="0" xfId="6" applyNumberFormat="1" applyFont="1" applyAlignment="1">
      <alignment horizontal="center" vertical="center"/>
    </xf>
    <xf numFmtId="38" fontId="4" fillId="0" borderId="0" xfId="6" applyNumberFormat="1" applyFont="1"/>
    <xf numFmtId="38" fontId="18" fillId="0" borderId="0" xfId="6" applyNumberFormat="1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40" fontId="4" fillId="0" borderId="0" xfId="6" applyNumberFormat="1" applyFont="1" applyAlignment="1">
      <alignment horizontal="center" vertical="center"/>
    </xf>
    <xf numFmtId="0" fontId="4" fillId="0" borderId="20" xfId="6" applyFont="1" applyBorder="1"/>
    <xf numFmtId="10" fontId="4" fillId="0" borderId="20" xfId="7" applyNumberFormat="1" applyFont="1" applyFill="1" applyBorder="1"/>
    <xf numFmtId="171" fontId="4" fillId="0" borderId="0" xfId="7" applyNumberFormat="1" applyFont="1" applyFill="1"/>
    <xf numFmtId="0" fontId="4" fillId="0" borderId="0" xfId="7" applyNumberFormat="1" applyFont="1" applyFill="1"/>
    <xf numFmtId="170" fontId="32" fillId="0" borderId="0" xfId="1" applyNumberFormat="1" applyFont="1" applyFill="1"/>
    <xf numFmtId="172" fontId="4" fillId="0" borderId="21" xfId="6" applyNumberFormat="1" applyFont="1" applyBorder="1"/>
    <xf numFmtId="0" fontId="4" fillId="0" borderId="21" xfId="6" applyFont="1" applyBorder="1"/>
    <xf numFmtId="38" fontId="5" fillId="0" borderId="0" xfId="6" applyNumberFormat="1" applyFont="1"/>
    <xf numFmtId="0" fontId="4" fillId="0" borderId="22" xfId="6" applyFont="1" applyBorder="1"/>
    <xf numFmtId="0" fontId="4" fillId="0" borderId="21" xfId="6" applyFont="1" applyBorder="1" applyAlignment="1">
      <alignment horizontal="right"/>
    </xf>
    <xf numFmtId="0" fontId="1" fillId="0" borderId="0" xfId="6"/>
    <xf numFmtId="0" fontId="33" fillId="0" borderId="0" xfId="6" applyFont="1"/>
    <xf numFmtId="165" fontId="4" fillId="0" borderId="0" xfId="6" applyNumberFormat="1" applyFont="1" applyAlignment="1">
      <alignment horizontal="center" vertical="center"/>
    </xf>
    <xf numFmtId="165" fontId="5" fillId="0" borderId="0" xfId="6" applyNumberFormat="1" applyFont="1" applyAlignment="1">
      <alignment horizontal="center" vertical="center"/>
    </xf>
    <xf numFmtId="0" fontId="1" fillId="0" borderId="0" xfId="6" applyAlignment="1">
      <alignment horizontal="center" vertical="center"/>
    </xf>
    <xf numFmtId="40" fontId="5" fillId="0" borderId="0" xfId="6" applyNumberFormat="1" applyFont="1" applyAlignment="1">
      <alignment horizontal="center" vertical="center"/>
    </xf>
    <xf numFmtId="0" fontId="1" fillId="0" borderId="23" xfId="6" applyBorder="1"/>
    <xf numFmtId="38" fontId="34" fillId="0" borderId="0" xfId="6" applyNumberFormat="1" applyFont="1"/>
    <xf numFmtId="9" fontId="1" fillId="0" borderId="0" xfId="1"/>
    <xf numFmtId="172" fontId="4" fillId="0" borderId="19" xfId="6" applyNumberFormat="1" applyFont="1" applyBorder="1"/>
    <xf numFmtId="165" fontId="26" fillId="0" borderId="0" xfId="6" applyNumberFormat="1" applyFont="1"/>
    <xf numFmtId="165" fontId="5" fillId="0" borderId="0" xfId="6" applyNumberFormat="1" applyFont="1"/>
    <xf numFmtId="165" fontId="4" fillId="0" borderId="0" xfId="6" applyNumberFormat="1" applyFont="1"/>
    <xf numFmtId="0" fontId="1" fillId="0" borderId="22" xfId="6" applyBorder="1"/>
    <xf numFmtId="0" fontId="35" fillId="7" borderId="11" xfId="0" applyFont="1" applyFill="1" applyBorder="1"/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36" fillId="8" borderId="13" xfId="5" quotePrefix="1" applyNumberFormat="1" applyFont="1" applyFill="1" applyBorder="1" applyAlignment="1">
      <alignment horizontal="center"/>
    </xf>
    <xf numFmtId="0" fontId="16" fillId="0" borderId="0" xfId="0" applyFont="1"/>
    <xf numFmtId="0" fontId="37" fillId="7" borderId="11" xfId="0" applyFont="1" applyFill="1" applyBorder="1" applyAlignment="1">
      <alignment horizontal="center"/>
    </xf>
    <xf numFmtId="0" fontId="38" fillId="7" borderId="11" xfId="0" applyFont="1" applyFill="1" applyBorder="1" applyAlignment="1">
      <alignment horizontal="center"/>
    </xf>
    <xf numFmtId="0" fontId="16" fillId="8" borderId="0" xfId="0" applyFont="1" applyFill="1"/>
    <xf numFmtId="38" fontId="37" fillId="8" borderId="0" xfId="0" applyNumberFormat="1" applyFont="1" applyFill="1" applyAlignment="1">
      <alignment horizontal="center"/>
    </xf>
    <xf numFmtId="38" fontId="38" fillId="8" borderId="0" xfId="0" applyNumberFormat="1" applyFont="1" applyFill="1" applyAlignment="1">
      <alignment horizontal="center"/>
    </xf>
    <xf numFmtId="0" fontId="16" fillId="8" borderId="14" xfId="0" applyFont="1" applyFill="1" applyBorder="1"/>
    <xf numFmtId="38" fontId="37" fillId="8" borderId="14" xfId="0" applyNumberFormat="1" applyFont="1" applyFill="1" applyBorder="1" applyAlignment="1">
      <alignment horizontal="center"/>
    </xf>
    <xf numFmtId="0" fontId="16" fillId="8" borderId="15" xfId="0" applyFont="1" applyFill="1" applyBorder="1"/>
    <xf numFmtId="38" fontId="37" fillId="8" borderId="15" xfId="0" applyNumberFormat="1" applyFont="1" applyFill="1" applyBorder="1" applyAlignment="1">
      <alignment horizontal="center"/>
    </xf>
    <xf numFmtId="38" fontId="38" fillId="8" borderId="15" xfId="0" applyNumberFormat="1" applyFont="1" applyFill="1" applyBorder="1" applyAlignment="1">
      <alignment horizontal="center"/>
    </xf>
    <xf numFmtId="38" fontId="16" fillId="8" borderId="15" xfId="0" applyNumberFormat="1" applyFont="1" applyFill="1" applyBorder="1"/>
    <xf numFmtId="38" fontId="16" fillId="8" borderId="0" xfId="0" applyNumberFormat="1" applyFont="1" applyFill="1"/>
    <xf numFmtId="170" fontId="37" fillId="8" borderId="14" xfId="1" applyNumberFormat="1" applyFont="1" applyFill="1" applyBorder="1" applyAlignment="1">
      <alignment horizontal="center"/>
    </xf>
    <xf numFmtId="170" fontId="38" fillId="8" borderId="14" xfId="1" applyNumberFormat="1" applyFont="1" applyFill="1" applyBorder="1" applyAlignment="1">
      <alignment horizontal="center"/>
    </xf>
    <xf numFmtId="170" fontId="37" fillId="8" borderId="0" xfId="1" applyNumberFormat="1" applyFont="1" applyFill="1" applyAlignment="1">
      <alignment horizontal="center"/>
    </xf>
    <xf numFmtId="170" fontId="38" fillId="8" borderId="0" xfId="1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/>
    <xf numFmtId="0" fontId="39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17" xfId="0" applyFont="1" applyBorder="1" applyAlignment="1">
      <alignment horizontal="center"/>
    </xf>
    <xf numFmtId="173" fontId="31" fillId="0" borderId="0" xfId="0" applyNumberFormat="1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16" fillId="0" borderId="14" xfId="0" applyFont="1" applyBorder="1"/>
    <xf numFmtId="38" fontId="31" fillId="0" borderId="14" xfId="0" applyNumberFormat="1" applyFont="1" applyBorder="1" applyAlignment="1">
      <alignment horizontal="center"/>
    </xf>
    <xf numFmtId="38" fontId="40" fillId="0" borderId="14" xfId="0" applyNumberFormat="1" applyFont="1" applyBorder="1" applyAlignment="1">
      <alignment horizontal="center"/>
    </xf>
    <xf numFmtId="170" fontId="2" fillId="0" borderId="0" xfId="1" applyNumberFormat="1" applyFont="1" applyAlignment="1">
      <alignment horizontal="center"/>
    </xf>
    <xf numFmtId="165" fontId="31" fillId="0" borderId="0" xfId="0" applyNumberFormat="1" applyFont="1" applyAlignment="1">
      <alignment horizontal="center"/>
    </xf>
    <xf numFmtId="165" fontId="40" fillId="0" borderId="0" xfId="0" applyNumberFormat="1" applyFont="1" applyAlignment="1">
      <alignment horizontal="center"/>
    </xf>
    <xf numFmtId="165" fontId="31" fillId="0" borderId="14" xfId="0" applyNumberFormat="1" applyFont="1" applyBorder="1" applyAlignment="1">
      <alignment horizontal="center"/>
    </xf>
    <xf numFmtId="165" fontId="40" fillId="0" borderId="14" xfId="0" applyNumberFormat="1" applyFont="1" applyBorder="1" applyAlignment="1">
      <alignment horizontal="center"/>
    </xf>
    <xf numFmtId="0" fontId="33" fillId="0" borderId="0" xfId="0" applyFont="1"/>
    <xf numFmtId="165" fontId="12" fillId="0" borderId="0" xfId="0" applyNumberFormat="1" applyFont="1" applyAlignment="1">
      <alignment horizontal="center"/>
    </xf>
    <xf numFmtId="38" fontId="2" fillId="0" borderId="0" xfId="0" applyNumberFormat="1" applyFont="1" applyAlignment="1">
      <alignment horizontal="center"/>
    </xf>
    <xf numFmtId="165" fontId="41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73" fontId="40" fillId="0" borderId="0" xfId="0" applyNumberFormat="1" applyFont="1" applyAlignment="1">
      <alignment horizontal="center"/>
    </xf>
    <xf numFmtId="0" fontId="16" fillId="0" borderId="15" xfId="0" applyFont="1" applyBorder="1"/>
    <xf numFmtId="0" fontId="16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42" fillId="0" borderId="0" xfId="2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18" xfId="6" applyFont="1" applyBorder="1" applyAlignment="1">
      <alignment horizontal="left"/>
    </xf>
  </cellXfs>
  <cellStyles count="8">
    <cellStyle name="Comma 9" xfId="5" xr:uid="{179114F7-59A1-4C4D-961D-716C1FE3696D}"/>
    <cellStyle name="Hyperlink" xfId="2" builtinId="8"/>
    <cellStyle name="Normal" xfId="0" builtinId="0"/>
    <cellStyle name="Normal 2" xfId="6" xr:uid="{796CE246-3C62-420A-9C8B-41C72A1D57A3}"/>
    <cellStyle name="Normal 4" xfId="3" xr:uid="{D02C6690-B9FA-41A6-822B-0C26BBFF729C}"/>
    <cellStyle name="Normal 4 2" xfId="4" xr:uid="{EDBDAD40-F54B-4A27-BA9B-64C85C3CFE1F}"/>
    <cellStyle name="Percent" xfId="1" builtinId="5"/>
    <cellStyle name="Percent 2" xfId="7" xr:uid="{5B7D33F1-15CD-49B8-98D6-526BB2E91C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hyperlink" Target="http://www.jodidb.org/TableViewer/tableView.aspx#mainconten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2" name="Picture 1" descr="Skip to main conten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7E8B6-3211-4FFE-B1B0-D818DDEFF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9525</xdr:colOff>
      <xdr:row>1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D8B04C1-DD6A-42C1-9C40-C235E4B2C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" y="19050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orld%20BBD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Links"/>
      <sheetName val="Assumptions"/>
      <sheetName val="US Fuel Production"/>
      <sheetName val="US Jet Fuel"/>
    </sheetNames>
    <sheetDataSet>
      <sheetData sheetId="0"/>
      <sheetData sheetId="1">
        <row r="20">
          <cell r="BC20">
            <v>722415.33364099998</v>
          </cell>
          <cell r="BD20">
            <v>754450.05571900005</v>
          </cell>
          <cell r="BE20">
            <v>306058.02996800002</v>
          </cell>
          <cell r="BF20">
            <v>573403.84113099996</v>
          </cell>
          <cell r="BG20">
            <v>708959.95827800001</v>
          </cell>
          <cell r="BH20">
            <v>773411.55941999995</v>
          </cell>
          <cell r="BI20">
            <v>785786.14437071991</v>
          </cell>
          <cell r="BJ20">
            <v>807002.37026872928</v>
          </cell>
          <cell r="BK20">
            <v>828791.43426598492</v>
          </cell>
          <cell r="BL20">
            <v>851168.80299116648</v>
          </cell>
          <cell r="BM20">
            <v>874150.36067192792</v>
          </cell>
          <cell r="BN20">
            <v>897752.42041006987</v>
          </cell>
          <cell r="BO20">
            <v>921991.73576114164</v>
          </cell>
          <cell r="BP20">
            <v>946885.51262669242</v>
          </cell>
          <cell r="BQ20">
            <v>972451.42146761308</v>
          </cell>
          <cell r="BR20">
            <v>998707.60984723852</v>
          </cell>
          <cell r="BS20">
            <v>1025672.7153131139</v>
          </cell>
          <cell r="BT20">
            <v>1053365.8786265678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environmentalaccounts/datasets/ukenvironmentalaccountsfuelusebytype" TargetMode="External"/><Relationship Id="rId2" Type="http://schemas.openxmlformats.org/officeDocument/2006/relationships/hyperlink" Target="https://data.un.org/Data.aspx?d=EDATA&amp;f=cmID%3ABD" TargetMode="External"/><Relationship Id="rId1" Type="http://schemas.openxmlformats.org/officeDocument/2006/relationships/hyperlink" Target="https://www.gov.uk/government/collections/renewable-fuel-statistics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www.gov.uk/government/statistics/oil-and-oil-products-section-3-energy-trends" TargetMode="External"/><Relationship Id="rId4" Type="http://schemas.openxmlformats.org/officeDocument/2006/relationships/hyperlink" Target="https://www.ons.gov.uk/economy/environmentalaccounts/datasets/ukenvironmentalaccountsenergyconsumptionfromrenewableandwastesource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ns.gov.uk/economy/environmentalaccounts/datasets/ukenvironmentalaccountsfuelusebytype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gov.uk/government/statistics/oil-and-oil-products-section-3-energy-trends" TargetMode="External"/><Relationship Id="rId1" Type="http://schemas.openxmlformats.org/officeDocument/2006/relationships/hyperlink" Target="https://www.gov.uk/government/collections/renewable-fuel-statistic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9A63-D563-4BE6-A99E-B5571114F00C}">
  <dimension ref="A1:AD15"/>
  <sheetViews>
    <sheetView tabSelected="1" workbookViewId="0">
      <selection activeCell="A3" sqref="A3"/>
    </sheetView>
  </sheetViews>
  <sheetFormatPr defaultColWidth="9.140625" defaultRowHeight="15" x14ac:dyDescent="0.25"/>
  <cols>
    <col min="1" max="1" width="47.5703125" style="1" bestFit="1" customWidth="1"/>
    <col min="2" max="2" width="38.5703125" style="1" bestFit="1" customWidth="1"/>
    <col min="3" max="16384" width="9.140625" style="1"/>
  </cols>
  <sheetData>
    <row r="1" spans="1:30" x14ac:dyDescent="0.25">
      <c r="I1" s="215" t="s">
        <v>0</v>
      </c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</row>
    <row r="2" spans="1:30" s="4" customFormat="1" ht="39" customHeight="1" thickBot="1" x14ac:dyDescent="0.3">
      <c r="A2" s="2" t="s">
        <v>1</v>
      </c>
      <c r="B2" s="3" t="s">
        <v>2</v>
      </c>
      <c r="C2" s="216" t="s">
        <v>3</v>
      </c>
      <c r="D2" s="216"/>
      <c r="E2" s="216"/>
      <c r="F2" s="216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</row>
    <row r="3" spans="1:30" ht="15.75" thickBot="1" x14ac:dyDescent="0.3">
      <c r="A3" s="1" t="s">
        <v>4</v>
      </c>
      <c r="B3" s="5" t="s">
        <v>5</v>
      </c>
      <c r="I3" s="6" t="s">
        <v>6</v>
      </c>
      <c r="J3" s="7" t="s">
        <v>7</v>
      </c>
      <c r="K3" s="8"/>
      <c r="L3" s="8"/>
      <c r="M3" s="9"/>
      <c r="N3" s="10" t="s">
        <v>8</v>
      </c>
      <c r="O3" s="9"/>
      <c r="P3" s="9"/>
      <c r="Q3" s="9"/>
      <c r="R3" s="9"/>
      <c r="S3" s="10" t="s">
        <v>9</v>
      </c>
      <c r="T3" s="9"/>
      <c r="U3" s="9"/>
      <c r="V3" s="9"/>
      <c r="W3" s="9"/>
      <c r="X3" s="11"/>
    </row>
    <row r="4" spans="1:30" ht="15.75" thickTop="1" x14ac:dyDescent="0.25">
      <c r="A4" s="1" t="s">
        <v>10</v>
      </c>
      <c r="B4" s="5" t="s">
        <v>11</v>
      </c>
      <c r="I4" t="s">
        <v>12</v>
      </c>
      <c r="J4" s="12">
        <v>45047</v>
      </c>
      <c r="K4" s="12">
        <v>45078</v>
      </c>
      <c r="L4" s="12">
        <v>45108</v>
      </c>
      <c r="M4" s="12">
        <v>45139</v>
      </c>
      <c r="N4" s="12">
        <v>45170</v>
      </c>
      <c r="O4" s="12">
        <v>45200</v>
      </c>
      <c r="P4" s="12">
        <v>45231</v>
      </c>
      <c r="Q4" s="12">
        <v>45261</v>
      </c>
      <c r="R4" s="12">
        <v>45292</v>
      </c>
      <c r="S4" s="12">
        <v>45323</v>
      </c>
      <c r="T4" s="12">
        <v>45352</v>
      </c>
      <c r="U4" s="12">
        <v>45383</v>
      </c>
      <c r="V4" s="12">
        <v>45413</v>
      </c>
      <c r="W4" s="12">
        <v>45444</v>
      </c>
      <c r="X4" s="12">
        <v>45474</v>
      </c>
    </row>
    <row r="5" spans="1:30" ht="15.75" thickBot="1" x14ac:dyDescent="0.3">
      <c r="A5" s="1" t="s">
        <v>13</v>
      </c>
      <c r="B5" s="5" t="s">
        <v>14</v>
      </c>
      <c r="I5" t="s">
        <v>15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30" ht="16.5" thickTop="1" thickBot="1" x14ac:dyDescent="0.3">
      <c r="A6" s="1" t="s">
        <v>16</v>
      </c>
      <c r="B6" s="5" t="s">
        <v>17</v>
      </c>
      <c r="C6" s="14"/>
      <c r="I6" t="s">
        <v>18</v>
      </c>
      <c r="J6" s="15">
        <v>326</v>
      </c>
      <c r="K6" s="15">
        <v>312</v>
      </c>
      <c r="L6" s="15">
        <v>391</v>
      </c>
      <c r="M6" s="15">
        <v>338</v>
      </c>
      <c r="N6" s="15">
        <v>280</v>
      </c>
      <c r="O6" s="15">
        <v>173</v>
      </c>
      <c r="P6" s="15">
        <v>164</v>
      </c>
      <c r="Q6" s="15">
        <v>215</v>
      </c>
      <c r="R6" s="15">
        <v>249</v>
      </c>
      <c r="S6" s="15">
        <v>225</v>
      </c>
      <c r="T6" s="15">
        <v>213</v>
      </c>
      <c r="U6" s="15">
        <v>227</v>
      </c>
      <c r="V6" s="15">
        <v>305</v>
      </c>
      <c r="W6" s="15">
        <v>325</v>
      </c>
      <c r="X6" s="15">
        <v>323</v>
      </c>
    </row>
    <row r="7" spans="1:30" ht="15.75" thickBot="1" x14ac:dyDescent="0.3">
      <c r="A7" s="1" t="s">
        <v>19</v>
      </c>
      <c r="B7" s="1" t="s">
        <v>20</v>
      </c>
      <c r="H7" s="8"/>
      <c r="I7" t="s">
        <v>21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8"/>
      <c r="Z7" s="8"/>
      <c r="AA7" s="8"/>
      <c r="AB7" s="8"/>
      <c r="AC7" s="8"/>
      <c r="AD7" s="8"/>
    </row>
    <row r="8" spans="1:30" ht="15.75" thickBot="1" x14ac:dyDescent="0.3">
      <c r="A8" s="1" t="s">
        <v>22</v>
      </c>
      <c r="B8" s="5" t="s">
        <v>23</v>
      </c>
      <c r="I8" t="s">
        <v>24</v>
      </c>
      <c r="J8" s="15">
        <v>633</v>
      </c>
      <c r="K8" s="15">
        <v>657</v>
      </c>
      <c r="L8" s="15">
        <v>893</v>
      </c>
      <c r="M8" s="16">
        <v>1034</v>
      </c>
      <c r="N8" s="15">
        <v>978</v>
      </c>
      <c r="O8" s="15">
        <v>802</v>
      </c>
      <c r="P8" s="15">
        <v>913</v>
      </c>
      <c r="Q8" s="15">
        <v>938</v>
      </c>
      <c r="R8" s="15">
        <v>763</v>
      </c>
      <c r="S8" s="15">
        <v>852</v>
      </c>
      <c r="T8" s="15">
        <v>807</v>
      </c>
      <c r="U8" s="15">
        <v>885</v>
      </c>
      <c r="V8" s="15">
        <v>863</v>
      </c>
      <c r="W8" s="15">
        <v>918</v>
      </c>
      <c r="X8" s="15">
        <v>936</v>
      </c>
    </row>
    <row r="9" spans="1:30" ht="15.75" thickBot="1" x14ac:dyDescent="0.3">
      <c r="I9" t="s">
        <v>25</v>
      </c>
      <c r="J9" s="15">
        <v>126</v>
      </c>
      <c r="K9" s="15">
        <v>107</v>
      </c>
      <c r="L9" s="15">
        <v>103</v>
      </c>
      <c r="M9" s="15">
        <v>114</v>
      </c>
      <c r="N9" s="15">
        <v>149</v>
      </c>
      <c r="O9" s="15">
        <v>122</v>
      </c>
      <c r="P9" s="15">
        <v>130</v>
      </c>
      <c r="Q9" s="15">
        <v>122</v>
      </c>
      <c r="R9" s="15">
        <v>113</v>
      </c>
      <c r="S9" s="15">
        <v>98</v>
      </c>
      <c r="T9" s="15">
        <v>123</v>
      </c>
      <c r="U9" s="15">
        <v>98</v>
      </c>
      <c r="V9" s="15">
        <v>122</v>
      </c>
      <c r="W9" s="15">
        <v>104</v>
      </c>
      <c r="X9" s="15">
        <v>127</v>
      </c>
    </row>
    <row r="10" spans="1:30" ht="15.75" thickBot="1" x14ac:dyDescent="0.3">
      <c r="I10" t="s">
        <v>26</v>
      </c>
      <c r="J10" s="15">
        <v>2</v>
      </c>
      <c r="K10" s="15">
        <v>0</v>
      </c>
      <c r="L10" s="15">
        <v>1</v>
      </c>
      <c r="M10" s="15">
        <v>1</v>
      </c>
      <c r="N10" s="15">
        <v>1</v>
      </c>
      <c r="O10" s="15">
        <v>5</v>
      </c>
      <c r="P10" s="15">
        <v>1</v>
      </c>
      <c r="Q10" s="15">
        <v>1</v>
      </c>
      <c r="R10" s="15">
        <v>13</v>
      </c>
      <c r="S10" s="15">
        <v>1</v>
      </c>
      <c r="T10" s="15">
        <v>1</v>
      </c>
      <c r="U10" s="15">
        <v>8</v>
      </c>
      <c r="V10" s="15">
        <v>1</v>
      </c>
      <c r="W10" s="15">
        <v>1</v>
      </c>
      <c r="X10" s="15">
        <v>1</v>
      </c>
    </row>
    <row r="11" spans="1:30" ht="15.75" thickBot="1" x14ac:dyDescent="0.3">
      <c r="A11" s="1" t="s">
        <v>27</v>
      </c>
      <c r="I11" t="s">
        <v>28</v>
      </c>
      <c r="J11" s="15">
        <v>-12</v>
      </c>
      <c r="K11" s="15">
        <v>-25</v>
      </c>
      <c r="L11" s="15">
        <v>-10</v>
      </c>
      <c r="M11" s="15">
        <v>-23</v>
      </c>
      <c r="N11" s="15">
        <v>-47</v>
      </c>
      <c r="O11" s="15">
        <v>7</v>
      </c>
      <c r="P11" s="15">
        <v>-52</v>
      </c>
      <c r="Q11" s="15">
        <v>-79</v>
      </c>
      <c r="R11" s="15">
        <v>-66</v>
      </c>
      <c r="S11" s="15">
        <v>-68</v>
      </c>
      <c r="T11" s="15">
        <v>-24</v>
      </c>
      <c r="U11" s="15">
        <v>-26</v>
      </c>
      <c r="V11" s="15">
        <v>-24</v>
      </c>
      <c r="W11" s="15">
        <v>-11</v>
      </c>
      <c r="X11" s="17">
        <v>-13</v>
      </c>
    </row>
    <row r="12" spans="1:30" ht="15.75" thickBot="1" x14ac:dyDescent="0.3">
      <c r="I12" t="s">
        <v>29</v>
      </c>
      <c r="J12" s="15">
        <v>-167</v>
      </c>
      <c r="K12" s="15">
        <v>-172</v>
      </c>
      <c r="L12" s="15">
        <v>98</v>
      </c>
      <c r="M12" s="15">
        <v>155</v>
      </c>
      <c r="N12" s="15">
        <v>41</v>
      </c>
      <c r="O12" s="15">
        <v>-168</v>
      </c>
      <c r="P12" s="15">
        <v>6</v>
      </c>
      <c r="Q12" s="15">
        <v>104</v>
      </c>
      <c r="R12" s="15">
        <v>-15</v>
      </c>
      <c r="S12" s="15">
        <v>99</v>
      </c>
      <c r="T12" s="15">
        <v>12</v>
      </c>
      <c r="U12" s="15">
        <v>5</v>
      </c>
      <c r="V12" s="15">
        <v>-17</v>
      </c>
      <c r="W12" s="15">
        <v>68</v>
      </c>
      <c r="X12" s="15">
        <v>-119</v>
      </c>
    </row>
    <row r="13" spans="1:30" ht="15.75" thickBot="1" x14ac:dyDescent="0.3">
      <c r="I13" t="s">
        <v>30</v>
      </c>
      <c r="J13" s="18">
        <v>1</v>
      </c>
      <c r="K13" s="18">
        <v>2</v>
      </c>
      <c r="L13" s="18">
        <v>0</v>
      </c>
      <c r="M13" s="18">
        <v>5</v>
      </c>
      <c r="N13" s="18">
        <v>-6</v>
      </c>
      <c r="O13" s="18">
        <v>4</v>
      </c>
      <c r="P13" s="18">
        <v>0</v>
      </c>
      <c r="Q13" s="18">
        <v>-1</v>
      </c>
      <c r="R13" s="18">
        <v>2</v>
      </c>
      <c r="S13" s="18">
        <v>1</v>
      </c>
      <c r="T13" s="18">
        <v>1</v>
      </c>
      <c r="U13" s="18">
        <v>2</v>
      </c>
      <c r="V13" s="18">
        <v>0</v>
      </c>
      <c r="W13" s="18">
        <v>5</v>
      </c>
      <c r="X13" s="18">
        <v>0</v>
      </c>
    </row>
    <row r="14" spans="1:30" ht="15.75" thickBot="1" x14ac:dyDescent="0.3">
      <c r="I14" t="s">
        <v>31</v>
      </c>
      <c r="J14" s="15">
        <v>985</v>
      </c>
      <c r="K14" s="16">
        <v>1007</v>
      </c>
      <c r="L14" s="16">
        <v>1072</v>
      </c>
      <c r="M14" s="16">
        <v>1074</v>
      </c>
      <c r="N14" s="16">
        <v>1026</v>
      </c>
      <c r="O14" s="16">
        <v>1019</v>
      </c>
      <c r="P14" s="15">
        <v>888</v>
      </c>
      <c r="Q14" s="15">
        <v>848</v>
      </c>
      <c r="R14" s="15">
        <v>833</v>
      </c>
      <c r="S14" s="15">
        <v>810</v>
      </c>
      <c r="T14" s="15">
        <v>859</v>
      </c>
      <c r="U14" s="15">
        <v>973</v>
      </c>
      <c r="V14" s="16">
        <v>1038</v>
      </c>
      <c r="W14" s="16">
        <v>1054</v>
      </c>
      <c r="X14" s="16">
        <v>1237</v>
      </c>
    </row>
    <row r="15" spans="1:30" ht="15.75" thickBot="1" x14ac:dyDescent="0.3">
      <c r="I15" t="s">
        <v>32</v>
      </c>
      <c r="J15" s="15">
        <v>834</v>
      </c>
      <c r="K15" s="15">
        <v>662</v>
      </c>
      <c r="L15" s="15">
        <v>760</v>
      </c>
      <c r="M15" s="15">
        <v>915</v>
      </c>
      <c r="N15" s="15">
        <v>956</v>
      </c>
      <c r="O15" s="15">
        <v>788</v>
      </c>
      <c r="P15" s="15">
        <v>794</v>
      </c>
      <c r="Q15" s="15">
        <v>898</v>
      </c>
      <c r="R15" s="15">
        <v>883</v>
      </c>
      <c r="S15" s="15">
        <v>982</v>
      </c>
      <c r="T15" s="15">
        <v>994</v>
      </c>
      <c r="U15" s="15">
        <v>999</v>
      </c>
      <c r="V15" s="15">
        <v>982</v>
      </c>
      <c r="W15" s="16">
        <v>1050</v>
      </c>
      <c r="X15" s="15">
        <v>931</v>
      </c>
    </row>
  </sheetData>
  <mergeCells count="2">
    <mergeCell ref="I1:X2"/>
    <mergeCell ref="C2:F2"/>
  </mergeCells>
  <hyperlinks>
    <hyperlink ref="B3" r:id="rId1" display="https://www.gov.uk/government/collections/renewable-fuel-statistics" xr:uid="{4B41826D-E7FA-47AF-9C3E-2F01950D9E0B}"/>
    <hyperlink ref="B4" r:id="rId2" display="https://data.un.org/Data.aspx?d=EDATA&amp;f=cmID%3ABD" xr:uid="{48A70710-074C-4F99-847A-E32646FE1A6F}"/>
    <hyperlink ref="B5" r:id="rId3" display="https://www.ons.gov.uk/economy/environmentalaccounts/datasets/ukenvironmentalaccountsfuelusebytype" xr:uid="{1E5EDB42-CDF4-4B81-9ADC-0748031255DD}"/>
    <hyperlink ref="B6" r:id="rId4" display="https://www.ons.gov.uk/economy/environmentalaccounts/datasets/ukenvironmentalaccountsenergyconsumptionfromrenewableandwastesources" xr:uid="{DCE79780-6835-4123-8980-5F01A5C913C5}"/>
    <hyperlink ref="B8" r:id="rId5" xr:uid="{F61B9B85-DA91-4541-ACAF-06BC5BA7AAE3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4A02-0C67-4E0F-A536-9AB27A004C67}">
  <dimension ref="A1"/>
  <sheetViews>
    <sheetView workbookViewId="0">
      <pane xSplit="1" ySplit="1" topLeftCell="B2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9.140625" defaultRowHeight="13.5" x14ac:dyDescent="0.25"/>
  <cols>
    <col min="1" max="16384" width="9.140625" style="19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C64A-EE71-42FC-8D86-24ED7DCE9483}">
  <sheetPr>
    <tabColor rgb="FFFF0000"/>
  </sheetPr>
  <dimension ref="A1:X13"/>
  <sheetViews>
    <sheetView zoomScaleNormal="100" workbookViewId="0">
      <pane xSplit="1" ySplit="2" topLeftCell="J3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RowHeight="15" x14ac:dyDescent="0.25"/>
  <cols>
    <col min="1" max="1" width="10.5703125" bestFit="1" customWidth="1"/>
    <col min="21" max="21" width="14.5703125" customWidth="1"/>
  </cols>
  <sheetData>
    <row r="1" spans="1:24" s="21" customFormat="1" ht="120.75" thickBot="1" x14ac:dyDescent="0.3">
      <c r="A1" s="20" t="s">
        <v>33</v>
      </c>
      <c r="B1" s="21" t="s">
        <v>34</v>
      </c>
      <c r="I1" s="21" t="s">
        <v>34</v>
      </c>
      <c r="O1" s="21" t="s">
        <v>34</v>
      </c>
      <c r="U1" s="22" t="s">
        <v>35</v>
      </c>
      <c r="V1" s="23" t="s">
        <v>36</v>
      </c>
      <c r="W1" s="24" t="s">
        <v>37</v>
      </c>
      <c r="X1" s="25" t="s">
        <v>38</v>
      </c>
    </row>
    <row r="2" spans="1:24" s="21" customFormat="1" ht="105" x14ac:dyDescent="0.25">
      <c r="A2" s="20"/>
      <c r="B2" s="21" t="s">
        <v>39</v>
      </c>
      <c r="C2" s="21" t="s">
        <v>40</v>
      </c>
      <c r="D2" s="21" t="s">
        <v>41</v>
      </c>
      <c r="E2" s="21" t="s">
        <v>42</v>
      </c>
      <c r="F2" s="21" t="s">
        <v>43</v>
      </c>
      <c r="G2" s="21" t="s">
        <v>44</v>
      </c>
      <c r="H2" s="21" t="s">
        <v>45</v>
      </c>
      <c r="I2" s="21" t="s">
        <v>46</v>
      </c>
      <c r="J2" s="21" t="s">
        <v>47</v>
      </c>
      <c r="K2" s="21" t="s">
        <v>48</v>
      </c>
      <c r="L2" s="21" t="s">
        <v>49</v>
      </c>
      <c r="M2" s="21" t="s">
        <v>50</v>
      </c>
      <c r="N2" s="21" t="s">
        <v>51</v>
      </c>
      <c r="O2" s="21" t="s">
        <v>52</v>
      </c>
      <c r="P2" s="21" t="s">
        <v>53</v>
      </c>
      <c r="Q2" s="21" t="s">
        <v>54</v>
      </c>
      <c r="R2" s="21" t="s">
        <v>55</v>
      </c>
      <c r="S2" s="21" t="s">
        <v>56</v>
      </c>
      <c r="T2" s="21" t="s">
        <v>57</v>
      </c>
      <c r="U2" s="21" t="s">
        <v>58</v>
      </c>
      <c r="V2" s="26" t="s">
        <v>59</v>
      </c>
      <c r="W2" s="27" t="s">
        <v>60</v>
      </c>
      <c r="X2" s="21" t="s">
        <v>52</v>
      </c>
    </row>
    <row r="3" spans="1:24" x14ac:dyDescent="0.25">
      <c r="A3" s="28">
        <v>2014</v>
      </c>
      <c r="B3">
        <v>143</v>
      </c>
      <c r="C3">
        <v>751</v>
      </c>
      <c r="D3">
        <v>5</v>
      </c>
      <c r="E3">
        <v>39</v>
      </c>
      <c r="F3">
        <v>849</v>
      </c>
      <c r="G3">
        <v>849</v>
      </c>
      <c r="H3">
        <v>850</v>
      </c>
      <c r="I3">
        <v>21775</v>
      </c>
      <c r="J3">
        <v>12894</v>
      </c>
      <c r="K3">
        <v>5403</v>
      </c>
      <c r="L3">
        <v>24719</v>
      </c>
      <c r="M3">
        <v>27509</v>
      </c>
      <c r="N3">
        <v>155</v>
      </c>
      <c r="O3">
        <v>785</v>
      </c>
      <c r="P3">
        <v>10434</v>
      </c>
      <c r="Q3">
        <v>4635</v>
      </c>
      <c r="R3">
        <v>4635</v>
      </c>
      <c r="S3">
        <v>-198</v>
      </c>
      <c r="T3">
        <v>1481</v>
      </c>
      <c r="U3">
        <v>605</v>
      </c>
      <c r="V3">
        <v>25</v>
      </c>
      <c r="W3">
        <v>14.54</v>
      </c>
      <c r="X3">
        <f>(O3+P3)/1000</f>
        <v>11.218999999999999</v>
      </c>
    </row>
    <row r="4" spans="1:24" x14ac:dyDescent="0.25">
      <c r="A4" s="28">
        <v>2015</v>
      </c>
      <c r="B4">
        <v>149</v>
      </c>
      <c r="C4">
        <v>452</v>
      </c>
      <c r="D4">
        <v>5</v>
      </c>
      <c r="E4">
        <v>0</v>
      </c>
      <c r="F4">
        <v>596</v>
      </c>
      <c r="G4">
        <v>596</v>
      </c>
      <c r="H4">
        <v>596</v>
      </c>
      <c r="I4">
        <v>20687</v>
      </c>
      <c r="J4">
        <v>14867</v>
      </c>
      <c r="K4">
        <v>4599</v>
      </c>
      <c r="L4">
        <v>25706</v>
      </c>
      <c r="M4">
        <v>28776</v>
      </c>
      <c r="N4">
        <v>203</v>
      </c>
      <c r="O4">
        <v>793</v>
      </c>
      <c r="P4">
        <v>10539</v>
      </c>
      <c r="Q4">
        <v>4973</v>
      </c>
      <c r="R4">
        <v>4973</v>
      </c>
      <c r="S4">
        <v>201</v>
      </c>
      <c r="T4">
        <v>1267</v>
      </c>
      <c r="U4">
        <v>638</v>
      </c>
      <c r="V4">
        <v>26.06</v>
      </c>
      <c r="W4">
        <v>14.6</v>
      </c>
      <c r="X4">
        <f t="shared" ref="X4:X11" si="0">(O4+P4)/1000</f>
        <v>11.332000000000001</v>
      </c>
    </row>
    <row r="5" spans="1:24" x14ac:dyDescent="0.25">
      <c r="A5" s="28">
        <v>2016</v>
      </c>
      <c r="B5">
        <v>342</v>
      </c>
      <c r="C5">
        <v>373</v>
      </c>
      <c r="D5">
        <v>86</v>
      </c>
      <c r="E5">
        <v>0</v>
      </c>
      <c r="F5">
        <v>630</v>
      </c>
      <c r="G5">
        <v>630</v>
      </c>
      <c r="H5">
        <v>629</v>
      </c>
      <c r="I5">
        <v>20506</v>
      </c>
      <c r="J5">
        <v>16685</v>
      </c>
      <c r="K5">
        <v>4884</v>
      </c>
      <c r="L5">
        <v>26764</v>
      </c>
      <c r="M5">
        <v>29851</v>
      </c>
      <c r="N5">
        <v>175</v>
      </c>
      <c r="O5">
        <v>794</v>
      </c>
      <c r="P5">
        <v>10546</v>
      </c>
      <c r="Q5">
        <v>4392</v>
      </c>
      <c r="R5">
        <v>4392</v>
      </c>
      <c r="S5">
        <v>-45</v>
      </c>
      <c r="T5">
        <v>1432</v>
      </c>
      <c r="U5">
        <v>776</v>
      </c>
      <c r="V5">
        <v>27.12</v>
      </c>
      <c r="W5">
        <v>14.45</v>
      </c>
      <c r="X5">
        <f t="shared" si="0"/>
        <v>11.34</v>
      </c>
    </row>
    <row r="6" spans="1:24" x14ac:dyDescent="0.25">
      <c r="A6" s="28">
        <v>2017</v>
      </c>
      <c r="B6">
        <v>467</v>
      </c>
      <c r="C6">
        <v>201</v>
      </c>
      <c r="D6">
        <v>48</v>
      </c>
      <c r="E6">
        <v>0</v>
      </c>
      <c r="F6">
        <v>620</v>
      </c>
      <c r="G6">
        <v>620</v>
      </c>
      <c r="H6">
        <v>620</v>
      </c>
      <c r="I6">
        <v>20303</v>
      </c>
      <c r="J6">
        <v>15618.999</v>
      </c>
      <c r="K6">
        <v>3875</v>
      </c>
      <c r="L6">
        <v>26996.985000000001</v>
      </c>
      <c r="M6">
        <v>30175.062999999998</v>
      </c>
      <c r="N6">
        <v>12</v>
      </c>
      <c r="O6">
        <v>852.80100000000004</v>
      </c>
      <c r="P6">
        <v>11330.071</v>
      </c>
      <c r="Q6">
        <v>5031.1000000000004</v>
      </c>
      <c r="R6">
        <v>5031.1000000000004</v>
      </c>
      <c r="S6">
        <v>14</v>
      </c>
      <c r="T6">
        <v>1517.1079999999999</v>
      </c>
      <c r="U6">
        <v>670</v>
      </c>
      <c r="V6">
        <v>27.41</v>
      </c>
      <c r="W6">
        <v>15.37</v>
      </c>
      <c r="X6">
        <f t="shared" si="0"/>
        <v>12.182872</v>
      </c>
    </row>
    <row r="7" spans="1:24" x14ac:dyDescent="0.25">
      <c r="A7" s="28">
        <v>2018</v>
      </c>
      <c r="B7">
        <v>476</v>
      </c>
      <c r="C7">
        <v>637</v>
      </c>
      <c r="D7">
        <v>88</v>
      </c>
      <c r="E7">
        <v>10</v>
      </c>
      <c r="F7">
        <v>1014</v>
      </c>
      <c r="G7">
        <v>1014</v>
      </c>
      <c r="H7">
        <v>1015</v>
      </c>
      <c r="I7">
        <v>20043</v>
      </c>
      <c r="J7">
        <v>16239</v>
      </c>
      <c r="K7">
        <v>4299</v>
      </c>
      <c r="L7">
        <v>27106.975999999999</v>
      </c>
      <c r="M7">
        <v>30388.782999999999</v>
      </c>
      <c r="N7">
        <v>-28</v>
      </c>
      <c r="O7">
        <v>859.05</v>
      </c>
      <c r="P7">
        <v>11413.093999999999</v>
      </c>
      <c r="Q7">
        <v>5128.9459999999999</v>
      </c>
      <c r="R7">
        <v>5128.9459999999999</v>
      </c>
      <c r="S7">
        <v>-201</v>
      </c>
      <c r="T7">
        <v>1739.7159999999999</v>
      </c>
      <c r="U7">
        <v>839.97</v>
      </c>
      <c r="V7">
        <v>27.1</v>
      </c>
      <c r="W7">
        <v>16.14</v>
      </c>
      <c r="X7">
        <f t="shared" si="0"/>
        <v>12.272143999999999</v>
      </c>
    </row>
    <row r="8" spans="1:24" x14ac:dyDescent="0.25">
      <c r="A8" s="28">
        <v>2019</v>
      </c>
      <c r="B8">
        <v>510</v>
      </c>
      <c r="C8">
        <v>1190</v>
      </c>
      <c r="D8">
        <v>279</v>
      </c>
      <c r="E8">
        <v>-1</v>
      </c>
      <c r="F8">
        <v>1422</v>
      </c>
      <c r="G8">
        <v>1422</v>
      </c>
      <c r="H8">
        <v>1422</v>
      </c>
      <c r="I8">
        <v>20528.031999999999</v>
      </c>
      <c r="J8">
        <v>14998.24</v>
      </c>
      <c r="K8">
        <v>4242.21</v>
      </c>
      <c r="L8">
        <v>26727.61</v>
      </c>
      <c r="M8">
        <v>29711.98</v>
      </c>
      <c r="N8">
        <v>192</v>
      </c>
      <c r="O8">
        <v>862.303</v>
      </c>
      <c r="P8">
        <v>11456.316999999999</v>
      </c>
      <c r="Q8">
        <v>5185.3379999999997</v>
      </c>
      <c r="R8">
        <v>5185.3379999999997</v>
      </c>
      <c r="S8">
        <v>220</v>
      </c>
      <c r="T8">
        <v>1550.3109999999999</v>
      </c>
      <c r="U8">
        <v>723.71299999999997</v>
      </c>
      <c r="V8">
        <v>26.11</v>
      </c>
      <c r="W8">
        <v>15.08</v>
      </c>
      <c r="X8">
        <f t="shared" si="0"/>
        <v>12.318619999999999</v>
      </c>
    </row>
    <row r="9" spans="1:24" x14ac:dyDescent="0.25">
      <c r="A9" s="28">
        <v>2020</v>
      </c>
      <c r="B9">
        <v>496</v>
      </c>
      <c r="C9">
        <v>1321</v>
      </c>
      <c r="D9">
        <v>394</v>
      </c>
      <c r="E9">
        <v>13</v>
      </c>
      <c r="F9">
        <v>1410</v>
      </c>
      <c r="G9">
        <v>1410</v>
      </c>
      <c r="H9">
        <v>1410</v>
      </c>
      <c r="I9">
        <v>18323.387999999999</v>
      </c>
      <c r="J9">
        <v>11563.23</v>
      </c>
      <c r="K9">
        <v>4144.83</v>
      </c>
      <c r="L9">
        <v>22064.73</v>
      </c>
      <c r="M9">
        <v>24735.93</v>
      </c>
      <c r="N9">
        <v>141.744</v>
      </c>
      <c r="O9">
        <v>348.87900000000002</v>
      </c>
      <c r="P9">
        <v>4635.1109999999999</v>
      </c>
      <c r="Q9">
        <v>1942.778</v>
      </c>
      <c r="R9">
        <v>1942.778</v>
      </c>
      <c r="S9">
        <v>195.863</v>
      </c>
      <c r="T9">
        <v>1330.2439999999999</v>
      </c>
      <c r="U9">
        <v>980.40499999999997</v>
      </c>
      <c r="V9">
        <v>21.47</v>
      </c>
      <c r="W9">
        <v>6.23</v>
      </c>
      <c r="X9">
        <f t="shared" si="0"/>
        <v>4.9839899999999995</v>
      </c>
    </row>
    <row r="10" spans="1:24" x14ac:dyDescent="0.25">
      <c r="A10" s="28">
        <v>2021</v>
      </c>
      <c r="B10">
        <v>484</v>
      </c>
      <c r="C10">
        <v>979</v>
      </c>
      <c r="D10">
        <v>366</v>
      </c>
      <c r="E10">
        <v>-5</v>
      </c>
      <c r="F10">
        <v>1101</v>
      </c>
      <c r="G10">
        <v>1101</v>
      </c>
      <c r="H10">
        <v>1102</v>
      </c>
      <c r="I10">
        <v>17868.329000000002</v>
      </c>
      <c r="J10">
        <v>13645.32</v>
      </c>
      <c r="K10">
        <v>3621.59</v>
      </c>
      <c r="L10">
        <v>23878.165000000001</v>
      </c>
      <c r="M10">
        <v>27225.792000000001</v>
      </c>
      <c r="N10">
        <v>-763.495</v>
      </c>
      <c r="O10">
        <v>343.20600000000002</v>
      </c>
      <c r="P10">
        <v>4559.7359999999999</v>
      </c>
      <c r="Q10">
        <v>1833.758</v>
      </c>
      <c r="R10">
        <v>1833.758</v>
      </c>
      <c r="S10">
        <v>-609.70500000000004</v>
      </c>
      <c r="T10">
        <v>1083.4169999999999</v>
      </c>
      <c r="U10">
        <v>740.625</v>
      </c>
      <c r="V10">
        <v>23.76</v>
      </c>
      <c r="W10">
        <v>6.48</v>
      </c>
      <c r="X10">
        <f t="shared" si="0"/>
        <v>4.9029420000000004</v>
      </c>
    </row>
    <row r="11" spans="1:24" x14ac:dyDescent="0.25">
      <c r="A11" s="28">
        <v>2022</v>
      </c>
      <c r="B11">
        <v>479</v>
      </c>
      <c r="C11">
        <v>1152</v>
      </c>
      <c r="D11">
        <v>353</v>
      </c>
      <c r="E11">
        <v>-2</v>
      </c>
      <c r="H11">
        <v>1280</v>
      </c>
      <c r="I11">
        <v>19627.521000000001</v>
      </c>
      <c r="J11">
        <v>14883.005999999999</v>
      </c>
      <c r="K11">
        <v>4910.5150000000003</v>
      </c>
      <c r="M11">
        <v>2029.259</v>
      </c>
      <c r="N11">
        <v>20</v>
      </c>
      <c r="O11">
        <v>670.95</v>
      </c>
      <c r="P11">
        <v>8914.0499999999993</v>
      </c>
      <c r="Q11">
        <v>3490</v>
      </c>
      <c r="R11">
        <v>3490</v>
      </c>
      <c r="S11">
        <v>2</v>
      </c>
      <c r="T11">
        <v>1217.18</v>
      </c>
      <c r="U11">
        <v>556</v>
      </c>
      <c r="V11">
        <v>23.42</v>
      </c>
      <c r="W11">
        <v>11.47</v>
      </c>
      <c r="X11">
        <f t="shared" si="0"/>
        <v>9.5850000000000009</v>
      </c>
    </row>
    <row r="12" spans="1:24" x14ac:dyDescent="0.25">
      <c r="A12" s="28">
        <v>2023</v>
      </c>
    </row>
    <row r="13" spans="1:24" x14ac:dyDescent="0.25">
      <c r="A13" s="28">
        <v>2024</v>
      </c>
    </row>
  </sheetData>
  <hyperlinks>
    <hyperlink ref="U1" r:id="rId1" xr:uid="{730CE82D-96E0-48E0-A874-00C70E82A7C4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9CB5-4BB5-4A2A-883B-4C875C0FAB0C}">
  <sheetPr>
    <tabColor rgb="FFFFFF00"/>
  </sheetPr>
  <dimension ref="A1:BP139"/>
  <sheetViews>
    <sheetView zoomScale="85" zoomScaleNormal="85" zoomScaleSheetLayoutView="84" workbookViewId="0">
      <pane xSplit="1" ySplit="2" topLeftCell="L3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RowHeight="15" x14ac:dyDescent="0.25"/>
  <cols>
    <col min="1" max="1" width="9.42578125" style="49" bestFit="1" customWidth="1"/>
    <col min="2" max="2" width="16.42578125" customWidth="1"/>
    <col min="5" max="5" width="11.28515625" customWidth="1"/>
    <col min="6" max="6" width="11.7109375" customWidth="1"/>
    <col min="13" max="14" width="9.140625" style="50"/>
    <col min="18" max="18" width="9.7109375" bestFit="1" customWidth="1"/>
    <col min="19" max="19" width="9.7109375" customWidth="1"/>
    <col min="20" max="21" width="10.7109375" customWidth="1"/>
    <col min="22" max="22" width="11.7109375" bestFit="1" customWidth="1"/>
    <col min="23" max="26" width="11.7109375" customWidth="1"/>
    <col min="27" max="30" width="11.140625" customWidth="1"/>
    <col min="36" max="36" width="11.140625" customWidth="1"/>
    <col min="37" max="37" width="10.140625" customWidth="1"/>
  </cols>
  <sheetData>
    <row r="1" spans="1:68" s="31" customFormat="1" ht="60" x14ac:dyDescent="0.25">
      <c r="A1" s="29"/>
      <c r="B1" s="30"/>
      <c r="C1" s="5" t="s">
        <v>5</v>
      </c>
      <c r="M1" s="32"/>
      <c r="N1" s="32"/>
      <c r="T1" s="5" t="s">
        <v>61</v>
      </c>
      <c r="Y1" s="217" t="s">
        <v>62</v>
      </c>
      <c r="Z1" s="217"/>
      <c r="AB1" s="217" t="s">
        <v>63</v>
      </c>
      <c r="AC1" s="217"/>
      <c r="AH1" s="33" t="s">
        <v>64</v>
      </c>
      <c r="AJ1" s="33" t="s">
        <v>65</v>
      </c>
      <c r="AL1" s="33" t="s">
        <v>66</v>
      </c>
    </row>
    <row r="2" spans="1:68" s="31" customFormat="1" ht="75" x14ac:dyDescent="0.25">
      <c r="A2" s="29"/>
      <c r="B2" s="30"/>
      <c r="C2" s="31" t="s">
        <v>67</v>
      </c>
      <c r="D2" s="31" t="s">
        <v>68</v>
      </c>
      <c r="E2" s="31" t="s">
        <v>69</v>
      </c>
      <c r="F2" s="31" t="s">
        <v>70</v>
      </c>
      <c r="G2" s="31" t="s">
        <v>71</v>
      </c>
      <c r="M2" s="29"/>
      <c r="N2" s="30"/>
      <c r="O2" s="31" t="s">
        <v>67</v>
      </c>
      <c r="P2" s="31" t="s">
        <v>68</v>
      </c>
      <c r="Q2" s="31" t="s">
        <v>69</v>
      </c>
      <c r="R2" s="31" t="s">
        <v>70</v>
      </c>
      <c r="T2" s="31" t="s">
        <v>72</v>
      </c>
      <c r="U2" s="31" t="s">
        <v>73</v>
      </c>
      <c r="V2" s="31" t="s">
        <v>74</v>
      </c>
      <c r="W2" s="31" t="s">
        <v>75</v>
      </c>
      <c r="X2" s="31" t="s">
        <v>76</v>
      </c>
      <c r="Y2" s="34" t="s">
        <v>77</v>
      </c>
      <c r="Z2" s="35" t="s">
        <v>78</v>
      </c>
      <c r="AA2" s="31" t="s">
        <v>79</v>
      </c>
      <c r="AB2" s="36" t="s">
        <v>80</v>
      </c>
      <c r="AC2" s="37" t="s">
        <v>81</v>
      </c>
      <c r="AD2" s="31" t="s">
        <v>82</v>
      </c>
      <c r="AE2" s="31" t="s">
        <v>83</v>
      </c>
      <c r="AF2" s="31" t="s">
        <v>84</v>
      </c>
      <c r="AG2" s="31" t="s">
        <v>85</v>
      </c>
      <c r="AH2" s="31" t="s">
        <v>86</v>
      </c>
      <c r="AI2" s="31" t="s">
        <v>87</v>
      </c>
      <c r="AJ2" s="31" t="s">
        <v>88</v>
      </c>
      <c r="AK2" s="31" t="s">
        <v>89</v>
      </c>
      <c r="AL2" s="31" t="s">
        <v>90</v>
      </c>
      <c r="AM2" s="31" t="s">
        <v>91</v>
      </c>
    </row>
    <row r="3" spans="1:68" x14ac:dyDescent="0.25">
      <c r="A3" s="38" t="s">
        <v>92</v>
      </c>
      <c r="B3" s="28">
        <v>2014</v>
      </c>
      <c r="C3" s="39">
        <v>2164.0340879999999</v>
      </c>
      <c r="D3" s="39">
        <v>81.495858999999996</v>
      </c>
      <c r="E3" s="39">
        <v>0</v>
      </c>
      <c r="F3" s="39"/>
      <c r="G3" s="40">
        <v>30</v>
      </c>
      <c r="H3" s="40"/>
      <c r="I3" s="40"/>
      <c r="J3" s="40"/>
      <c r="K3" s="40"/>
      <c r="L3" s="40"/>
      <c r="M3" s="41" t="s">
        <v>93</v>
      </c>
      <c r="N3" s="42">
        <v>2014</v>
      </c>
      <c r="O3" s="43">
        <f>(C3*15/30)+(C4*16/31)</f>
        <v>2256.5216664516129</v>
      </c>
      <c r="P3" s="43">
        <f>(D3*15/30)+(D4*16/31)</f>
        <v>86.5660879516129</v>
      </c>
      <c r="Q3" s="43">
        <f>(E3*15/30)+(E4*16/31)</f>
        <v>0</v>
      </c>
      <c r="R3" s="19"/>
      <c r="S3" s="19"/>
      <c r="T3" s="44">
        <v>402.59</v>
      </c>
      <c r="U3" s="44">
        <v>843.17</v>
      </c>
      <c r="V3" s="44">
        <v>931.4</v>
      </c>
      <c r="W3" s="44"/>
      <c r="X3" s="44"/>
      <c r="Y3" s="44">
        <v>687.29</v>
      </c>
      <c r="Z3" s="44">
        <v>1139.75</v>
      </c>
      <c r="AA3" s="44">
        <f>Z3+Y3</f>
        <v>1827.04</v>
      </c>
      <c r="AB3" s="44">
        <v>1828.86</v>
      </c>
      <c r="AC3" s="44">
        <v>457.22</v>
      </c>
      <c r="AD3" s="44">
        <f>AC3+AB3</f>
        <v>2286.08</v>
      </c>
      <c r="AE3" s="44">
        <v>1771.83</v>
      </c>
      <c r="AF3" s="40"/>
      <c r="AG3" s="40"/>
      <c r="AH3" s="39"/>
      <c r="AI3" s="39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</row>
    <row r="4" spans="1:68" x14ac:dyDescent="0.25">
      <c r="A4" s="38" t="s">
        <v>94</v>
      </c>
      <c r="B4" s="28">
        <v>2014</v>
      </c>
      <c r="C4" s="39">
        <v>2275.6027060000001</v>
      </c>
      <c r="D4" s="39">
        <v>88.772682000000003</v>
      </c>
      <c r="E4" s="39">
        <v>0</v>
      </c>
      <c r="F4" s="39"/>
      <c r="G4" s="40">
        <v>31</v>
      </c>
      <c r="H4" s="40"/>
      <c r="I4" s="40"/>
      <c r="J4" s="40"/>
      <c r="K4" s="40"/>
      <c r="L4" s="40"/>
      <c r="M4" s="41" t="s">
        <v>95</v>
      </c>
      <c r="N4" s="42">
        <v>2014</v>
      </c>
      <c r="O4" s="43">
        <f>(C4*15/31)+(C5*15/30)</f>
        <v>2215.8069860483874</v>
      </c>
      <c r="P4" s="43">
        <f>(D4*15/31)+(D5*15/30)</f>
        <v>86.660503548387084</v>
      </c>
      <c r="Q4" s="43">
        <f>(E4*15/31)+(E5*15/30)</f>
        <v>0</v>
      </c>
      <c r="R4" s="19"/>
      <c r="S4" s="19"/>
      <c r="T4" s="44">
        <v>414.19</v>
      </c>
      <c r="U4" s="44">
        <v>1045.3</v>
      </c>
      <c r="V4" s="44">
        <v>922.22</v>
      </c>
      <c r="W4" s="44"/>
      <c r="X4" s="44"/>
      <c r="Y4" s="44">
        <v>695.49</v>
      </c>
      <c r="Z4" s="44">
        <v>999.36</v>
      </c>
      <c r="AA4" s="44">
        <f t="shared" ref="AA4:AA67" si="0">Z4+Y4</f>
        <v>1694.85</v>
      </c>
      <c r="AB4" s="44">
        <v>1910.34</v>
      </c>
      <c r="AC4" s="44">
        <v>493.03</v>
      </c>
      <c r="AD4" s="44">
        <f t="shared" ref="AD4:AD67" si="1">AC4+AB4</f>
        <v>2403.37</v>
      </c>
      <c r="AE4" s="44">
        <v>1715.25</v>
      </c>
      <c r="AF4" s="40"/>
      <c r="AG4" s="40"/>
      <c r="AH4" s="39"/>
      <c r="AI4" s="39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</row>
    <row r="5" spans="1:68" x14ac:dyDescent="0.25">
      <c r="A5" s="38" t="s">
        <v>96</v>
      </c>
      <c r="B5" s="28">
        <v>2014</v>
      </c>
      <c r="C5" s="39">
        <v>2229.417805</v>
      </c>
      <c r="D5" s="39">
        <v>87.411959999999993</v>
      </c>
      <c r="E5" s="39">
        <v>0</v>
      </c>
      <c r="F5" s="39"/>
      <c r="G5" s="40">
        <v>30</v>
      </c>
      <c r="H5" s="40"/>
      <c r="I5" s="40"/>
      <c r="J5" s="40"/>
      <c r="K5" s="40"/>
      <c r="L5" s="40"/>
      <c r="M5" s="41" t="s">
        <v>97</v>
      </c>
      <c r="N5" s="42">
        <v>2014</v>
      </c>
      <c r="O5" s="43">
        <f>(C5*15/30)+(C6*16/31)</f>
        <v>2310.5026877903224</v>
      </c>
      <c r="P5" s="43">
        <f>(D5*15/30)+(D6*16/31)</f>
        <v>90.026437290322576</v>
      </c>
      <c r="Q5" s="43">
        <f>(E5*15/30)+(E6*16/31)</f>
        <v>0</v>
      </c>
      <c r="R5" s="19"/>
      <c r="S5" s="19"/>
      <c r="T5" s="44">
        <v>500.88</v>
      </c>
      <c r="U5" s="44">
        <v>1009.02</v>
      </c>
      <c r="V5" s="44">
        <v>964.56</v>
      </c>
      <c r="W5" s="44"/>
      <c r="X5" s="44"/>
      <c r="Y5" s="44">
        <v>726.24</v>
      </c>
      <c r="Z5" s="44">
        <v>1169.0899999999999</v>
      </c>
      <c r="AA5" s="44">
        <f t="shared" si="0"/>
        <v>1895.33</v>
      </c>
      <c r="AB5" s="44">
        <v>1880.03</v>
      </c>
      <c r="AC5" s="44">
        <v>434.4</v>
      </c>
      <c r="AD5" s="44">
        <f t="shared" si="1"/>
        <v>2314.4299999999998</v>
      </c>
      <c r="AE5" s="44">
        <v>1625.07</v>
      </c>
      <c r="AF5" s="40"/>
      <c r="AG5" s="40"/>
      <c r="AH5" s="39"/>
      <c r="AI5" s="39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  <c r="BM5" s="40"/>
      <c r="BN5" s="40"/>
      <c r="BO5" s="40"/>
      <c r="BP5" s="40"/>
    </row>
    <row r="6" spans="1:68" x14ac:dyDescent="0.25">
      <c r="A6" s="38" t="s">
        <v>98</v>
      </c>
      <c r="B6" s="28">
        <v>2014</v>
      </c>
      <c r="C6" s="39">
        <v>2316.8504589999998</v>
      </c>
      <c r="D6" s="39">
        <v>89.745885999999999</v>
      </c>
      <c r="E6" s="39">
        <v>0</v>
      </c>
      <c r="F6" s="39"/>
      <c r="G6" s="40">
        <v>31</v>
      </c>
      <c r="H6" s="40"/>
      <c r="I6" s="40"/>
      <c r="J6" s="40"/>
      <c r="K6" s="40"/>
      <c r="L6" s="40"/>
      <c r="M6" s="41" t="s">
        <v>99</v>
      </c>
      <c r="N6" s="42">
        <v>2014</v>
      </c>
      <c r="O6" s="43">
        <f>(C6*15/31)+(C7*16/31)</f>
        <v>2253.0005993870964</v>
      </c>
      <c r="P6" s="43">
        <f>(D6*15/31)+(D7*16/31)</f>
        <v>90.208603935483865</v>
      </c>
      <c r="Q6" s="43">
        <f>(E6*15/31)+(E7*16/31)</f>
        <v>0</v>
      </c>
      <c r="R6" s="19"/>
      <c r="S6" s="19"/>
      <c r="T6" s="44">
        <v>421.42</v>
      </c>
      <c r="U6" s="44">
        <v>1151.8699999999999</v>
      </c>
      <c r="V6" s="44">
        <v>890.24</v>
      </c>
      <c r="W6" s="44"/>
      <c r="X6" s="44"/>
      <c r="Y6" s="44">
        <v>742.21</v>
      </c>
      <c r="Z6" s="44">
        <v>1226.6300000000001</v>
      </c>
      <c r="AA6" s="44">
        <f t="shared" si="0"/>
        <v>1968.8400000000001</v>
      </c>
      <c r="AB6" s="44">
        <v>1963.09</v>
      </c>
      <c r="AC6" s="44">
        <v>536.95000000000005</v>
      </c>
      <c r="AD6" s="44">
        <f t="shared" si="1"/>
        <v>2500.04</v>
      </c>
      <c r="AE6" s="44">
        <v>1800.44</v>
      </c>
      <c r="AF6" s="40"/>
      <c r="AG6" s="40"/>
      <c r="AH6" s="39"/>
      <c r="AI6" s="39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</row>
    <row r="7" spans="1:68" x14ac:dyDescent="0.25">
      <c r="A7" s="38" t="s">
        <v>100</v>
      </c>
      <c r="B7" s="28">
        <v>2014</v>
      </c>
      <c r="C7" s="39">
        <v>2193.1413560000001</v>
      </c>
      <c r="D7" s="39">
        <v>90.642402000000004</v>
      </c>
      <c r="E7" s="39">
        <v>0</v>
      </c>
      <c r="F7" s="39"/>
      <c r="G7" s="40">
        <v>31</v>
      </c>
      <c r="H7" s="40"/>
      <c r="I7" s="40"/>
      <c r="J7" s="40"/>
      <c r="K7" s="40"/>
      <c r="L7" s="40"/>
      <c r="M7" s="41" t="s">
        <v>101</v>
      </c>
      <c r="N7" s="42">
        <v>2014</v>
      </c>
      <c r="O7" s="43">
        <f>(C7*15/31)+(C8*15/30)</f>
        <v>2186.6285323225807</v>
      </c>
      <c r="P7" s="43">
        <f>(D7*15/31)+(D8*15/30)</f>
        <v>85.023224274193552</v>
      </c>
      <c r="Q7" s="43">
        <f>(E7*15/31)+(E8*15/30)</f>
        <v>0</v>
      </c>
      <c r="R7" s="19"/>
      <c r="S7" s="19"/>
      <c r="T7" s="44">
        <v>414.01</v>
      </c>
      <c r="U7" s="44">
        <v>1119.4100000000001</v>
      </c>
      <c r="V7" s="44">
        <v>1062.1099999999999</v>
      </c>
      <c r="W7" s="44"/>
      <c r="X7" s="44"/>
      <c r="Y7" s="44">
        <v>690.59</v>
      </c>
      <c r="Z7" s="44">
        <v>1199.48</v>
      </c>
      <c r="AA7" s="44">
        <f t="shared" si="0"/>
        <v>1890.0700000000002</v>
      </c>
      <c r="AB7" s="44">
        <v>1858.22</v>
      </c>
      <c r="AC7" s="44">
        <v>486.51</v>
      </c>
      <c r="AD7" s="44">
        <f t="shared" si="1"/>
        <v>2344.73</v>
      </c>
      <c r="AE7" s="44">
        <v>1681.38</v>
      </c>
      <c r="AF7" s="40"/>
      <c r="AG7" s="40"/>
      <c r="AH7" s="39"/>
      <c r="AI7" s="39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</row>
    <row r="8" spans="1:68" x14ac:dyDescent="0.25">
      <c r="A8" s="38" t="s">
        <v>102</v>
      </c>
      <c r="B8" s="28">
        <v>2014</v>
      </c>
      <c r="C8" s="39">
        <v>2250.862204</v>
      </c>
      <c r="D8" s="39">
        <v>82.327995000000001</v>
      </c>
      <c r="E8" s="39">
        <v>0</v>
      </c>
      <c r="F8" s="39"/>
      <c r="G8" s="40">
        <v>30</v>
      </c>
      <c r="H8" s="40"/>
      <c r="I8" s="40"/>
      <c r="J8" s="40"/>
      <c r="K8" s="40"/>
      <c r="L8" s="40"/>
      <c r="M8" s="41" t="s">
        <v>103</v>
      </c>
      <c r="N8" s="42">
        <v>2014</v>
      </c>
      <c r="O8" s="43">
        <f>(C8*15/30)+(C9*16/31)</f>
        <v>2367.6319159354834</v>
      </c>
      <c r="P8" s="43">
        <f>(D8*15/30)+(D9*16/31)</f>
        <v>82.82235208064516</v>
      </c>
      <c r="Q8" s="43">
        <f>(E8*15/30)+(E9*16/31)</f>
        <v>0</v>
      </c>
      <c r="R8" s="19"/>
      <c r="S8" s="19"/>
      <c r="T8" s="44">
        <v>420.29</v>
      </c>
      <c r="U8" s="44">
        <v>976.49</v>
      </c>
      <c r="V8" s="44">
        <v>1008.34</v>
      </c>
      <c r="W8" s="44"/>
      <c r="X8" s="44"/>
      <c r="Y8" s="44">
        <v>636.22</v>
      </c>
      <c r="Z8" s="44">
        <v>1104.03</v>
      </c>
      <c r="AA8" s="44">
        <f t="shared" si="0"/>
        <v>1740.25</v>
      </c>
      <c r="AB8" s="44">
        <v>1911.07</v>
      </c>
      <c r="AC8" s="44">
        <v>430.34</v>
      </c>
      <c r="AD8" s="44">
        <f t="shared" si="1"/>
        <v>2341.41</v>
      </c>
      <c r="AE8" s="44">
        <v>1654.08</v>
      </c>
      <c r="AF8" s="40"/>
      <c r="AG8" s="40"/>
      <c r="AH8" s="39"/>
      <c r="AI8" s="39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</row>
    <row r="9" spans="1:68" x14ac:dyDescent="0.25">
      <c r="A9" s="38" t="s">
        <v>104</v>
      </c>
      <c r="B9" s="28">
        <v>2014</v>
      </c>
      <c r="C9" s="39">
        <v>2406.7640769999998</v>
      </c>
      <c r="D9" s="39">
        <v>80.713061999999994</v>
      </c>
      <c r="E9" s="39">
        <v>0</v>
      </c>
      <c r="F9" s="39"/>
      <c r="G9" s="40">
        <v>31</v>
      </c>
      <c r="H9" s="40"/>
      <c r="I9" s="40"/>
      <c r="J9" s="40"/>
      <c r="K9" s="40"/>
      <c r="L9" s="40"/>
      <c r="M9" s="41" t="s">
        <v>105</v>
      </c>
      <c r="N9" s="42">
        <v>2014</v>
      </c>
      <c r="O9" s="43">
        <f>(C9*15/31)+(C10*15/30)</f>
        <v>2348.204628564516</v>
      </c>
      <c r="P9" s="43">
        <f>(D9*15/31)+(D10*15/30)</f>
        <v>71.462435419354833</v>
      </c>
      <c r="Q9" s="43">
        <f>(E9*15/31)+(E10*15/30)</f>
        <v>0</v>
      </c>
      <c r="R9" s="19"/>
      <c r="S9" s="19"/>
      <c r="T9" s="44">
        <v>371.47</v>
      </c>
      <c r="U9" s="44">
        <v>747.24</v>
      </c>
      <c r="V9" s="44">
        <v>938.04</v>
      </c>
      <c r="W9" s="44"/>
      <c r="X9" s="44"/>
      <c r="Y9" s="44">
        <v>615.27</v>
      </c>
      <c r="Z9" s="44">
        <v>1136.19</v>
      </c>
      <c r="AA9" s="44">
        <f t="shared" si="0"/>
        <v>1751.46</v>
      </c>
      <c r="AB9" s="44">
        <v>2029.36</v>
      </c>
      <c r="AC9" s="44">
        <v>393.13</v>
      </c>
      <c r="AD9" s="44">
        <f t="shared" si="1"/>
        <v>2422.4899999999998</v>
      </c>
      <c r="AE9" s="44">
        <v>1677.22</v>
      </c>
      <c r="AF9" s="40"/>
      <c r="AG9" s="40"/>
      <c r="AH9" s="39"/>
      <c r="AI9" s="39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</row>
    <row r="10" spans="1:68" x14ac:dyDescent="0.25">
      <c r="A10" s="38" t="s">
        <v>106</v>
      </c>
      <c r="B10" s="28">
        <v>2014</v>
      </c>
      <c r="C10" s="39">
        <v>2367.2827309999998</v>
      </c>
      <c r="D10" s="39">
        <v>64.815455999999998</v>
      </c>
      <c r="E10" s="39">
        <v>0</v>
      </c>
      <c r="F10" s="39"/>
      <c r="G10" s="40">
        <v>30</v>
      </c>
      <c r="H10" s="40"/>
      <c r="I10" s="40"/>
      <c r="J10" s="40"/>
      <c r="K10" s="40"/>
      <c r="L10" s="40"/>
      <c r="M10" s="41" t="s">
        <v>107</v>
      </c>
      <c r="N10" s="42">
        <v>2014</v>
      </c>
      <c r="O10" s="43">
        <f>(C10*15/30)+(C11*16/31)</f>
        <v>2238.0852953064514</v>
      </c>
      <c r="P10" s="43">
        <f>(D10*15/30)+(D11*16/31)</f>
        <v>63.27955716129032</v>
      </c>
      <c r="Q10" s="43">
        <f>(E10*15/30)+(E11*16/31)</f>
        <v>0</v>
      </c>
      <c r="R10" s="19"/>
      <c r="S10" s="19"/>
      <c r="T10" s="44">
        <v>392.33</v>
      </c>
      <c r="U10" s="44">
        <v>928.56</v>
      </c>
      <c r="V10" s="44">
        <v>942.9</v>
      </c>
      <c r="W10" s="44"/>
      <c r="X10" s="44"/>
      <c r="Y10" s="44">
        <v>677.62</v>
      </c>
      <c r="Z10" s="44">
        <v>1272.48</v>
      </c>
      <c r="AA10" s="44">
        <f t="shared" si="0"/>
        <v>1950.1</v>
      </c>
      <c r="AB10" s="44">
        <v>2049.3000000000002</v>
      </c>
      <c r="AC10" s="44">
        <v>348.31</v>
      </c>
      <c r="AD10" s="44">
        <f t="shared" si="1"/>
        <v>2397.61</v>
      </c>
      <c r="AE10" s="44">
        <v>1656.16</v>
      </c>
      <c r="AF10" s="40"/>
      <c r="AG10" s="40"/>
      <c r="AH10" s="39"/>
      <c r="AI10" s="39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</row>
    <row r="11" spans="1:68" x14ac:dyDescent="0.25">
      <c r="A11" s="38" t="s">
        <v>108</v>
      </c>
      <c r="B11" s="28">
        <v>2015</v>
      </c>
      <c r="C11" s="39">
        <v>2042.9851140000001</v>
      </c>
      <c r="D11" s="39">
        <v>59.814169</v>
      </c>
      <c r="E11" s="39">
        <v>0</v>
      </c>
      <c r="F11" s="39"/>
      <c r="G11" s="40">
        <v>31</v>
      </c>
      <c r="H11" s="40"/>
      <c r="I11" s="40"/>
      <c r="J11" s="40"/>
      <c r="K11" s="40"/>
      <c r="L11" s="40"/>
      <c r="M11" s="41" t="s">
        <v>109</v>
      </c>
      <c r="N11" s="42">
        <v>2015</v>
      </c>
      <c r="O11" s="43">
        <f>(C11*15/31)+(C12*16/31)</f>
        <v>2202.6261591612906</v>
      </c>
      <c r="P11" s="43">
        <f>(D11*15/31)+(D12*16/31)</f>
        <v>49.692050290322584</v>
      </c>
      <c r="Q11" s="43">
        <f>(E11*15/31)+(E12*16/31)</f>
        <v>0</v>
      </c>
      <c r="R11" s="19"/>
      <c r="S11" s="19"/>
      <c r="T11" s="44">
        <v>413.08</v>
      </c>
      <c r="U11" s="44">
        <v>937.03</v>
      </c>
      <c r="V11" s="44">
        <v>821.66</v>
      </c>
      <c r="W11" s="44"/>
      <c r="X11" s="44"/>
      <c r="Y11" s="44">
        <v>591.76</v>
      </c>
      <c r="Z11" s="44">
        <v>1166.5899999999999</v>
      </c>
      <c r="AA11" s="44">
        <f t="shared" si="0"/>
        <v>1758.35</v>
      </c>
      <c r="AB11" s="44">
        <v>1711.2</v>
      </c>
      <c r="AC11" s="44">
        <v>455.6</v>
      </c>
      <c r="AD11" s="44">
        <f t="shared" si="1"/>
        <v>2166.8000000000002</v>
      </c>
      <c r="AE11" s="44">
        <v>1683.96</v>
      </c>
      <c r="AF11" s="40"/>
      <c r="AG11" s="40"/>
      <c r="AH11" s="39"/>
      <c r="AI11" s="39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</row>
    <row r="12" spans="1:68" x14ac:dyDescent="0.25">
      <c r="A12" s="38" t="s">
        <v>110</v>
      </c>
      <c r="B12" s="28">
        <v>2015</v>
      </c>
      <c r="C12" s="39">
        <v>2352.2896390000001</v>
      </c>
      <c r="D12" s="39">
        <v>40.202564000000002</v>
      </c>
      <c r="E12" s="39">
        <v>0</v>
      </c>
      <c r="F12" s="39"/>
      <c r="G12" s="40">
        <v>31</v>
      </c>
      <c r="H12" s="40"/>
      <c r="I12" s="40"/>
      <c r="J12" s="40"/>
      <c r="K12" s="40"/>
      <c r="L12" s="40"/>
      <c r="M12" s="41" t="s">
        <v>111</v>
      </c>
      <c r="N12" s="42">
        <v>2015</v>
      </c>
      <c r="O12" s="43">
        <f>(C12*15/31)+(C13*13/28)</f>
        <v>2163.1225051036868</v>
      </c>
      <c r="P12" s="43">
        <f>(D12*15/31)+(D13*13/28)</f>
        <v>32.633006619815667</v>
      </c>
      <c r="Q12" s="43">
        <f>(E12*15/31)+(E13*13/28)</f>
        <v>4.4172142857142856E-3</v>
      </c>
      <c r="R12" s="19"/>
      <c r="S12" s="19"/>
      <c r="T12" s="44">
        <v>342.08</v>
      </c>
      <c r="U12" s="44">
        <v>748.12</v>
      </c>
      <c r="V12" s="44">
        <v>994.45</v>
      </c>
      <c r="W12" s="44"/>
      <c r="X12" s="44"/>
      <c r="Y12" s="44">
        <v>548.15</v>
      </c>
      <c r="Z12" s="44">
        <v>972.32</v>
      </c>
      <c r="AA12" s="44">
        <f t="shared" si="0"/>
        <v>1520.47</v>
      </c>
      <c r="AB12" s="44">
        <v>1972.07</v>
      </c>
      <c r="AC12" s="44">
        <v>234.42</v>
      </c>
      <c r="AD12" s="44">
        <f t="shared" si="1"/>
        <v>2206.4899999999998</v>
      </c>
      <c r="AE12" s="44">
        <v>1572.78</v>
      </c>
      <c r="AF12" s="40"/>
      <c r="AG12" s="40"/>
      <c r="AH12" s="39"/>
      <c r="AI12" s="39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  <c r="BP12" s="40"/>
    </row>
    <row r="13" spans="1:68" x14ac:dyDescent="0.25">
      <c r="A13" s="38" t="s">
        <v>112</v>
      </c>
      <c r="B13" s="28">
        <v>2015</v>
      </c>
      <c r="C13" s="39">
        <v>2207.5153500000001</v>
      </c>
      <c r="D13" s="39">
        <v>28.388021999999999</v>
      </c>
      <c r="E13" s="39">
        <v>9.5139999999999999E-3</v>
      </c>
      <c r="F13" s="39"/>
      <c r="G13" s="40">
        <v>28</v>
      </c>
      <c r="H13" s="40"/>
      <c r="I13" s="40"/>
      <c r="J13" s="40"/>
      <c r="K13" s="40"/>
      <c r="L13" s="40"/>
      <c r="M13" s="41" t="s">
        <v>113</v>
      </c>
      <c r="N13" s="42">
        <v>2015</v>
      </c>
      <c r="O13" s="43">
        <f>(C13*15/28)+(C14*16/31)</f>
        <v>2401.3567760253454</v>
      </c>
      <c r="P13" s="43">
        <f>(D13*15/28)+(D14*16/31)</f>
        <v>37.43727434792627</v>
      </c>
      <c r="Q13" s="43">
        <f>(E13*15/28)+(E14*16/31)</f>
        <v>5.0967857142857143E-3</v>
      </c>
      <c r="R13" s="39"/>
      <c r="S13" s="39"/>
      <c r="T13" s="44">
        <v>380.77</v>
      </c>
      <c r="U13" s="44">
        <v>892.77</v>
      </c>
      <c r="V13" s="44">
        <v>913.51</v>
      </c>
      <c r="W13" s="44"/>
      <c r="X13" s="44"/>
      <c r="Y13" s="44">
        <v>639.44000000000005</v>
      </c>
      <c r="Z13" s="44">
        <v>892.89</v>
      </c>
      <c r="AA13" s="44">
        <f t="shared" si="0"/>
        <v>1532.33</v>
      </c>
      <c r="AB13" s="44">
        <v>1982.18</v>
      </c>
      <c r="AC13" s="44">
        <v>333.59</v>
      </c>
      <c r="AD13" s="44">
        <f t="shared" si="1"/>
        <v>2315.77</v>
      </c>
      <c r="AE13" s="44">
        <v>1553.43</v>
      </c>
      <c r="AF13" s="40"/>
      <c r="AG13" s="40"/>
      <c r="AH13" s="39"/>
      <c r="AI13" s="39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</row>
    <row r="14" spans="1:68" x14ac:dyDescent="0.25">
      <c r="A14" s="38" t="s">
        <v>114</v>
      </c>
      <c r="B14" s="28">
        <v>2015</v>
      </c>
      <c r="C14" s="39">
        <v>2361.3460799999998</v>
      </c>
      <c r="D14" s="39">
        <v>43.069473000000002</v>
      </c>
      <c r="E14" s="39">
        <v>0</v>
      </c>
      <c r="F14" s="39"/>
      <c r="G14" s="40">
        <v>31</v>
      </c>
      <c r="H14" s="40"/>
      <c r="I14" s="40"/>
      <c r="J14" s="40"/>
      <c r="K14" s="40"/>
      <c r="L14" s="40"/>
      <c r="M14" s="41" t="s">
        <v>115</v>
      </c>
      <c r="N14" s="42">
        <v>2015</v>
      </c>
      <c r="O14" s="43">
        <f>(C14+15/31)+(C15*15/30)</f>
        <v>3525.8882329677417</v>
      </c>
      <c r="P14" s="43">
        <f>(D14+15/31)+(D15*15/30)</f>
        <v>69.583455467741942</v>
      </c>
      <c r="Q14" s="43">
        <f>(E14+15/31)+(E15*15/30)</f>
        <v>0.4838709677419355</v>
      </c>
      <c r="R14" s="39"/>
      <c r="S14" s="39"/>
      <c r="T14" s="44">
        <v>375.3</v>
      </c>
      <c r="U14" s="44">
        <v>933.77</v>
      </c>
      <c r="V14" s="44">
        <v>972.6</v>
      </c>
      <c r="W14" s="44"/>
      <c r="X14" s="44"/>
      <c r="Y14" s="44">
        <v>696.04</v>
      </c>
      <c r="Z14" s="44">
        <v>867.33</v>
      </c>
      <c r="AA14" s="44">
        <f t="shared" si="0"/>
        <v>1563.37</v>
      </c>
      <c r="AB14" s="44">
        <v>1994.58</v>
      </c>
      <c r="AC14" s="44">
        <v>657.23</v>
      </c>
      <c r="AD14" s="44">
        <f t="shared" si="1"/>
        <v>2651.81</v>
      </c>
      <c r="AE14" s="44">
        <v>1675.27</v>
      </c>
      <c r="AF14" s="40"/>
      <c r="AG14" s="40"/>
      <c r="AH14" s="39"/>
      <c r="AI14" s="39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0"/>
      <c r="BK14" s="40"/>
      <c r="BL14" s="40"/>
      <c r="BM14" s="40"/>
      <c r="BN14" s="40"/>
      <c r="BO14" s="40"/>
      <c r="BP14" s="40"/>
    </row>
    <row r="15" spans="1:68" x14ac:dyDescent="0.25">
      <c r="A15" s="38" t="s">
        <v>92</v>
      </c>
      <c r="B15" s="28">
        <v>2015</v>
      </c>
      <c r="C15" s="39">
        <v>2328.1165639999999</v>
      </c>
      <c r="D15" s="39">
        <v>52.060223000000001</v>
      </c>
      <c r="E15" s="39">
        <v>0</v>
      </c>
      <c r="F15" s="39"/>
      <c r="G15" s="40">
        <v>30</v>
      </c>
      <c r="H15" s="40"/>
      <c r="I15" s="40"/>
      <c r="J15" s="40"/>
      <c r="K15" s="40"/>
      <c r="L15" s="40"/>
      <c r="M15" s="41" t="s">
        <v>93</v>
      </c>
      <c r="N15" s="42">
        <v>2015</v>
      </c>
      <c r="O15" s="43">
        <f>(C15*15/30)+(C16*16/31)</f>
        <v>2408.180037354839</v>
      </c>
      <c r="P15" s="43">
        <f>(D15*15/30)+(D16*16/31)</f>
        <v>58.022548145161295</v>
      </c>
      <c r="Q15" s="43">
        <f>(E15*15/30)+(E16*16/31)</f>
        <v>1.1982967741935484E-2</v>
      </c>
      <c r="R15" s="39"/>
      <c r="S15" s="39"/>
      <c r="T15" s="44">
        <v>441.62</v>
      </c>
      <c r="U15" s="44">
        <v>978.71</v>
      </c>
      <c r="V15" s="44">
        <v>899.69</v>
      </c>
      <c r="W15" s="44"/>
      <c r="X15" s="44"/>
      <c r="Y15" s="44">
        <v>584.55999999999995</v>
      </c>
      <c r="Z15" s="44">
        <v>993.34</v>
      </c>
      <c r="AA15" s="44">
        <f t="shared" si="0"/>
        <v>1577.9</v>
      </c>
      <c r="AB15" s="44">
        <v>1963.56</v>
      </c>
      <c r="AC15" s="44">
        <v>504.88</v>
      </c>
      <c r="AD15" s="44">
        <f t="shared" si="1"/>
        <v>2468.44</v>
      </c>
      <c r="AE15" s="44">
        <v>1842.32</v>
      </c>
      <c r="AF15" s="40"/>
      <c r="AG15" s="40"/>
      <c r="AH15" s="39"/>
      <c r="AI15" s="39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</row>
    <row r="16" spans="1:68" x14ac:dyDescent="0.25">
      <c r="A16" s="38" t="s">
        <v>94</v>
      </c>
      <c r="B16" s="28">
        <v>2015</v>
      </c>
      <c r="C16" s="39">
        <v>2410.485901</v>
      </c>
      <c r="D16" s="39">
        <v>61.985346</v>
      </c>
      <c r="E16" s="39">
        <v>2.3217000000000002E-2</v>
      </c>
      <c r="F16" s="39"/>
      <c r="G16" s="40">
        <v>31</v>
      </c>
      <c r="H16" s="40"/>
      <c r="I16" s="40"/>
      <c r="J16" s="40"/>
      <c r="K16" s="40"/>
      <c r="L16" s="40"/>
      <c r="M16" s="41" t="s">
        <v>95</v>
      </c>
      <c r="N16" s="42">
        <v>2015</v>
      </c>
      <c r="O16" s="43">
        <f>(C16*15/31)+(C17*15/30)</f>
        <v>2349.3743276451614</v>
      </c>
      <c r="P16" s="43">
        <f>(D16*15/31)+(D17*15/30)</f>
        <v>53.526313854838705</v>
      </c>
      <c r="Q16" s="43">
        <f>(E16*15/31)+(E17*15/30)</f>
        <v>1.1234032258064517E-2</v>
      </c>
      <c r="R16" s="19"/>
      <c r="S16" s="19"/>
      <c r="T16" s="44">
        <v>434.14</v>
      </c>
      <c r="U16" s="44">
        <v>845.97</v>
      </c>
      <c r="V16" s="44">
        <v>1030.8599999999999</v>
      </c>
      <c r="W16" s="44"/>
      <c r="X16" s="44"/>
      <c r="Y16" s="44">
        <v>515.27</v>
      </c>
      <c r="Z16" s="44">
        <v>985.36</v>
      </c>
      <c r="AA16" s="44">
        <f t="shared" si="0"/>
        <v>1500.63</v>
      </c>
      <c r="AB16" s="44">
        <v>2039.86</v>
      </c>
      <c r="AC16" s="44">
        <v>439.09</v>
      </c>
      <c r="AD16" s="44">
        <f t="shared" si="1"/>
        <v>2478.9499999999998</v>
      </c>
      <c r="AE16" s="44">
        <v>1705.8</v>
      </c>
      <c r="AF16" s="40"/>
      <c r="AG16" s="40"/>
      <c r="AH16" s="39"/>
      <c r="AI16" s="39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</row>
    <row r="17" spans="1:68" x14ac:dyDescent="0.25">
      <c r="A17" s="38" t="s">
        <v>96</v>
      </c>
      <c r="B17" s="28">
        <v>2015</v>
      </c>
      <c r="C17" s="39">
        <v>2366.020364</v>
      </c>
      <c r="D17" s="39">
        <v>47.066808999999999</v>
      </c>
      <c r="E17" s="39">
        <v>0</v>
      </c>
      <c r="F17" s="39"/>
      <c r="G17" s="40">
        <v>30</v>
      </c>
      <c r="H17" s="40"/>
      <c r="I17" s="40"/>
      <c r="J17" s="40"/>
      <c r="K17" s="40"/>
      <c r="L17" s="40"/>
      <c r="M17" s="41" t="s">
        <v>97</v>
      </c>
      <c r="N17" s="42">
        <v>2015</v>
      </c>
      <c r="O17" s="43">
        <f>(C17*15/30)+(C18*16/31)</f>
        <v>2425.6343626451617</v>
      </c>
      <c r="P17" s="43">
        <f>(D17*15/30)+(D18*16/31)</f>
        <v>59.073929919354839</v>
      </c>
      <c r="Q17" s="43">
        <f>(E17*15/30)+(E18*16/31)</f>
        <v>1.0431483870967742E-2</v>
      </c>
      <c r="R17" s="19"/>
      <c r="S17" s="19"/>
      <c r="T17" s="44">
        <v>517.51</v>
      </c>
      <c r="U17" s="44">
        <v>1012.94</v>
      </c>
      <c r="V17" s="44">
        <v>1264.49</v>
      </c>
      <c r="W17" s="44"/>
      <c r="X17" s="44"/>
      <c r="Y17" s="44">
        <v>621.27</v>
      </c>
      <c r="Z17" s="44">
        <v>1261.3699999999999</v>
      </c>
      <c r="AA17" s="44">
        <f t="shared" si="0"/>
        <v>1882.6399999999999</v>
      </c>
      <c r="AB17" s="44">
        <v>1928.78</v>
      </c>
      <c r="AC17" s="44">
        <v>551.55999999999995</v>
      </c>
      <c r="AD17" s="44">
        <f t="shared" si="1"/>
        <v>2480.34</v>
      </c>
      <c r="AE17" s="44">
        <v>1706.03</v>
      </c>
      <c r="AF17" s="40"/>
      <c r="AG17" s="40"/>
      <c r="AH17" s="39"/>
      <c r="AI17" s="39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</row>
    <row r="18" spans="1:68" x14ac:dyDescent="0.25">
      <c r="A18" s="38" t="s">
        <v>98</v>
      </c>
      <c r="B18" s="28">
        <v>2015</v>
      </c>
      <c r="C18" s="39">
        <v>2407.5843500000001</v>
      </c>
      <c r="D18" s="39">
        <v>68.859768000000003</v>
      </c>
      <c r="E18" s="39">
        <v>2.0211E-2</v>
      </c>
      <c r="F18" s="39"/>
      <c r="G18" s="40">
        <v>31</v>
      </c>
      <c r="H18" s="40"/>
      <c r="I18" s="40"/>
      <c r="J18" s="40"/>
      <c r="K18" s="40"/>
      <c r="L18" s="40"/>
      <c r="M18" s="41" t="s">
        <v>99</v>
      </c>
      <c r="N18" s="42">
        <v>2015</v>
      </c>
      <c r="O18" s="43">
        <f>(C18*15/31)+(C19*16/31)</f>
        <v>2351.0840589032259</v>
      </c>
      <c r="P18" s="43">
        <f>(D18*15/31)+(D19*16/31)</f>
        <v>64.710705290322579</v>
      </c>
      <c r="Q18" s="43">
        <f>(E18*15/31)+(E19*16/31)</f>
        <v>9.7795161290322591E-3</v>
      </c>
      <c r="R18" s="19"/>
      <c r="S18" s="19"/>
      <c r="T18" s="44">
        <v>480.37</v>
      </c>
      <c r="U18" s="44">
        <v>1058.3599999999999</v>
      </c>
      <c r="V18" s="44">
        <v>1228.07</v>
      </c>
      <c r="W18" s="44"/>
      <c r="X18" s="44"/>
      <c r="Y18" s="44">
        <v>643.53</v>
      </c>
      <c r="Z18" s="44">
        <v>1202.2</v>
      </c>
      <c r="AA18" s="44">
        <f t="shared" si="0"/>
        <v>1845.73</v>
      </c>
      <c r="AB18" s="44">
        <v>1902.34</v>
      </c>
      <c r="AC18" s="44">
        <v>532.64</v>
      </c>
      <c r="AD18" s="44">
        <f t="shared" si="1"/>
        <v>2434.98</v>
      </c>
      <c r="AE18" s="44">
        <v>1782.34</v>
      </c>
      <c r="AF18" s="40"/>
      <c r="AG18" s="40"/>
      <c r="AH18" s="39"/>
      <c r="AI18" s="39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</row>
    <row r="19" spans="1:68" x14ac:dyDescent="0.25">
      <c r="A19" s="38" t="s">
        <v>100</v>
      </c>
      <c r="B19" s="28">
        <v>2015</v>
      </c>
      <c r="C19" s="39">
        <v>2298.1150360000001</v>
      </c>
      <c r="D19" s="39">
        <v>60.820959000000002</v>
      </c>
      <c r="E19" s="39">
        <v>0</v>
      </c>
      <c r="F19" s="39"/>
      <c r="G19" s="40">
        <v>31</v>
      </c>
      <c r="H19" s="40"/>
      <c r="I19" s="40"/>
      <c r="J19" s="40"/>
      <c r="K19" s="40"/>
      <c r="L19" s="40"/>
      <c r="M19" s="41" t="s">
        <v>101</v>
      </c>
      <c r="N19" s="42">
        <v>2015</v>
      </c>
      <c r="O19" s="43">
        <f>(C19*15/31)+(C20*15/30)</f>
        <v>2286.9429359516125</v>
      </c>
      <c r="P19" s="43">
        <f>(D19*15/31)+(D20*15/30)</f>
        <v>65.713048290322575</v>
      </c>
      <c r="Q19" s="43">
        <f>(E19*15/31)+(E20*15/30)</f>
        <v>0</v>
      </c>
      <c r="R19" s="19"/>
      <c r="S19" s="19"/>
      <c r="T19" s="44">
        <v>458.45</v>
      </c>
      <c r="U19" s="44">
        <v>1069.5899999999999</v>
      </c>
      <c r="V19" s="44">
        <v>1219.46</v>
      </c>
      <c r="W19" s="44"/>
      <c r="X19" s="44"/>
      <c r="Y19" s="44">
        <v>659.98</v>
      </c>
      <c r="Z19" s="44">
        <v>1198.1199999999999</v>
      </c>
      <c r="AA19" s="44">
        <f t="shared" si="0"/>
        <v>1858.1</v>
      </c>
      <c r="AB19" s="44">
        <v>1805.09</v>
      </c>
      <c r="AC19" s="44">
        <v>652.38</v>
      </c>
      <c r="AD19" s="44">
        <f t="shared" si="1"/>
        <v>2457.4699999999998</v>
      </c>
      <c r="AE19" s="44">
        <v>1824.99</v>
      </c>
      <c r="AF19" s="40"/>
      <c r="AG19" s="40"/>
      <c r="AH19" s="39"/>
      <c r="AI19" s="39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0"/>
      <c r="BK19" s="40"/>
      <c r="BL19" s="40"/>
      <c r="BM19" s="40"/>
      <c r="BN19" s="40"/>
      <c r="BO19" s="40"/>
      <c r="BP19" s="40"/>
    </row>
    <row r="20" spans="1:68" x14ac:dyDescent="0.25">
      <c r="A20" s="38" t="s">
        <v>102</v>
      </c>
      <c r="B20" s="28">
        <v>2015</v>
      </c>
      <c r="C20" s="39">
        <v>2349.9035789999998</v>
      </c>
      <c r="D20" s="39">
        <v>72.567104</v>
      </c>
      <c r="E20" s="39">
        <v>0</v>
      </c>
      <c r="F20" s="39"/>
      <c r="G20" s="40">
        <v>30</v>
      </c>
      <c r="H20" s="40"/>
      <c r="I20" s="40"/>
      <c r="J20" s="40"/>
      <c r="K20" s="40"/>
      <c r="L20" s="40"/>
      <c r="M20" s="41" t="s">
        <v>103</v>
      </c>
      <c r="N20" s="42">
        <v>2015</v>
      </c>
      <c r="O20" s="43">
        <f>(C20*15/30)+(C21*16/31)</f>
        <v>2451.106815048387</v>
      </c>
      <c r="P20" s="43">
        <f>(D20*15/30)+(D21*16/31)</f>
        <v>72.847934967741935</v>
      </c>
      <c r="Q20" s="43">
        <f>(E20*15/30)+(E21*16/31)</f>
        <v>0</v>
      </c>
      <c r="R20" s="19"/>
      <c r="S20" s="19"/>
      <c r="T20" s="44">
        <v>437.15</v>
      </c>
      <c r="U20" s="44">
        <v>907.89</v>
      </c>
      <c r="V20" s="44">
        <v>1288.48</v>
      </c>
      <c r="W20" s="44"/>
      <c r="X20" s="44"/>
      <c r="Y20" s="44">
        <v>614.9</v>
      </c>
      <c r="Z20" s="44">
        <v>1347.57</v>
      </c>
      <c r="AA20" s="44">
        <f t="shared" si="0"/>
        <v>1962.4699999999998</v>
      </c>
      <c r="AB20" s="44">
        <v>1988.71</v>
      </c>
      <c r="AC20" s="44">
        <v>571.85</v>
      </c>
      <c r="AD20" s="44">
        <f t="shared" si="1"/>
        <v>2560.56</v>
      </c>
      <c r="AE20" s="44">
        <v>1735.73</v>
      </c>
      <c r="AF20" s="40"/>
      <c r="AG20" s="40"/>
      <c r="AH20" s="39"/>
      <c r="AI20" s="39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0"/>
      <c r="BK20" s="40"/>
      <c r="BL20" s="40"/>
      <c r="BM20" s="40"/>
      <c r="BN20" s="40"/>
      <c r="BO20" s="40"/>
      <c r="BP20" s="40"/>
    </row>
    <row r="21" spans="1:68" x14ac:dyDescent="0.25">
      <c r="A21" s="38" t="s">
        <v>104</v>
      </c>
      <c r="B21" s="28">
        <v>2015</v>
      </c>
      <c r="C21" s="39">
        <v>2472.550362</v>
      </c>
      <c r="D21" s="39">
        <v>70.843491999999998</v>
      </c>
      <c r="E21" s="39">
        <v>0</v>
      </c>
      <c r="F21" s="39"/>
      <c r="G21" s="40">
        <v>31</v>
      </c>
      <c r="H21" s="40"/>
      <c r="I21" s="40"/>
      <c r="J21" s="40"/>
      <c r="K21" s="40"/>
      <c r="L21" s="40"/>
      <c r="M21" s="41" t="s">
        <v>105</v>
      </c>
      <c r="N21" s="42">
        <v>2015</v>
      </c>
      <c r="O21" s="43">
        <f>(C21*15/31)+(C22*15/30)</f>
        <v>2389.2624444516127</v>
      </c>
      <c r="P21" s="43">
        <f>(D21*15/31)+(D22*15/30)</f>
        <v>68.256255032258053</v>
      </c>
      <c r="Q21" s="43">
        <f>(E21*15/31)+(E22*15/30)</f>
        <v>1.775074</v>
      </c>
      <c r="R21" s="19"/>
      <c r="S21" s="19"/>
      <c r="T21" s="44">
        <v>360.13</v>
      </c>
      <c r="U21" s="44">
        <v>791.94</v>
      </c>
      <c r="V21" s="44">
        <v>1332.03</v>
      </c>
      <c r="W21" s="44"/>
      <c r="X21" s="44"/>
      <c r="Y21" s="44">
        <v>539.92999999999995</v>
      </c>
      <c r="Z21" s="44">
        <v>1299.71</v>
      </c>
      <c r="AA21" s="44">
        <f t="shared" si="0"/>
        <v>1839.6399999999999</v>
      </c>
      <c r="AB21" s="44">
        <v>2098.5500000000002</v>
      </c>
      <c r="AC21" s="44">
        <v>368.18</v>
      </c>
      <c r="AD21" s="44">
        <f t="shared" si="1"/>
        <v>2466.73</v>
      </c>
      <c r="AE21" s="44">
        <v>1851.3</v>
      </c>
      <c r="AF21" s="40"/>
      <c r="AG21" s="40"/>
      <c r="AH21" s="39"/>
      <c r="AI21" s="39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</row>
    <row r="22" spans="1:68" x14ac:dyDescent="0.25">
      <c r="A22" s="38" t="s">
        <v>106</v>
      </c>
      <c r="B22" s="28">
        <v>2015</v>
      </c>
      <c r="C22" s="39">
        <v>2385.7342159999998</v>
      </c>
      <c r="D22" s="39">
        <v>67.954291999999995</v>
      </c>
      <c r="E22" s="39">
        <v>3.5501480000000001</v>
      </c>
      <c r="F22" s="39"/>
      <c r="G22" s="40">
        <v>30</v>
      </c>
      <c r="H22" s="40"/>
      <c r="I22" s="40"/>
      <c r="J22" s="40"/>
      <c r="K22" s="40"/>
      <c r="L22" s="40"/>
      <c r="M22" s="41" t="s">
        <v>107</v>
      </c>
      <c r="N22" s="42">
        <v>2015</v>
      </c>
      <c r="O22" s="43">
        <f>(C22*15/30)+(C23*16/31)</f>
        <v>2317.8686837419355</v>
      </c>
      <c r="P22" s="43">
        <f>(D22*15/30)+(D23*16/31)</f>
        <v>62.36515838709677</v>
      </c>
      <c r="Q22" s="43">
        <f>(E22*15/30)+(E23*16/31)</f>
        <v>1.971655677419355</v>
      </c>
      <c r="R22" s="19"/>
      <c r="S22" s="19"/>
      <c r="T22" s="44">
        <v>332.35</v>
      </c>
      <c r="U22" s="44">
        <v>1149.56</v>
      </c>
      <c r="V22" s="44">
        <v>1143.72</v>
      </c>
      <c r="W22" s="44"/>
      <c r="X22" s="44"/>
      <c r="Y22" s="44">
        <v>548.9</v>
      </c>
      <c r="Z22" s="44">
        <v>1337.54</v>
      </c>
      <c r="AA22" s="44">
        <f t="shared" si="0"/>
        <v>1886.44</v>
      </c>
      <c r="AB22" s="44">
        <v>2018.9</v>
      </c>
      <c r="AC22" s="44">
        <v>346.16</v>
      </c>
      <c r="AD22" s="44">
        <f t="shared" si="1"/>
        <v>2365.06</v>
      </c>
      <c r="AE22" s="44">
        <v>1858.3</v>
      </c>
      <c r="AF22" s="40"/>
      <c r="AG22" s="40"/>
      <c r="AH22" s="39"/>
      <c r="AI22" s="39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0"/>
      <c r="BK22" s="40"/>
      <c r="BL22" s="40"/>
      <c r="BM22" s="40"/>
      <c r="BN22" s="40"/>
      <c r="BO22" s="40"/>
      <c r="BP22" s="40"/>
    </row>
    <row r="23" spans="1:68" x14ac:dyDescent="0.25">
      <c r="A23" s="38" t="s">
        <v>108</v>
      </c>
      <c r="B23" s="28">
        <v>2016</v>
      </c>
      <c r="C23" s="39">
        <v>2179.6905529999999</v>
      </c>
      <c r="D23" s="39">
        <v>55.001773999999997</v>
      </c>
      <c r="E23" s="39">
        <v>0.38087700000000002</v>
      </c>
      <c r="F23" s="39"/>
      <c r="G23" s="40">
        <v>31</v>
      </c>
      <c r="H23" s="40"/>
      <c r="I23" s="40"/>
      <c r="J23" s="40"/>
      <c r="K23" s="40"/>
      <c r="L23" s="40"/>
      <c r="M23" s="41" t="s">
        <v>109</v>
      </c>
      <c r="N23" s="42">
        <f>N22+1</f>
        <v>2016</v>
      </c>
      <c r="O23" s="43">
        <f>(C23*15/31)+(C24*16/31)</f>
        <v>2286.7814696451615</v>
      </c>
      <c r="P23" s="43">
        <f>(D23*15/31)+(D24*16/31)</f>
        <v>56.028698387096767</v>
      </c>
      <c r="Q23" s="43">
        <f>(E23*15/31)+(E24*16/31)</f>
        <v>1.8584315806451612</v>
      </c>
      <c r="R23" s="19"/>
      <c r="S23" s="19"/>
      <c r="T23" s="44">
        <v>368.36</v>
      </c>
      <c r="U23" s="44">
        <v>892.6</v>
      </c>
      <c r="V23" s="44">
        <v>998.81</v>
      </c>
      <c r="W23" s="44"/>
      <c r="X23" s="44"/>
      <c r="Y23" s="44">
        <v>600.25</v>
      </c>
      <c r="Z23" s="44">
        <v>1154.83</v>
      </c>
      <c r="AA23" s="44">
        <f t="shared" si="0"/>
        <v>1755.08</v>
      </c>
      <c r="AB23" s="44">
        <v>1840.32</v>
      </c>
      <c r="AC23" s="44">
        <v>476.77</v>
      </c>
      <c r="AD23" s="44">
        <f t="shared" si="1"/>
        <v>2317.09</v>
      </c>
      <c r="AE23" s="44">
        <v>1694.43</v>
      </c>
      <c r="AF23" s="40"/>
      <c r="AG23" s="40"/>
      <c r="AH23" s="39">
        <v>16.361716000000001</v>
      </c>
      <c r="AI23" s="39">
        <v>3.6569090000000002</v>
      </c>
      <c r="AJ23" s="39">
        <v>521.18167900000003</v>
      </c>
      <c r="AK23" s="39">
        <v>23.189</v>
      </c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0"/>
      <c r="BK23" s="40"/>
      <c r="BL23" s="40"/>
      <c r="BM23" s="40"/>
      <c r="BN23" s="40"/>
      <c r="BO23" s="40"/>
      <c r="BP23" s="40"/>
    </row>
    <row r="24" spans="1:68" x14ac:dyDescent="0.25">
      <c r="A24" s="38" t="s">
        <v>116</v>
      </c>
      <c r="B24" s="28">
        <v>2016</v>
      </c>
      <c r="C24" s="39">
        <v>2387.179204</v>
      </c>
      <c r="D24" s="39">
        <v>56.991439999999997</v>
      </c>
      <c r="E24" s="39">
        <v>3.2436389999999999</v>
      </c>
      <c r="F24" s="39"/>
      <c r="G24" s="40">
        <v>31</v>
      </c>
      <c r="H24" s="40"/>
      <c r="I24" s="40"/>
      <c r="J24" s="40"/>
      <c r="K24" s="40"/>
      <c r="L24" s="40"/>
      <c r="M24" s="41" t="s">
        <v>111</v>
      </c>
      <c r="N24" s="42">
        <f>N23</f>
        <v>2016</v>
      </c>
      <c r="O24" s="43">
        <f>(C24*15/31)+(C25*13/28)</f>
        <v>2261.9669926129031</v>
      </c>
      <c r="P24" s="43">
        <f>(D24*15/31)+(D25*13/28)</f>
        <v>42.926958940092163</v>
      </c>
      <c r="Q24" s="43">
        <f>(E24*15/31)+(E25*13/28)</f>
        <v>1.8747863847926267</v>
      </c>
      <c r="R24" s="19"/>
      <c r="S24" s="19"/>
      <c r="T24" s="44">
        <v>266.63</v>
      </c>
      <c r="U24" s="44">
        <v>713.38</v>
      </c>
      <c r="V24" s="44">
        <v>1102.25</v>
      </c>
      <c r="W24" s="44"/>
      <c r="X24" s="44"/>
      <c r="Y24" s="44">
        <v>590.24</v>
      </c>
      <c r="Z24" s="44">
        <v>825.52</v>
      </c>
      <c r="AA24" s="44">
        <f t="shared" si="0"/>
        <v>1415.76</v>
      </c>
      <c r="AB24" s="44">
        <v>2033.99</v>
      </c>
      <c r="AC24" s="44">
        <v>188.78</v>
      </c>
      <c r="AD24" s="44">
        <f t="shared" si="1"/>
        <v>2222.77</v>
      </c>
      <c r="AE24" s="44">
        <v>1672.83</v>
      </c>
      <c r="AF24" s="40"/>
      <c r="AG24" s="40"/>
      <c r="AH24" s="39">
        <v>4.64255</v>
      </c>
      <c r="AI24" s="39">
        <v>0.290383</v>
      </c>
      <c r="AJ24" s="39">
        <v>701.90805</v>
      </c>
      <c r="AK24" s="39">
        <v>3.113</v>
      </c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</row>
    <row r="25" spans="1:68" x14ac:dyDescent="0.25">
      <c r="A25" s="38" t="s">
        <v>112</v>
      </c>
      <c r="B25" s="28">
        <v>2016</v>
      </c>
      <c r="C25" s="39">
        <v>2384.0498360000001</v>
      </c>
      <c r="D25" s="39">
        <v>33.062519999999999</v>
      </c>
      <c r="E25" s="39">
        <v>0.65753399999999995</v>
      </c>
      <c r="F25" s="39"/>
      <c r="G25" s="40">
        <v>28</v>
      </c>
      <c r="H25" s="40"/>
      <c r="I25" s="40"/>
      <c r="J25" s="40"/>
      <c r="K25" s="40"/>
      <c r="L25" s="40"/>
      <c r="M25" s="41" t="s">
        <v>113</v>
      </c>
      <c r="N25" s="42">
        <f t="shared" ref="N25:N34" si="2">N24</f>
        <v>2016</v>
      </c>
      <c r="O25" s="43">
        <f>(C25*15/28)+(C26*16/31)</f>
        <v>2537.9687570645165</v>
      </c>
      <c r="P25" s="43">
        <f>(D25*15/28)+(D26*16/31)</f>
        <v>62.129514608294926</v>
      </c>
      <c r="Q25" s="43">
        <f>(E25*15/28)+(E26*16/31)</f>
        <v>0.35225035714285713</v>
      </c>
      <c r="R25" s="39"/>
      <c r="S25" s="39"/>
      <c r="T25" s="44">
        <v>280.32</v>
      </c>
      <c r="U25" s="44">
        <v>930.24</v>
      </c>
      <c r="V25" s="44">
        <v>1129.95</v>
      </c>
      <c r="W25" s="44"/>
      <c r="X25" s="44"/>
      <c r="Y25" s="44">
        <v>529.08000000000004</v>
      </c>
      <c r="Z25" s="44">
        <v>952.03</v>
      </c>
      <c r="AA25" s="44">
        <f t="shared" si="0"/>
        <v>1481.1100000000001</v>
      </c>
      <c r="AB25" s="44">
        <v>2014.71</v>
      </c>
      <c r="AC25" s="44">
        <v>280.97000000000003</v>
      </c>
      <c r="AD25" s="44">
        <f t="shared" si="1"/>
        <v>2295.6800000000003</v>
      </c>
      <c r="AE25" s="44">
        <v>1575.74</v>
      </c>
      <c r="AF25" s="40"/>
      <c r="AG25" s="40"/>
      <c r="AH25" s="39">
        <v>27.687327</v>
      </c>
      <c r="AI25" s="39">
        <v>15.498863999999999</v>
      </c>
      <c r="AJ25" s="39">
        <v>859.35706600000003</v>
      </c>
      <c r="AK25" s="39">
        <v>23.872</v>
      </c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0"/>
      <c r="BK25" s="40"/>
      <c r="BL25" s="40"/>
      <c r="BM25" s="40"/>
      <c r="BN25" s="40"/>
      <c r="BO25" s="40"/>
      <c r="BP25" s="40"/>
    </row>
    <row r="26" spans="1:68" x14ac:dyDescent="0.25">
      <c r="A26" s="38" t="s">
        <v>114</v>
      </c>
      <c r="B26" s="28">
        <v>2016</v>
      </c>
      <c r="C26" s="39">
        <v>2442.7984540000002</v>
      </c>
      <c r="D26" s="39">
        <v>86.058809999999994</v>
      </c>
      <c r="E26" s="39">
        <v>0</v>
      </c>
      <c r="F26" s="39"/>
      <c r="G26" s="40">
        <v>31</v>
      </c>
      <c r="H26" s="40"/>
      <c r="I26" s="40"/>
      <c r="J26" s="40"/>
      <c r="K26" s="40"/>
      <c r="L26" s="40"/>
      <c r="M26" s="41" t="s">
        <v>115</v>
      </c>
      <c r="N26" s="42">
        <f t="shared" si="2"/>
        <v>2016</v>
      </c>
      <c r="O26" s="43">
        <f>(C26+15/31)+(C27*15/30)</f>
        <v>3608.6729539677422</v>
      </c>
      <c r="P26" s="43">
        <f>(D26+15/31)+(D27*15/30)</f>
        <v>124.81763296774193</v>
      </c>
      <c r="Q26" s="43">
        <f>(E26+15/31)+(E27*15/30)</f>
        <v>0.4838709677419355</v>
      </c>
      <c r="R26" s="39"/>
      <c r="S26" s="39"/>
      <c r="T26" s="44">
        <v>359.55</v>
      </c>
      <c r="U26" s="44">
        <v>915.78</v>
      </c>
      <c r="V26" s="44">
        <v>1000.78</v>
      </c>
      <c r="W26" s="44"/>
      <c r="X26" s="44"/>
      <c r="Y26" s="44">
        <v>607.79999999999995</v>
      </c>
      <c r="Z26" s="44">
        <v>949.97</v>
      </c>
      <c r="AA26" s="44">
        <f t="shared" si="0"/>
        <v>1557.77</v>
      </c>
      <c r="AB26" s="44">
        <v>2056.84</v>
      </c>
      <c r="AC26" s="44">
        <v>406.95</v>
      </c>
      <c r="AD26" s="44">
        <f t="shared" si="1"/>
        <v>2463.79</v>
      </c>
      <c r="AE26" s="44">
        <v>1651.98</v>
      </c>
      <c r="AF26" s="40"/>
      <c r="AG26" s="40"/>
      <c r="AH26" s="39">
        <v>24.647013000000001</v>
      </c>
      <c r="AI26" s="39">
        <v>5.1412950000000004</v>
      </c>
      <c r="AJ26" s="39">
        <v>606.10102600000005</v>
      </c>
      <c r="AK26" s="39">
        <v>16.27</v>
      </c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0"/>
      <c r="BK26" s="40"/>
      <c r="BL26" s="40"/>
      <c r="BM26" s="40"/>
      <c r="BN26" s="40"/>
      <c r="BO26" s="40"/>
      <c r="BP26" s="40"/>
    </row>
    <row r="27" spans="1:68" x14ac:dyDescent="0.25">
      <c r="A27" s="38" t="s">
        <v>92</v>
      </c>
      <c r="B27" s="28">
        <v>2016</v>
      </c>
      <c r="C27" s="39">
        <v>2330.781258</v>
      </c>
      <c r="D27" s="39">
        <v>76.549903999999998</v>
      </c>
      <c r="E27" s="39">
        <v>0</v>
      </c>
      <c r="F27" s="39"/>
      <c r="G27" s="40">
        <v>30</v>
      </c>
      <c r="H27" s="40"/>
      <c r="I27" s="40"/>
      <c r="J27" s="40"/>
      <c r="K27" s="40"/>
      <c r="L27" s="40"/>
      <c r="M27" s="41" t="s">
        <v>93</v>
      </c>
      <c r="N27" s="42">
        <f t="shared" si="2"/>
        <v>2016</v>
      </c>
      <c r="O27" s="43">
        <f>(C27*15/30)+(C28*16/31)</f>
        <v>2450.916487580645</v>
      </c>
      <c r="P27" s="43">
        <f>(D27*15/30)+(D28*16/31)</f>
        <v>80.969040774193545</v>
      </c>
      <c r="Q27" s="43">
        <f>(E27*15/30)+(E28*16/31)</f>
        <v>0</v>
      </c>
      <c r="R27" s="39"/>
      <c r="S27" s="39"/>
      <c r="T27" s="44">
        <v>377.39</v>
      </c>
      <c r="U27" s="44">
        <v>1014.11</v>
      </c>
      <c r="V27" s="44">
        <v>920.25</v>
      </c>
      <c r="W27" s="44"/>
      <c r="X27" s="44"/>
      <c r="Y27" s="44">
        <v>589.79999999999995</v>
      </c>
      <c r="Z27" s="44">
        <v>1155.74</v>
      </c>
      <c r="AA27" s="44">
        <f t="shared" si="0"/>
        <v>1745.54</v>
      </c>
      <c r="AB27" s="44">
        <v>1977.82</v>
      </c>
      <c r="AC27" s="44">
        <v>714.21</v>
      </c>
      <c r="AD27" s="44">
        <f t="shared" si="1"/>
        <v>2692.0299999999997</v>
      </c>
      <c r="AE27" s="44">
        <v>1682.08</v>
      </c>
      <c r="AF27" s="40"/>
      <c r="AG27" s="40"/>
      <c r="AH27" s="39">
        <v>40.476148000000002</v>
      </c>
      <c r="AI27" s="39">
        <v>3.4651109999999998</v>
      </c>
      <c r="AJ27" s="39">
        <v>581.77514699999995</v>
      </c>
      <c r="AK27" s="39">
        <v>14.097</v>
      </c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</row>
    <row r="28" spans="1:68" x14ac:dyDescent="0.25">
      <c r="A28" s="38" t="s">
        <v>94</v>
      </c>
      <c r="B28" s="28">
        <v>2016</v>
      </c>
      <c r="C28" s="39">
        <v>2490.7063509999998</v>
      </c>
      <c r="D28" s="39">
        <v>82.719797</v>
      </c>
      <c r="E28" s="39">
        <v>0</v>
      </c>
      <c r="F28" s="39"/>
      <c r="G28" s="40">
        <v>31</v>
      </c>
      <c r="H28" s="40"/>
      <c r="I28" s="40"/>
      <c r="J28" s="40"/>
      <c r="K28" s="40"/>
      <c r="L28" s="40"/>
      <c r="M28" s="41" t="s">
        <v>95</v>
      </c>
      <c r="N28" s="42">
        <f t="shared" si="2"/>
        <v>2016</v>
      </c>
      <c r="O28" s="43">
        <f>(C28*15/31)+(C29*15/30)</f>
        <v>2420.0766769193547</v>
      </c>
      <c r="P28" s="43">
        <f>(D28*15/31)+(D29*15/30)</f>
        <v>74.159550225806456</v>
      </c>
      <c r="Q28" s="43">
        <f>(E28*15/31)+(E29*15/30)</f>
        <v>5.1000000000000004E-4</v>
      </c>
      <c r="R28" s="19"/>
      <c r="S28" s="19"/>
      <c r="T28" s="44">
        <v>448.25</v>
      </c>
      <c r="U28" s="44">
        <v>958.11</v>
      </c>
      <c r="V28" s="44">
        <v>1100.27</v>
      </c>
      <c r="W28" s="44"/>
      <c r="X28" s="44"/>
      <c r="Y28" s="44">
        <v>583.97</v>
      </c>
      <c r="Z28" s="44">
        <v>1141.02</v>
      </c>
      <c r="AA28" s="44">
        <f t="shared" si="0"/>
        <v>1724.99</v>
      </c>
      <c r="AB28" s="44">
        <v>2103.58</v>
      </c>
      <c r="AC28" s="44">
        <v>520.07000000000005</v>
      </c>
      <c r="AD28" s="44">
        <f t="shared" si="1"/>
        <v>2623.65</v>
      </c>
      <c r="AE28" s="44">
        <v>1748.68</v>
      </c>
      <c r="AF28" s="40"/>
      <c r="AG28" s="40"/>
      <c r="AH28" s="39">
        <v>27.685534000000001</v>
      </c>
      <c r="AI28" s="39">
        <v>0.60800500000000002</v>
      </c>
      <c r="AJ28" s="39">
        <v>1017.161988</v>
      </c>
      <c r="AK28" s="39">
        <v>38.865000000000002</v>
      </c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0"/>
      <c r="BK28" s="40"/>
      <c r="BL28" s="40"/>
      <c r="BM28" s="40"/>
      <c r="BN28" s="40"/>
      <c r="BO28" s="40"/>
      <c r="BP28" s="40"/>
    </row>
    <row r="29" spans="1:68" x14ac:dyDescent="0.25">
      <c r="A29" s="38" t="s">
        <v>96</v>
      </c>
      <c r="B29" s="28">
        <v>2016</v>
      </c>
      <c r="C29" s="39">
        <v>2429.7923689999998</v>
      </c>
      <c r="D29" s="39">
        <v>68.267684000000003</v>
      </c>
      <c r="E29" s="39">
        <v>1.0200000000000001E-3</v>
      </c>
      <c r="F29" s="39"/>
      <c r="G29" s="40">
        <v>30</v>
      </c>
      <c r="H29" s="40"/>
      <c r="I29" s="40"/>
      <c r="J29" s="40"/>
      <c r="K29" s="40"/>
      <c r="L29" s="40"/>
      <c r="M29" s="41" t="s">
        <v>97</v>
      </c>
      <c r="N29" s="42">
        <f t="shared" si="2"/>
        <v>2016</v>
      </c>
      <c r="O29" s="43">
        <f>(C29*15/30)+(C30*16/31)</f>
        <v>2476.444121016129</v>
      </c>
      <c r="P29" s="43">
        <f>(D29*15/30)+(D30*16/31)</f>
        <v>71.874369483870964</v>
      </c>
      <c r="Q29" s="43">
        <f>(E29*15/30)+(E30*16/31)</f>
        <v>0.61787051612903232</v>
      </c>
      <c r="R29" s="19"/>
      <c r="S29" s="19"/>
      <c r="T29" s="44">
        <v>476.77</v>
      </c>
      <c r="U29" s="44">
        <v>1115.43</v>
      </c>
      <c r="V29" s="44">
        <v>936.75</v>
      </c>
      <c r="W29" s="44"/>
      <c r="X29" s="44"/>
      <c r="Y29" s="44">
        <v>617.57000000000005</v>
      </c>
      <c r="Z29" s="44">
        <v>1133.83</v>
      </c>
      <c r="AA29" s="44">
        <f t="shared" si="0"/>
        <v>1751.4</v>
      </c>
      <c r="AB29" s="44">
        <v>2059.14</v>
      </c>
      <c r="AC29" s="44">
        <v>581.64</v>
      </c>
      <c r="AD29" s="44">
        <f t="shared" si="1"/>
        <v>2640.7799999999997</v>
      </c>
      <c r="AE29" s="44">
        <v>1753.27</v>
      </c>
      <c r="AF29" s="40"/>
      <c r="AG29" s="40"/>
      <c r="AH29" s="39">
        <v>35.673569000000001</v>
      </c>
      <c r="AI29" s="39">
        <v>4.657737</v>
      </c>
      <c r="AJ29" s="39">
        <v>662.04963599999996</v>
      </c>
      <c r="AK29" s="39">
        <v>83.706000000000003</v>
      </c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0"/>
      <c r="BK29" s="40"/>
      <c r="BL29" s="40"/>
      <c r="BM29" s="40"/>
      <c r="BN29" s="40"/>
      <c r="BO29" s="40"/>
      <c r="BP29" s="40"/>
    </row>
    <row r="30" spans="1:68" x14ac:dyDescent="0.25">
      <c r="A30" s="38" t="s">
        <v>98</v>
      </c>
      <c r="B30" s="28">
        <v>2016</v>
      </c>
      <c r="C30" s="39">
        <v>2444.249127</v>
      </c>
      <c r="D30" s="39">
        <v>73.122271999999995</v>
      </c>
      <c r="E30" s="39">
        <v>1.1961360000000001</v>
      </c>
      <c r="F30" s="39"/>
      <c r="G30" s="40">
        <v>31</v>
      </c>
      <c r="H30" s="40"/>
      <c r="I30" s="40"/>
      <c r="J30" s="40"/>
      <c r="K30" s="40"/>
      <c r="L30" s="40"/>
      <c r="M30" s="41" t="s">
        <v>99</v>
      </c>
      <c r="N30" s="42">
        <f t="shared" si="2"/>
        <v>2016</v>
      </c>
      <c r="O30" s="43">
        <f>(C30*15/31)+(C31*16/31)</f>
        <v>2421.3863868709677</v>
      </c>
      <c r="P30" s="43">
        <f>(D30*15/31)+(D31*16/31)</f>
        <v>64.082097548387082</v>
      </c>
      <c r="Q30" s="43">
        <f>(E30*15/31)+(E31*16/31)</f>
        <v>0.58902787096774201</v>
      </c>
      <c r="R30" s="19"/>
      <c r="S30" s="19"/>
      <c r="T30" s="44">
        <v>433.18</v>
      </c>
      <c r="U30" s="44">
        <v>1152.4100000000001</v>
      </c>
      <c r="V30" s="44">
        <v>1027.05</v>
      </c>
      <c r="W30" s="44"/>
      <c r="X30" s="44"/>
      <c r="Y30" s="44">
        <v>612.73</v>
      </c>
      <c r="Z30" s="44">
        <v>1247</v>
      </c>
      <c r="AA30" s="44">
        <f t="shared" si="0"/>
        <v>1859.73</v>
      </c>
      <c r="AB30" s="44">
        <v>2064.17</v>
      </c>
      <c r="AC30" s="44">
        <v>414.23</v>
      </c>
      <c r="AD30" s="44">
        <f t="shared" si="1"/>
        <v>2478.4</v>
      </c>
      <c r="AE30" s="44">
        <v>1699.68</v>
      </c>
      <c r="AF30" s="40"/>
      <c r="AG30" s="40"/>
      <c r="AH30" s="39">
        <v>23.220109999999998</v>
      </c>
      <c r="AI30" s="39">
        <v>0.56713000000000002</v>
      </c>
      <c r="AJ30" s="39">
        <v>774.36328600000002</v>
      </c>
      <c r="AK30" s="39">
        <v>35.073999999999998</v>
      </c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</row>
    <row r="31" spans="1:68" x14ac:dyDescent="0.25">
      <c r="A31" s="38" t="s">
        <v>100</v>
      </c>
      <c r="B31" s="28">
        <v>2016</v>
      </c>
      <c r="C31" s="39">
        <v>2399.9525680000002</v>
      </c>
      <c r="D31" s="39">
        <v>55.606934000000003</v>
      </c>
      <c r="E31" s="39">
        <v>1.9864E-2</v>
      </c>
      <c r="F31" s="39"/>
      <c r="G31" s="40">
        <v>31</v>
      </c>
      <c r="H31" s="40"/>
      <c r="I31" s="40"/>
      <c r="J31" s="40"/>
      <c r="K31" s="40"/>
      <c r="L31" s="40"/>
      <c r="M31" s="41" t="s">
        <v>101</v>
      </c>
      <c r="N31" s="42">
        <f t="shared" si="2"/>
        <v>2016</v>
      </c>
      <c r="O31" s="43">
        <f>(C31*15/31)+(C32*15/30)</f>
        <v>2411.375022112903</v>
      </c>
      <c r="P31" s="43">
        <f>(D31*15/31)+(D32*15/30)</f>
        <v>48.387138967741933</v>
      </c>
      <c r="Q31" s="43">
        <f>(E31*15/31)+(E32*15/30)</f>
        <v>9.6116129032258069E-3</v>
      </c>
      <c r="R31" s="19"/>
      <c r="S31" s="19"/>
      <c r="T31" s="44">
        <v>370.05</v>
      </c>
      <c r="U31" s="44">
        <v>1049.8699999999999</v>
      </c>
      <c r="V31" s="44">
        <v>919.7</v>
      </c>
      <c r="W31" s="44"/>
      <c r="X31" s="44"/>
      <c r="Y31" s="44">
        <v>574.59</v>
      </c>
      <c r="Z31" s="44">
        <v>1216.8699999999999</v>
      </c>
      <c r="AA31" s="44">
        <f t="shared" si="0"/>
        <v>1791.46</v>
      </c>
      <c r="AB31" s="44">
        <v>1984.05</v>
      </c>
      <c r="AC31" s="44">
        <v>721.27</v>
      </c>
      <c r="AD31" s="44">
        <f t="shared" si="1"/>
        <v>2705.3199999999997</v>
      </c>
      <c r="AE31" s="44">
        <v>1567.64</v>
      </c>
      <c r="AF31" s="40"/>
      <c r="AG31" s="40"/>
      <c r="AH31" s="39">
        <v>20.131739</v>
      </c>
      <c r="AI31" s="39">
        <v>0.57535499999999995</v>
      </c>
      <c r="AJ31" s="39">
        <v>912.89016100000003</v>
      </c>
      <c r="AK31" s="39">
        <v>53.83</v>
      </c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0"/>
      <c r="BK31" s="40"/>
      <c r="BL31" s="40"/>
      <c r="BM31" s="40"/>
      <c r="BN31" s="40"/>
      <c r="BO31" s="40"/>
      <c r="BP31" s="40"/>
    </row>
    <row r="32" spans="1:68" x14ac:dyDescent="0.25">
      <c r="A32" s="38" t="s">
        <v>102</v>
      </c>
      <c r="B32" s="28">
        <v>2016</v>
      </c>
      <c r="C32" s="39">
        <v>2500.2153010000002</v>
      </c>
      <c r="D32" s="39">
        <v>42.961115999999997</v>
      </c>
      <c r="E32" s="39">
        <v>0</v>
      </c>
      <c r="F32" s="39"/>
      <c r="G32" s="40">
        <v>30</v>
      </c>
      <c r="H32" s="40"/>
      <c r="I32" s="40"/>
      <c r="J32" s="40"/>
      <c r="K32" s="40"/>
      <c r="L32" s="40"/>
      <c r="M32" s="41" t="s">
        <v>103</v>
      </c>
      <c r="N32" s="42">
        <f t="shared" si="2"/>
        <v>2016</v>
      </c>
      <c r="O32" s="43">
        <f>(C32*15/30)+(C33*16/31)</f>
        <v>2563.6086698548388</v>
      </c>
      <c r="P32" s="43">
        <f>(D32*15/30)+(D33*16/31)</f>
        <v>50.728154387096772</v>
      </c>
      <c r="Q32" s="43">
        <f>(E32*15/30)+(E33*16/31)</f>
        <v>0</v>
      </c>
      <c r="R32" s="19"/>
      <c r="S32" s="19"/>
      <c r="T32" s="44">
        <v>346.8</v>
      </c>
      <c r="U32" s="44">
        <v>1014.73</v>
      </c>
      <c r="V32" s="44">
        <v>965.85</v>
      </c>
      <c r="W32" s="44"/>
      <c r="X32" s="44"/>
      <c r="Y32" s="44">
        <v>566.91999999999996</v>
      </c>
      <c r="Z32" s="44">
        <v>1274.6300000000001</v>
      </c>
      <c r="AA32" s="44">
        <f t="shared" si="0"/>
        <v>1841.5500000000002</v>
      </c>
      <c r="AB32" s="44">
        <v>2111.96</v>
      </c>
      <c r="AC32" s="44">
        <v>467.63</v>
      </c>
      <c r="AD32" s="44">
        <f t="shared" si="1"/>
        <v>2579.59</v>
      </c>
      <c r="AE32" s="44">
        <v>1724.51</v>
      </c>
      <c r="AF32" s="40"/>
      <c r="AG32" s="40"/>
      <c r="AH32" s="39">
        <v>14.305777000000001</v>
      </c>
      <c r="AI32" s="39">
        <v>5.9456879999999996</v>
      </c>
      <c r="AJ32" s="39">
        <v>861.29491299999995</v>
      </c>
      <c r="AK32" s="39">
        <v>17.123999999999999</v>
      </c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</row>
    <row r="33" spans="1:68" x14ac:dyDescent="0.25">
      <c r="A33" s="38" t="s">
        <v>104</v>
      </c>
      <c r="B33" s="28">
        <v>2016</v>
      </c>
      <c r="C33" s="39">
        <v>2544.9082250000001</v>
      </c>
      <c r="D33" s="39">
        <v>56.667217999999998</v>
      </c>
      <c r="E33" s="39">
        <v>0</v>
      </c>
      <c r="F33" s="39"/>
      <c r="G33" s="40">
        <v>31</v>
      </c>
      <c r="H33" s="40"/>
      <c r="I33" s="40"/>
      <c r="J33" s="40"/>
      <c r="K33" s="40"/>
      <c r="L33" s="40"/>
      <c r="M33" s="41" t="s">
        <v>105</v>
      </c>
      <c r="N33" s="42">
        <f t="shared" si="2"/>
        <v>2016</v>
      </c>
      <c r="O33" s="43">
        <f>(C33*15/31)+(C34*15/30)</f>
        <v>2496.9861351451614</v>
      </c>
      <c r="P33" s="43">
        <f>(D33*15/31)+(D34*15/30)</f>
        <v>49.76381961290322</v>
      </c>
      <c r="Q33" s="43">
        <f>(E33*15/31)+(E34*15/30)</f>
        <v>0</v>
      </c>
      <c r="R33" s="19"/>
      <c r="S33" s="19"/>
      <c r="T33" s="44">
        <v>321.7</v>
      </c>
      <c r="U33" s="44">
        <v>796.2</v>
      </c>
      <c r="V33" s="44">
        <v>1018.77</v>
      </c>
      <c r="W33" s="44"/>
      <c r="X33" s="44"/>
      <c r="Y33" s="44">
        <v>542.47</v>
      </c>
      <c r="Z33" s="44">
        <v>1209.8</v>
      </c>
      <c r="AA33" s="44">
        <f t="shared" si="0"/>
        <v>1752.27</v>
      </c>
      <c r="AB33" s="44">
        <v>2153.88</v>
      </c>
      <c r="AC33" s="44">
        <v>435.52</v>
      </c>
      <c r="AD33" s="44">
        <f t="shared" si="1"/>
        <v>2589.4</v>
      </c>
      <c r="AE33" s="44">
        <v>1698.74</v>
      </c>
      <c r="AF33" s="40"/>
      <c r="AG33" s="40"/>
      <c r="AH33" s="39">
        <v>12.145759</v>
      </c>
      <c r="AI33" s="39">
        <v>0.97986700000000004</v>
      </c>
      <c r="AJ33" s="39">
        <v>650.18900599999995</v>
      </c>
      <c r="AK33" s="39">
        <v>41.372</v>
      </c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</row>
    <row r="34" spans="1:68" x14ac:dyDescent="0.25">
      <c r="A34" s="38" t="s">
        <v>106</v>
      </c>
      <c r="B34" s="28">
        <v>2016</v>
      </c>
      <c r="C34" s="39">
        <v>2531.1578589999999</v>
      </c>
      <c r="D34" s="39">
        <v>44.688395999999997</v>
      </c>
      <c r="E34" s="39">
        <v>0</v>
      </c>
      <c r="F34" s="39"/>
      <c r="G34" s="40">
        <v>30</v>
      </c>
      <c r="H34" s="40"/>
      <c r="I34" s="40"/>
      <c r="J34" s="40"/>
      <c r="K34" s="40"/>
      <c r="L34" s="40"/>
      <c r="M34" s="41" t="s">
        <v>107</v>
      </c>
      <c r="N34" s="42">
        <f t="shared" si="2"/>
        <v>2016</v>
      </c>
      <c r="O34" s="43">
        <f>(C34*15/30)+(C35*16/31)</f>
        <v>2404.1829785322579</v>
      </c>
      <c r="P34" s="43">
        <f>(D34*15/30)+(D35*16/31)</f>
        <v>45.462981999999997</v>
      </c>
      <c r="Q34" s="43">
        <f>(E34*15/30)+(E35*16/31)</f>
        <v>0</v>
      </c>
      <c r="R34" s="19"/>
      <c r="S34" s="19"/>
      <c r="T34" s="44">
        <v>343.47</v>
      </c>
      <c r="U34" s="44">
        <v>946.56</v>
      </c>
      <c r="V34" s="44">
        <v>1023.23</v>
      </c>
      <c r="W34" s="44"/>
      <c r="X34" s="44"/>
      <c r="Y34" s="44">
        <v>566.1</v>
      </c>
      <c r="Z34" s="44">
        <v>1262.67</v>
      </c>
      <c r="AA34" s="44">
        <f t="shared" si="0"/>
        <v>1828.77</v>
      </c>
      <c r="AB34" s="44">
        <v>2138.04</v>
      </c>
      <c r="AC34" s="44">
        <v>429.39</v>
      </c>
      <c r="AD34" s="44">
        <f t="shared" si="1"/>
        <v>2567.4299999999998</v>
      </c>
      <c r="AE34" s="44">
        <v>1791.17</v>
      </c>
      <c r="AF34" s="40"/>
      <c r="AG34" s="40"/>
      <c r="AH34" s="39">
        <v>10.950946</v>
      </c>
      <c r="AI34" s="39">
        <v>0.61104000000000003</v>
      </c>
      <c r="AJ34" s="39">
        <v>738.16586299999994</v>
      </c>
      <c r="AK34" s="39">
        <v>5.19</v>
      </c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</row>
    <row r="35" spans="1:68" x14ac:dyDescent="0.25">
      <c r="A35" s="38" t="s">
        <v>108</v>
      </c>
      <c r="B35" s="28">
        <v>2017</v>
      </c>
      <c r="C35" s="39">
        <v>2206.045345</v>
      </c>
      <c r="D35" s="39">
        <v>44.792644000000003</v>
      </c>
      <c r="E35" s="39">
        <v>0</v>
      </c>
      <c r="F35" s="39"/>
      <c r="G35" s="40">
        <v>31</v>
      </c>
      <c r="H35" s="40"/>
      <c r="I35" s="40"/>
      <c r="J35" s="40"/>
      <c r="K35" s="40"/>
      <c r="L35" s="40"/>
      <c r="M35" s="41" t="s">
        <v>109</v>
      </c>
      <c r="N35" s="42">
        <f>N34+1</f>
        <v>2017</v>
      </c>
      <c r="O35" s="43">
        <f>(C35*15/31)+(C36*16/31)</f>
        <v>2338.2469305483874</v>
      </c>
      <c r="P35" s="43">
        <f>(D35*15/31)+(D36*16/31)</f>
        <v>47.905571483870972</v>
      </c>
      <c r="Q35" s="43">
        <f>(E35*15/31)+(E36*16/31)</f>
        <v>0</v>
      </c>
      <c r="R35" s="19"/>
      <c r="S35" s="19"/>
      <c r="T35" s="44">
        <v>375.1</v>
      </c>
      <c r="U35" s="44">
        <v>955.94</v>
      </c>
      <c r="V35" s="44">
        <v>1182.7</v>
      </c>
      <c r="W35" s="44"/>
      <c r="X35" s="44"/>
      <c r="Y35" s="44">
        <v>553.69000000000005</v>
      </c>
      <c r="Z35" s="44">
        <v>1167.77</v>
      </c>
      <c r="AA35" s="44">
        <f t="shared" si="0"/>
        <v>1721.46</v>
      </c>
      <c r="AB35" s="44">
        <v>1801.47</v>
      </c>
      <c r="AC35" s="44">
        <v>465.48</v>
      </c>
      <c r="AD35" s="44">
        <f t="shared" si="1"/>
        <v>2266.9499999999998</v>
      </c>
      <c r="AE35" s="44">
        <v>2029.93</v>
      </c>
      <c r="AF35" s="40"/>
      <c r="AG35" s="40"/>
      <c r="AH35" s="39">
        <v>23.650501999999999</v>
      </c>
      <c r="AI35" s="39">
        <v>5.413519</v>
      </c>
      <c r="AJ35" s="39">
        <v>803.98402899999996</v>
      </c>
      <c r="AK35" s="39">
        <v>9.93</v>
      </c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</row>
    <row r="36" spans="1:68" x14ac:dyDescent="0.25">
      <c r="A36" s="38" t="s">
        <v>116</v>
      </c>
      <c r="B36" s="28">
        <v>2017</v>
      </c>
      <c r="C36" s="39">
        <v>2462.1859169999998</v>
      </c>
      <c r="D36" s="39">
        <v>50.823940999999998</v>
      </c>
      <c r="E36" s="39">
        <v>0</v>
      </c>
      <c r="F36" s="39"/>
      <c r="G36" s="40">
        <v>31</v>
      </c>
      <c r="H36" s="40"/>
      <c r="I36" s="40"/>
      <c r="J36" s="40"/>
      <c r="K36" s="40"/>
      <c r="L36" s="40"/>
      <c r="M36" s="41" t="s">
        <v>111</v>
      </c>
      <c r="N36" s="42">
        <f>N35</f>
        <v>2017</v>
      </c>
      <c r="O36" s="43">
        <f>(C36*15/31)+(C37*13/28)</f>
        <v>2247.4530042050692</v>
      </c>
      <c r="P36" s="43">
        <f>(D36*15/31)+(D37*13/28)</f>
        <v>51.062957194700459</v>
      </c>
      <c r="Q36" s="43">
        <f>(E36*15/31)+(E37*13/28)</f>
        <v>0</v>
      </c>
      <c r="R36" s="19"/>
      <c r="S36" s="19"/>
      <c r="T36" s="44">
        <v>280.67</v>
      </c>
      <c r="U36" s="44">
        <v>852.44</v>
      </c>
      <c r="V36" s="44">
        <v>1114.94</v>
      </c>
      <c r="W36" s="44"/>
      <c r="X36" s="44"/>
      <c r="Y36" s="44">
        <v>560.86</v>
      </c>
      <c r="Z36" s="44">
        <v>850.03</v>
      </c>
      <c r="AA36" s="44">
        <f t="shared" si="0"/>
        <v>1410.8899999999999</v>
      </c>
      <c r="AB36" s="44">
        <v>2212.5700000000002</v>
      </c>
      <c r="AC36" s="44">
        <v>246.75</v>
      </c>
      <c r="AD36" s="44">
        <f t="shared" si="1"/>
        <v>2459.3200000000002</v>
      </c>
      <c r="AE36" s="44">
        <v>1784.12</v>
      </c>
      <c r="AF36" s="40"/>
      <c r="AG36" s="40"/>
      <c r="AH36" s="39">
        <v>7.6863650000000003</v>
      </c>
      <c r="AI36" s="39">
        <v>0.34346399999999999</v>
      </c>
      <c r="AJ36" s="39">
        <v>751.21808899999996</v>
      </c>
      <c r="AK36" s="39">
        <v>19.96</v>
      </c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</row>
    <row r="37" spans="1:68" x14ac:dyDescent="0.25">
      <c r="A37" s="38" t="s">
        <v>112</v>
      </c>
      <c r="B37" s="28">
        <v>2017</v>
      </c>
      <c r="C37" s="39">
        <v>2274.6181700000002</v>
      </c>
      <c r="D37" s="39">
        <v>57.013874999999999</v>
      </c>
      <c r="E37" s="39">
        <v>0</v>
      </c>
      <c r="F37" s="39"/>
      <c r="G37" s="40">
        <v>28</v>
      </c>
      <c r="H37" s="40"/>
      <c r="I37" s="40"/>
      <c r="J37" s="40"/>
      <c r="K37" s="40"/>
      <c r="L37" s="40"/>
      <c r="M37" s="41" t="s">
        <v>113</v>
      </c>
      <c r="N37" s="42">
        <f t="shared" ref="N37:N46" si="3">N36</f>
        <v>2017</v>
      </c>
      <c r="O37" s="43">
        <f>(C37*15/28)+(C38*16/31)</f>
        <v>2576.9324066658987</v>
      </c>
      <c r="P37" s="43">
        <f>(D37*15/28)+(D38*16/31)</f>
        <v>65.569191192396318</v>
      </c>
      <c r="Q37" s="43">
        <f>(E37*15/28)+(E38*16/31)</f>
        <v>8.1842580645161284E-3</v>
      </c>
      <c r="R37" s="39"/>
      <c r="S37" s="39"/>
      <c r="T37" s="44">
        <v>400.16</v>
      </c>
      <c r="U37" s="44">
        <v>990.54</v>
      </c>
      <c r="V37" s="44">
        <v>1243.21</v>
      </c>
      <c r="W37" s="44"/>
      <c r="X37" s="44"/>
      <c r="Y37" s="44">
        <v>553.9</v>
      </c>
      <c r="Z37" s="44">
        <v>1142.3900000000001</v>
      </c>
      <c r="AA37" s="44">
        <f t="shared" si="0"/>
        <v>1696.29</v>
      </c>
      <c r="AB37" s="44">
        <v>1934.22</v>
      </c>
      <c r="AC37" s="44">
        <v>408.91</v>
      </c>
      <c r="AD37" s="44">
        <f t="shared" si="1"/>
        <v>2343.13</v>
      </c>
      <c r="AE37" s="44">
        <v>1752.76</v>
      </c>
      <c r="AF37" s="40"/>
      <c r="AG37" s="40"/>
      <c r="AH37" s="39">
        <v>14.756073000000001</v>
      </c>
      <c r="AI37" s="39">
        <v>0.29569400000000001</v>
      </c>
      <c r="AJ37" s="39">
        <v>802.10277399999995</v>
      </c>
      <c r="AK37" s="39">
        <v>24.14</v>
      </c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</row>
    <row r="38" spans="1:68" x14ac:dyDescent="0.25">
      <c r="A38" s="38" t="s">
        <v>114</v>
      </c>
      <c r="B38" s="28">
        <v>2017</v>
      </c>
      <c r="C38" s="39">
        <v>2631.8747320000002</v>
      </c>
      <c r="D38" s="39">
        <v>67.862960000000001</v>
      </c>
      <c r="E38" s="39">
        <v>1.5857E-2</v>
      </c>
      <c r="F38" s="39"/>
      <c r="G38" s="40">
        <v>31</v>
      </c>
      <c r="H38" s="40"/>
      <c r="I38" s="40"/>
      <c r="J38" s="40"/>
      <c r="K38" s="40"/>
      <c r="L38" s="40"/>
      <c r="M38" s="41" t="s">
        <v>115</v>
      </c>
      <c r="N38" s="42">
        <f t="shared" si="3"/>
        <v>2017</v>
      </c>
      <c r="O38" s="43">
        <f>(C38+15/31)+(C39*15/30)</f>
        <v>3782.4186844677424</v>
      </c>
      <c r="P38" s="43">
        <f>(D38+15/31)+(D39*15/30)</f>
        <v>104.72372096774194</v>
      </c>
      <c r="Q38" s="43">
        <f>(E38+15/31)+(E39*15/30)</f>
        <v>0.49972796774193551</v>
      </c>
      <c r="R38" s="39"/>
      <c r="S38" s="39"/>
      <c r="T38" s="44">
        <v>457.1</v>
      </c>
      <c r="U38" s="44">
        <v>976.19</v>
      </c>
      <c r="V38" s="44">
        <v>1086.96</v>
      </c>
      <c r="W38" s="44"/>
      <c r="X38" s="44"/>
      <c r="Y38" s="44">
        <v>586.14</v>
      </c>
      <c r="Z38" s="44">
        <v>1139.25</v>
      </c>
      <c r="AA38" s="44">
        <f t="shared" si="0"/>
        <v>1725.3899999999999</v>
      </c>
      <c r="AB38" s="44">
        <v>2195.8000000000002</v>
      </c>
      <c r="AC38" s="44">
        <v>280.94</v>
      </c>
      <c r="AD38" s="44">
        <f t="shared" si="1"/>
        <v>2476.7400000000002</v>
      </c>
      <c r="AE38" s="44">
        <v>1968.46</v>
      </c>
      <c r="AF38" s="40"/>
      <c r="AG38" s="40"/>
      <c r="AH38" s="39">
        <v>32.654226999999999</v>
      </c>
      <c r="AI38" s="39">
        <v>4.8567220000000004</v>
      </c>
      <c r="AJ38" s="39">
        <v>759.93404799999996</v>
      </c>
      <c r="AK38" s="39">
        <v>13.754</v>
      </c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</row>
    <row r="39" spans="1:68" x14ac:dyDescent="0.25">
      <c r="A39" s="38" t="s">
        <v>92</v>
      </c>
      <c r="B39" s="28">
        <v>2017</v>
      </c>
      <c r="C39" s="39">
        <v>2300.120163</v>
      </c>
      <c r="D39" s="39">
        <v>72.753780000000006</v>
      </c>
      <c r="E39" s="39">
        <v>0</v>
      </c>
      <c r="F39" s="39"/>
      <c r="G39" s="40">
        <v>30</v>
      </c>
      <c r="H39" s="40"/>
      <c r="I39" s="40"/>
      <c r="J39" s="40"/>
      <c r="K39" s="40"/>
      <c r="L39" s="40"/>
      <c r="M39" s="41" t="s">
        <v>93</v>
      </c>
      <c r="N39" s="42">
        <f t="shared" si="3"/>
        <v>2017</v>
      </c>
      <c r="O39" s="43">
        <f>(C39*15/30)+(C40*16/31)</f>
        <v>2438.923131306452</v>
      </c>
      <c r="P39" s="43">
        <f>(D39*15/30)+(D40*16/31)</f>
        <v>78.424100838709677</v>
      </c>
      <c r="Q39" s="43">
        <f>(E39*15/30)+(E40*16/31)</f>
        <v>0</v>
      </c>
      <c r="R39" s="39"/>
      <c r="S39" s="39"/>
      <c r="T39" s="44">
        <v>486.36</v>
      </c>
      <c r="U39" s="44">
        <v>1091.04</v>
      </c>
      <c r="V39" s="44">
        <v>1207.26</v>
      </c>
      <c r="W39" s="44"/>
      <c r="X39" s="44"/>
      <c r="Y39" s="44">
        <v>572.54999999999995</v>
      </c>
      <c r="Z39" s="44">
        <v>1123.8</v>
      </c>
      <c r="AA39" s="44">
        <f t="shared" si="0"/>
        <v>1696.35</v>
      </c>
      <c r="AB39" s="44">
        <v>1970.27</v>
      </c>
      <c r="AC39" s="44">
        <v>553.04999999999995</v>
      </c>
      <c r="AD39" s="44">
        <f t="shared" si="1"/>
        <v>2523.3199999999997</v>
      </c>
      <c r="AE39" s="44">
        <v>1925.85</v>
      </c>
      <c r="AF39" s="40"/>
      <c r="AG39" s="40"/>
      <c r="AH39" s="39">
        <v>40.350786999999997</v>
      </c>
      <c r="AI39" s="39">
        <v>0.30754999999999999</v>
      </c>
      <c r="AJ39" s="39">
        <v>775.67680199999995</v>
      </c>
      <c r="AK39" s="39">
        <v>35.331000000000003</v>
      </c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</row>
    <row r="40" spans="1:68" x14ac:dyDescent="0.25">
      <c r="A40" s="38" t="s">
        <v>94</v>
      </c>
      <c r="B40" s="28">
        <v>2017</v>
      </c>
      <c r="C40" s="39">
        <v>2497.1721590000002</v>
      </c>
      <c r="D40" s="39">
        <v>81.466470999999999</v>
      </c>
      <c r="E40" s="39">
        <v>0</v>
      </c>
      <c r="F40" s="39"/>
      <c r="G40" s="40">
        <v>31</v>
      </c>
      <c r="H40" s="40"/>
      <c r="I40" s="40"/>
      <c r="J40" s="40"/>
      <c r="K40" s="40"/>
      <c r="L40" s="40"/>
      <c r="M40" s="41" t="s">
        <v>95</v>
      </c>
      <c r="N40" s="42">
        <f t="shared" si="3"/>
        <v>2017</v>
      </c>
      <c r="O40" s="43">
        <f>(C40*15/31)+(C41*15/30)</f>
        <v>2450.9879136935488</v>
      </c>
      <c r="P40" s="43">
        <f>(D40*15/31)+(D41*15/30)</f>
        <v>71.621538661290316</v>
      </c>
      <c r="Q40" s="43">
        <f>(E40*15/31)+(E41*15/30)</f>
        <v>0</v>
      </c>
      <c r="R40" s="19"/>
      <c r="S40" s="19"/>
      <c r="T40" s="44">
        <v>515.9</v>
      </c>
      <c r="U40" s="44">
        <v>1213.69</v>
      </c>
      <c r="V40" s="44">
        <v>1122.32</v>
      </c>
      <c r="W40" s="44"/>
      <c r="X40" s="44"/>
      <c r="Y40" s="44">
        <v>574.41</v>
      </c>
      <c r="Z40" s="44">
        <v>1161.04</v>
      </c>
      <c r="AA40" s="44">
        <f t="shared" si="0"/>
        <v>1735.4499999999998</v>
      </c>
      <c r="AB40" s="44">
        <v>2113.64</v>
      </c>
      <c r="AC40" s="44">
        <v>692.51</v>
      </c>
      <c r="AD40" s="44">
        <f t="shared" si="1"/>
        <v>2806.1499999999996</v>
      </c>
      <c r="AE40" s="44">
        <v>1848.76</v>
      </c>
      <c r="AF40" s="40"/>
      <c r="AG40" s="40"/>
      <c r="AH40" s="39">
        <v>22.855553</v>
      </c>
      <c r="AI40" s="39">
        <v>5.8064419999999997</v>
      </c>
      <c r="AJ40" s="39">
        <v>620.47715500000004</v>
      </c>
      <c r="AK40" s="39">
        <v>49.316000000000003</v>
      </c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</row>
    <row r="41" spans="1:68" x14ac:dyDescent="0.25">
      <c r="A41" s="38" t="s">
        <v>96</v>
      </c>
      <c r="B41" s="28">
        <v>2017</v>
      </c>
      <c r="C41" s="39">
        <v>2485.3576090000001</v>
      </c>
      <c r="D41" s="39">
        <v>64.404556999999997</v>
      </c>
      <c r="E41" s="39">
        <v>0</v>
      </c>
      <c r="F41" s="39"/>
      <c r="G41" s="40">
        <v>30</v>
      </c>
      <c r="H41" s="40"/>
      <c r="I41" s="40"/>
      <c r="J41" s="40"/>
      <c r="K41" s="40"/>
      <c r="L41" s="40"/>
      <c r="M41" s="41" t="s">
        <v>97</v>
      </c>
      <c r="N41" s="42">
        <f t="shared" si="3"/>
        <v>2017</v>
      </c>
      <c r="O41" s="43">
        <f>(C41*15/30)+(C42*16/31)</f>
        <v>2506.2900844999999</v>
      </c>
      <c r="P41" s="43">
        <f>(D41*15/30)+(D42*16/31)</f>
        <v>64.940692951612903</v>
      </c>
      <c r="Q41" s="43">
        <f>(E41*15/30)+(E42*16/31)</f>
        <v>0</v>
      </c>
      <c r="R41" s="19"/>
      <c r="S41" s="19"/>
      <c r="T41" s="44">
        <v>503.52</v>
      </c>
      <c r="U41" s="44">
        <v>1181.4100000000001</v>
      </c>
      <c r="V41" s="44">
        <v>1070.28</v>
      </c>
      <c r="W41" s="44"/>
      <c r="X41" s="44"/>
      <c r="Y41" s="44">
        <v>584.38</v>
      </c>
      <c r="Z41" s="44">
        <v>1109.03</v>
      </c>
      <c r="AA41" s="44">
        <f t="shared" si="0"/>
        <v>1693.4099999999999</v>
      </c>
      <c r="AB41" s="44">
        <v>2103.58</v>
      </c>
      <c r="AC41" s="44">
        <v>580.41</v>
      </c>
      <c r="AD41" s="44">
        <f t="shared" si="1"/>
        <v>2683.99</v>
      </c>
      <c r="AE41" s="44">
        <v>1824.4</v>
      </c>
      <c r="AF41" s="40"/>
      <c r="AG41" s="40"/>
      <c r="AH41" s="39">
        <v>31.031741</v>
      </c>
      <c r="AI41" s="39">
        <v>5.2525029999999999</v>
      </c>
      <c r="AJ41" s="39">
        <v>616.75451899999996</v>
      </c>
      <c r="AK41" s="39">
        <v>15.664999999999999</v>
      </c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</row>
    <row r="42" spans="1:68" x14ac:dyDescent="0.25">
      <c r="A42" s="38" t="s">
        <v>98</v>
      </c>
      <c r="B42" s="28">
        <v>2017</v>
      </c>
      <c r="C42" s="39">
        <v>2448.2468549999999</v>
      </c>
      <c r="D42" s="39">
        <v>63.430678</v>
      </c>
      <c r="E42" s="39">
        <v>0</v>
      </c>
      <c r="F42" s="39"/>
      <c r="G42" s="40">
        <v>31</v>
      </c>
      <c r="H42" s="40"/>
      <c r="I42" s="40"/>
      <c r="J42" s="40"/>
      <c r="K42" s="40"/>
      <c r="L42" s="40"/>
      <c r="M42" s="41" t="s">
        <v>99</v>
      </c>
      <c r="N42" s="42">
        <f t="shared" si="3"/>
        <v>2017</v>
      </c>
      <c r="O42" s="43">
        <f>(C42*15/31)+(C43*16/31)</f>
        <v>2469.3308570645158</v>
      </c>
      <c r="P42" s="43">
        <f>(D42*15/31)+(D43*16/31)</f>
        <v>55.737851677419357</v>
      </c>
      <c r="Q42" s="43">
        <f>(E42*15/31)+(E43*16/31)</f>
        <v>0</v>
      </c>
      <c r="R42" s="19"/>
      <c r="S42" s="19"/>
      <c r="T42" s="44">
        <v>542.19000000000005</v>
      </c>
      <c r="U42" s="44">
        <v>1164.0899999999999</v>
      </c>
      <c r="V42" s="44">
        <v>992.34</v>
      </c>
      <c r="W42" s="44"/>
      <c r="X42" s="44"/>
      <c r="Y42" s="44">
        <v>581.69000000000005</v>
      </c>
      <c r="Z42" s="44">
        <v>1253.2</v>
      </c>
      <c r="AA42" s="44">
        <f t="shared" si="0"/>
        <v>1834.89</v>
      </c>
      <c r="AB42" s="44">
        <v>2065.0100000000002</v>
      </c>
      <c r="AC42" s="44">
        <v>537.11</v>
      </c>
      <c r="AD42" s="44">
        <f t="shared" si="1"/>
        <v>2602.1200000000003</v>
      </c>
      <c r="AE42" s="44">
        <v>1847.11</v>
      </c>
      <c r="AF42" s="40"/>
      <c r="AG42" s="40"/>
      <c r="AH42" s="39">
        <v>16.639634999999998</v>
      </c>
      <c r="AI42" s="39">
        <v>3.8975059999999999</v>
      </c>
      <c r="AJ42" s="39">
        <v>716.93590300000005</v>
      </c>
      <c r="AK42" s="39">
        <v>60.137999999999998</v>
      </c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</row>
    <row r="43" spans="1:68" x14ac:dyDescent="0.25">
      <c r="A43" s="38" t="s">
        <v>100</v>
      </c>
      <c r="B43" s="28">
        <v>2017</v>
      </c>
      <c r="C43" s="39">
        <v>2489.0971089999998</v>
      </c>
      <c r="D43" s="39">
        <v>48.525827</v>
      </c>
      <c r="E43" s="39">
        <v>0</v>
      </c>
      <c r="F43" s="39"/>
      <c r="G43" s="40">
        <v>31</v>
      </c>
      <c r="H43" s="40"/>
      <c r="I43" s="40"/>
      <c r="J43" s="40"/>
      <c r="K43" s="40"/>
      <c r="L43" s="40"/>
      <c r="M43" s="41" t="s">
        <v>101</v>
      </c>
      <c r="N43" s="42">
        <f t="shared" si="3"/>
        <v>2017</v>
      </c>
      <c r="O43" s="43">
        <f>(C43*15/31)+(C44*15/30)</f>
        <v>2439.0961484354839</v>
      </c>
      <c r="P43" s="43">
        <f>(D43*15/31)+(D44*15/30)</f>
        <v>46.232017870967738</v>
      </c>
      <c r="Q43" s="43">
        <f>(E43*15/31)+(E44*15/30)</f>
        <v>0</v>
      </c>
      <c r="R43" s="19"/>
      <c r="S43" s="19"/>
      <c r="T43" s="44">
        <v>436.31</v>
      </c>
      <c r="U43" s="44">
        <v>1121.24</v>
      </c>
      <c r="V43" s="44">
        <v>1040.4000000000001</v>
      </c>
      <c r="W43" s="44"/>
      <c r="X43" s="44"/>
      <c r="Y43" s="44">
        <v>655.1</v>
      </c>
      <c r="Z43" s="44">
        <v>1078.46</v>
      </c>
      <c r="AA43" s="44">
        <f t="shared" si="0"/>
        <v>1733.56</v>
      </c>
      <c r="AB43" s="44">
        <v>2096.87</v>
      </c>
      <c r="AC43" s="44">
        <v>574.5</v>
      </c>
      <c r="AD43" s="44">
        <f t="shared" si="1"/>
        <v>2671.37</v>
      </c>
      <c r="AE43" s="44">
        <v>1726.07</v>
      </c>
      <c r="AF43" s="40"/>
      <c r="AG43" s="40"/>
      <c r="AH43" s="39">
        <v>19.337365999999999</v>
      </c>
      <c r="AI43" s="39">
        <v>1.130131</v>
      </c>
      <c r="AJ43" s="39">
        <v>853.39642300000003</v>
      </c>
      <c r="AK43" s="39">
        <v>81.259</v>
      </c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</row>
    <row r="44" spans="1:68" x14ac:dyDescent="0.25">
      <c r="A44" s="38" t="s">
        <v>102</v>
      </c>
      <c r="B44" s="28">
        <v>2017</v>
      </c>
      <c r="C44" s="39">
        <v>2469.3886429999998</v>
      </c>
      <c r="D44" s="39">
        <v>45.503557999999998</v>
      </c>
      <c r="E44" s="39">
        <v>0</v>
      </c>
      <c r="F44" s="39"/>
      <c r="G44" s="40">
        <v>30</v>
      </c>
      <c r="H44" s="40"/>
      <c r="I44" s="40"/>
      <c r="J44" s="40"/>
      <c r="K44" s="40"/>
      <c r="L44" s="40"/>
      <c r="M44" s="41" t="s">
        <v>103</v>
      </c>
      <c r="N44" s="42">
        <f t="shared" si="3"/>
        <v>2017</v>
      </c>
      <c r="O44" s="43">
        <f>(C44*15/30)+(C45*16/31)</f>
        <v>2568.099488467742</v>
      </c>
      <c r="P44" s="43">
        <f>(D44*15/30)+(D45*16/31)</f>
        <v>57.412365322580648</v>
      </c>
      <c r="Q44" s="43">
        <f>(E44*15/30)+(E45*16/31)</f>
        <v>0.66720825806451611</v>
      </c>
      <c r="R44" s="19"/>
      <c r="S44" s="19"/>
      <c r="T44" s="44">
        <v>439.21</v>
      </c>
      <c r="U44" s="44">
        <v>1076.4000000000001</v>
      </c>
      <c r="V44" s="44">
        <v>990.17</v>
      </c>
      <c r="W44" s="44"/>
      <c r="X44" s="44"/>
      <c r="Y44" s="44">
        <v>524.12</v>
      </c>
      <c r="Z44" s="44">
        <v>1211.9100000000001</v>
      </c>
      <c r="AA44" s="44">
        <f t="shared" si="0"/>
        <v>1736.0300000000002</v>
      </c>
      <c r="AB44" s="44">
        <v>2081.7800000000002</v>
      </c>
      <c r="AC44" s="44">
        <v>525.98</v>
      </c>
      <c r="AD44" s="44">
        <f t="shared" si="1"/>
        <v>2607.7600000000002</v>
      </c>
      <c r="AE44" s="44">
        <v>1740.41</v>
      </c>
      <c r="AF44" s="40"/>
      <c r="AG44" s="40"/>
      <c r="AH44" s="39">
        <v>14.591011</v>
      </c>
      <c r="AI44" s="39">
        <v>6.4576789999999997</v>
      </c>
      <c r="AJ44" s="39">
        <v>773.71628899999996</v>
      </c>
      <c r="AK44" s="39">
        <v>33.332000000000001</v>
      </c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</row>
    <row r="45" spans="1:68" x14ac:dyDescent="0.25">
      <c r="A45" s="38" t="s">
        <v>104</v>
      </c>
      <c r="B45" s="28">
        <v>2017</v>
      </c>
      <c r="C45" s="39">
        <v>2583.4725109999999</v>
      </c>
      <c r="D45" s="39">
        <v>67.154886000000005</v>
      </c>
      <c r="E45" s="39">
        <v>1.292716</v>
      </c>
      <c r="F45" s="39"/>
      <c r="G45" s="40">
        <v>31</v>
      </c>
      <c r="H45" s="40"/>
      <c r="I45" s="40"/>
      <c r="J45" s="40"/>
      <c r="K45" s="40"/>
      <c r="L45" s="40"/>
      <c r="M45" s="41" t="s">
        <v>105</v>
      </c>
      <c r="N45" s="42">
        <f t="shared" si="3"/>
        <v>2017</v>
      </c>
      <c r="O45" s="43">
        <f>(C45*15/31)+(C46*15/30)</f>
        <v>2542.5125930322583</v>
      </c>
      <c r="P45" s="43">
        <f>(D45*15/31)+(D46*15/30)</f>
        <v>67.776558677419359</v>
      </c>
      <c r="Q45" s="43">
        <f>(E45*15/31)+(E46*15/30)</f>
        <v>0.62550774193548386</v>
      </c>
      <c r="R45" s="19"/>
      <c r="S45" s="19"/>
      <c r="T45" s="44">
        <v>313.8</v>
      </c>
      <c r="U45" s="44">
        <v>914.07</v>
      </c>
      <c r="V45" s="44">
        <v>1079.45</v>
      </c>
      <c r="W45" s="44"/>
      <c r="X45" s="44"/>
      <c r="Y45" s="44">
        <v>564.08000000000004</v>
      </c>
      <c r="Z45" s="44">
        <v>1009.17</v>
      </c>
      <c r="AA45" s="44">
        <f t="shared" si="0"/>
        <v>1573.25</v>
      </c>
      <c r="AB45" s="44">
        <v>2203.23</v>
      </c>
      <c r="AC45" s="44">
        <v>396.22</v>
      </c>
      <c r="AD45" s="44">
        <f t="shared" si="1"/>
        <v>2599.4499999999998</v>
      </c>
      <c r="AE45" s="44">
        <v>1674.47</v>
      </c>
      <c r="AF45" s="40"/>
      <c r="AG45" s="40"/>
      <c r="AH45" s="39">
        <v>22.607448999999999</v>
      </c>
      <c r="AI45" s="39">
        <v>0.116718</v>
      </c>
      <c r="AJ45" s="39">
        <v>931.95846800000004</v>
      </c>
      <c r="AK45" s="39">
        <v>7.3460000000000001</v>
      </c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</row>
    <row r="46" spans="1:68" x14ac:dyDescent="0.25">
      <c r="A46" s="38" t="s">
        <v>106</v>
      </c>
      <c r="B46" s="28">
        <v>2017</v>
      </c>
      <c r="C46" s="39">
        <v>2584.8904980000002</v>
      </c>
      <c r="D46" s="39">
        <v>70.564518000000007</v>
      </c>
      <c r="E46" s="39">
        <v>0</v>
      </c>
      <c r="F46" s="39"/>
      <c r="G46" s="40">
        <v>30</v>
      </c>
      <c r="H46" s="40"/>
      <c r="I46" s="40"/>
      <c r="J46" s="40"/>
      <c r="K46" s="40"/>
      <c r="L46" s="40"/>
      <c r="M46" s="41" t="s">
        <v>107</v>
      </c>
      <c r="N46" s="42">
        <f t="shared" si="3"/>
        <v>2017</v>
      </c>
      <c r="O46" s="43">
        <f>(C46*15/30)+(C47*16/31)</f>
        <v>2413.1497207419357</v>
      </c>
      <c r="P46" s="43">
        <f>(D46*15/30)+(D47*16/31)</f>
        <v>71.096124290322592</v>
      </c>
      <c r="Q46" s="43">
        <f>(E46*15/30)+(E47*16/31)</f>
        <v>0</v>
      </c>
      <c r="R46" s="19"/>
      <c r="S46" s="19"/>
      <c r="T46" s="44">
        <v>280.77999999999997</v>
      </c>
      <c r="U46" s="44">
        <v>910.31</v>
      </c>
      <c r="V46" s="44">
        <v>1014.78</v>
      </c>
      <c r="W46" s="44"/>
      <c r="X46" s="44"/>
      <c r="Y46" s="44">
        <v>566.78</v>
      </c>
      <c r="Z46" s="44">
        <v>1178.53</v>
      </c>
      <c r="AA46" s="44">
        <f t="shared" si="0"/>
        <v>1745.31</v>
      </c>
      <c r="AB46" s="44">
        <v>2197.48</v>
      </c>
      <c r="AC46" s="44">
        <v>456.64</v>
      </c>
      <c r="AD46" s="44">
        <f t="shared" si="1"/>
        <v>2654.12</v>
      </c>
      <c r="AE46" s="44">
        <v>1803.46</v>
      </c>
      <c r="AF46" s="40"/>
      <c r="AG46" s="40"/>
      <c r="AH46" s="39">
        <v>25.0517</v>
      </c>
      <c r="AI46" s="39">
        <v>6.2861760000000002</v>
      </c>
      <c r="AJ46" s="39">
        <v>720.95068800000001</v>
      </c>
      <c r="AK46" s="39">
        <v>10.849</v>
      </c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</row>
    <row r="47" spans="1:68" x14ac:dyDescent="0.25">
      <c r="A47" s="38" t="s">
        <v>108</v>
      </c>
      <c r="B47" s="28">
        <v>2018</v>
      </c>
      <c r="C47" s="39">
        <v>2171.3649140000002</v>
      </c>
      <c r="D47" s="39">
        <v>69.389364</v>
      </c>
      <c r="E47" s="39">
        <v>0</v>
      </c>
      <c r="F47" s="39"/>
      <c r="G47" s="40">
        <v>31</v>
      </c>
      <c r="H47" s="40"/>
      <c r="I47" s="40"/>
      <c r="J47" s="40"/>
      <c r="K47" s="40"/>
      <c r="L47" s="40"/>
      <c r="M47" s="41" t="s">
        <v>109</v>
      </c>
      <c r="N47" s="42">
        <f>N46+1</f>
        <v>2018</v>
      </c>
      <c r="O47" s="43">
        <f>(C47*15/31)+(C48*16/31)</f>
        <v>2357.8544004516134</v>
      </c>
      <c r="P47" s="43">
        <f>(D47*15/31)+(D48*16/31)</f>
        <v>76.836713677419354</v>
      </c>
      <c r="Q47" s="43">
        <f>(E47*15/31)+(E48*16/31)</f>
        <v>0</v>
      </c>
      <c r="R47" s="19"/>
      <c r="S47" s="19"/>
      <c r="T47" s="44">
        <v>333.05</v>
      </c>
      <c r="U47" s="44">
        <v>978.81</v>
      </c>
      <c r="V47" s="44">
        <v>1139.83</v>
      </c>
      <c r="W47" s="44">
        <v>885.64</v>
      </c>
      <c r="X47" s="44">
        <v>126.63</v>
      </c>
      <c r="Y47" s="44">
        <v>633.19000000000005</v>
      </c>
      <c r="Z47" s="44">
        <v>1066.06</v>
      </c>
      <c r="AA47" s="44">
        <f t="shared" si="0"/>
        <v>1699.25</v>
      </c>
      <c r="AB47" s="44">
        <v>1844.2</v>
      </c>
      <c r="AC47" s="44">
        <v>299.39</v>
      </c>
      <c r="AD47" s="44">
        <f t="shared" si="1"/>
        <v>2143.59</v>
      </c>
      <c r="AE47" s="44">
        <v>1987.63</v>
      </c>
      <c r="AF47" s="44">
        <v>1074.28</v>
      </c>
      <c r="AG47" s="44">
        <v>354.95</v>
      </c>
      <c r="AH47" s="39">
        <v>33.321883</v>
      </c>
      <c r="AI47" s="39">
        <v>0.251803</v>
      </c>
      <c r="AJ47" s="39">
        <v>1121.9012110000001</v>
      </c>
      <c r="AK47" s="39">
        <v>29.821000000000002</v>
      </c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</row>
    <row r="48" spans="1:68" x14ac:dyDescent="0.25">
      <c r="A48" s="38" t="s">
        <v>116</v>
      </c>
      <c r="B48" s="28">
        <v>2018</v>
      </c>
      <c r="C48" s="39">
        <v>2532.688294</v>
      </c>
      <c r="D48" s="39">
        <v>83.818603999999993</v>
      </c>
      <c r="E48" s="39">
        <v>0</v>
      </c>
      <c r="F48" s="39"/>
      <c r="G48" s="40">
        <v>31</v>
      </c>
      <c r="H48" s="40"/>
      <c r="I48" s="40"/>
      <c r="J48" s="40"/>
      <c r="K48" s="40"/>
      <c r="L48" s="40"/>
      <c r="M48" s="41" t="s">
        <v>111</v>
      </c>
      <c r="N48" s="42">
        <f>N47</f>
        <v>2018</v>
      </c>
      <c r="O48" s="43">
        <f>(C48*15/31)+(C49*13/28)</f>
        <v>2248.3265478778799</v>
      </c>
      <c r="P48" s="43">
        <f>(D48*15/31)+(D49*13/28)</f>
        <v>68.988454496543767</v>
      </c>
      <c r="Q48" s="43">
        <f>(E48*15/31)+(E49*13/28)</f>
        <v>0</v>
      </c>
      <c r="R48" s="19"/>
      <c r="S48" s="19"/>
      <c r="T48" s="44">
        <v>265.73</v>
      </c>
      <c r="U48" s="44">
        <v>830.82</v>
      </c>
      <c r="V48" s="44">
        <v>1082.29</v>
      </c>
      <c r="W48" s="44">
        <v>794.13</v>
      </c>
      <c r="X48" s="44">
        <v>103.41</v>
      </c>
      <c r="Y48" s="44">
        <v>499.54</v>
      </c>
      <c r="Z48" s="44">
        <v>784.68</v>
      </c>
      <c r="AA48" s="44">
        <f t="shared" si="0"/>
        <v>1284.22</v>
      </c>
      <c r="AB48" s="44">
        <v>2147.62</v>
      </c>
      <c r="AC48" s="44">
        <v>250.81</v>
      </c>
      <c r="AD48" s="44">
        <f t="shared" si="1"/>
        <v>2398.4299999999998</v>
      </c>
      <c r="AE48" s="44">
        <v>2015.2</v>
      </c>
      <c r="AF48" s="44">
        <v>1484.41</v>
      </c>
      <c r="AG48" s="44">
        <v>131.54</v>
      </c>
      <c r="AH48" s="39">
        <v>19.889544999999998</v>
      </c>
      <c r="AI48" s="39">
        <v>0.12762699999999999</v>
      </c>
      <c r="AJ48" s="39">
        <v>559.51257799999996</v>
      </c>
      <c r="AK48" s="39">
        <v>13.23</v>
      </c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</row>
    <row r="49" spans="1:68" x14ac:dyDescent="0.25">
      <c r="A49" s="38" t="s">
        <v>112</v>
      </c>
      <c r="B49" s="28">
        <v>2018</v>
      </c>
      <c r="C49" s="39">
        <v>2203.0232259999998</v>
      </c>
      <c r="D49" s="39">
        <v>61.236141000000003</v>
      </c>
      <c r="E49" s="39">
        <v>0</v>
      </c>
      <c r="F49" s="39"/>
      <c r="G49" s="40">
        <v>28</v>
      </c>
      <c r="H49" s="40"/>
      <c r="I49" s="40"/>
      <c r="J49" s="40"/>
      <c r="K49" s="40"/>
      <c r="L49" s="40"/>
      <c r="M49" s="41" t="s">
        <v>113</v>
      </c>
      <c r="N49" s="42">
        <f t="shared" ref="N49:N58" si="4">N48</f>
        <v>2018</v>
      </c>
      <c r="O49" s="43">
        <f>(C49*15/28)+(C50*16/31)</f>
        <v>2512.6217886382487</v>
      </c>
      <c r="P49" s="43">
        <f>(D49*15/28)+(D50*16/31)</f>
        <v>70.925597342165901</v>
      </c>
      <c r="Q49" s="43">
        <f>(E49*15/28)+(E50*16/31)</f>
        <v>0</v>
      </c>
      <c r="R49" s="39"/>
      <c r="S49" s="39"/>
      <c r="T49" s="44">
        <v>314.45999999999998</v>
      </c>
      <c r="U49" s="44">
        <v>946.34</v>
      </c>
      <c r="V49" s="44">
        <v>953.95</v>
      </c>
      <c r="W49" s="44">
        <v>695.83</v>
      </c>
      <c r="X49" s="44">
        <v>117.11</v>
      </c>
      <c r="Y49" s="44">
        <v>701.9</v>
      </c>
      <c r="Z49" s="44">
        <v>877.86</v>
      </c>
      <c r="AA49" s="44">
        <f t="shared" si="0"/>
        <v>1579.76</v>
      </c>
      <c r="AB49" s="44">
        <v>1839.38</v>
      </c>
      <c r="AC49" s="44">
        <v>349.37</v>
      </c>
      <c r="AD49" s="44">
        <f t="shared" si="1"/>
        <v>2188.75</v>
      </c>
      <c r="AE49" s="44">
        <v>1980.5</v>
      </c>
      <c r="AF49" s="44">
        <v>1003.58</v>
      </c>
      <c r="AG49" s="44">
        <v>84.33</v>
      </c>
      <c r="AH49" s="39">
        <v>26.185473000000002</v>
      </c>
      <c r="AI49" s="39">
        <v>10.200194</v>
      </c>
      <c r="AJ49" s="39">
        <v>784.38783999999998</v>
      </c>
      <c r="AK49" s="39">
        <v>43.771000000000001</v>
      </c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</row>
    <row r="50" spans="1:68" x14ac:dyDescent="0.25">
      <c r="A50" s="38" t="s">
        <v>114</v>
      </c>
      <c r="B50" s="28">
        <v>2018</v>
      </c>
      <c r="C50" s="39">
        <v>2581.5846259999998</v>
      </c>
      <c r="D50" s="39">
        <v>73.858510999999993</v>
      </c>
      <c r="E50" s="39">
        <v>0</v>
      </c>
      <c r="F50" s="39"/>
      <c r="G50" s="40">
        <v>31</v>
      </c>
      <c r="H50" s="40"/>
      <c r="I50" s="40"/>
      <c r="J50" s="40"/>
      <c r="K50" s="40"/>
      <c r="L50" s="40"/>
      <c r="M50" s="41" t="s">
        <v>115</v>
      </c>
      <c r="N50" s="42">
        <f t="shared" si="4"/>
        <v>2018</v>
      </c>
      <c r="O50" s="43">
        <f>(C50+15/31)+(C51*15/30)</f>
        <v>3778.8641899677418</v>
      </c>
      <c r="P50" s="43">
        <f>(D50+15/31)+(D51*15/30)</f>
        <v>115.84203696774193</v>
      </c>
      <c r="Q50" s="43">
        <f>(E50+15/31)+(E51*15/30)</f>
        <v>0.50660196774193555</v>
      </c>
      <c r="R50" s="39"/>
      <c r="S50" s="39"/>
      <c r="T50" s="44">
        <v>413.21</v>
      </c>
      <c r="U50" s="44">
        <v>1047.3699999999999</v>
      </c>
      <c r="V50" s="44">
        <v>1032.69</v>
      </c>
      <c r="W50" s="44">
        <v>872.27</v>
      </c>
      <c r="X50" s="44">
        <v>120.8</v>
      </c>
      <c r="Y50" s="44">
        <v>714.77</v>
      </c>
      <c r="Z50" s="44">
        <v>982.45</v>
      </c>
      <c r="AA50" s="44">
        <f t="shared" si="0"/>
        <v>1697.22</v>
      </c>
      <c r="AB50" s="44">
        <v>2181.62</v>
      </c>
      <c r="AC50" s="44">
        <v>453.85</v>
      </c>
      <c r="AD50" s="44">
        <f t="shared" si="1"/>
        <v>2635.47</v>
      </c>
      <c r="AE50" s="44">
        <v>1882.56</v>
      </c>
      <c r="AF50" s="44">
        <v>1267.8</v>
      </c>
      <c r="AG50" s="44">
        <v>62.96</v>
      </c>
      <c r="AH50" s="39">
        <v>39.524341</v>
      </c>
      <c r="AI50" s="39">
        <v>25.061385999999999</v>
      </c>
      <c r="AJ50" s="39">
        <v>891.59496799999999</v>
      </c>
      <c r="AK50" s="39">
        <v>44.048999999999999</v>
      </c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</row>
    <row r="51" spans="1:68" x14ac:dyDescent="0.25">
      <c r="A51" s="38" t="s">
        <v>92</v>
      </c>
      <c r="B51" s="28">
        <v>2018</v>
      </c>
      <c r="C51" s="39">
        <v>2393.5913860000001</v>
      </c>
      <c r="D51" s="39">
        <v>82.999309999999994</v>
      </c>
      <c r="E51" s="39">
        <v>4.5462000000000002E-2</v>
      </c>
      <c r="F51" s="39"/>
      <c r="G51" s="40">
        <v>30</v>
      </c>
      <c r="H51" s="40"/>
      <c r="I51" s="40"/>
      <c r="J51" s="40"/>
      <c r="K51" s="40"/>
      <c r="L51" s="40"/>
      <c r="M51" s="41" t="s">
        <v>93</v>
      </c>
      <c r="N51" s="42">
        <f t="shared" si="4"/>
        <v>2018</v>
      </c>
      <c r="O51" s="43">
        <f>(C51*15/30)+(C52*16/31)</f>
        <v>2496.4635629354839</v>
      </c>
      <c r="P51" s="43">
        <f>(D51*15/30)+(D52*16/31)</f>
        <v>103.1928008064516</v>
      </c>
      <c r="Q51" s="43">
        <f>(E51*15/30)+(E52*16/31)</f>
        <v>6.0848677419354839E-2</v>
      </c>
      <c r="R51" s="39"/>
      <c r="S51" s="39"/>
      <c r="T51" s="44">
        <v>440.27</v>
      </c>
      <c r="U51" s="44">
        <v>1039.58</v>
      </c>
      <c r="V51" s="44">
        <v>1025.1199999999999</v>
      </c>
      <c r="W51" s="44">
        <v>755.84</v>
      </c>
      <c r="X51" s="44">
        <v>113.13</v>
      </c>
      <c r="Y51" s="44">
        <v>619.14</v>
      </c>
      <c r="Z51" s="44">
        <v>859.86</v>
      </c>
      <c r="AA51" s="44">
        <f t="shared" si="0"/>
        <v>1479</v>
      </c>
      <c r="AB51" s="44">
        <v>2028.13</v>
      </c>
      <c r="AC51" s="44">
        <v>570.58000000000004</v>
      </c>
      <c r="AD51" s="44">
        <f t="shared" si="1"/>
        <v>2598.71</v>
      </c>
      <c r="AE51" s="44">
        <v>1848.95</v>
      </c>
      <c r="AF51" s="44">
        <v>1393.16</v>
      </c>
      <c r="AG51" s="44">
        <v>79.25</v>
      </c>
      <c r="AH51" s="39">
        <v>73.468618000000006</v>
      </c>
      <c r="AI51" s="39">
        <v>7.9180029999999997</v>
      </c>
      <c r="AJ51" s="39">
        <v>843.44431499999996</v>
      </c>
      <c r="AK51" s="39">
        <v>65.251999999999995</v>
      </c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</row>
    <row r="52" spans="1:68" x14ac:dyDescent="0.25">
      <c r="A52" s="38" t="s">
        <v>94</v>
      </c>
      <c r="B52" s="28">
        <v>2018</v>
      </c>
      <c r="C52" s="39">
        <v>2518.1064980000001</v>
      </c>
      <c r="D52" s="39">
        <v>119.53046999999999</v>
      </c>
      <c r="E52" s="39">
        <v>7.3853000000000002E-2</v>
      </c>
      <c r="F52" s="39"/>
      <c r="G52" s="40">
        <v>31</v>
      </c>
      <c r="H52" s="40"/>
      <c r="I52" s="40"/>
      <c r="J52" s="40"/>
      <c r="K52" s="40"/>
      <c r="L52" s="40"/>
      <c r="M52" s="41" t="s">
        <v>95</v>
      </c>
      <c r="N52" s="42">
        <f t="shared" si="4"/>
        <v>2018</v>
      </c>
      <c r="O52" s="43">
        <f>(C52*15/31)+(C53*15/30)</f>
        <v>2432.9569345645159</v>
      </c>
      <c r="P52" s="43">
        <f>(D52*15/31)+(D53*15/30)</f>
        <v>115.85730369354837</v>
      </c>
      <c r="Q52" s="43">
        <f>(E52*15/31)+(E53*15/30)</f>
        <v>8.6128822580645165E-2</v>
      </c>
      <c r="R52" s="19"/>
      <c r="S52" s="19"/>
      <c r="T52" s="44">
        <v>504.01</v>
      </c>
      <c r="U52" s="44">
        <v>1064.0899999999999</v>
      </c>
      <c r="V52" s="44">
        <v>940.43</v>
      </c>
      <c r="W52" s="44">
        <v>636.58000000000004</v>
      </c>
      <c r="X52" s="44">
        <v>133.62</v>
      </c>
      <c r="Y52" s="44">
        <v>628.05999999999995</v>
      </c>
      <c r="Z52" s="44">
        <v>952.46</v>
      </c>
      <c r="AA52" s="44">
        <f t="shared" si="0"/>
        <v>1580.52</v>
      </c>
      <c r="AB52" s="44">
        <v>2201.1</v>
      </c>
      <c r="AC52" s="44">
        <v>381.79</v>
      </c>
      <c r="AD52" s="44">
        <f t="shared" si="1"/>
        <v>2582.89</v>
      </c>
      <c r="AE52" s="44">
        <v>1866.57</v>
      </c>
      <c r="AF52" s="44">
        <v>1294.52</v>
      </c>
      <c r="AG52" s="44">
        <v>68.3</v>
      </c>
      <c r="AH52" s="39">
        <v>61.066412999999997</v>
      </c>
      <c r="AI52" s="39">
        <v>6.1476280000000001</v>
      </c>
      <c r="AJ52" s="39">
        <v>660.57936800000004</v>
      </c>
      <c r="AK52" s="39">
        <v>118.462</v>
      </c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</row>
    <row r="53" spans="1:68" x14ac:dyDescent="0.25">
      <c r="A53" s="38" t="s">
        <v>96</v>
      </c>
      <c r="B53" s="28">
        <v>2018</v>
      </c>
      <c r="C53" s="39">
        <v>2429.0366130000002</v>
      </c>
      <c r="D53" s="39">
        <v>116.039959</v>
      </c>
      <c r="E53" s="39">
        <v>0.100787</v>
      </c>
      <c r="F53" s="39"/>
      <c r="G53" s="40">
        <v>30</v>
      </c>
      <c r="H53" s="40"/>
      <c r="I53" s="40"/>
      <c r="J53" s="40"/>
      <c r="K53" s="40"/>
      <c r="L53" s="40"/>
      <c r="M53" s="41" t="s">
        <v>97</v>
      </c>
      <c r="N53" s="42">
        <f t="shared" si="4"/>
        <v>2018</v>
      </c>
      <c r="O53" s="43">
        <f>(C53*15/30)+(C54*16/31)</f>
        <v>2466.3896948870965</v>
      </c>
      <c r="P53" s="43">
        <f>(D53*15/30)+(D54*16/31)</f>
        <v>127.81410388709676</v>
      </c>
      <c r="Q53" s="43">
        <f>(E53*15/30)+(E54*16/31)</f>
        <v>0.18164666129032259</v>
      </c>
      <c r="R53" s="19"/>
      <c r="S53" s="19"/>
      <c r="T53" s="44">
        <v>541.42999999999995</v>
      </c>
      <c r="U53" s="44">
        <v>1179.6600000000001</v>
      </c>
      <c r="V53" s="44">
        <v>1045.95</v>
      </c>
      <c r="W53" s="44">
        <v>888.67</v>
      </c>
      <c r="X53" s="44">
        <v>118.35</v>
      </c>
      <c r="Y53" s="44">
        <v>743.5</v>
      </c>
      <c r="Z53" s="44">
        <v>929.03</v>
      </c>
      <c r="AA53" s="44">
        <f t="shared" si="0"/>
        <v>1672.53</v>
      </c>
      <c r="AB53" s="44">
        <v>2050.64</v>
      </c>
      <c r="AC53" s="44">
        <v>551.49</v>
      </c>
      <c r="AD53" s="44">
        <f t="shared" si="1"/>
        <v>2602.13</v>
      </c>
      <c r="AE53" s="44">
        <v>1985.93</v>
      </c>
      <c r="AF53" s="44">
        <v>1525.76</v>
      </c>
      <c r="AG53" s="44">
        <v>108.13</v>
      </c>
      <c r="AH53" s="39">
        <v>119.168485</v>
      </c>
      <c r="AI53" s="39">
        <v>9.9861489999999993</v>
      </c>
      <c r="AJ53" s="39">
        <v>725.37233400000002</v>
      </c>
      <c r="AK53" s="39">
        <v>133.48400000000001</v>
      </c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</row>
    <row r="54" spans="1:68" x14ac:dyDescent="0.25">
      <c r="A54" s="38" t="s">
        <v>98</v>
      </c>
      <c r="B54" s="28">
        <v>2018</v>
      </c>
      <c r="C54" s="39">
        <v>2425.5008149999999</v>
      </c>
      <c r="D54" s="39">
        <v>135.22611599999999</v>
      </c>
      <c r="E54" s="39">
        <v>0.254303</v>
      </c>
      <c r="F54" s="39"/>
      <c r="G54" s="40">
        <v>31</v>
      </c>
      <c r="H54" s="40"/>
      <c r="I54" s="40"/>
      <c r="J54" s="40"/>
      <c r="K54" s="40"/>
      <c r="L54" s="40"/>
      <c r="M54" s="41" t="s">
        <v>99</v>
      </c>
      <c r="N54" s="42">
        <f t="shared" si="4"/>
        <v>2018</v>
      </c>
      <c r="O54" s="43">
        <f>(C54*15/31)+(C55*16/31)</f>
        <v>2443.5702436451611</v>
      </c>
      <c r="P54" s="43">
        <f>(D54*15/31)+(D55*16/31)</f>
        <v>138.50024348387097</v>
      </c>
      <c r="Q54" s="43">
        <f>(E54*15/31)+(E55*16/31)</f>
        <v>0.17249706451612901</v>
      </c>
      <c r="R54" s="19"/>
      <c r="S54" s="19"/>
      <c r="T54" s="44">
        <v>584.78</v>
      </c>
      <c r="U54" s="44">
        <v>1164.44</v>
      </c>
      <c r="V54" s="44">
        <v>1129.3800000000001</v>
      </c>
      <c r="W54" s="44">
        <v>856.96</v>
      </c>
      <c r="X54" s="44">
        <v>177.54</v>
      </c>
      <c r="Y54" s="44">
        <v>643.72</v>
      </c>
      <c r="Z54" s="44">
        <v>1203.4000000000001</v>
      </c>
      <c r="AA54" s="44">
        <f t="shared" si="0"/>
        <v>1847.1200000000001</v>
      </c>
      <c r="AB54" s="44">
        <v>2042.88</v>
      </c>
      <c r="AC54" s="44">
        <v>518.44000000000005</v>
      </c>
      <c r="AD54" s="44">
        <f t="shared" si="1"/>
        <v>2561.3200000000002</v>
      </c>
      <c r="AE54" s="44">
        <v>1985.9</v>
      </c>
      <c r="AF54" s="44">
        <v>1062.33</v>
      </c>
      <c r="AG54" s="44">
        <v>153.38999999999999</v>
      </c>
      <c r="AH54" s="39">
        <v>47.983347000000002</v>
      </c>
      <c r="AI54" s="39">
        <v>12.209146</v>
      </c>
      <c r="AJ54" s="39">
        <v>724.68760699999996</v>
      </c>
      <c r="AK54" s="39">
        <v>178.56399999999999</v>
      </c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</row>
    <row r="55" spans="1:68" x14ac:dyDescent="0.25">
      <c r="A55" s="38" t="s">
        <v>100</v>
      </c>
      <c r="B55" s="28">
        <v>2018</v>
      </c>
      <c r="C55" s="39">
        <v>2460.5103330000002</v>
      </c>
      <c r="D55" s="39">
        <v>141.569738</v>
      </c>
      <c r="E55" s="39">
        <v>9.5804E-2</v>
      </c>
      <c r="F55" s="39"/>
      <c r="G55" s="40">
        <v>31</v>
      </c>
      <c r="H55" s="40"/>
      <c r="I55" s="40"/>
      <c r="J55" s="40"/>
      <c r="K55" s="40"/>
      <c r="L55" s="40"/>
      <c r="M55" s="41" t="s">
        <v>101</v>
      </c>
      <c r="N55" s="42">
        <f t="shared" si="4"/>
        <v>2018</v>
      </c>
      <c r="O55" s="43">
        <f>(C55*15/31)+(C56*15/30)</f>
        <v>2341.3841574677422</v>
      </c>
      <c r="P55" s="43">
        <f>(D55*15/31)+(D56*15/30)</f>
        <v>129.70187562903226</v>
      </c>
      <c r="Q55" s="43">
        <f>(E55*15/31)+(E56*15/30)</f>
        <v>0.10145127419354838</v>
      </c>
      <c r="R55" s="19"/>
      <c r="S55" s="19"/>
      <c r="T55" s="44">
        <v>463.99</v>
      </c>
      <c r="U55" s="44">
        <v>1072.6099999999999</v>
      </c>
      <c r="V55" s="44">
        <v>1053.04</v>
      </c>
      <c r="W55" s="44">
        <v>753.79</v>
      </c>
      <c r="X55" s="44">
        <v>120.65</v>
      </c>
      <c r="Y55" s="44">
        <v>620.85</v>
      </c>
      <c r="Z55" s="44">
        <v>1202.01</v>
      </c>
      <c r="AA55" s="44">
        <f t="shared" si="0"/>
        <v>1822.8600000000001</v>
      </c>
      <c r="AB55" s="44">
        <v>2078.16</v>
      </c>
      <c r="AC55" s="44">
        <v>554.54</v>
      </c>
      <c r="AD55" s="44">
        <f t="shared" si="1"/>
        <v>2632.7</v>
      </c>
      <c r="AE55" s="44">
        <v>2036.19</v>
      </c>
      <c r="AF55" s="44">
        <v>935.32</v>
      </c>
      <c r="AG55" s="44">
        <v>108.36</v>
      </c>
      <c r="AH55" s="39">
        <v>60.716582000000002</v>
      </c>
      <c r="AI55" s="39">
        <v>5.1080959999999997</v>
      </c>
      <c r="AJ55" s="39">
        <v>898.503738</v>
      </c>
      <c r="AK55" s="39">
        <v>104.91200000000001</v>
      </c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</row>
    <row r="56" spans="1:68" x14ac:dyDescent="0.25">
      <c r="A56" s="38" t="s">
        <v>102</v>
      </c>
      <c r="B56" s="28">
        <v>2018</v>
      </c>
      <c r="C56" s="39">
        <v>2301.6292830000002</v>
      </c>
      <c r="D56" s="39">
        <v>122.400779</v>
      </c>
      <c r="E56" s="39">
        <v>0.110189</v>
      </c>
      <c r="F56" s="39"/>
      <c r="G56" s="40">
        <v>30</v>
      </c>
      <c r="H56" s="40"/>
      <c r="I56" s="40"/>
      <c r="J56" s="40"/>
      <c r="K56" s="40"/>
      <c r="L56" s="40"/>
      <c r="M56" s="41" t="s">
        <v>103</v>
      </c>
      <c r="N56" s="42">
        <f t="shared" si="4"/>
        <v>2018</v>
      </c>
      <c r="O56" s="43">
        <f>(C56*15/30)+(C57*16/31)</f>
        <v>2517.7973615000001</v>
      </c>
      <c r="P56" s="43">
        <f>(D56*15/30)+(D57*16/31)</f>
        <v>108.21724008064515</v>
      </c>
      <c r="Q56" s="43">
        <f>(E56*15/30)+(E57*16/31)</f>
        <v>0.30373708064516131</v>
      </c>
      <c r="R56" s="19"/>
      <c r="S56" s="19"/>
      <c r="T56" s="44">
        <v>465.75</v>
      </c>
      <c r="U56" s="44">
        <v>1027.3599999999999</v>
      </c>
      <c r="V56" s="44">
        <v>986.83</v>
      </c>
      <c r="W56" s="44">
        <v>755.96</v>
      </c>
      <c r="X56" s="44">
        <v>135.52000000000001</v>
      </c>
      <c r="Y56" s="44">
        <v>529.61</v>
      </c>
      <c r="Z56" s="44">
        <v>1260.54</v>
      </c>
      <c r="AA56" s="44">
        <f t="shared" si="0"/>
        <v>1790.15</v>
      </c>
      <c r="AB56" s="44">
        <v>2009.53</v>
      </c>
      <c r="AC56" s="44">
        <v>590.48</v>
      </c>
      <c r="AD56" s="44">
        <f t="shared" si="1"/>
        <v>2600.0100000000002</v>
      </c>
      <c r="AE56" s="44">
        <v>1903.58</v>
      </c>
      <c r="AF56" s="44">
        <v>979.64</v>
      </c>
      <c r="AG56" s="44">
        <v>128.06</v>
      </c>
      <c r="AH56" s="39">
        <v>50.581310000000002</v>
      </c>
      <c r="AI56" s="39">
        <v>2.3997950000000001</v>
      </c>
      <c r="AJ56" s="39">
        <v>564.42959699999994</v>
      </c>
      <c r="AK56" s="39">
        <v>135.03</v>
      </c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</row>
    <row r="57" spans="1:68" x14ac:dyDescent="0.25">
      <c r="A57" s="38" t="s">
        <v>104</v>
      </c>
      <c r="B57" s="28">
        <v>2018</v>
      </c>
      <c r="C57" s="39">
        <v>2648.5290199999999</v>
      </c>
      <c r="D57" s="39">
        <v>91.095147999999995</v>
      </c>
      <c r="E57" s="39">
        <v>0.48174499999999998</v>
      </c>
      <c r="F57" s="39"/>
      <c r="G57" s="40">
        <v>31</v>
      </c>
      <c r="H57" s="40"/>
      <c r="I57" s="40"/>
      <c r="J57" s="40"/>
      <c r="K57" s="40"/>
      <c r="L57" s="40"/>
      <c r="M57" s="41" t="s">
        <v>105</v>
      </c>
      <c r="N57" s="42">
        <f t="shared" si="4"/>
        <v>2018</v>
      </c>
      <c r="O57" s="43">
        <f>(C57*15/31)+(C58*15/30)</f>
        <v>2562.9132694999998</v>
      </c>
      <c r="P57" s="43">
        <f>(D57*15/31)+(D58*15/30)</f>
        <v>70.144622919354845</v>
      </c>
      <c r="Q57" s="43">
        <f>(E57*15/31)+(E58*15/30)</f>
        <v>0.66704891935483868</v>
      </c>
      <c r="R57" s="19"/>
      <c r="S57" s="19"/>
      <c r="T57" s="44">
        <v>405.07</v>
      </c>
      <c r="U57" s="44">
        <v>832.99</v>
      </c>
      <c r="V57" s="44">
        <v>1181.23</v>
      </c>
      <c r="W57" s="44">
        <v>918.3</v>
      </c>
      <c r="X57" s="44">
        <v>150.15</v>
      </c>
      <c r="Y57" s="44">
        <v>555.37</v>
      </c>
      <c r="Z57" s="44">
        <v>1173.49</v>
      </c>
      <c r="AA57" s="44">
        <f t="shared" si="0"/>
        <v>1728.8600000000001</v>
      </c>
      <c r="AB57" s="44">
        <v>2239.96</v>
      </c>
      <c r="AC57" s="44">
        <v>262.48</v>
      </c>
      <c r="AD57" s="44">
        <f t="shared" si="1"/>
        <v>2502.44</v>
      </c>
      <c r="AE57" s="44">
        <v>1608.9</v>
      </c>
      <c r="AF57" s="44">
        <v>887.69</v>
      </c>
      <c r="AG57" s="44">
        <v>184.54</v>
      </c>
      <c r="AH57" s="39">
        <v>23.741592000000001</v>
      </c>
      <c r="AI57" s="39">
        <v>16.261441999999999</v>
      </c>
      <c r="AJ57" s="39">
        <v>761.30755399999998</v>
      </c>
      <c r="AK57" s="39">
        <v>128.499</v>
      </c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</row>
    <row r="58" spans="1:68" x14ac:dyDescent="0.25">
      <c r="A58" s="38" t="s">
        <v>106</v>
      </c>
      <c r="B58" s="28">
        <v>2018</v>
      </c>
      <c r="C58" s="39">
        <v>2562.7339390000002</v>
      </c>
      <c r="D58" s="39">
        <v>52.132651000000003</v>
      </c>
      <c r="E58" s="39">
        <v>0.86789300000000003</v>
      </c>
      <c r="F58" s="39"/>
      <c r="G58" s="40">
        <v>30</v>
      </c>
      <c r="H58" s="40"/>
      <c r="I58" s="40"/>
      <c r="J58" s="40"/>
      <c r="K58" s="40"/>
      <c r="L58" s="40"/>
      <c r="M58" s="41" t="s">
        <v>107</v>
      </c>
      <c r="N58" s="42">
        <f t="shared" si="4"/>
        <v>2018</v>
      </c>
      <c r="O58" s="43">
        <f>(C58*15/30)+C59</f>
        <v>2605.7229095000002</v>
      </c>
      <c r="P58" s="43">
        <f>(D58*15/30)+D59</f>
        <v>51.894475499999999</v>
      </c>
      <c r="Q58" s="43">
        <f>(E58*15/30)+E59</f>
        <v>0.86454350000000002</v>
      </c>
      <c r="R58" s="19"/>
      <c r="S58" s="19"/>
      <c r="T58" s="44">
        <v>397.2</v>
      </c>
      <c r="U58" s="44">
        <v>1093.0899999999999</v>
      </c>
      <c r="V58" s="44">
        <v>911.73</v>
      </c>
      <c r="W58" s="44">
        <v>581.16999999999996</v>
      </c>
      <c r="X58" s="44">
        <v>155.36000000000001</v>
      </c>
      <c r="Y58" s="44">
        <v>553.97</v>
      </c>
      <c r="Z58" s="44">
        <v>1307.49</v>
      </c>
      <c r="AA58" s="44">
        <f t="shared" si="0"/>
        <v>1861.46</v>
      </c>
      <c r="AB58" s="44">
        <v>2139.9</v>
      </c>
      <c r="AC58" s="44">
        <v>287.13</v>
      </c>
      <c r="AD58" s="44">
        <f t="shared" si="1"/>
        <v>2427.0300000000002</v>
      </c>
      <c r="AE58" s="44">
        <v>2016.46</v>
      </c>
      <c r="AF58" s="44">
        <v>1200.9100000000001</v>
      </c>
      <c r="AG58" s="44">
        <v>123.75</v>
      </c>
      <c r="AH58" s="39">
        <v>44.559739999999998</v>
      </c>
      <c r="AI58" s="39">
        <v>5.1109929999999997</v>
      </c>
      <c r="AJ58" s="39">
        <v>679.17588999999998</v>
      </c>
      <c r="AK58" s="39">
        <v>85.355999999999995</v>
      </c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</row>
    <row r="59" spans="1:68" x14ac:dyDescent="0.25">
      <c r="A59" s="38" t="s">
        <v>107</v>
      </c>
      <c r="B59" s="28">
        <v>2018</v>
      </c>
      <c r="C59" s="39">
        <v>1324.3559399999999</v>
      </c>
      <c r="D59" s="39">
        <v>25.828150000000001</v>
      </c>
      <c r="E59" s="39">
        <v>0.43059700000000001</v>
      </c>
      <c r="F59" s="39"/>
      <c r="G59" s="40">
        <v>16</v>
      </c>
      <c r="H59" s="40"/>
      <c r="I59" s="40"/>
      <c r="J59" s="40"/>
      <c r="K59" s="40"/>
      <c r="L59" s="40"/>
      <c r="M59" s="41" t="s">
        <v>109</v>
      </c>
      <c r="N59" s="42">
        <f>N58+1</f>
        <v>2019</v>
      </c>
      <c r="O59" s="43">
        <f>C60+(C61*16/31)</f>
        <v>2189.6573937096773</v>
      </c>
      <c r="P59" s="43">
        <f>D60+(D61*16/31)</f>
        <v>89.497019322580641</v>
      </c>
      <c r="Q59" s="43">
        <f>E60+(E61*16/31)</f>
        <v>0.78078745161290319</v>
      </c>
      <c r="R59" s="19"/>
      <c r="S59" s="19"/>
      <c r="T59" s="44">
        <v>429.35</v>
      </c>
      <c r="U59" s="44">
        <v>963.12</v>
      </c>
      <c r="V59" s="44">
        <v>856.76</v>
      </c>
      <c r="W59" s="44">
        <v>715.39</v>
      </c>
      <c r="X59" s="44">
        <v>130.15</v>
      </c>
      <c r="Y59" s="44">
        <v>641.12</v>
      </c>
      <c r="Z59" s="44">
        <v>1100.6500000000001</v>
      </c>
      <c r="AA59" s="44">
        <f t="shared" si="0"/>
        <v>1741.77</v>
      </c>
      <c r="AB59" s="44">
        <v>1921.36</v>
      </c>
      <c r="AC59" s="44">
        <v>386.78</v>
      </c>
      <c r="AD59" s="44">
        <f t="shared" si="1"/>
        <v>2308.14</v>
      </c>
      <c r="AE59" s="44">
        <v>1884.01</v>
      </c>
      <c r="AF59" s="44">
        <v>918.53</v>
      </c>
      <c r="AG59" s="44">
        <v>103.19</v>
      </c>
      <c r="AH59" s="39">
        <v>65.072788000000003</v>
      </c>
      <c r="AI59" s="39">
        <v>10.186685000000001</v>
      </c>
      <c r="AJ59" s="39">
        <v>924.906567</v>
      </c>
      <c r="AK59" s="39">
        <v>128.505</v>
      </c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</row>
    <row r="60" spans="1:68" x14ac:dyDescent="0.25">
      <c r="A60" s="38" t="s">
        <v>109</v>
      </c>
      <c r="B60" s="28">
        <v>2019</v>
      </c>
      <c r="C60" s="39">
        <v>968.64671499999997</v>
      </c>
      <c r="D60" s="39">
        <v>36.806576999999997</v>
      </c>
      <c r="E60" s="39">
        <v>0.28867700000000002</v>
      </c>
      <c r="F60" s="39"/>
      <c r="G60" s="40">
        <v>15</v>
      </c>
      <c r="H60" s="40"/>
      <c r="I60" s="40"/>
      <c r="J60" s="40"/>
      <c r="K60" s="40"/>
      <c r="L60" s="40"/>
      <c r="M60" s="41" t="s">
        <v>111</v>
      </c>
      <c r="N60" s="42">
        <f>N59</f>
        <v>2019</v>
      </c>
      <c r="O60" s="43">
        <f>(C61*15/31)+(C62*13/28)</f>
        <v>2188.5099052188943</v>
      </c>
      <c r="P60" s="43">
        <f>(D61*15/31)+(D62*13/28)</f>
        <v>89.4506030702765</v>
      </c>
      <c r="Q60" s="43">
        <f>(E61*15/31)+(E62*13/28)</f>
        <v>0.53159208410138248</v>
      </c>
      <c r="R60" s="19"/>
      <c r="S60" s="19"/>
      <c r="T60" s="44">
        <v>385.72</v>
      </c>
      <c r="U60" s="44">
        <v>851.85</v>
      </c>
      <c r="V60" s="44">
        <v>929.28</v>
      </c>
      <c r="W60" s="44">
        <v>684.74</v>
      </c>
      <c r="X60" s="44">
        <v>103.85</v>
      </c>
      <c r="Y60" s="44">
        <v>604.97</v>
      </c>
      <c r="Z60" s="44">
        <v>914.7</v>
      </c>
      <c r="AA60" s="44">
        <f t="shared" si="0"/>
        <v>1519.67</v>
      </c>
      <c r="AB60" s="44">
        <v>1959.03</v>
      </c>
      <c r="AC60" s="44">
        <v>334.34</v>
      </c>
      <c r="AD60" s="44">
        <f t="shared" si="1"/>
        <v>2293.37</v>
      </c>
      <c r="AE60" s="44">
        <v>1778.6</v>
      </c>
      <c r="AF60" s="44">
        <v>1036.46</v>
      </c>
      <c r="AG60" s="44">
        <v>126.16</v>
      </c>
      <c r="AH60" s="39">
        <v>42.90569</v>
      </c>
      <c r="AI60" s="39">
        <v>5.2271200000000002</v>
      </c>
      <c r="AJ60" s="39">
        <v>722.70944899999995</v>
      </c>
      <c r="AK60" s="39">
        <v>107.56</v>
      </c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</row>
    <row r="61" spans="1:68" x14ac:dyDescent="0.25">
      <c r="A61" s="38" t="s">
        <v>117</v>
      </c>
      <c r="B61" s="28">
        <v>2019</v>
      </c>
      <c r="C61" s="39">
        <v>2365.7081899999998</v>
      </c>
      <c r="D61" s="39">
        <v>102.087732</v>
      </c>
      <c r="E61" s="39">
        <v>0.95346399999999998</v>
      </c>
      <c r="F61" s="39"/>
      <c r="G61" s="40">
        <v>31</v>
      </c>
      <c r="H61" s="40"/>
      <c r="I61" s="40"/>
      <c r="J61" s="40"/>
      <c r="K61" s="40"/>
      <c r="L61" s="40"/>
      <c r="M61" s="41" t="s">
        <v>113</v>
      </c>
      <c r="N61" s="42">
        <f t="shared" ref="N61:N70" si="5">N60</f>
        <v>2019</v>
      </c>
      <c r="O61" s="43">
        <f>(C62*15/28)+(C63*16/31)</f>
        <v>2507.9079746520738</v>
      </c>
      <c r="P61" s="43">
        <f>(D62*15/28)+(D63*16/31)</f>
        <v>106.50847334907834</v>
      </c>
      <c r="Q61" s="43">
        <f>(E62*15/28)+(E63*16/31)</f>
        <v>0.30500885138248846</v>
      </c>
      <c r="R61" s="39"/>
      <c r="S61" s="39"/>
      <c r="T61" s="44">
        <v>406.98</v>
      </c>
      <c r="U61" s="44">
        <v>1103.31</v>
      </c>
      <c r="V61" s="44">
        <v>981.68</v>
      </c>
      <c r="W61" s="44">
        <v>796.57</v>
      </c>
      <c r="X61" s="44">
        <v>78.47</v>
      </c>
      <c r="Y61" s="44">
        <v>574.04</v>
      </c>
      <c r="Z61" s="44">
        <v>1073.52</v>
      </c>
      <c r="AA61" s="44">
        <f t="shared" si="0"/>
        <v>1647.56</v>
      </c>
      <c r="AB61" s="44">
        <v>1852.17</v>
      </c>
      <c r="AC61" s="44">
        <v>331</v>
      </c>
      <c r="AD61" s="44">
        <f t="shared" si="1"/>
        <v>2183.17</v>
      </c>
      <c r="AE61" s="44">
        <v>1663.93</v>
      </c>
      <c r="AF61" s="44">
        <v>659.71</v>
      </c>
      <c r="AG61" s="44">
        <v>71.510000000000005</v>
      </c>
      <c r="AH61" s="39">
        <v>46.429130000000001</v>
      </c>
      <c r="AI61" s="39">
        <v>10.148197</v>
      </c>
      <c r="AJ61" s="39">
        <v>700.77078400000005</v>
      </c>
      <c r="AK61" s="39">
        <v>118.312</v>
      </c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</row>
    <row r="62" spans="1:68" x14ac:dyDescent="0.25">
      <c r="A62" s="38" t="s">
        <v>112</v>
      </c>
      <c r="B62" s="28">
        <v>2019</v>
      </c>
      <c r="C62" s="39">
        <v>2248.2113100000001</v>
      </c>
      <c r="D62" s="39">
        <v>86.268675000000002</v>
      </c>
      <c r="E62" s="39">
        <v>0.151283</v>
      </c>
      <c r="F62" s="39"/>
      <c r="G62" s="40">
        <v>28</v>
      </c>
      <c r="H62" s="40"/>
      <c r="I62" s="40"/>
      <c r="J62" s="40"/>
      <c r="K62" s="40"/>
      <c r="L62" s="40"/>
      <c r="M62" s="41" t="s">
        <v>115</v>
      </c>
      <c r="N62" s="42">
        <f t="shared" si="5"/>
        <v>2019</v>
      </c>
      <c r="O62" s="43">
        <f>(C63+15/31)+(C64*15/30)</f>
        <v>3684.042353467742</v>
      </c>
      <c r="P62" s="43">
        <f>(D63+15/31)+(D64*15/30)</f>
        <v>183.32224596774194</v>
      </c>
      <c r="Q62" s="43">
        <f>(E63+15/31)+(E64*15/30)</f>
        <v>0.91780196774193556</v>
      </c>
      <c r="R62" s="39"/>
      <c r="S62" s="39"/>
      <c r="T62" s="44">
        <v>377.27</v>
      </c>
      <c r="U62" s="44">
        <v>1029.8800000000001</v>
      </c>
      <c r="V62" s="44">
        <v>895.45</v>
      </c>
      <c r="W62" s="44">
        <v>687.65</v>
      </c>
      <c r="X62" s="44">
        <v>93</v>
      </c>
      <c r="Y62" s="44">
        <v>617.21</v>
      </c>
      <c r="Z62" s="44">
        <v>1106.21</v>
      </c>
      <c r="AA62" s="44">
        <f t="shared" si="0"/>
        <v>1723.42</v>
      </c>
      <c r="AB62" s="44">
        <v>2107.39</v>
      </c>
      <c r="AC62" s="44">
        <v>559.82000000000005</v>
      </c>
      <c r="AD62" s="44">
        <f t="shared" si="1"/>
        <v>2667.21</v>
      </c>
      <c r="AE62" s="44">
        <v>1967.89</v>
      </c>
      <c r="AF62" s="44">
        <v>1221.69</v>
      </c>
      <c r="AG62" s="44">
        <v>69.63</v>
      </c>
      <c r="AH62" s="39">
        <v>52.411034000000001</v>
      </c>
      <c r="AI62" s="39">
        <v>0.243862</v>
      </c>
      <c r="AJ62" s="39">
        <v>762.75177799999994</v>
      </c>
      <c r="AK62" s="39">
        <v>138.38300000000001</v>
      </c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</row>
    <row r="63" spans="1:68" x14ac:dyDescent="0.25">
      <c r="A63" s="38" t="s">
        <v>114</v>
      </c>
      <c r="B63" s="28">
        <v>2019</v>
      </c>
      <c r="C63" s="39">
        <v>2525.5488009999999</v>
      </c>
      <c r="D63" s="39">
        <v>116.817904</v>
      </c>
      <c r="E63" s="39">
        <v>0.43393100000000001</v>
      </c>
      <c r="F63" s="39"/>
      <c r="G63" s="40">
        <v>31</v>
      </c>
      <c r="H63" s="40"/>
      <c r="I63" s="40"/>
      <c r="J63" s="40"/>
      <c r="K63" s="40"/>
      <c r="L63" s="40"/>
      <c r="M63" s="41" t="s">
        <v>93</v>
      </c>
      <c r="N63" s="42">
        <f t="shared" si="5"/>
        <v>2019</v>
      </c>
      <c r="O63" s="43">
        <f>(C64*15/30)+(C65*16/31)</f>
        <v>2399.2997651129035</v>
      </c>
      <c r="P63" s="43">
        <f>(D64*15/30)+(D65*16/31)</f>
        <v>151.6660947419355</v>
      </c>
      <c r="Q63" s="43">
        <f>(E64*15/30)+(E65*16/31)</f>
        <v>0.10745548387096773</v>
      </c>
      <c r="R63" s="39"/>
      <c r="S63" s="39"/>
      <c r="T63" s="44">
        <v>365.1</v>
      </c>
      <c r="U63" s="44">
        <v>1089.73</v>
      </c>
      <c r="V63" s="44">
        <v>904.11</v>
      </c>
      <c r="W63" s="44">
        <v>855.4</v>
      </c>
      <c r="X63" s="44">
        <v>64.47</v>
      </c>
      <c r="Y63" s="44">
        <v>597.62</v>
      </c>
      <c r="Z63" s="44">
        <v>1081.5999999999999</v>
      </c>
      <c r="AA63" s="44">
        <f t="shared" si="0"/>
        <v>1679.2199999999998</v>
      </c>
      <c r="AB63" s="44">
        <v>1912.94</v>
      </c>
      <c r="AC63" s="44">
        <v>550.62</v>
      </c>
      <c r="AD63" s="44">
        <f t="shared" si="1"/>
        <v>2463.56</v>
      </c>
      <c r="AE63" s="44">
        <v>1813.41</v>
      </c>
      <c r="AF63" s="44">
        <v>1038.52</v>
      </c>
      <c r="AG63" s="44">
        <v>111.55</v>
      </c>
      <c r="AH63" s="39">
        <v>124.436031</v>
      </c>
      <c r="AI63" s="39">
        <v>11.019417000000001</v>
      </c>
      <c r="AJ63" s="39">
        <v>762.70751099999995</v>
      </c>
      <c r="AK63" s="39">
        <v>168.66399999999999</v>
      </c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</row>
    <row r="64" spans="1:68" x14ac:dyDescent="0.25">
      <c r="A64" s="38" t="s">
        <v>92</v>
      </c>
      <c r="B64" s="28">
        <v>2019</v>
      </c>
      <c r="C64" s="39">
        <v>2316.0193629999999</v>
      </c>
      <c r="D64" s="39">
        <v>132.040942</v>
      </c>
      <c r="E64" s="39">
        <v>0</v>
      </c>
      <c r="F64" s="39"/>
      <c r="G64" s="40">
        <v>30</v>
      </c>
      <c r="H64" s="40"/>
      <c r="I64" s="40"/>
      <c r="J64" s="40"/>
      <c r="K64" s="40"/>
      <c r="L64" s="40"/>
      <c r="M64" s="41" t="s">
        <v>95</v>
      </c>
      <c r="N64" s="42">
        <f t="shared" si="5"/>
        <v>2019</v>
      </c>
      <c r="O64" s="43">
        <f>(C65*15/31)+(C66*15/30)</f>
        <v>2321.6028988870967</v>
      </c>
      <c r="P64" s="43">
        <f>(D65*15/31)+(D66*15/30)</f>
        <v>158.60838575806451</v>
      </c>
      <c r="Q64" s="43">
        <f>(E65*15/31)+(E66*15/30)</f>
        <v>0.16856451612903225</v>
      </c>
      <c r="R64" s="19"/>
      <c r="S64" s="19"/>
      <c r="T64" s="44">
        <v>388.63</v>
      </c>
      <c r="U64" s="44">
        <v>1114.21</v>
      </c>
      <c r="V64" s="44">
        <v>760.04</v>
      </c>
      <c r="W64" s="44">
        <v>696.36</v>
      </c>
      <c r="X64" s="44">
        <v>73.88</v>
      </c>
      <c r="Y64" s="44">
        <v>508.13</v>
      </c>
      <c r="Z64" s="44">
        <v>1044.8699999999999</v>
      </c>
      <c r="AA64" s="44">
        <f t="shared" si="0"/>
        <v>1553</v>
      </c>
      <c r="AB64" s="44">
        <v>2016.81</v>
      </c>
      <c r="AC64" s="44">
        <v>363.38</v>
      </c>
      <c r="AD64" s="44">
        <f t="shared" si="1"/>
        <v>2380.19</v>
      </c>
      <c r="AE64" s="44">
        <v>1924.34</v>
      </c>
      <c r="AF64" s="44">
        <v>1074.73</v>
      </c>
      <c r="AG64" s="44">
        <v>69.87</v>
      </c>
      <c r="AH64" s="39">
        <v>60.955382</v>
      </c>
      <c r="AI64" s="39">
        <v>0.37644100000000003</v>
      </c>
      <c r="AJ64" s="39">
        <v>892.35736799999995</v>
      </c>
      <c r="AK64" s="39">
        <v>105.93600000000001</v>
      </c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</row>
    <row r="65" spans="1:68" x14ac:dyDescent="0.25">
      <c r="A65" s="38" t="s">
        <v>94</v>
      </c>
      <c r="B65" s="28">
        <v>2019</v>
      </c>
      <c r="C65" s="39">
        <v>2404.9995370000001</v>
      </c>
      <c r="D65" s="39">
        <v>165.93839600000001</v>
      </c>
      <c r="E65" s="39">
        <v>0.20819499999999999</v>
      </c>
      <c r="F65" s="39"/>
      <c r="G65" s="40">
        <v>31</v>
      </c>
      <c r="H65" s="40"/>
      <c r="I65" s="40"/>
      <c r="J65" s="40"/>
      <c r="K65" s="40"/>
      <c r="L65" s="40"/>
      <c r="M65" s="41" t="s">
        <v>97</v>
      </c>
      <c r="N65" s="42">
        <f t="shared" si="5"/>
        <v>2019</v>
      </c>
      <c r="O65" s="43">
        <f>(C66*15/30)+(C67*16/31)</f>
        <v>2409.3833525967743</v>
      </c>
      <c r="P65" s="43">
        <f>(D66*15/30)+(D67*16/31)</f>
        <v>166.38955930645162</v>
      </c>
      <c r="Q65" s="43">
        <f>(E66*15/30)+(E67*16/31)</f>
        <v>8.8019580645161286E-2</v>
      </c>
      <c r="R65" s="19"/>
      <c r="S65" s="19"/>
      <c r="T65" s="44">
        <v>519.13</v>
      </c>
      <c r="U65" s="44">
        <v>1055.49</v>
      </c>
      <c r="V65" s="44">
        <v>949.41</v>
      </c>
      <c r="W65" s="44">
        <v>857.21</v>
      </c>
      <c r="X65" s="44">
        <v>107.6</v>
      </c>
      <c r="Y65" s="44">
        <v>610.36</v>
      </c>
      <c r="Z65" s="44">
        <v>1109.47</v>
      </c>
      <c r="AA65" s="44">
        <f t="shared" si="0"/>
        <v>1719.83</v>
      </c>
      <c r="AB65" s="44">
        <v>1928.87</v>
      </c>
      <c r="AC65" s="44">
        <v>461.33</v>
      </c>
      <c r="AD65" s="44">
        <f t="shared" si="1"/>
        <v>2390.1999999999998</v>
      </c>
      <c r="AE65" s="44">
        <v>1955.24</v>
      </c>
      <c r="AF65" s="44">
        <v>1148.0899999999999</v>
      </c>
      <c r="AG65" s="44">
        <v>97.62</v>
      </c>
      <c r="AH65" s="39">
        <v>89.604078000000001</v>
      </c>
      <c r="AI65" s="39">
        <v>14.20851</v>
      </c>
      <c r="AJ65" s="39">
        <v>618.63970400000005</v>
      </c>
      <c r="AK65" s="39">
        <v>137.959</v>
      </c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</row>
    <row r="66" spans="1:68" x14ac:dyDescent="0.25">
      <c r="A66" s="38" t="s">
        <v>96</v>
      </c>
      <c r="B66" s="28">
        <v>2019</v>
      </c>
      <c r="C66" s="39">
        <v>2315.7868910000002</v>
      </c>
      <c r="D66" s="39">
        <v>156.631227</v>
      </c>
      <c r="E66" s="39">
        <v>0.13564999999999999</v>
      </c>
      <c r="F66" s="39"/>
      <c r="G66" s="40">
        <v>30</v>
      </c>
      <c r="H66" s="40"/>
      <c r="I66" s="40"/>
      <c r="J66" s="40"/>
      <c r="K66" s="40"/>
      <c r="L66" s="40"/>
      <c r="M66" s="41" t="s">
        <v>99</v>
      </c>
      <c r="N66" s="42">
        <f t="shared" si="5"/>
        <v>2019</v>
      </c>
      <c r="O66" s="43">
        <f>(C67*15/31)+(C68*16/31)</f>
        <v>2410.9669311290327</v>
      </c>
      <c r="P66" s="43">
        <f>(D67*15/31)+(D68*16/31)</f>
        <v>163.017574</v>
      </c>
      <c r="Q66" s="43">
        <f>(E67*15/31)+(E68*16/31)</f>
        <v>0.34987022580645161</v>
      </c>
      <c r="R66" s="19"/>
      <c r="S66" s="19"/>
      <c r="T66" s="44">
        <v>567.88</v>
      </c>
      <c r="U66" s="44">
        <v>888.29</v>
      </c>
      <c r="V66" s="44">
        <v>958.89</v>
      </c>
      <c r="W66" s="44">
        <v>615.54999999999995</v>
      </c>
      <c r="X66" s="44">
        <v>149.61000000000001</v>
      </c>
      <c r="Y66" s="44">
        <v>614.09</v>
      </c>
      <c r="Z66" s="44">
        <v>1108.3399999999999</v>
      </c>
      <c r="AA66" s="44">
        <f t="shared" si="0"/>
        <v>1722.4299999999998</v>
      </c>
      <c r="AB66" s="44">
        <v>2031.01</v>
      </c>
      <c r="AC66" s="44">
        <v>414.27</v>
      </c>
      <c r="AD66" s="44">
        <f t="shared" si="1"/>
        <v>2445.2799999999997</v>
      </c>
      <c r="AE66" s="44">
        <v>2031.87</v>
      </c>
      <c r="AF66" s="44">
        <v>1118.2</v>
      </c>
      <c r="AG66" s="44">
        <v>136.97</v>
      </c>
      <c r="AH66" s="39">
        <v>96.509690000000006</v>
      </c>
      <c r="AI66" s="39">
        <v>4.575113</v>
      </c>
      <c r="AJ66" s="39">
        <v>829.019901</v>
      </c>
      <c r="AK66" s="39">
        <v>148.70699999999999</v>
      </c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</row>
    <row r="67" spans="1:68" x14ac:dyDescent="0.25">
      <c r="A67" s="38" t="s">
        <v>98</v>
      </c>
      <c r="B67" s="28">
        <v>2019</v>
      </c>
      <c r="C67" s="39">
        <v>2424.7616950000001</v>
      </c>
      <c r="D67" s="39">
        <v>170.64327</v>
      </c>
      <c r="E67" s="39">
        <v>3.9127000000000002E-2</v>
      </c>
      <c r="F67" s="39"/>
      <c r="G67" s="40">
        <v>31</v>
      </c>
      <c r="H67" s="40"/>
      <c r="I67" s="40"/>
      <c r="J67" s="40"/>
      <c r="K67" s="40"/>
      <c r="L67" s="40"/>
      <c r="M67" s="41" t="s">
        <v>101</v>
      </c>
      <c r="N67" s="42">
        <f t="shared" si="5"/>
        <v>2019</v>
      </c>
      <c r="O67" s="43">
        <f>(C68*15/31)+(C69*15/30)</f>
        <v>2331.6072437741936</v>
      </c>
      <c r="P67" s="43">
        <f>(D68*15/31)+(D69*15/30)</f>
        <v>157.22072569354839</v>
      </c>
      <c r="Q67" s="43">
        <f>(E68*15/31)+(E69*15/30)</f>
        <v>0.39737669354838706</v>
      </c>
      <c r="R67" s="19"/>
      <c r="S67" s="19"/>
      <c r="T67" s="44">
        <v>455.42</v>
      </c>
      <c r="U67" s="44">
        <v>1158.32</v>
      </c>
      <c r="V67" s="44">
        <v>922.79</v>
      </c>
      <c r="W67" s="44">
        <v>842.66</v>
      </c>
      <c r="X67" s="44">
        <v>138.29</v>
      </c>
      <c r="Y67" s="44">
        <v>680.23</v>
      </c>
      <c r="Z67" s="44">
        <v>1120.24</v>
      </c>
      <c r="AA67" s="44">
        <f t="shared" si="0"/>
        <v>1800.47</v>
      </c>
      <c r="AB67" s="44">
        <v>1988.14</v>
      </c>
      <c r="AC67" s="44">
        <v>513.99</v>
      </c>
      <c r="AD67" s="44">
        <f t="shared" si="1"/>
        <v>2502.13</v>
      </c>
      <c r="AE67" s="44">
        <v>1864.24</v>
      </c>
      <c r="AF67" s="44">
        <v>897.87</v>
      </c>
      <c r="AG67" s="44">
        <v>179.51</v>
      </c>
      <c r="AH67" s="39">
        <v>115.38800999999999</v>
      </c>
      <c r="AI67" s="39">
        <v>5.159357</v>
      </c>
      <c r="AJ67" s="39">
        <v>803.71400100000005</v>
      </c>
      <c r="AK67" s="39">
        <v>138.739</v>
      </c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</row>
    <row r="68" spans="1:68" x14ac:dyDescent="0.25">
      <c r="A68" s="38" t="s">
        <v>100</v>
      </c>
      <c r="B68" s="28">
        <v>2019</v>
      </c>
      <c r="C68" s="39">
        <v>2398.0343400000002</v>
      </c>
      <c r="D68" s="39">
        <v>155.868484</v>
      </c>
      <c r="E68" s="39">
        <v>0.64119199999999998</v>
      </c>
      <c r="F68" s="39"/>
      <c r="G68" s="40">
        <v>31</v>
      </c>
      <c r="H68" s="40"/>
      <c r="I68" s="40"/>
      <c r="J68" s="40"/>
      <c r="K68" s="40"/>
      <c r="L68" s="40"/>
      <c r="M68" s="41" t="s">
        <v>103</v>
      </c>
      <c r="N68" s="42">
        <f t="shared" si="5"/>
        <v>2019</v>
      </c>
      <c r="O68" s="43">
        <f>(C69*15/30)+(C70*16/31)</f>
        <v>2455.194860935484</v>
      </c>
      <c r="P68" s="43">
        <f>(D69*15/30)+(D70*16/31)</f>
        <v>159.65737614516129</v>
      </c>
      <c r="Q68" s="43">
        <f>(E69*15/30)+(E70*16/31)</f>
        <v>1.4092448225806451</v>
      </c>
      <c r="R68" s="19"/>
      <c r="S68" s="19"/>
      <c r="T68" s="44">
        <v>485.57</v>
      </c>
      <c r="U68" s="44">
        <v>1019.23</v>
      </c>
      <c r="V68" s="44">
        <v>937.8</v>
      </c>
      <c r="W68" s="44">
        <v>798.9</v>
      </c>
      <c r="X68" s="44">
        <v>172.36</v>
      </c>
      <c r="Y68" s="44">
        <v>648.35</v>
      </c>
      <c r="Z68" s="44">
        <v>1233.3900000000001</v>
      </c>
      <c r="AA68" s="44">
        <f t="shared" ref="AA68:AA131" si="6">Z68+Y68</f>
        <v>1881.7400000000002</v>
      </c>
      <c r="AB68" s="44">
        <v>2116.58</v>
      </c>
      <c r="AC68" s="44">
        <v>419.88</v>
      </c>
      <c r="AD68" s="44">
        <f t="shared" ref="AD68:AD131" si="7">AC68+AB68</f>
        <v>2536.46</v>
      </c>
      <c r="AE68" s="44">
        <v>1906.33</v>
      </c>
      <c r="AF68" s="44">
        <v>1269.21</v>
      </c>
      <c r="AG68" s="44">
        <v>230.66</v>
      </c>
      <c r="AH68" s="39">
        <v>107.674665</v>
      </c>
      <c r="AI68" s="39">
        <v>2.8331379999999999</v>
      </c>
      <c r="AJ68" s="39">
        <v>807.489239</v>
      </c>
      <c r="AK68" s="39">
        <v>171.86500000000001</v>
      </c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</row>
    <row r="69" spans="1:68" x14ac:dyDescent="0.25">
      <c r="A69" s="38" t="s">
        <v>102</v>
      </c>
      <c r="B69" s="28">
        <v>2019</v>
      </c>
      <c r="C69" s="39">
        <v>2342.536094</v>
      </c>
      <c r="D69" s="39">
        <v>163.60098300000001</v>
      </c>
      <c r="E69" s="39">
        <v>0.17424500000000001</v>
      </c>
      <c r="F69" s="39"/>
      <c r="G69" s="40">
        <v>30</v>
      </c>
      <c r="H69" s="40"/>
      <c r="I69" s="40"/>
      <c r="J69" s="40"/>
      <c r="K69" s="40"/>
      <c r="L69" s="40"/>
      <c r="M69" s="41" t="s">
        <v>105</v>
      </c>
      <c r="N69" s="42">
        <f t="shared" si="5"/>
        <v>2019</v>
      </c>
      <c r="O69" s="43">
        <f>(C70*15/31)+(C71*15/30)</f>
        <v>2411.3500525645159</v>
      </c>
      <c r="P69" s="43">
        <f>(D70*15/31)+(D71*15/30)</f>
        <v>148.32202085483871</v>
      </c>
      <c r="Q69" s="43">
        <f>(E70*15/31)+(E71*15/30)</f>
        <v>1.983998677419355</v>
      </c>
      <c r="R69" s="19"/>
      <c r="S69" s="19"/>
      <c r="T69" s="44">
        <v>381.87</v>
      </c>
      <c r="U69" s="44">
        <v>765.51</v>
      </c>
      <c r="V69" s="44">
        <v>1362.36</v>
      </c>
      <c r="W69" s="44">
        <v>1021.11</v>
      </c>
      <c r="X69" s="44">
        <v>154.80000000000001</v>
      </c>
      <c r="Y69" s="44">
        <v>581.16999999999996</v>
      </c>
      <c r="Z69" s="44">
        <v>1133.83</v>
      </c>
      <c r="AA69" s="44">
        <f t="shared" si="6"/>
        <v>1715</v>
      </c>
      <c r="AB69" s="44">
        <v>1641.19</v>
      </c>
      <c r="AC69" s="44">
        <v>413.38</v>
      </c>
      <c r="AD69" s="44">
        <f t="shared" si="7"/>
        <v>2054.5700000000002</v>
      </c>
      <c r="AE69" s="44">
        <v>2108.9499999999998</v>
      </c>
      <c r="AF69" s="44">
        <v>997.07</v>
      </c>
      <c r="AG69" s="44">
        <v>185.33</v>
      </c>
      <c r="AH69" s="39">
        <v>79.706241000000006</v>
      </c>
      <c r="AI69" s="39">
        <v>3.0726119999999999</v>
      </c>
      <c r="AJ69" s="39">
        <v>827.57633299999998</v>
      </c>
      <c r="AK69" s="39">
        <v>142.74600000000001</v>
      </c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</row>
    <row r="70" spans="1:68" x14ac:dyDescent="0.25">
      <c r="A70" s="38" t="s">
        <v>118</v>
      </c>
      <c r="B70" s="28">
        <v>2019</v>
      </c>
      <c r="C70" s="39">
        <v>2487.6082019999999</v>
      </c>
      <c r="D70" s="39">
        <v>150.847714</v>
      </c>
      <c r="E70" s="39">
        <v>2.5616119999999998</v>
      </c>
      <c r="F70" s="39"/>
      <c r="G70" s="40">
        <v>31</v>
      </c>
      <c r="H70" s="40"/>
      <c r="I70" s="40"/>
      <c r="J70" s="40"/>
      <c r="K70" s="40"/>
      <c r="L70" s="40"/>
      <c r="M70" s="41" t="s">
        <v>107</v>
      </c>
      <c r="N70" s="42">
        <f t="shared" si="5"/>
        <v>2019</v>
      </c>
      <c r="O70" s="43">
        <f>(C71*15/30)+C72</f>
        <v>2429.1379824999999</v>
      </c>
      <c r="P70" s="43">
        <f>(D71*15/30)+D72</f>
        <v>155.66459450000002</v>
      </c>
      <c r="Q70" s="43">
        <f>(E71*15/30)+E72</f>
        <v>1.3293219999999999</v>
      </c>
      <c r="R70" s="19"/>
      <c r="S70" s="19"/>
      <c r="T70" s="44">
        <v>422.41</v>
      </c>
      <c r="U70" s="44">
        <v>1032.69</v>
      </c>
      <c r="V70" s="44">
        <v>1033.58</v>
      </c>
      <c r="W70" s="44">
        <v>506.91</v>
      </c>
      <c r="X70" s="44">
        <v>147.69</v>
      </c>
      <c r="Y70" s="44">
        <v>558.59</v>
      </c>
      <c r="Z70" s="44">
        <v>1265.3399999999999</v>
      </c>
      <c r="AA70" s="44">
        <f t="shared" si="6"/>
        <v>1823.9299999999998</v>
      </c>
      <c r="AB70" s="44">
        <v>2014.7</v>
      </c>
      <c r="AC70" s="44">
        <v>422.28</v>
      </c>
      <c r="AD70" s="44">
        <f t="shared" si="7"/>
        <v>2436.98</v>
      </c>
      <c r="AE70" s="44">
        <v>1992.2</v>
      </c>
      <c r="AF70" s="44">
        <v>935</v>
      </c>
      <c r="AG70" s="44">
        <v>183.58</v>
      </c>
      <c r="AH70" s="39">
        <v>134.45291700000001</v>
      </c>
      <c r="AI70" s="39">
        <v>2.5496999999999999E-2</v>
      </c>
      <c r="AJ70" s="39">
        <v>588.081954</v>
      </c>
      <c r="AK70" s="39">
        <v>147.309</v>
      </c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</row>
    <row r="71" spans="1:68" x14ac:dyDescent="0.25">
      <c r="A71" s="38" t="s">
        <v>106</v>
      </c>
      <c r="B71" s="28">
        <v>2019</v>
      </c>
      <c r="C71" s="39">
        <v>2415.337329</v>
      </c>
      <c r="D71" s="39">
        <v>150.66238300000001</v>
      </c>
      <c r="E71" s="39">
        <v>1.489018</v>
      </c>
      <c r="F71" s="39"/>
      <c r="G71" s="40">
        <v>30</v>
      </c>
      <c r="H71" s="40"/>
      <c r="I71" s="40"/>
      <c r="J71" s="40"/>
      <c r="K71" s="40"/>
      <c r="L71" s="40"/>
      <c r="M71" s="41" t="s">
        <v>109</v>
      </c>
      <c r="N71" s="42">
        <f>N70+1</f>
        <v>2020</v>
      </c>
      <c r="O71" s="43">
        <f>C73+(C74*16/31)</f>
        <v>2181.4382134516127</v>
      </c>
      <c r="P71" s="43">
        <f>D73+(D74*16/31)</f>
        <v>147.8603005483871</v>
      </c>
      <c r="Q71" s="43">
        <f>E73+(E74*16/31)</f>
        <v>1.6195152903225805</v>
      </c>
      <c r="R71" s="19"/>
      <c r="S71" s="19"/>
      <c r="T71" s="44">
        <v>450.54</v>
      </c>
      <c r="U71" s="44">
        <v>920.91</v>
      </c>
      <c r="V71" s="44">
        <v>1214.1300000000001</v>
      </c>
      <c r="W71" s="44">
        <v>899.33</v>
      </c>
      <c r="X71" s="44">
        <v>142.69</v>
      </c>
      <c r="Y71" s="44">
        <v>490.97</v>
      </c>
      <c r="Z71" s="44">
        <v>1122.48</v>
      </c>
      <c r="AA71" s="44">
        <f t="shared" si="6"/>
        <v>1613.45</v>
      </c>
      <c r="AB71" s="44">
        <v>1943.73</v>
      </c>
      <c r="AC71" s="44">
        <v>248.6</v>
      </c>
      <c r="AD71" s="44">
        <f t="shared" si="7"/>
        <v>2192.33</v>
      </c>
      <c r="AE71" s="44">
        <v>1934.96</v>
      </c>
      <c r="AF71" s="44">
        <v>968.03</v>
      </c>
      <c r="AG71" s="44">
        <v>159.28</v>
      </c>
      <c r="AH71" s="39">
        <v>111.8078</v>
      </c>
      <c r="AI71" s="39">
        <v>5.5606000000000003E-2</v>
      </c>
      <c r="AJ71" s="39">
        <v>1047.3477640000001</v>
      </c>
      <c r="AK71" s="39">
        <v>185.49700000000001</v>
      </c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</row>
    <row r="72" spans="1:68" x14ac:dyDescent="0.25">
      <c r="A72" s="38" t="s">
        <v>107</v>
      </c>
      <c r="B72" s="28">
        <v>2019</v>
      </c>
      <c r="C72" s="39">
        <v>1221.4693179999999</v>
      </c>
      <c r="D72" s="39">
        <v>80.333403000000004</v>
      </c>
      <c r="E72" s="39">
        <v>0.58481300000000003</v>
      </c>
      <c r="F72" s="39"/>
      <c r="G72" s="40">
        <v>16</v>
      </c>
      <c r="H72" s="40"/>
      <c r="I72" s="40"/>
      <c r="J72" s="40"/>
      <c r="K72" s="40"/>
      <c r="L72" s="40"/>
      <c r="M72" s="41" t="s">
        <v>111</v>
      </c>
      <c r="N72" s="42">
        <f>N71</f>
        <v>2020</v>
      </c>
      <c r="O72" s="43">
        <f>(C74*15/31)+(C75*13/28)</f>
        <v>2216.2049075483874</v>
      </c>
      <c r="P72" s="43">
        <f>(D74*15/31)+(D75*13/28)</f>
        <v>137.49829148732721</v>
      </c>
      <c r="Q72" s="43">
        <f>(E74*15/31)+(E75*13/28)</f>
        <v>1.9828192453917053</v>
      </c>
      <c r="R72" s="19"/>
      <c r="S72" s="19"/>
      <c r="T72" s="44">
        <v>346.79</v>
      </c>
      <c r="U72" s="44">
        <v>947.43</v>
      </c>
      <c r="V72" s="44">
        <v>1075.8</v>
      </c>
      <c r="W72" s="44">
        <v>630.41</v>
      </c>
      <c r="X72" s="44">
        <v>138.75</v>
      </c>
      <c r="Y72" s="44">
        <v>458.15</v>
      </c>
      <c r="Z72" s="44">
        <v>1007.96</v>
      </c>
      <c r="AA72" s="44">
        <f t="shared" si="6"/>
        <v>1466.1100000000001</v>
      </c>
      <c r="AB72" s="44">
        <v>1991.23</v>
      </c>
      <c r="AC72" s="44">
        <v>200.54</v>
      </c>
      <c r="AD72" s="44">
        <f t="shared" si="7"/>
        <v>2191.77</v>
      </c>
      <c r="AE72" s="44">
        <v>1945.2</v>
      </c>
      <c r="AF72" s="44">
        <v>1063.05</v>
      </c>
      <c r="AG72" s="44">
        <v>127.55</v>
      </c>
      <c r="AH72" s="39">
        <v>71.120823999999999</v>
      </c>
      <c r="AI72" s="39">
        <v>7.8496999999999997E-2</v>
      </c>
      <c r="AJ72" s="39">
        <v>515.75969899999996</v>
      </c>
      <c r="AK72" s="39">
        <v>124.453</v>
      </c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</row>
    <row r="73" spans="1:68" x14ac:dyDescent="0.25">
      <c r="A73" s="38" t="s">
        <v>109</v>
      </c>
      <c r="B73" s="28">
        <v>2020</v>
      </c>
      <c r="C73" s="39">
        <v>940.29933500000004</v>
      </c>
      <c r="D73" s="39">
        <v>66.791978999999998</v>
      </c>
      <c r="E73" s="39">
        <v>0.68528199999999995</v>
      </c>
      <c r="F73" s="39"/>
      <c r="G73" s="40">
        <v>15</v>
      </c>
      <c r="H73" s="40"/>
      <c r="I73" s="40"/>
      <c r="J73" s="40"/>
      <c r="K73" s="40"/>
      <c r="L73" s="40"/>
      <c r="M73" s="41" t="s">
        <v>113</v>
      </c>
      <c r="N73" s="42">
        <f t="shared" ref="N73:N82" si="8">N72</f>
        <v>2020</v>
      </c>
      <c r="O73" s="43">
        <f>(C75*15/28)+(C76*16/31)</f>
        <v>1982.4050202903225</v>
      </c>
      <c r="P73" s="43">
        <f>(D75*15/28)+(D76*16/31)</f>
        <v>131.27086857718893</v>
      </c>
      <c r="Q73" s="43">
        <f>(E75*15/28)+(E76*16/31)</f>
        <v>3.3195344320276501</v>
      </c>
      <c r="R73" s="39"/>
      <c r="S73" s="39"/>
      <c r="T73" s="44">
        <v>250.19</v>
      </c>
      <c r="U73" s="44">
        <v>640.52</v>
      </c>
      <c r="V73" s="44">
        <v>1014.59</v>
      </c>
      <c r="W73" s="44">
        <v>652.41999999999996</v>
      </c>
      <c r="X73" s="44">
        <v>211.18</v>
      </c>
      <c r="Y73" s="44">
        <v>729.47</v>
      </c>
      <c r="Z73" s="44">
        <v>946.34</v>
      </c>
      <c r="AA73" s="44">
        <f t="shared" si="6"/>
        <v>1675.81</v>
      </c>
      <c r="AB73" s="44">
        <v>2052.3200000000002</v>
      </c>
      <c r="AC73" s="44">
        <v>331.16</v>
      </c>
      <c r="AD73" s="44">
        <f t="shared" si="7"/>
        <v>2383.48</v>
      </c>
      <c r="AE73" s="44">
        <v>1976.24</v>
      </c>
      <c r="AF73" s="44">
        <v>1370.17</v>
      </c>
      <c r="AG73" s="44">
        <v>113.42</v>
      </c>
      <c r="AH73" s="39">
        <v>109.908902</v>
      </c>
      <c r="AI73" s="39">
        <v>0.65645799999999999</v>
      </c>
      <c r="AJ73" s="39">
        <v>635.40595399999995</v>
      </c>
      <c r="AK73" s="39">
        <v>169.49100000000001</v>
      </c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</row>
    <row r="74" spans="1:68" x14ac:dyDescent="0.25">
      <c r="A74" s="38" t="s">
        <v>117</v>
      </c>
      <c r="B74" s="28">
        <v>2020</v>
      </c>
      <c r="C74" s="39">
        <v>2404.7065769999999</v>
      </c>
      <c r="D74" s="39">
        <v>157.069873</v>
      </c>
      <c r="E74" s="39">
        <v>1.8100769999999999</v>
      </c>
      <c r="F74" s="39"/>
      <c r="G74" s="40">
        <v>31</v>
      </c>
      <c r="H74" s="40"/>
      <c r="I74" s="40"/>
      <c r="J74" s="40"/>
      <c r="K74" s="40"/>
      <c r="L74" s="40"/>
      <c r="M74" s="41" t="s">
        <v>115</v>
      </c>
      <c r="N74" s="42">
        <f t="shared" si="8"/>
        <v>2020</v>
      </c>
      <c r="O74" s="43">
        <f>(C76+15/31)+(C77*15/30)</f>
        <v>2065.2652984677416</v>
      </c>
      <c r="P74" s="43">
        <f>(D76+15/31)+(D77*15/30)</f>
        <v>161.66656396774195</v>
      </c>
      <c r="Q74" s="43">
        <f>(E76+15/31)+(E77*15/30)</f>
        <v>6.8846534677419351</v>
      </c>
      <c r="R74" s="39"/>
      <c r="S74" s="39"/>
      <c r="T74" s="44">
        <v>148.38</v>
      </c>
      <c r="U74" s="44">
        <v>227.53</v>
      </c>
      <c r="V74" s="44">
        <v>1160.97</v>
      </c>
      <c r="W74" s="44">
        <v>345.84</v>
      </c>
      <c r="X74" s="44">
        <v>99.12</v>
      </c>
      <c r="Y74" s="44">
        <v>561.88</v>
      </c>
      <c r="Z74" s="44">
        <v>776.84</v>
      </c>
      <c r="AA74" s="44">
        <f t="shared" si="6"/>
        <v>1338.72</v>
      </c>
      <c r="AB74" s="44">
        <v>1198.77</v>
      </c>
      <c r="AC74" s="44">
        <v>276.75</v>
      </c>
      <c r="AD74" s="44">
        <f t="shared" si="7"/>
        <v>1475.52</v>
      </c>
      <c r="AE74" s="44">
        <v>2320.08</v>
      </c>
      <c r="AF74" s="44">
        <v>985.35</v>
      </c>
      <c r="AG74" s="44">
        <v>290.52999999999997</v>
      </c>
      <c r="AH74" s="39">
        <v>93.671040000000005</v>
      </c>
      <c r="AI74" s="39">
        <v>0.69462800000000002</v>
      </c>
      <c r="AJ74" s="39">
        <v>296.77752500000003</v>
      </c>
      <c r="AK74" s="39">
        <v>99.593000000000004</v>
      </c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</row>
    <row r="75" spans="1:68" x14ac:dyDescent="0.25">
      <c r="A75" s="38" t="s">
        <v>112</v>
      </c>
      <c r="B75" s="28">
        <v>2020</v>
      </c>
      <c r="C75" s="39">
        <v>2267.2186040000001</v>
      </c>
      <c r="D75" s="39">
        <v>132.45451700000001</v>
      </c>
      <c r="E75" s="39">
        <v>2.384255</v>
      </c>
      <c r="F75" s="39"/>
      <c r="G75" s="40">
        <v>28</v>
      </c>
      <c r="H75" s="40"/>
      <c r="I75" s="40"/>
      <c r="J75" s="40"/>
      <c r="K75" s="40"/>
      <c r="L75" s="40"/>
      <c r="M75" s="41" t="s">
        <v>93</v>
      </c>
      <c r="N75" s="42">
        <f t="shared" si="8"/>
        <v>2020</v>
      </c>
      <c r="O75" s="43">
        <f>(C77*15/30)+(C78*16/31)</f>
        <v>1382.106531564516</v>
      </c>
      <c r="P75" s="43">
        <f>(D77*15/30)+(D78*16/31)</f>
        <v>104.1986106451613</v>
      </c>
      <c r="Q75" s="43">
        <f>(E77*15/30)+(E78*16/31)</f>
        <v>4.4407243387096775</v>
      </c>
      <c r="R75" s="39"/>
      <c r="S75" s="39"/>
      <c r="T75" s="44">
        <v>83.4</v>
      </c>
      <c r="U75" s="44">
        <v>170.35</v>
      </c>
      <c r="V75" s="44">
        <v>1278.56</v>
      </c>
      <c r="W75" s="44">
        <v>440.97</v>
      </c>
      <c r="X75" s="44">
        <v>102.28</v>
      </c>
      <c r="Y75" s="44">
        <v>389.12</v>
      </c>
      <c r="Z75" s="44">
        <v>997.52</v>
      </c>
      <c r="AA75" s="44">
        <f t="shared" si="6"/>
        <v>1386.6399999999999</v>
      </c>
      <c r="AB75" s="44">
        <v>993.3</v>
      </c>
      <c r="AC75" s="44">
        <v>307.06</v>
      </c>
      <c r="AD75" s="44">
        <f t="shared" si="7"/>
        <v>1300.3599999999999</v>
      </c>
      <c r="AE75" s="44">
        <v>2187.58</v>
      </c>
      <c r="AF75" s="44">
        <v>254.39</v>
      </c>
      <c r="AG75" s="44">
        <v>307.68</v>
      </c>
      <c r="AH75" s="39">
        <v>111.710185</v>
      </c>
      <c r="AI75" s="39">
        <v>5.2764090000000001</v>
      </c>
      <c r="AJ75" s="39">
        <v>398.40612199999998</v>
      </c>
      <c r="AK75" s="39">
        <v>108.956</v>
      </c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</row>
    <row r="76" spans="1:68" x14ac:dyDescent="0.25">
      <c r="A76" s="38" t="s">
        <v>114</v>
      </c>
      <c r="B76" s="28">
        <v>2020</v>
      </c>
      <c r="C76" s="39">
        <v>1487.6582739999999</v>
      </c>
      <c r="D76" s="39">
        <v>116.85661500000001</v>
      </c>
      <c r="E76" s="39">
        <v>3.9568690000000002</v>
      </c>
      <c r="F76" s="39"/>
      <c r="G76" s="40">
        <v>31</v>
      </c>
      <c r="H76" s="40"/>
      <c r="I76" s="40"/>
      <c r="J76" s="40"/>
      <c r="K76" s="40"/>
      <c r="L76" s="40"/>
      <c r="M76" s="41" t="s">
        <v>95</v>
      </c>
      <c r="N76" s="42">
        <f t="shared" si="8"/>
        <v>2020</v>
      </c>
      <c r="O76" s="43">
        <f>(C78*15/31)+(C79*15/30)</f>
        <v>1677.5751854354839</v>
      </c>
      <c r="P76" s="43">
        <f>(D78*15/31)+(D79*15/30)</f>
        <v>125.91202185483871</v>
      </c>
      <c r="Q76" s="43">
        <f>(E78*15/31)+(E79*15/30)</f>
        <v>3.4486966612903229</v>
      </c>
      <c r="R76" s="19"/>
      <c r="S76" s="19"/>
      <c r="T76" s="44">
        <v>81.680000000000007</v>
      </c>
      <c r="U76" s="44">
        <v>188.35</v>
      </c>
      <c r="V76" s="44">
        <v>1402.33</v>
      </c>
      <c r="W76" s="44">
        <v>416.49</v>
      </c>
      <c r="X76" s="44">
        <v>137.69999999999999</v>
      </c>
      <c r="Y76" s="44">
        <v>385.12</v>
      </c>
      <c r="Z76" s="44">
        <v>894.23</v>
      </c>
      <c r="AA76" s="44">
        <f t="shared" si="6"/>
        <v>1279.3499999999999</v>
      </c>
      <c r="AB76" s="44">
        <v>1320.18</v>
      </c>
      <c r="AC76" s="44">
        <v>418.71</v>
      </c>
      <c r="AD76" s="44">
        <f t="shared" si="7"/>
        <v>1738.89</v>
      </c>
      <c r="AE76" s="44">
        <v>2091.9899999999998</v>
      </c>
      <c r="AF76" s="44">
        <v>774.61</v>
      </c>
      <c r="AG76" s="44">
        <v>193.39</v>
      </c>
      <c r="AH76" s="39">
        <v>63.793044000000002</v>
      </c>
      <c r="AI76" s="39">
        <v>5.2410069999999997</v>
      </c>
      <c r="AJ76" s="39">
        <v>635.715103</v>
      </c>
      <c r="AK76" s="39">
        <v>137.46799999999999</v>
      </c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</row>
    <row r="77" spans="1:68" x14ac:dyDescent="0.25">
      <c r="A77" s="38" t="s">
        <v>92</v>
      </c>
      <c r="B77" s="28">
        <v>2020</v>
      </c>
      <c r="C77" s="39">
        <v>1154.2463069999999</v>
      </c>
      <c r="D77" s="39">
        <v>88.652156000000005</v>
      </c>
      <c r="E77" s="39">
        <v>4.8878269999999997</v>
      </c>
      <c r="F77" s="39"/>
      <c r="G77" s="40">
        <v>30</v>
      </c>
      <c r="H77" s="40"/>
      <c r="I77" s="40"/>
      <c r="J77" s="40"/>
      <c r="K77" s="40"/>
      <c r="L77" s="40"/>
      <c r="M77" s="41" t="s">
        <v>97</v>
      </c>
      <c r="N77" s="42">
        <f t="shared" si="8"/>
        <v>2020</v>
      </c>
      <c r="O77" s="43">
        <f>(C79*15/30)+(C80*16/31)</f>
        <v>2025.0963348225805</v>
      </c>
      <c r="P77" s="43">
        <f>(D79*15/30)+(D80*16/31)</f>
        <v>148.91654237096776</v>
      </c>
      <c r="Q77" s="43">
        <f>(E79*15/30)+(E80*16/31)</f>
        <v>3.0310297258064516</v>
      </c>
      <c r="R77" s="19"/>
      <c r="S77" s="19"/>
      <c r="T77" s="44">
        <v>109.82</v>
      </c>
      <c r="U77" s="44">
        <v>294.89999999999998</v>
      </c>
      <c r="V77" s="44">
        <v>1353.36</v>
      </c>
      <c r="W77" s="44">
        <v>209.23</v>
      </c>
      <c r="X77" s="44">
        <v>36.64</v>
      </c>
      <c r="Y77" s="44">
        <v>433.36</v>
      </c>
      <c r="Z77" s="44">
        <v>1161.3900000000001</v>
      </c>
      <c r="AA77" s="44">
        <f t="shared" si="6"/>
        <v>1594.75</v>
      </c>
      <c r="AB77" s="44">
        <v>1861.52</v>
      </c>
      <c r="AC77" s="44">
        <v>441.02</v>
      </c>
      <c r="AD77" s="44">
        <f t="shared" si="7"/>
        <v>2302.54</v>
      </c>
      <c r="AE77" s="44">
        <v>2183.9</v>
      </c>
      <c r="AF77" s="44">
        <v>1146.33</v>
      </c>
      <c r="AG77" s="44">
        <v>259.38</v>
      </c>
      <c r="AH77" s="39">
        <v>63.365614000000001</v>
      </c>
      <c r="AI77" s="39">
        <v>6.2232669999999999</v>
      </c>
      <c r="AJ77" s="39">
        <v>201.398507</v>
      </c>
      <c r="AK77" s="39">
        <v>37.405999999999999</v>
      </c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</row>
    <row r="78" spans="1:68" x14ac:dyDescent="0.25">
      <c r="A78" s="38" t="s">
        <v>94</v>
      </c>
      <c r="B78" s="28">
        <v>2020</v>
      </c>
      <c r="C78" s="39">
        <v>1559.655295</v>
      </c>
      <c r="D78" s="39">
        <v>116.003032</v>
      </c>
      <c r="E78" s="39">
        <v>3.8688210000000001</v>
      </c>
      <c r="F78" s="39"/>
      <c r="G78" s="40">
        <v>31</v>
      </c>
      <c r="H78" s="40"/>
      <c r="I78" s="40"/>
      <c r="J78" s="40"/>
      <c r="K78" s="40"/>
      <c r="L78" s="40"/>
      <c r="M78" s="41" t="s">
        <v>99</v>
      </c>
      <c r="N78" s="42">
        <f t="shared" si="8"/>
        <v>2020</v>
      </c>
      <c r="O78" s="43">
        <f>(C80*15/31)+(C81*16/31)</f>
        <v>2129.024309870968</v>
      </c>
      <c r="P78" s="43">
        <f>(D80*15/31)+(D81*16/31)</f>
        <v>148.16144345161291</v>
      </c>
      <c r="Q78" s="43">
        <f>(E80*15/31)+(E81*16/31)</f>
        <v>2.3398906451612902</v>
      </c>
      <c r="R78" s="19"/>
      <c r="S78" s="19"/>
      <c r="T78" s="44">
        <v>74.739999999999995</v>
      </c>
      <c r="U78" s="44">
        <v>407.21</v>
      </c>
      <c r="V78" s="44">
        <v>1287.05</v>
      </c>
      <c r="W78" s="44">
        <v>284.56</v>
      </c>
      <c r="X78" s="44">
        <v>25.22</v>
      </c>
      <c r="Y78" s="44">
        <v>431.81</v>
      </c>
      <c r="Z78" s="44">
        <v>1142.2</v>
      </c>
      <c r="AA78" s="44">
        <f t="shared" si="6"/>
        <v>1574.01</v>
      </c>
      <c r="AB78" s="44">
        <v>1795.69</v>
      </c>
      <c r="AC78" s="44">
        <v>488.97</v>
      </c>
      <c r="AD78" s="44">
        <f t="shared" si="7"/>
        <v>2284.66</v>
      </c>
      <c r="AE78" s="44">
        <v>2272.0500000000002</v>
      </c>
      <c r="AF78" s="44">
        <v>997.45</v>
      </c>
      <c r="AG78" s="44">
        <v>179.79</v>
      </c>
      <c r="AH78" s="39">
        <v>65.025996000000006</v>
      </c>
      <c r="AI78" s="39">
        <v>6.6296189999999999</v>
      </c>
      <c r="AJ78" s="39">
        <v>184.26753099999999</v>
      </c>
      <c r="AK78" s="39">
        <v>38.450000000000003</v>
      </c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</row>
    <row r="79" spans="1:68" x14ac:dyDescent="0.25">
      <c r="A79" s="38" t="s">
        <v>96</v>
      </c>
      <c r="B79" s="28">
        <v>2020</v>
      </c>
      <c r="C79" s="39">
        <v>1845.8065369999999</v>
      </c>
      <c r="D79" s="39">
        <v>139.56304499999999</v>
      </c>
      <c r="E79" s="39">
        <v>3.1533730000000002</v>
      </c>
      <c r="F79" s="39"/>
      <c r="G79" s="40">
        <v>30</v>
      </c>
      <c r="H79" s="40"/>
      <c r="I79" s="40"/>
      <c r="J79" s="40"/>
      <c r="K79" s="40"/>
      <c r="L79" s="40"/>
      <c r="M79" s="41" t="s">
        <v>101</v>
      </c>
      <c r="N79" s="42">
        <f t="shared" si="8"/>
        <v>2020</v>
      </c>
      <c r="O79" s="43">
        <f>(C81*15/31)+(C82*15/30)</f>
        <v>2101.3380123064517</v>
      </c>
      <c r="P79" s="43">
        <f>(D81*15/31)+(D82*15/30)</f>
        <v>147.38518817741934</v>
      </c>
      <c r="Q79" s="43">
        <f>(E81*15/31)+(E82*15/30)</f>
        <v>4.1974196290322583</v>
      </c>
      <c r="R79" s="19"/>
      <c r="S79" s="19"/>
      <c r="T79" s="44">
        <v>108.05</v>
      </c>
      <c r="U79" s="44">
        <v>395.09</v>
      </c>
      <c r="V79" s="44">
        <v>1269.8800000000001</v>
      </c>
      <c r="W79" s="44">
        <v>353.75</v>
      </c>
      <c r="X79" s="44">
        <v>51.48</v>
      </c>
      <c r="Y79" s="44">
        <v>452.55</v>
      </c>
      <c r="Z79" s="44">
        <v>1191.32</v>
      </c>
      <c r="AA79" s="44">
        <f t="shared" si="6"/>
        <v>1643.87</v>
      </c>
      <c r="AB79" s="44">
        <v>1770.19</v>
      </c>
      <c r="AC79" s="44">
        <v>657.08</v>
      </c>
      <c r="AD79" s="44">
        <f t="shared" si="7"/>
        <v>2427.27</v>
      </c>
      <c r="AE79" s="44">
        <v>2116.38</v>
      </c>
      <c r="AF79" s="44">
        <v>890.75</v>
      </c>
      <c r="AG79" s="44">
        <v>115.57</v>
      </c>
      <c r="AH79" s="39">
        <v>101.972477</v>
      </c>
      <c r="AI79" s="39">
        <v>4.748729</v>
      </c>
      <c r="AJ79" s="39">
        <v>486.109531</v>
      </c>
      <c r="AK79" s="39">
        <v>67.760999999999996</v>
      </c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</row>
    <row r="80" spans="1:68" x14ac:dyDescent="0.25">
      <c r="A80" s="38" t="s">
        <v>98</v>
      </c>
      <c r="B80" s="28">
        <v>2020</v>
      </c>
      <c r="C80" s="39">
        <v>2135.4990659999999</v>
      </c>
      <c r="D80" s="39">
        <v>153.32410100000001</v>
      </c>
      <c r="E80" s="39">
        <v>2.81779</v>
      </c>
      <c r="F80" s="39"/>
      <c r="G80" s="40">
        <v>31</v>
      </c>
      <c r="H80" s="40"/>
      <c r="I80" s="40"/>
      <c r="J80" s="40"/>
      <c r="K80" s="40"/>
      <c r="L80" s="40"/>
      <c r="M80" s="41" t="s">
        <v>103</v>
      </c>
      <c r="N80" s="42">
        <f t="shared" si="8"/>
        <v>2020</v>
      </c>
      <c r="O80" s="43">
        <f>(C82*15/30)+(C83*16/31)</f>
        <v>2191.5843117258064</v>
      </c>
      <c r="P80" s="43">
        <f>(D82*15/30)+(D83*16/31)</f>
        <v>138.11055011290321</v>
      </c>
      <c r="Q80" s="43">
        <f>(E82*15/30)+(E83*16/31)</f>
        <v>5.2015446612903222</v>
      </c>
      <c r="R80" s="19"/>
      <c r="S80" s="19"/>
      <c r="T80" s="44">
        <v>114.52</v>
      </c>
      <c r="U80" s="44">
        <v>373.27</v>
      </c>
      <c r="V80" s="44">
        <v>1466.16</v>
      </c>
      <c r="W80" s="44">
        <v>654.57000000000005</v>
      </c>
      <c r="X80" s="44">
        <v>91.06</v>
      </c>
      <c r="Y80" s="44">
        <v>535.99</v>
      </c>
      <c r="Z80" s="44">
        <v>1097.06</v>
      </c>
      <c r="AA80" s="44">
        <f t="shared" si="6"/>
        <v>1633.05</v>
      </c>
      <c r="AB80" s="44">
        <v>1807.76</v>
      </c>
      <c r="AC80" s="44">
        <v>486.6</v>
      </c>
      <c r="AD80" s="44">
        <f t="shared" si="7"/>
        <v>2294.36</v>
      </c>
      <c r="AE80" s="44">
        <v>2179.91</v>
      </c>
      <c r="AF80" s="44">
        <v>989.39</v>
      </c>
      <c r="AG80" s="44">
        <v>133.1</v>
      </c>
      <c r="AH80" s="39">
        <v>83.049475000000001</v>
      </c>
      <c r="AI80" s="39">
        <v>1.167316</v>
      </c>
      <c r="AJ80" s="39">
        <v>450.55882400000002</v>
      </c>
      <c r="AK80" s="39">
        <v>97.132999999999996</v>
      </c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</row>
    <row r="81" spans="1:68" x14ac:dyDescent="0.25">
      <c r="A81" s="38" t="s">
        <v>100</v>
      </c>
      <c r="B81" s="28">
        <v>2020</v>
      </c>
      <c r="C81" s="39">
        <v>2122.9542259999998</v>
      </c>
      <c r="D81" s="39">
        <v>143.32145199999999</v>
      </c>
      <c r="E81" s="39">
        <v>1.8918600000000001</v>
      </c>
      <c r="F81" s="39"/>
      <c r="G81" s="40">
        <v>31</v>
      </c>
      <c r="H81" s="40"/>
      <c r="I81" s="40"/>
      <c r="J81" s="40"/>
      <c r="K81" s="40"/>
      <c r="L81" s="40"/>
      <c r="M81" s="41" t="s">
        <v>105</v>
      </c>
      <c r="N81" s="42">
        <f t="shared" si="8"/>
        <v>2020</v>
      </c>
      <c r="O81" s="43">
        <f>(C83*15/31)+(C84*15/30)</f>
        <v>2085.2318097741936</v>
      </c>
      <c r="P81" s="43">
        <f>(D83*15/31)+(D84*15/30)</f>
        <v>118.15654938709677</v>
      </c>
      <c r="Q81" s="43">
        <f>(E83*15/31)+(E84*15/30)</f>
        <v>2.4951873387096772</v>
      </c>
      <c r="R81" s="19"/>
      <c r="S81" s="19"/>
      <c r="T81" s="44">
        <v>74.58</v>
      </c>
      <c r="U81" s="44">
        <v>344.28</v>
      </c>
      <c r="V81" s="44">
        <v>1345.63</v>
      </c>
      <c r="W81" s="44">
        <v>287.61</v>
      </c>
      <c r="X81" s="44">
        <v>72.8</v>
      </c>
      <c r="Y81" s="44">
        <v>439.24</v>
      </c>
      <c r="Z81" s="44">
        <v>1036.5899999999999</v>
      </c>
      <c r="AA81" s="44">
        <f t="shared" si="6"/>
        <v>1475.83</v>
      </c>
      <c r="AB81" s="44">
        <v>1816.9</v>
      </c>
      <c r="AC81" s="44">
        <v>390.51</v>
      </c>
      <c r="AD81" s="44">
        <f t="shared" si="7"/>
        <v>2207.41</v>
      </c>
      <c r="AE81" s="44">
        <v>2033.62</v>
      </c>
      <c r="AF81" s="44">
        <v>943.16</v>
      </c>
      <c r="AG81" s="44">
        <v>200.96</v>
      </c>
      <c r="AH81" s="39">
        <v>97.829188000000002</v>
      </c>
      <c r="AI81" s="39">
        <v>10.908312</v>
      </c>
      <c r="AJ81" s="39">
        <v>615.58143299999995</v>
      </c>
      <c r="AK81" s="39">
        <v>86.387</v>
      </c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</row>
    <row r="82" spans="1:68" x14ac:dyDescent="0.25">
      <c r="A82" s="38" t="s">
        <v>102</v>
      </c>
      <c r="B82" s="28">
        <v>2020</v>
      </c>
      <c r="C82" s="39">
        <v>2148.204193</v>
      </c>
      <c r="D82" s="39">
        <v>156.07219699999999</v>
      </c>
      <c r="E82" s="39">
        <v>6.5640070000000001</v>
      </c>
      <c r="F82" s="39"/>
      <c r="G82" s="40">
        <v>30</v>
      </c>
      <c r="H82" s="40"/>
      <c r="I82" s="40"/>
      <c r="J82" s="40"/>
      <c r="K82" s="40"/>
      <c r="L82" s="40"/>
      <c r="M82" s="41" t="s">
        <v>107</v>
      </c>
      <c r="N82" s="42">
        <f t="shared" si="8"/>
        <v>2020</v>
      </c>
      <c r="O82" s="43">
        <f>(C84*15/30)+C85</f>
        <v>2063.8871829999998</v>
      </c>
      <c r="P82" s="43">
        <f>(D84*15/30)+D85</f>
        <v>127.70929799999999</v>
      </c>
      <c r="Q82" s="43">
        <f>(E84*15/30)+E85</f>
        <v>1.3848574999999999</v>
      </c>
      <c r="R82" s="19"/>
      <c r="S82" s="19"/>
      <c r="T82" s="44">
        <v>100.09</v>
      </c>
      <c r="U82" s="44">
        <v>304.74</v>
      </c>
      <c r="V82" s="44">
        <v>1267.27</v>
      </c>
      <c r="W82" s="44">
        <v>385.64</v>
      </c>
      <c r="X82" s="44">
        <v>84.45</v>
      </c>
      <c r="Y82" s="44">
        <v>508.3</v>
      </c>
      <c r="Z82" s="44">
        <v>1116.52</v>
      </c>
      <c r="AA82" s="44">
        <f t="shared" si="6"/>
        <v>1624.82</v>
      </c>
      <c r="AB82" s="44">
        <v>1731.7</v>
      </c>
      <c r="AC82" s="44">
        <v>284.39999999999998</v>
      </c>
      <c r="AD82" s="44">
        <f t="shared" si="7"/>
        <v>2016.1</v>
      </c>
      <c r="AE82" s="44">
        <v>2125.36</v>
      </c>
      <c r="AF82" s="44">
        <v>957.45</v>
      </c>
      <c r="AG82" s="44">
        <v>168.41</v>
      </c>
      <c r="AH82" s="39">
        <v>99.879107000000005</v>
      </c>
      <c r="AI82" s="39">
        <v>9.0736640000000008</v>
      </c>
      <c r="AJ82" s="39">
        <v>412.45792599999999</v>
      </c>
      <c r="AK82" s="39">
        <v>161.34800000000001</v>
      </c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</row>
    <row r="83" spans="1:68" x14ac:dyDescent="0.25">
      <c r="A83" s="38" t="s">
        <v>118</v>
      </c>
      <c r="B83" s="28">
        <v>2020</v>
      </c>
      <c r="C83" s="39">
        <v>2165.1217919999999</v>
      </c>
      <c r="D83" s="39">
        <v>116.39425</v>
      </c>
      <c r="E83" s="39">
        <v>3.7191109999999998</v>
      </c>
      <c r="F83" s="39"/>
      <c r="G83" s="40">
        <v>31</v>
      </c>
      <c r="H83" s="40"/>
      <c r="I83" s="40"/>
      <c r="J83" s="40"/>
      <c r="K83" s="40"/>
      <c r="L83" s="40"/>
      <c r="M83" s="41" t="s">
        <v>109</v>
      </c>
      <c r="N83" s="42">
        <f>N82+1</f>
        <v>2021</v>
      </c>
      <c r="O83" s="43">
        <f>C86+(C87*16/31)</f>
        <v>1635.2434156451613</v>
      </c>
      <c r="P83" s="43">
        <f>D86+(D87*16/31)</f>
        <v>99.064472096774196</v>
      </c>
      <c r="Q83" s="43">
        <f>E86+(E87*16/31)</f>
        <v>2.7686267741935486</v>
      </c>
      <c r="R83" s="19"/>
      <c r="S83" s="19"/>
      <c r="T83" s="44">
        <v>78.16</v>
      </c>
      <c r="U83" s="44">
        <v>254.14</v>
      </c>
      <c r="V83" s="44">
        <v>1351.67</v>
      </c>
      <c r="W83" s="44">
        <v>523.4</v>
      </c>
      <c r="X83" s="44">
        <v>109.94</v>
      </c>
      <c r="Y83" s="44">
        <v>498.64</v>
      </c>
      <c r="Z83" s="44">
        <v>923.09</v>
      </c>
      <c r="AA83" s="44">
        <f t="shared" si="6"/>
        <v>1421.73</v>
      </c>
      <c r="AB83" s="44">
        <v>1449.29</v>
      </c>
      <c r="AC83" s="44">
        <v>309.99</v>
      </c>
      <c r="AD83" s="44">
        <f t="shared" si="7"/>
        <v>1759.28</v>
      </c>
      <c r="AE83" s="44">
        <v>2167.75</v>
      </c>
      <c r="AF83" s="44">
        <v>741.59</v>
      </c>
      <c r="AG83" s="44">
        <v>95.74</v>
      </c>
      <c r="AH83" s="39">
        <v>51.577052000000002</v>
      </c>
      <c r="AI83" s="39">
        <v>20.252323000000001</v>
      </c>
      <c r="AJ83" s="39">
        <v>334.973252</v>
      </c>
      <c r="AK83" s="39">
        <v>101.86499999999999</v>
      </c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</row>
    <row r="84" spans="1:68" x14ac:dyDescent="0.25">
      <c r="A84" s="38" t="s">
        <v>106</v>
      </c>
      <c r="B84" s="28">
        <v>2020</v>
      </c>
      <c r="C84" s="39">
        <v>2075.1844660000002</v>
      </c>
      <c r="D84" s="39">
        <v>123.673502</v>
      </c>
      <c r="E84" s="39">
        <v>1.391235</v>
      </c>
      <c r="F84" s="39"/>
      <c r="G84" s="40">
        <v>30</v>
      </c>
      <c r="H84" s="40"/>
      <c r="I84" s="40"/>
      <c r="J84" s="40"/>
      <c r="K84" s="40"/>
      <c r="L84" s="40"/>
      <c r="M84" s="41" t="s">
        <v>111</v>
      </c>
      <c r="N84" s="42">
        <f>N83</f>
        <v>2021</v>
      </c>
      <c r="O84" s="43">
        <f>(C87*15/31)+(C88*13/28)</f>
        <v>1759.5936249976958</v>
      </c>
      <c r="P84" s="43">
        <f>(D87*15/31)+(D88*13/28)</f>
        <v>103.09795804608294</v>
      </c>
      <c r="Q84" s="43">
        <f>(E87*15/31)+(E88*13/28)</f>
        <v>3.1173812258064517</v>
      </c>
      <c r="R84" s="19"/>
      <c r="S84" s="19"/>
      <c r="T84" s="44">
        <v>72.569999999999993</v>
      </c>
      <c r="U84" s="44">
        <v>215.03</v>
      </c>
      <c r="V84" s="44">
        <v>1262.6199999999999</v>
      </c>
      <c r="W84" s="44">
        <v>314.94</v>
      </c>
      <c r="X84" s="44">
        <v>90.12</v>
      </c>
      <c r="Y84" s="44">
        <v>417.23</v>
      </c>
      <c r="Z84" s="44">
        <v>626.32000000000005</v>
      </c>
      <c r="AA84" s="44">
        <f t="shared" si="6"/>
        <v>1043.5500000000002</v>
      </c>
      <c r="AB84" s="44">
        <v>1531.81</v>
      </c>
      <c r="AC84" s="44">
        <v>308.95</v>
      </c>
      <c r="AD84" s="44">
        <f t="shared" si="7"/>
        <v>1840.76</v>
      </c>
      <c r="AE84" s="44">
        <v>1997.04</v>
      </c>
      <c r="AF84" s="44">
        <v>992.7</v>
      </c>
      <c r="AG84" s="44">
        <v>105.27</v>
      </c>
      <c r="AH84" s="39">
        <v>40.322676000000001</v>
      </c>
      <c r="AI84" s="39">
        <v>14.333964</v>
      </c>
      <c r="AJ84" s="39">
        <v>284.48691300000002</v>
      </c>
      <c r="AK84" s="39">
        <v>98.212000000000003</v>
      </c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</row>
    <row r="85" spans="1:68" x14ac:dyDescent="0.25">
      <c r="A85" s="38" t="s">
        <v>107</v>
      </c>
      <c r="B85" s="28">
        <v>2020</v>
      </c>
      <c r="C85" s="39">
        <v>1026.29495</v>
      </c>
      <c r="D85" s="39">
        <v>65.872546999999997</v>
      </c>
      <c r="E85" s="39">
        <v>0.68923999999999996</v>
      </c>
      <c r="F85" s="39"/>
      <c r="G85" s="40">
        <v>16</v>
      </c>
      <c r="H85" s="40"/>
      <c r="I85" s="40"/>
      <c r="J85" s="40"/>
      <c r="K85" s="40"/>
      <c r="L85" s="40"/>
      <c r="M85" s="41" t="s">
        <v>113</v>
      </c>
      <c r="N85" s="42">
        <f t="shared" ref="N85:N94" si="9">N84</f>
        <v>2021</v>
      </c>
      <c r="O85" s="43">
        <f>(C88*15/28)+(C89*16/31)</f>
        <v>2094.8406641635947</v>
      </c>
      <c r="P85" s="43">
        <f>(D88*15/28)+(D89*16/31)</f>
        <v>126.23170350230414</v>
      </c>
      <c r="Q85" s="43">
        <f>(E88*15/28)+(E89*16/31)</f>
        <v>3.4140641612903226</v>
      </c>
      <c r="R85" s="39"/>
      <c r="S85" s="39"/>
      <c r="T85" s="44">
        <v>96.7</v>
      </c>
      <c r="U85" s="44">
        <v>259.24</v>
      </c>
      <c r="V85" s="44">
        <v>1164.75</v>
      </c>
      <c r="W85" s="44">
        <v>376.17</v>
      </c>
      <c r="X85" s="44">
        <v>153.22</v>
      </c>
      <c r="Y85" s="44">
        <v>405.79</v>
      </c>
      <c r="Z85" s="44">
        <v>789.34</v>
      </c>
      <c r="AA85" s="44">
        <f t="shared" si="6"/>
        <v>1195.1300000000001</v>
      </c>
      <c r="AB85" s="44">
        <v>1584.55</v>
      </c>
      <c r="AC85" s="44">
        <v>362.81</v>
      </c>
      <c r="AD85" s="44">
        <f t="shared" si="7"/>
        <v>1947.36</v>
      </c>
      <c r="AE85" s="44">
        <v>1673.49</v>
      </c>
      <c r="AF85" s="44">
        <v>794.22</v>
      </c>
      <c r="AG85" s="44">
        <v>99.26</v>
      </c>
      <c r="AH85" s="39">
        <v>74.070249000000004</v>
      </c>
      <c r="AI85" s="39">
        <v>30.888781999999999</v>
      </c>
      <c r="AJ85" s="39">
        <v>386.594921</v>
      </c>
      <c r="AK85" s="39">
        <v>70.197999999999993</v>
      </c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</row>
    <row r="86" spans="1:68" x14ac:dyDescent="0.25">
      <c r="A86" s="38" t="s">
        <v>109</v>
      </c>
      <c r="B86" s="28">
        <v>2021</v>
      </c>
      <c r="C86" s="39">
        <v>694.09405100000004</v>
      </c>
      <c r="D86" s="39">
        <v>44.142581</v>
      </c>
      <c r="E86" s="39">
        <v>1.0733220000000001</v>
      </c>
      <c r="F86" s="39">
        <v>0</v>
      </c>
      <c r="G86" s="40">
        <v>15</v>
      </c>
      <c r="H86" s="40"/>
      <c r="I86" s="40"/>
      <c r="J86" s="40"/>
      <c r="K86" s="40"/>
      <c r="L86" s="40"/>
      <c r="M86" s="41" t="s">
        <v>115</v>
      </c>
      <c r="N86" s="42">
        <f t="shared" si="9"/>
        <v>2021</v>
      </c>
      <c r="O86" s="43">
        <f>(C89+15/31)+(C90*15/30)</f>
        <v>3213.5011124677421</v>
      </c>
      <c r="P86" s="43">
        <f>(D89+15/31)+(D90*15/30)</f>
        <v>184.3525429677419</v>
      </c>
      <c r="Q86" s="43">
        <f>(E89+15/31)+(E90*15/30)</f>
        <v>5.0333064677419355</v>
      </c>
      <c r="R86" s="45">
        <f>(F89+15/31)+(F90*15/30)</f>
        <v>0.4838709677419355</v>
      </c>
      <c r="S86" s="45"/>
      <c r="T86" s="44">
        <v>89.18</v>
      </c>
      <c r="U86" s="44">
        <v>261.74</v>
      </c>
      <c r="V86" s="44">
        <v>1230.1099999999999</v>
      </c>
      <c r="W86" s="44">
        <v>401.51</v>
      </c>
      <c r="X86" s="44">
        <v>46.58</v>
      </c>
      <c r="Y86" s="44">
        <v>451.69</v>
      </c>
      <c r="Z86" s="44">
        <v>1026.2</v>
      </c>
      <c r="AA86" s="44">
        <f t="shared" si="6"/>
        <v>1477.89</v>
      </c>
      <c r="AB86" s="44">
        <v>1749.74</v>
      </c>
      <c r="AC86" s="44">
        <v>452.11</v>
      </c>
      <c r="AD86" s="44">
        <f t="shared" si="7"/>
        <v>2201.85</v>
      </c>
      <c r="AE86" s="44">
        <v>1582.89</v>
      </c>
      <c r="AF86" s="44">
        <v>976.55</v>
      </c>
      <c r="AG86" s="44">
        <v>112.27</v>
      </c>
      <c r="AH86" s="39">
        <v>69.198136000000005</v>
      </c>
      <c r="AI86" s="39">
        <v>31.778126</v>
      </c>
      <c r="AJ86" s="39">
        <v>360.53565200000003</v>
      </c>
      <c r="AK86" s="39">
        <v>44.101999999999997</v>
      </c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</row>
    <row r="87" spans="1:68" x14ac:dyDescent="0.25">
      <c r="A87" s="38" t="s">
        <v>117</v>
      </c>
      <c r="B87" s="28">
        <v>2021</v>
      </c>
      <c r="C87" s="39">
        <v>1823.4768939999999</v>
      </c>
      <c r="D87" s="39">
        <v>106.411164</v>
      </c>
      <c r="E87" s="39">
        <v>3.284653</v>
      </c>
      <c r="F87" s="39">
        <v>0</v>
      </c>
      <c r="G87" s="40">
        <v>31</v>
      </c>
      <c r="H87" s="40"/>
      <c r="I87" s="40"/>
      <c r="J87" s="40"/>
      <c r="K87" s="40"/>
      <c r="L87" s="40"/>
      <c r="M87" s="41" t="s">
        <v>93</v>
      </c>
      <c r="N87" s="42">
        <f t="shared" si="9"/>
        <v>2021</v>
      </c>
      <c r="O87" s="43">
        <f>(C90*15/30)+(C91*16/31)</f>
        <v>2306.064523951613</v>
      </c>
      <c r="P87" s="43">
        <f>(D90*15/30)+(D91*16/31)</f>
        <v>102.21314283870967</v>
      </c>
      <c r="Q87" s="43">
        <f>(E90*15/30)+(E91*16/31)</f>
        <v>3.345961758064516</v>
      </c>
      <c r="R87" s="45">
        <f>(F90*15/30)+(F91*16/31)</f>
        <v>0</v>
      </c>
      <c r="S87" s="45"/>
      <c r="T87" s="44">
        <v>105.42</v>
      </c>
      <c r="U87" s="44">
        <v>273.14999999999998</v>
      </c>
      <c r="V87" s="44">
        <v>1176.7</v>
      </c>
      <c r="W87" s="44">
        <v>340.94</v>
      </c>
      <c r="X87" s="44">
        <v>122.05</v>
      </c>
      <c r="Y87" s="44">
        <v>487.68</v>
      </c>
      <c r="Z87" s="44">
        <v>1126.9100000000001</v>
      </c>
      <c r="AA87" s="44">
        <f t="shared" si="6"/>
        <v>1614.5900000000001</v>
      </c>
      <c r="AB87" s="44">
        <v>1878.1</v>
      </c>
      <c r="AC87" s="44">
        <v>404.66</v>
      </c>
      <c r="AD87" s="44">
        <f t="shared" si="7"/>
        <v>2282.7599999999998</v>
      </c>
      <c r="AE87" s="44">
        <v>1580.74</v>
      </c>
      <c r="AF87" s="44">
        <v>1124.8599999999999</v>
      </c>
      <c r="AG87" s="44">
        <v>164.58</v>
      </c>
      <c r="AH87" s="39">
        <v>66.678251000000003</v>
      </c>
      <c r="AI87" s="39">
        <v>25.378582999999999</v>
      </c>
      <c r="AJ87" s="39">
        <v>495.34614299999998</v>
      </c>
      <c r="AK87" s="39">
        <v>117.21299999999999</v>
      </c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</row>
    <row r="88" spans="1:68" x14ac:dyDescent="0.25">
      <c r="A88" s="38" t="s">
        <v>112</v>
      </c>
      <c r="B88" s="28">
        <v>2021</v>
      </c>
      <c r="C88" s="39">
        <v>1889.496206</v>
      </c>
      <c r="D88" s="39">
        <v>111.157168</v>
      </c>
      <c r="E88" s="39">
        <v>3.2911480000000002</v>
      </c>
      <c r="F88" s="39">
        <v>0</v>
      </c>
      <c r="G88" s="40">
        <v>28</v>
      </c>
      <c r="H88" s="40"/>
      <c r="I88" s="40"/>
      <c r="J88" s="40"/>
      <c r="K88" s="40"/>
      <c r="L88" s="40"/>
      <c r="M88" s="41" t="s">
        <v>95</v>
      </c>
      <c r="N88" s="42">
        <f t="shared" si="9"/>
        <v>2021</v>
      </c>
      <c r="O88" s="43">
        <f>(C91*15/31)+(C92*15/30)</f>
        <v>2238.6901270483868</v>
      </c>
      <c r="P88" s="43">
        <f>(D91*15/31)+(D92*15/30)</f>
        <v>102.58085716129031</v>
      </c>
      <c r="Q88" s="43">
        <f>(E91*15/31)+(E92*15/30)</f>
        <v>4.1164327419354843</v>
      </c>
      <c r="R88" s="45">
        <f>(F91*15/31)+(F92*15/30)</f>
        <v>1.1984030000000001</v>
      </c>
      <c r="S88" s="45"/>
      <c r="T88" s="44">
        <v>108.14</v>
      </c>
      <c r="U88" s="44">
        <v>315.66000000000003</v>
      </c>
      <c r="V88" s="44">
        <v>1071.46</v>
      </c>
      <c r="W88" s="44">
        <v>147.21</v>
      </c>
      <c r="X88" s="44">
        <v>24.46</v>
      </c>
      <c r="Y88" s="44">
        <v>583.23</v>
      </c>
      <c r="Z88" s="44">
        <v>1164.25</v>
      </c>
      <c r="AA88" s="44">
        <f t="shared" si="6"/>
        <v>1747.48</v>
      </c>
      <c r="AB88" s="44">
        <v>1928.43</v>
      </c>
      <c r="AC88" s="44">
        <v>416.42</v>
      </c>
      <c r="AD88" s="44">
        <f t="shared" si="7"/>
        <v>2344.85</v>
      </c>
      <c r="AE88" s="44">
        <v>1519.8</v>
      </c>
      <c r="AF88" s="44">
        <v>1051.74</v>
      </c>
      <c r="AG88" s="44">
        <v>152.13999999999999</v>
      </c>
      <c r="AH88" s="39">
        <v>57.279007</v>
      </c>
      <c r="AI88" s="39">
        <v>20.521954999999998</v>
      </c>
      <c r="AJ88" s="39">
        <v>76.918170000000003</v>
      </c>
      <c r="AK88" s="39">
        <v>21.056999999999999</v>
      </c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</row>
    <row r="89" spans="1:68" x14ac:dyDescent="0.25">
      <c r="A89" s="38" t="s">
        <v>114</v>
      </c>
      <c r="B89" s="28">
        <v>2021</v>
      </c>
      <c r="C89" s="39">
        <v>2097.5579480000001</v>
      </c>
      <c r="D89" s="39">
        <v>129.19873999999999</v>
      </c>
      <c r="E89" s="39">
        <v>3.1987139999999998</v>
      </c>
      <c r="F89" s="39">
        <v>0</v>
      </c>
      <c r="G89" s="40">
        <v>31</v>
      </c>
      <c r="H89" s="40"/>
      <c r="I89" s="40"/>
      <c r="J89" s="40"/>
      <c r="K89" s="40"/>
      <c r="L89" s="40"/>
      <c r="M89" s="41" t="s">
        <v>97</v>
      </c>
      <c r="N89" s="42">
        <f t="shared" si="9"/>
        <v>2021</v>
      </c>
      <c r="O89" s="43">
        <f>(C92*15/30)+(C93*16/31)</f>
        <v>2324.6743309838712</v>
      </c>
      <c r="P89" s="43">
        <f>(D92*15/30)+(D93*16/31)</f>
        <v>109.96649725806452</v>
      </c>
      <c r="Q89" s="43">
        <f>(E92*15/30)+(E93*16/31)</f>
        <v>4.879336548387097</v>
      </c>
      <c r="R89" s="45">
        <f>(F92*15/30)+(F93*16/31)</f>
        <v>1.1984030000000001</v>
      </c>
      <c r="S89" s="45"/>
      <c r="T89" s="44">
        <v>170.81</v>
      </c>
      <c r="U89" s="44">
        <v>392.3</v>
      </c>
      <c r="V89" s="44">
        <v>1146.3599999999999</v>
      </c>
      <c r="W89" s="44">
        <v>426.19</v>
      </c>
      <c r="X89" s="44">
        <v>150.13999999999999</v>
      </c>
      <c r="Y89" s="44">
        <v>552.46</v>
      </c>
      <c r="Z89" s="44">
        <v>1205.6400000000001</v>
      </c>
      <c r="AA89" s="44">
        <f t="shared" si="6"/>
        <v>1758.1000000000001</v>
      </c>
      <c r="AB89" s="44">
        <v>1866.99</v>
      </c>
      <c r="AC89" s="44">
        <v>488.36</v>
      </c>
      <c r="AD89" s="44">
        <f t="shared" si="7"/>
        <v>2355.35</v>
      </c>
      <c r="AE89" s="44">
        <v>1497.06</v>
      </c>
      <c r="AF89" s="44">
        <v>1002.55</v>
      </c>
      <c r="AG89" s="44">
        <v>170.89</v>
      </c>
      <c r="AH89" s="39">
        <v>83.188306999999995</v>
      </c>
      <c r="AI89" s="39">
        <v>47.962783999999999</v>
      </c>
      <c r="AJ89" s="39">
        <v>437.31546600000001</v>
      </c>
      <c r="AK89" s="39">
        <v>166.13</v>
      </c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</row>
    <row r="90" spans="1:68" x14ac:dyDescent="0.25">
      <c r="A90" s="38" t="s">
        <v>92</v>
      </c>
      <c r="B90" s="28">
        <v>2021</v>
      </c>
      <c r="C90" s="39">
        <v>2230.9185870000001</v>
      </c>
      <c r="D90" s="39">
        <v>109.33986400000001</v>
      </c>
      <c r="E90" s="39">
        <v>2.7014429999999998</v>
      </c>
      <c r="F90" s="39">
        <v>0</v>
      </c>
      <c r="G90" s="40">
        <v>30</v>
      </c>
      <c r="H90" s="40"/>
      <c r="I90" s="40"/>
      <c r="J90" s="40"/>
      <c r="K90" s="40"/>
      <c r="L90" s="40"/>
      <c r="M90" s="41" t="s">
        <v>99</v>
      </c>
      <c r="N90" s="42">
        <f t="shared" si="9"/>
        <v>2021</v>
      </c>
      <c r="O90" s="43">
        <f>(C93*15/31)+(C94*16/31)</f>
        <v>2287.222283064516</v>
      </c>
      <c r="P90" s="43">
        <f>(D93*15/31)+(D94*16/31)</f>
        <v>109.78953267741934</v>
      </c>
      <c r="Q90" s="43">
        <f>(E93*15/31)+(E94*16/31)</f>
        <v>5.0669397096774196</v>
      </c>
      <c r="R90" s="45">
        <f>(F93*15/31)+(F94*16/31)</f>
        <v>0.44074993548387092</v>
      </c>
      <c r="S90" s="45"/>
      <c r="T90" s="44">
        <v>212.85</v>
      </c>
      <c r="U90" s="44">
        <v>545.55999999999995</v>
      </c>
      <c r="V90" s="44">
        <v>964.34</v>
      </c>
      <c r="W90" s="44">
        <v>131.15</v>
      </c>
      <c r="X90" s="44">
        <v>59.71</v>
      </c>
      <c r="Y90" s="44">
        <v>527.54</v>
      </c>
      <c r="Z90" s="44">
        <v>1103.22</v>
      </c>
      <c r="AA90" s="44">
        <f t="shared" si="6"/>
        <v>1630.76</v>
      </c>
      <c r="AB90" s="44">
        <v>1975.9</v>
      </c>
      <c r="AC90" s="44">
        <v>291.19</v>
      </c>
      <c r="AD90" s="44">
        <f t="shared" si="7"/>
        <v>2267.09</v>
      </c>
      <c r="AE90" s="44">
        <v>1615.21</v>
      </c>
      <c r="AF90" s="44">
        <v>1193.6199999999999</v>
      </c>
      <c r="AG90" s="44">
        <v>147.24</v>
      </c>
      <c r="AH90" s="39">
        <v>54.952722999999999</v>
      </c>
      <c r="AI90" s="39">
        <v>46.835374000000002</v>
      </c>
      <c r="AJ90" s="39">
        <v>259.39410400000003</v>
      </c>
      <c r="AK90" s="39">
        <v>52.45</v>
      </c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</row>
    <row r="91" spans="1:68" x14ac:dyDescent="0.25">
      <c r="A91" s="38" t="s">
        <v>94</v>
      </c>
      <c r="B91" s="28">
        <v>2021</v>
      </c>
      <c r="C91" s="39">
        <v>2306.797634</v>
      </c>
      <c r="D91" s="39">
        <v>92.114970999999997</v>
      </c>
      <c r="E91" s="39">
        <v>3.8657780000000002</v>
      </c>
      <c r="F91" s="39">
        <v>0</v>
      </c>
      <c r="G91" s="40">
        <v>31</v>
      </c>
      <c r="H91" s="40"/>
      <c r="I91" s="40"/>
      <c r="J91" s="40"/>
      <c r="K91" s="40"/>
      <c r="L91" s="40"/>
      <c r="M91" s="41" t="s">
        <v>101</v>
      </c>
      <c r="N91" s="42">
        <f t="shared" si="9"/>
        <v>2021</v>
      </c>
      <c r="O91" s="43">
        <f>(C94*15/31)+(C95*15/30)</f>
        <v>2266.2510779516128</v>
      </c>
      <c r="P91" s="43">
        <f>(D94*15/31)+(D95*15/30)</f>
        <v>101.53028856451613</v>
      </c>
      <c r="Q91" s="43">
        <f>(E94*15/31)+(E95*15/30)</f>
        <v>5.6518657419354845</v>
      </c>
      <c r="R91" s="45">
        <f>(F94*15/31)+(F95*15/30)</f>
        <v>0.865703064516129</v>
      </c>
      <c r="S91" s="45"/>
      <c r="T91" s="44">
        <v>185.88</v>
      </c>
      <c r="U91" s="44">
        <v>487.64</v>
      </c>
      <c r="V91" s="44">
        <v>826.97</v>
      </c>
      <c r="W91" s="44">
        <v>336.65</v>
      </c>
      <c r="X91" s="44">
        <v>113.29</v>
      </c>
      <c r="Y91" s="44">
        <v>525.44000000000005</v>
      </c>
      <c r="Z91" s="44">
        <v>923.36</v>
      </c>
      <c r="AA91" s="44">
        <f t="shared" si="6"/>
        <v>1448.8000000000002</v>
      </c>
      <c r="AB91" s="44">
        <v>1872.11</v>
      </c>
      <c r="AC91" s="44">
        <v>643.24</v>
      </c>
      <c r="AD91" s="44">
        <f t="shared" si="7"/>
        <v>2515.35</v>
      </c>
      <c r="AE91" s="44">
        <v>1559.2</v>
      </c>
      <c r="AF91" s="44">
        <v>1271.75</v>
      </c>
      <c r="AG91" s="44">
        <v>97.84</v>
      </c>
      <c r="AH91" s="39">
        <v>57.932366000000002</v>
      </c>
      <c r="AI91" s="39">
        <v>30.907627000000002</v>
      </c>
      <c r="AJ91" s="39">
        <v>234.40382700000001</v>
      </c>
      <c r="AK91" s="39">
        <v>113.678</v>
      </c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</row>
    <row r="92" spans="1:68" x14ac:dyDescent="0.25">
      <c r="A92" s="38" t="s">
        <v>96</v>
      </c>
      <c r="B92" s="28">
        <v>2021</v>
      </c>
      <c r="C92" s="39">
        <v>2244.9954469999998</v>
      </c>
      <c r="D92" s="39">
        <v>116.01819399999999</v>
      </c>
      <c r="E92" s="39">
        <v>4.4917899999999999</v>
      </c>
      <c r="F92" s="39">
        <v>2.3968060000000002</v>
      </c>
      <c r="G92" s="40">
        <v>30</v>
      </c>
      <c r="H92" s="40"/>
      <c r="I92" s="40"/>
      <c r="J92" s="40"/>
      <c r="K92" s="40"/>
      <c r="L92" s="40"/>
      <c r="M92" s="41" t="s">
        <v>103</v>
      </c>
      <c r="N92" s="42">
        <f t="shared" si="9"/>
        <v>2021</v>
      </c>
      <c r="O92" s="43">
        <f>(C95*15/30)+(C96*16/31)</f>
        <v>2367.5809542741936</v>
      </c>
      <c r="P92" s="43">
        <f>(D95*15/30)+(D96*16/31)</f>
        <v>85.894488854838698</v>
      </c>
      <c r="Q92" s="43">
        <f>(E95*15/30)+(E96*16/31)</f>
        <v>8.199623806451612</v>
      </c>
      <c r="R92" s="45">
        <f>(F95*15/30)+(F96*16/31)</f>
        <v>0.48525354838709678</v>
      </c>
      <c r="S92" s="45"/>
      <c r="T92" s="44">
        <v>216.69</v>
      </c>
      <c r="U92" s="44">
        <v>572.23</v>
      </c>
      <c r="V92" s="44">
        <v>881.03</v>
      </c>
      <c r="W92" s="44">
        <v>583.41</v>
      </c>
      <c r="X92" s="44">
        <v>109.96</v>
      </c>
      <c r="Y92" s="44">
        <v>542.22</v>
      </c>
      <c r="Z92" s="44">
        <v>914</v>
      </c>
      <c r="AA92" s="44">
        <f t="shared" si="6"/>
        <v>1456.22</v>
      </c>
      <c r="AB92" s="44">
        <v>1956.57</v>
      </c>
      <c r="AC92" s="44">
        <v>417.78</v>
      </c>
      <c r="AD92" s="44">
        <f t="shared" si="7"/>
        <v>2374.35</v>
      </c>
      <c r="AE92" s="44">
        <v>1477.12</v>
      </c>
      <c r="AF92" s="44">
        <v>1199.5</v>
      </c>
      <c r="AG92" s="44">
        <v>100.53</v>
      </c>
      <c r="AH92" s="39">
        <v>77.437787999999998</v>
      </c>
      <c r="AI92" s="39">
        <v>21.181484999999999</v>
      </c>
      <c r="AJ92" s="39">
        <v>332.77809400000001</v>
      </c>
      <c r="AK92" s="39">
        <v>105.44499999999999</v>
      </c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</row>
    <row r="93" spans="1:68" x14ac:dyDescent="0.25">
      <c r="A93" s="38" t="s">
        <v>98</v>
      </c>
      <c r="B93" s="28">
        <v>2021</v>
      </c>
      <c r="C93" s="39">
        <v>2329.217177</v>
      </c>
      <c r="D93" s="39">
        <v>100.667463</v>
      </c>
      <c r="E93" s="39">
        <v>5.1022930000000004</v>
      </c>
      <c r="F93" s="39">
        <v>0</v>
      </c>
      <c r="G93" s="40">
        <v>31</v>
      </c>
      <c r="H93" s="40"/>
      <c r="I93" s="40"/>
      <c r="J93" s="40"/>
      <c r="K93" s="40"/>
      <c r="L93" s="40"/>
      <c r="M93" s="41" t="s">
        <v>105</v>
      </c>
      <c r="N93" s="42">
        <f t="shared" si="9"/>
        <v>2021</v>
      </c>
      <c r="O93" s="43">
        <f>(C96*15/31)+(C97*15/30)</f>
        <v>2280.8721712258066</v>
      </c>
      <c r="P93" s="43">
        <f>(D96*15/31)+(D97*15/30)</f>
        <v>86.95984764516129</v>
      </c>
      <c r="Q93" s="43">
        <f>(E96*15/31)+(E97*15/30)</f>
        <v>9.7654046935483869</v>
      </c>
      <c r="R93" s="45">
        <f>(F96*15/31)+(F97*15/30)</f>
        <v>7.1932149516129034</v>
      </c>
      <c r="S93" s="45"/>
      <c r="T93" s="44">
        <v>263.18</v>
      </c>
      <c r="U93" s="44">
        <v>530.52</v>
      </c>
      <c r="V93" s="44">
        <v>826.52</v>
      </c>
      <c r="W93" s="44">
        <v>372.08</v>
      </c>
      <c r="X93" s="44">
        <v>81.25</v>
      </c>
      <c r="Y93" s="44">
        <v>479.73</v>
      </c>
      <c r="Z93" s="44">
        <v>1042.78</v>
      </c>
      <c r="AA93" s="44">
        <f t="shared" si="6"/>
        <v>1522.51</v>
      </c>
      <c r="AB93" s="44">
        <v>1946.17</v>
      </c>
      <c r="AC93" s="44">
        <v>402.26</v>
      </c>
      <c r="AD93" s="44">
        <f t="shared" si="7"/>
        <v>2348.4300000000003</v>
      </c>
      <c r="AE93" s="44">
        <v>1634.91</v>
      </c>
      <c r="AF93" s="44">
        <v>1171.05</v>
      </c>
      <c r="AG93" s="44">
        <v>162.24</v>
      </c>
      <c r="AH93" s="39">
        <v>55.121614999999998</v>
      </c>
      <c r="AI93" s="39">
        <v>41.990772999999997</v>
      </c>
      <c r="AJ93" s="39">
        <v>470.219022</v>
      </c>
      <c r="AK93" s="39">
        <v>68.497</v>
      </c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</row>
    <row r="94" spans="1:68" x14ac:dyDescent="0.25">
      <c r="A94" s="38" t="s">
        <v>100</v>
      </c>
      <c r="B94" s="28">
        <v>2021</v>
      </c>
      <c r="C94" s="39">
        <v>2247.8520699999999</v>
      </c>
      <c r="D94" s="39">
        <v>118.34147299999999</v>
      </c>
      <c r="E94" s="39">
        <v>5.0337959999999997</v>
      </c>
      <c r="F94" s="39">
        <v>0.85395299999999996</v>
      </c>
      <c r="G94" s="40">
        <v>31</v>
      </c>
      <c r="H94" s="40"/>
      <c r="I94" s="40"/>
      <c r="J94" s="40"/>
      <c r="K94" s="40"/>
      <c r="L94" s="40"/>
      <c r="M94" s="41" t="s">
        <v>107</v>
      </c>
      <c r="N94" s="42">
        <f t="shared" si="9"/>
        <v>2021</v>
      </c>
      <c r="O94" s="43">
        <f>(C97*15/30)+C98</f>
        <v>2206.1275450000003</v>
      </c>
      <c r="P94" s="43">
        <f>(D97*15/30)+D98</f>
        <v>95.073071999999996</v>
      </c>
      <c r="Q94" s="43">
        <f>(E97*15/30)+E98</f>
        <v>9.9924405000000007</v>
      </c>
      <c r="R94" s="45">
        <f>(F97*15/30)+F98</f>
        <v>7.1625085000000004</v>
      </c>
      <c r="S94" s="45"/>
      <c r="T94" s="44">
        <v>234.17</v>
      </c>
      <c r="U94" s="44">
        <v>715.73</v>
      </c>
      <c r="V94" s="44">
        <v>718.16</v>
      </c>
      <c r="W94" s="44">
        <v>491.45</v>
      </c>
      <c r="X94" s="44">
        <v>111.69</v>
      </c>
      <c r="Y94" s="44">
        <v>461.8</v>
      </c>
      <c r="Z94" s="44">
        <v>1089.78</v>
      </c>
      <c r="AA94" s="44">
        <f t="shared" si="6"/>
        <v>1551.58</v>
      </c>
      <c r="AB94" s="44">
        <v>1987.96</v>
      </c>
      <c r="AC94" s="44">
        <v>342.94</v>
      </c>
      <c r="AD94" s="44">
        <f t="shared" si="7"/>
        <v>2330.9</v>
      </c>
      <c r="AE94" s="44">
        <v>1610.23</v>
      </c>
      <c r="AF94" s="44">
        <v>1214.04</v>
      </c>
      <c r="AG94" s="44">
        <v>167.3</v>
      </c>
      <c r="AH94" s="39">
        <v>68.558239999999998</v>
      </c>
      <c r="AI94" s="39">
        <v>35.899557000000001</v>
      </c>
      <c r="AJ94" s="39">
        <v>624.33153100000004</v>
      </c>
      <c r="AK94" s="39">
        <v>126.46599999999999</v>
      </c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</row>
    <row r="95" spans="1:68" x14ac:dyDescent="0.25">
      <c r="A95" s="38" t="s">
        <v>102</v>
      </c>
      <c r="B95" s="28">
        <v>2021</v>
      </c>
      <c r="C95" s="39">
        <v>2357.161443</v>
      </c>
      <c r="D95" s="39">
        <v>88.536570999999995</v>
      </c>
      <c r="E95" s="39">
        <v>6.4323160000000001</v>
      </c>
      <c r="F95" s="39">
        <v>0.90500000000000003</v>
      </c>
      <c r="G95" s="40">
        <v>30</v>
      </c>
      <c r="H95" s="40"/>
      <c r="I95" s="40"/>
      <c r="J95" s="40"/>
      <c r="K95" s="40"/>
      <c r="L95" s="40"/>
      <c r="M95" s="41" t="s">
        <v>109</v>
      </c>
      <c r="N95" s="42">
        <f>N94+1</f>
        <v>2022</v>
      </c>
      <c r="O95" s="43">
        <f>C99+(C100*16/31)</f>
        <v>2033.316341419355</v>
      </c>
      <c r="P95" s="43">
        <f>D99+(D100*16/31)</f>
        <v>89.36402041935483</v>
      </c>
      <c r="Q95" s="43">
        <f>E99+(E100*16/31)</f>
        <v>8.6678984838709674</v>
      </c>
      <c r="R95" s="45">
        <f>F99+(F100*16/31)</f>
        <v>0.90078400000000003</v>
      </c>
      <c r="S95" s="45"/>
      <c r="T95" s="44">
        <v>265.60000000000002</v>
      </c>
      <c r="U95" s="44">
        <v>493.11</v>
      </c>
      <c r="V95" s="44">
        <v>846.8</v>
      </c>
      <c r="W95" s="44">
        <v>461.06</v>
      </c>
      <c r="X95" s="44">
        <v>59.14</v>
      </c>
      <c r="Y95" s="44">
        <v>552.82000000000005</v>
      </c>
      <c r="Z95" s="44">
        <v>1031.0999999999999</v>
      </c>
      <c r="AA95" s="44">
        <f t="shared" si="6"/>
        <v>1583.92</v>
      </c>
      <c r="AB95" s="44">
        <v>1591.75</v>
      </c>
      <c r="AC95" s="44">
        <v>323.19</v>
      </c>
      <c r="AD95" s="44">
        <f t="shared" si="7"/>
        <v>1914.94</v>
      </c>
      <c r="AE95" s="44">
        <v>1401.14</v>
      </c>
      <c r="AF95" s="44">
        <v>649.94000000000005</v>
      </c>
      <c r="AG95" s="44">
        <v>158.88</v>
      </c>
      <c r="AH95" s="39">
        <v>112.071045</v>
      </c>
      <c r="AI95" s="39">
        <v>39.528432000000002</v>
      </c>
      <c r="AJ95" s="39">
        <v>740.38529000000005</v>
      </c>
      <c r="AK95" s="39">
        <v>81.096999999999994</v>
      </c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</row>
    <row r="96" spans="1:68" x14ac:dyDescent="0.25">
      <c r="A96" s="38" t="s">
        <v>118</v>
      </c>
      <c r="B96" s="28">
        <v>2021</v>
      </c>
      <c r="C96" s="39">
        <v>2303.6879509999999</v>
      </c>
      <c r="D96" s="39">
        <v>80.650768999999997</v>
      </c>
      <c r="E96" s="39">
        <v>9.6554649999999995</v>
      </c>
      <c r="F96" s="39">
        <v>6.3460000000000003E-2</v>
      </c>
      <c r="G96" s="40">
        <v>31</v>
      </c>
      <c r="H96" s="40"/>
      <c r="I96" s="40"/>
      <c r="J96" s="40"/>
      <c r="K96" s="40"/>
      <c r="L96" s="40"/>
      <c r="M96" s="41" t="s">
        <v>111</v>
      </c>
      <c r="N96" s="42">
        <f>N95</f>
        <v>2022</v>
      </c>
      <c r="O96" s="43">
        <f>(C100*15/31)+(C101*13/28)</f>
        <v>2073.7732381163596</v>
      </c>
      <c r="P96" s="43">
        <f>(D100*15/31)+(D101*13/28)</f>
        <v>101.50625547350231</v>
      </c>
      <c r="Q96" s="43">
        <f>(E100*15/31)+(E101*13/28)</f>
        <v>10.506944944700461</v>
      </c>
      <c r="R96" s="45">
        <f>(F100*15/31)+(F101*13/28)</f>
        <v>0.84448499999999993</v>
      </c>
      <c r="S96" s="45"/>
      <c r="T96" s="44">
        <v>206.26</v>
      </c>
      <c r="U96" s="44">
        <v>492.51</v>
      </c>
      <c r="V96" s="44">
        <v>782.9</v>
      </c>
      <c r="W96" s="44">
        <v>425.35</v>
      </c>
      <c r="X96" s="44">
        <v>96.95</v>
      </c>
      <c r="Y96" s="44">
        <v>475.27</v>
      </c>
      <c r="Z96" s="44">
        <v>959.04</v>
      </c>
      <c r="AA96" s="44">
        <f t="shared" si="6"/>
        <v>1434.31</v>
      </c>
      <c r="AB96" s="44">
        <v>1862.54</v>
      </c>
      <c r="AC96" s="44">
        <v>309.12</v>
      </c>
      <c r="AD96" s="44">
        <f t="shared" si="7"/>
        <v>2171.66</v>
      </c>
      <c r="AE96" s="44">
        <v>1442.21</v>
      </c>
      <c r="AF96" s="44">
        <v>1140.6099999999999</v>
      </c>
      <c r="AG96" s="44">
        <v>109.58</v>
      </c>
      <c r="AH96" s="39">
        <v>79.025800000000004</v>
      </c>
      <c r="AI96" s="39">
        <v>24.021697</v>
      </c>
      <c r="AJ96" s="39">
        <v>491.11888199999999</v>
      </c>
      <c r="AK96" s="39">
        <v>95.543000000000006</v>
      </c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</row>
    <row r="97" spans="1:68" x14ac:dyDescent="0.25">
      <c r="A97" s="38" t="s">
        <v>106</v>
      </c>
      <c r="B97" s="28">
        <v>2021</v>
      </c>
      <c r="C97" s="39">
        <v>2332.3689060000002</v>
      </c>
      <c r="D97" s="39">
        <v>95.870564000000002</v>
      </c>
      <c r="E97" s="39">
        <v>10.186811000000001</v>
      </c>
      <c r="F97" s="39">
        <v>14.325017000000001</v>
      </c>
      <c r="G97" s="40">
        <v>30</v>
      </c>
      <c r="H97" s="40"/>
      <c r="I97" s="40"/>
      <c r="J97" s="40"/>
      <c r="K97" s="40"/>
      <c r="L97" s="40"/>
      <c r="M97" s="41" t="s">
        <v>113</v>
      </c>
      <c r="N97" s="42">
        <f t="shared" ref="N97:N106" si="10">N96</f>
        <v>2022</v>
      </c>
      <c r="O97" s="43">
        <f>(C101*15/28)+(C102*16/31)</f>
        <v>2386.034535109447</v>
      </c>
      <c r="P97" s="43">
        <f>(D101*15/28)+(D102*16/31)</f>
        <v>126.18882036520738</v>
      </c>
      <c r="Q97" s="43">
        <f>(E101*15/28)+(E102*16/31)</f>
        <v>15.088164216589862</v>
      </c>
      <c r="R97" s="45">
        <f>(F101*15/28)+(F102*16/31)</f>
        <v>2.5798544516129032</v>
      </c>
      <c r="S97" s="45"/>
      <c r="T97" s="44">
        <v>230.05</v>
      </c>
      <c r="U97" s="44">
        <v>635.87</v>
      </c>
      <c r="V97" s="44">
        <v>584.87</v>
      </c>
      <c r="W97" s="44">
        <v>356.95</v>
      </c>
      <c r="X97" s="44">
        <v>70.81</v>
      </c>
      <c r="Y97" s="44">
        <v>527.30999999999995</v>
      </c>
      <c r="Z97" s="44">
        <v>1100.32</v>
      </c>
      <c r="AA97" s="44">
        <f t="shared" si="6"/>
        <v>1627.6299999999999</v>
      </c>
      <c r="AB97" s="44">
        <v>1939.11</v>
      </c>
      <c r="AC97" s="44">
        <v>300</v>
      </c>
      <c r="AD97" s="44">
        <f t="shared" si="7"/>
        <v>2239.1099999999997</v>
      </c>
      <c r="AE97" s="44">
        <v>1400.75</v>
      </c>
      <c r="AF97" s="44">
        <v>996.45</v>
      </c>
      <c r="AG97" s="44">
        <v>158.63</v>
      </c>
      <c r="AH97" s="39">
        <v>134.79355200000001</v>
      </c>
      <c r="AI97" s="39">
        <v>51.726092000000001</v>
      </c>
      <c r="AJ97" s="39">
        <v>377.06216599999999</v>
      </c>
      <c r="AK97" s="39">
        <v>84.805000000000007</v>
      </c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</row>
    <row r="98" spans="1:68" x14ac:dyDescent="0.25">
      <c r="A98" s="38" t="s">
        <v>107</v>
      </c>
      <c r="B98" s="28">
        <v>2021</v>
      </c>
      <c r="C98" s="39">
        <v>1039.943092</v>
      </c>
      <c r="D98" s="39">
        <v>47.137790000000003</v>
      </c>
      <c r="E98" s="39">
        <v>4.8990349999999996</v>
      </c>
      <c r="F98" s="39">
        <v>0</v>
      </c>
      <c r="G98" s="40">
        <v>16</v>
      </c>
      <c r="H98" s="40"/>
      <c r="I98" s="40"/>
      <c r="J98" s="40"/>
      <c r="K98" s="40"/>
      <c r="L98" s="40"/>
      <c r="M98" s="41" t="s">
        <v>115</v>
      </c>
      <c r="N98" s="42">
        <f t="shared" si="10"/>
        <v>2022</v>
      </c>
      <c r="O98" s="43">
        <f>(C102+15/31)+(C103*15/30)</f>
        <v>3602.7487884677421</v>
      </c>
      <c r="P98" s="43">
        <f>(D102+15/31)+(D103*15/30)</f>
        <v>196.36308196774195</v>
      </c>
      <c r="Q98" s="43">
        <f>(E102+15/31)+(E103*15/30)</f>
        <v>25.418174467741935</v>
      </c>
      <c r="R98" s="45">
        <f>(F102+15/31)+(F103*15/30)</f>
        <v>7.1361864677419344</v>
      </c>
      <c r="S98" s="45"/>
      <c r="T98" s="44">
        <v>303.91000000000003</v>
      </c>
      <c r="U98" s="44">
        <v>834.27</v>
      </c>
      <c r="V98" s="44">
        <v>723.36</v>
      </c>
      <c r="W98" s="44">
        <v>780.07</v>
      </c>
      <c r="X98" s="44">
        <v>71.59</v>
      </c>
      <c r="Y98" s="44">
        <v>468.13</v>
      </c>
      <c r="Z98" s="44">
        <v>1284.53</v>
      </c>
      <c r="AA98" s="44">
        <f t="shared" si="6"/>
        <v>1752.6599999999999</v>
      </c>
      <c r="AB98" s="44">
        <v>1967.01</v>
      </c>
      <c r="AC98" s="44">
        <v>252.85</v>
      </c>
      <c r="AD98" s="44">
        <f t="shared" si="7"/>
        <v>2219.86</v>
      </c>
      <c r="AE98" s="44">
        <v>1472.29</v>
      </c>
      <c r="AF98" s="44">
        <v>1036.3800000000001</v>
      </c>
      <c r="AG98" s="44">
        <v>179</v>
      </c>
      <c r="AH98" s="39">
        <v>108.330777</v>
      </c>
      <c r="AI98" s="39">
        <v>27.68244</v>
      </c>
      <c r="AJ98" s="39">
        <v>660.29058599999996</v>
      </c>
      <c r="AK98" s="39">
        <v>113.04600000000001</v>
      </c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</row>
    <row r="99" spans="1:68" x14ac:dyDescent="0.25">
      <c r="A99" s="38" t="s">
        <v>109</v>
      </c>
      <c r="B99" s="28">
        <v>2022</v>
      </c>
      <c r="C99" s="39">
        <v>881.45253600000001</v>
      </c>
      <c r="D99" s="39">
        <v>35.488582999999998</v>
      </c>
      <c r="E99" s="39">
        <v>3.6411630000000001</v>
      </c>
      <c r="F99" s="39">
        <v>0</v>
      </c>
      <c r="G99" s="40">
        <v>15</v>
      </c>
      <c r="H99" s="40"/>
      <c r="I99" s="40"/>
      <c r="J99" s="40"/>
      <c r="K99" s="40"/>
      <c r="L99" s="40"/>
      <c r="M99" s="41" t="s">
        <v>93</v>
      </c>
      <c r="N99" s="42">
        <f t="shared" si="10"/>
        <v>2022</v>
      </c>
      <c r="O99" s="43">
        <f>(C103*15/30)+(C104*16/31)</f>
        <v>2410.3168307258065</v>
      </c>
      <c r="P99" s="43">
        <f>(D103*15/30)+(D104*16/31)</f>
        <v>130.22235777419354</v>
      </c>
      <c r="Q99" s="43">
        <f>(E103*15/30)+(E104*16/31)</f>
        <v>17.992316887096774</v>
      </c>
      <c r="R99" s="45">
        <f>(F103*15/30)+(F104*16/31)</f>
        <v>1.6538474999999999</v>
      </c>
      <c r="S99" s="45"/>
      <c r="T99" s="44">
        <v>387.35</v>
      </c>
      <c r="U99" s="44">
        <v>907.73</v>
      </c>
      <c r="V99" s="44">
        <v>723.47</v>
      </c>
      <c r="W99" s="44">
        <v>617.21</v>
      </c>
      <c r="X99" s="44">
        <v>49.74</v>
      </c>
      <c r="Y99" s="44">
        <v>488.2</v>
      </c>
      <c r="Z99" s="44">
        <v>1232.3</v>
      </c>
      <c r="AA99" s="44">
        <f t="shared" si="6"/>
        <v>1720.5</v>
      </c>
      <c r="AB99" s="44">
        <v>2039.03</v>
      </c>
      <c r="AC99" s="44">
        <v>134.63</v>
      </c>
      <c r="AD99" s="44">
        <f t="shared" si="7"/>
        <v>2173.66</v>
      </c>
      <c r="AE99" s="44">
        <v>1437.4</v>
      </c>
      <c r="AF99" s="44">
        <v>1034.6199999999999</v>
      </c>
      <c r="AG99" s="44">
        <v>237.34</v>
      </c>
      <c r="AH99" s="39">
        <v>108.39638100000001</v>
      </c>
      <c r="AI99" s="39">
        <v>38.386035999999997</v>
      </c>
      <c r="AJ99" s="39">
        <v>636.04638899999998</v>
      </c>
      <c r="AK99" s="39">
        <v>58.515999999999998</v>
      </c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</row>
    <row r="100" spans="1:68" x14ac:dyDescent="0.25">
      <c r="A100" s="38" t="s">
        <v>117</v>
      </c>
      <c r="B100" s="28">
        <v>2022</v>
      </c>
      <c r="C100" s="39">
        <v>2231.7361230000001</v>
      </c>
      <c r="D100" s="39">
        <v>104.38366000000001</v>
      </c>
      <c r="E100" s="39">
        <v>9.7393000000000001</v>
      </c>
      <c r="F100" s="39">
        <v>1.745269</v>
      </c>
      <c r="G100" s="40">
        <v>31</v>
      </c>
      <c r="H100" s="40"/>
      <c r="I100" s="40"/>
      <c r="J100" s="40"/>
      <c r="K100" s="40"/>
      <c r="L100" s="40"/>
      <c r="M100" s="41" t="s">
        <v>95</v>
      </c>
      <c r="N100" s="42">
        <f t="shared" si="10"/>
        <v>2022</v>
      </c>
      <c r="O100" s="43">
        <f>(C104*15/31)+(C105*15/30)</f>
        <v>2304.6436827741936</v>
      </c>
      <c r="P100" s="43">
        <f>(D104*15/31)+(D105*15/30)</f>
        <v>123.03825122580645</v>
      </c>
      <c r="Q100" s="43">
        <f>(E104*15/31)+(E105*15/30)</f>
        <v>17.986059112903227</v>
      </c>
      <c r="R100" s="45">
        <f>(F104*15/31)+(F105*15/30)</f>
        <v>6.4247719999999999</v>
      </c>
      <c r="S100" s="45"/>
      <c r="T100" s="44">
        <v>321.33</v>
      </c>
      <c r="U100" s="44">
        <v>872.53</v>
      </c>
      <c r="V100" s="44">
        <v>682.51</v>
      </c>
      <c r="W100" s="44">
        <v>624.1</v>
      </c>
      <c r="X100" s="44">
        <v>70.099999999999994</v>
      </c>
      <c r="Y100" s="44">
        <v>485.6</v>
      </c>
      <c r="Z100" s="44">
        <v>1012.19</v>
      </c>
      <c r="AA100" s="44">
        <f t="shared" si="6"/>
        <v>1497.79</v>
      </c>
      <c r="AB100" s="44">
        <v>1859.77</v>
      </c>
      <c r="AC100" s="44">
        <v>246.27</v>
      </c>
      <c r="AD100" s="44">
        <f t="shared" si="7"/>
        <v>2106.04</v>
      </c>
      <c r="AE100" s="44">
        <v>1465.85</v>
      </c>
      <c r="AF100" s="44">
        <v>1141.47</v>
      </c>
      <c r="AG100" s="44">
        <v>169.33</v>
      </c>
      <c r="AH100" s="39">
        <v>93.727885000000001</v>
      </c>
      <c r="AI100" s="39">
        <v>32.113114000000003</v>
      </c>
      <c r="AJ100" s="39">
        <v>448.808831</v>
      </c>
      <c r="AK100" s="39">
        <v>102.423</v>
      </c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</row>
    <row r="101" spans="1:68" x14ac:dyDescent="0.25">
      <c r="A101" s="38" t="s">
        <v>112</v>
      </c>
      <c r="B101" s="28">
        <v>2022</v>
      </c>
      <c r="C101" s="39">
        <v>2140.7096750000001</v>
      </c>
      <c r="D101" s="39">
        <v>109.841917</v>
      </c>
      <c r="E101" s="39">
        <v>12.480204000000001</v>
      </c>
      <c r="F101" s="39">
        <v>0</v>
      </c>
      <c r="G101" s="40">
        <v>28</v>
      </c>
      <c r="H101" s="40"/>
      <c r="I101" s="40"/>
      <c r="J101" s="40"/>
      <c r="K101" s="40"/>
      <c r="L101" s="40"/>
      <c r="M101" s="41" t="s">
        <v>97</v>
      </c>
      <c r="N101" s="42">
        <f t="shared" si="10"/>
        <v>2022</v>
      </c>
      <c r="O101" s="43">
        <f>(C105*15/30)+(C106*16/31)</f>
        <v>2411.1858040967741</v>
      </c>
      <c r="P101" s="43">
        <f>(D105*15/30)+(D106*16/31)</f>
        <v>134.88724812903226</v>
      </c>
      <c r="Q101" s="43">
        <f>(E105*15/30)+(E106*16/31)</f>
        <v>19.026204016129032</v>
      </c>
      <c r="R101" s="45">
        <f>(F105*15/30)+(F106*16/31)</f>
        <v>9.7047224516129038</v>
      </c>
      <c r="S101" s="45"/>
      <c r="T101" s="44">
        <v>355.57</v>
      </c>
      <c r="U101" s="44">
        <v>979.14</v>
      </c>
      <c r="V101" s="44">
        <v>806.22</v>
      </c>
      <c r="W101" s="44">
        <v>830.31</v>
      </c>
      <c r="X101" s="44">
        <v>77.13</v>
      </c>
      <c r="Y101" s="44">
        <v>526.49</v>
      </c>
      <c r="Z101" s="44">
        <v>1052.9000000000001</v>
      </c>
      <c r="AA101" s="44">
        <f t="shared" si="6"/>
        <v>1579.39</v>
      </c>
      <c r="AB101" s="44">
        <v>1845.72</v>
      </c>
      <c r="AC101" s="44">
        <v>236.57</v>
      </c>
      <c r="AD101" s="44">
        <f t="shared" si="7"/>
        <v>2082.29</v>
      </c>
      <c r="AE101" s="44">
        <v>1482.6</v>
      </c>
      <c r="AF101" s="44">
        <v>1146.6199999999999</v>
      </c>
      <c r="AG101" s="44">
        <v>185.81</v>
      </c>
      <c r="AH101" s="39">
        <v>126.46025400000001</v>
      </c>
      <c r="AI101" s="39">
        <v>29.929715999999999</v>
      </c>
      <c r="AJ101" s="39">
        <v>968.80730500000004</v>
      </c>
      <c r="AK101" s="39">
        <v>129.316</v>
      </c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</row>
    <row r="102" spans="1:68" x14ac:dyDescent="0.25">
      <c r="A102" s="38" t="s">
        <v>114</v>
      </c>
      <c r="B102" s="28">
        <v>2022</v>
      </c>
      <c r="C102" s="39">
        <v>2400.9999499999999</v>
      </c>
      <c r="D102" s="39">
        <v>130.48081400000001</v>
      </c>
      <c r="E102" s="39">
        <v>16.279534999999999</v>
      </c>
      <c r="F102" s="39">
        <v>4.9984679999999999</v>
      </c>
      <c r="G102" s="40">
        <v>31</v>
      </c>
      <c r="H102" s="40"/>
      <c r="I102" s="40"/>
      <c r="J102" s="40"/>
      <c r="K102" s="40"/>
      <c r="L102" s="40"/>
      <c r="M102" s="41" t="s">
        <v>99</v>
      </c>
      <c r="N102" s="42">
        <f t="shared" si="10"/>
        <v>2022</v>
      </c>
      <c r="O102" s="43">
        <f>(C106*15/31)+(C107*16/31)</f>
        <v>2377.7760040967742</v>
      </c>
      <c r="P102" s="43">
        <f>(D106*15/31)+(D107*16/31)</f>
        <v>131.50646196774193</v>
      </c>
      <c r="Q102" s="43">
        <f>(E106*15/31)+(E107*16/31)</f>
        <v>19.46077064516129</v>
      </c>
      <c r="R102" s="45">
        <f>(F106*15/31)+(F107*16/31)</f>
        <v>3.9490190967741938</v>
      </c>
      <c r="S102" s="45"/>
      <c r="T102" s="44">
        <v>367.61</v>
      </c>
      <c r="U102" s="44">
        <v>1007.3</v>
      </c>
      <c r="V102" s="44">
        <v>740.19</v>
      </c>
      <c r="W102" s="44">
        <v>715.29</v>
      </c>
      <c r="X102" s="44">
        <v>138.02000000000001</v>
      </c>
      <c r="Y102" s="44">
        <v>532.15</v>
      </c>
      <c r="Z102" s="44">
        <v>1127.79</v>
      </c>
      <c r="AA102" s="44">
        <f t="shared" si="6"/>
        <v>1659.94</v>
      </c>
      <c r="AB102" s="44">
        <v>1948.21</v>
      </c>
      <c r="AC102" s="44">
        <v>352.97</v>
      </c>
      <c r="AD102" s="44">
        <f t="shared" si="7"/>
        <v>2301.1800000000003</v>
      </c>
      <c r="AE102" s="44">
        <v>1437.14</v>
      </c>
      <c r="AF102" s="44">
        <v>1216.1500000000001</v>
      </c>
      <c r="AG102" s="44">
        <v>227.94</v>
      </c>
      <c r="AH102" s="39">
        <v>110.5968</v>
      </c>
      <c r="AI102" s="39">
        <v>34.871867999999999</v>
      </c>
      <c r="AJ102" s="39">
        <v>810.88723600000003</v>
      </c>
      <c r="AK102" s="39">
        <v>164.916</v>
      </c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</row>
    <row r="103" spans="1:68" x14ac:dyDescent="0.25">
      <c r="A103" s="38" t="s">
        <v>92</v>
      </c>
      <c r="B103" s="28">
        <v>2022</v>
      </c>
      <c r="C103" s="39">
        <v>2402.529935</v>
      </c>
      <c r="D103" s="39">
        <v>130.79679400000001</v>
      </c>
      <c r="E103" s="39">
        <v>17.309536999999999</v>
      </c>
      <c r="F103" s="39">
        <v>3.3076949999999998</v>
      </c>
      <c r="G103" s="40">
        <v>30</v>
      </c>
      <c r="H103" s="40"/>
      <c r="I103" s="40"/>
      <c r="J103" s="40"/>
      <c r="K103" s="40"/>
      <c r="L103" s="40"/>
      <c r="M103" s="41" t="s">
        <v>101</v>
      </c>
      <c r="N103" s="42">
        <f t="shared" si="10"/>
        <v>2022</v>
      </c>
      <c r="O103" s="43">
        <f>(C107*15/31)+(C108*15/30)</f>
        <v>2299.9181008064515</v>
      </c>
      <c r="P103" s="43">
        <f>(D107*15/31)+(D108*15/30)</f>
        <v>118.04542890322581</v>
      </c>
      <c r="Q103" s="43">
        <f>(E107*15/31)+(E108*15/30)</f>
        <v>23.837969338709676</v>
      </c>
      <c r="R103" s="45">
        <f>(F107*15/31)+(F108*15/30)</f>
        <v>2.1427954516129031</v>
      </c>
      <c r="S103" s="45"/>
      <c r="T103" s="44">
        <v>328.81</v>
      </c>
      <c r="U103" s="44">
        <v>914.36</v>
      </c>
      <c r="V103" s="44">
        <v>803.85</v>
      </c>
      <c r="W103" s="44">
        <v>759.19</v>
      </c>
      <c r="X103" s="44">
        <v>96.53</v>
      </c>
      <c r="Y103" s="44">
        <v>405.84</v>
      </c>
      <c r="Z103" s="44">
        <v>1116.93</v>
      </c>
      <c r="AA103" s="44">
        <f t="shared" si="6"/>
        <v>1522.77</v>
      </c>
      <c r="AB103" s="44">
        <v>2072.77</v>
      </c>
      <c r="AC103" s="44">
        <v>195.26</v>
      </c>
      <c r="AD103" s="44">
        <f t="shared" si="7"/>
        <v>2268.0299999999997</v>
      </c>
      <c r="AE103" s="44">
        <v>1433.89</v>
      </c>
      <c r="AF103" s="44">
        <v>1235.73</v>
      </c>
      <c r="AG103" s="44">
        <v>225.18</v>
      </c>
      <c r="AH103" s="39">
        <v>119.118861</v>
      </c>
      <c r="AI103" s="39">
        <v>27.075561</v>
      </c>
      <c r="AJ103" s="39">
        <v>676.70876999999996</v>
      </c>
      <c r="AK103" s="39">
        <v>112.227</v>
      </c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</row>
    <row r="104" spans="1:68" x14ac:dyDescent="0.25">
      <c r="A104" s="38" t="s">
        <v>94</v>
      </c>
      <c r="B104" s="28">
        <v>2022</v>
      </c>
      <c r="C104" s="39">
        <v>2342.5379849999999</v>
      </c>
      <c r="D104" s="39">
        <v>125.596424</v>
      </c>
      <c r="E104" s="39">
        <v>18.0915</v>
      </c>
      <c r="F104" s="39">
        <v>0</v>
      </c>
      <c r="G104" s="40">
        <v>31</v>
      </c>
      <c r="H104" s="40"/>
      <c r="I104" s="40"/>
      <c r="J104" s="40"/>
      <c r="K104" s="40"/>
      <c r="L104" s="40"/>
      <c r="M104" s="41" t="s">
        <v>103</v>
      </c>
      <c r="N104" s="42">
        <f t="shared" si="10"/>
        <v>2022</v>
      </c>
      <c r="O104" s="43">
        <f>(C108*15/30)+(C109*16/31)</f>
        <v>2393.370179935484</v>
      </c>
      <c r="P104" s="43">
        <f>(D108*15/30)+(D109*16/31)</f>
        <v>114.95988722580645</v>
      </c>
      <c r="Q104" s="43">
        <f>(E108*15/30)+(E109*16/31)</f>
        <v>29.02390691935484</v>
      </c>
      <c r="R104" s="45">
        <f>(F108*15/30)+(F109*16/31)</f>
        <v>3.4880041612903225</v>
      </c>
      <c r="S104" s="45"/>
      <c r="T104" s="44">
        <v>265.70999999999998</v>
      </c>
      <c r="U104" s="44">
        <v>896.14</v>
      </c>
      <c r="V104" s="44">
        <v>727.31</v>
      </c>
      <c r="W104" s="44">
        <v>768.75</v>
      </c>
      <c r="X104" s="44">
        <v>147.44999999999999</v>
      </c>
      <c r="Y104" s="44">
        <v>569.91999999999996</v>
      </c>
      <c r="Z104" s="44">
        <v>1241.81</v>
      </c>
      <c r="AA104" s="44">
        <f t="shared" si="6"/>
        <v>1811.73</v>
      </c>
      <c r="AB104" s="44">
        <v>2028.27</v>
      </c>
      <c r="AC104" s="44">
        <v>182.16</v>
      </c>
      <c r="AD104" s="44">
        <f t="shared" si="7"/>
        <v>2210.4299999999998</v>
      </c>
      <c r="AE104" s="44">
        <v>1338.1</v>
      </c>
      <c r="AF104" s="44">
        <v>912.76</v>
      </c>
      <c r="AG104" s="44">
        <v>236.01</v>
      </c>
      <c r="AH104" s="39">
        <v>110.29626399999999</v>
      </c>
      <c r="AI104" s="39">
        <v>23.184144</v>
      </c>
      <c r="AJ104" s="39">
        <v>793.02489800000001</v>
      </c>
      <c r="AK104" s="39">
        <v>139.20099999999999</v>
      </c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</row>
    <row r="105" spans="1:68" x14ac:dyDescent="0.25">
      <c r="A105" s="38" t="s">
        <v>96</v>
      </c>
      <c r="B105" s="28">
        <v>2022</v>
      </c>
      <c r="C105" s="39">
        <v>2342.315122</v>
      </c>
      <c r="D105" s="39">
        <v>124.531576</v>
      </c>
      <c r="E105" s="39">
        <v>18.464214999999999</v>
      </c>
      <c r="F105" s="39">
        <v>12.849544</v>
      </c>
      <c r="G105" s="40">
        <v>30</v>
      </c>
      <c r="H105" s="40"/>
      <c r="I105" s="40"/>
      <c r="J105" s="40"/>
      <c r="K105" s="40"/>
      <c r="L105" s="40"/>
      <c r="M105" s="41" t="s">
        <v>105</v>
      </c>
      <c r="N105" s="42">
        <f t="shared" si="10"/>
        <v>2022</v>
      </c>
      <c r="O105" s="43">
        <f>(C109*15/31)+(C110*15/30)</f>
        <v>2320.8852695645164</v>
      </c>
      <c r="P105" s="43">
        <f>(D109*15/31)+(D110*15/30)</f>
        <v>120.42442577419355</v>
      </c>
      <c r="Q105" s="43">
        <f>(E109*15/31)+(E110*15/30)</f>
        <v>37.461943080645163</v>
      </c>
      <c r="R105" s="45">
        <f>(F109*15/31)+(F110*15/30)</f>
        <v>4.5386308387096772</v>
      </c>
      <c r="S105" s="45"/>
      <c r="T105" s="44">
        <v>230.49</v>
      </c>
      <c r="U105" s="44">
        <v>742.97</v>
      </c>
      <c r="V105" s="44">
        <v>877.61</v>
      </c>
      <c r="W105" s="44">
        <v>803.25</v>
      </c>
      <c r="X105" s="44">
        <v>81.61</v>
      </c>
      <c r="Y105" s="44">
        <v>468.24</v>
      </c>
      <c r="Z105" s="44">
        <v>1214.28</v>
      </c>
      <c r="AA105" s="44">
        <f t="shared" si="6"/>
        <v>1682.52</v>
      </c>
      <c r="AB105" s="44">
        <v>1949.85</v>
      </c>
      <c r="AC105" s="44">
        <v>184.54</v>
      </c>
      <c r="AD105" s="44">
        <f t="shared" si="7"/>
        <v>2134.39</v>
      </c>
      <c r="AE105" s="44">
        <v>1273.1300000000001</v>
      </c>
      <c r="AF105" s="44">
        <v>1060.9100000000001</v>
      </c>
      <c r="AG105" s="44">
        <v>271.11</v>
      </c>
      <c r="AH105" s="39">
        <v>79.828006999999999</v>
      </c>
      <c r="AI105" s="39">
        <v>37.042357000000003</v>
      </c>
      <c r="AJ105" s="39">
        <v>696.43139199999996</v>
      </c>
      <c r="AK105" s="39">
        <v>100.66800000000001</v>
      </c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</row>
    <row r="106" spans="1:68" x14ac:dyDescent="0.25">
      <c r="A106" s="38" t="s">
        <v>98</v>
      </c>
      <c r="B106" s="28">
        <v>2022</v>
      </c>
      <c r="C106" s="39">
        <v>2402.554721</v>
      </c>
      <c r="D106" s="39">
        <v>140.70407900000001</v>
      </c>
      <c r="E106" s="39">
        <v>18.976061999999999</v>
      </c>
      <c r="F106" s="39">
        <v>6.3549040000000003</v>
      </c>
      <c r="G106" s="40">
        <v>31</v>
      </c>
      <c r="H106" s="40"/>
      <c r="I106" s="40"/>
      <c r="J106" s="40"/>
      <c r="K106" s="40"/>
      <c r="L106" s="40"/>
      <c r="M106" s="41" t="s">
        <v>107</v>
      </c>
      <c r="N106" s="42">
        <f t="shared" si="10"/>
        <v>2022</v>
      </c>
      <c r="O106" s="43">
        <f>(C110*15/30)+C111</f>
        <v>2310.7963245000001</v>
      </c>
      <c r="P106" s="43">
        <f>(D110*15/30)+D111</f>
        <v>126.109425</v>
      </c>
      <c r="Q106" s="43">
        <f>(E110*15/30)+E111</f>
        <v>46.952729500000004</v>
      </c>
      <c r="R106" s="45">
        <f>(F110*15/30)+F111</f>
        <v>7.3492759999999997</v>
      </c>
      <c r="S106" s="45"/>
      <c r="T106" s="44">
        <v>227.12</v>
      </c>
      <c r="U106" s="44">
        <v>774.06</v>
      </c>
      <c r="V106" s="44">
        <v>719.6</v>
      </c>
      <c r="W106" s="44">
        <v>606.58000000000004</v>
      </c>
      <c r="X106" s="44">
        <v>165.81</v>
      </c>
      <c r="Y106" s="44">
        <v>542.54999999999995</v>
      </c>
      <c r="Z106" s="44">
        <v>1212.29</v>
      </c>
      <c r="AA106" s="44">
        <f t="shared" si="6"/>
        <v>1754.84</v>
      </c>
      <c r="AB106" s="44">
        <v>1844.71</v>
      </c>
      <c r="AC106" s="44">
        <v>257.12</v>
      </c>
      <c r="AD106" s="44">
        <f t="shared" si="7"/>
        <v>2101.83</v>
      </c>
      <c r="AE106" s="44">
        <v>1578.51</v>
      </c>
      <c r="AF106" s="44">
        <v>1374.62</v>
      </c>
      <c r="AG106" s="44">
        <v>323.64999999999998</v>
      </c>
      <c r="AH106" s="39">
        <v>113.189125</v>
      </c>
      <c r="AI106" s="39">
        <v>30.74295</v>
      </c>
      <c r="AJ106" s="39">
        <v>828.752205</v>
      </c>
      <c r="AK106" s="39">
        <v>150.36199999999999</v>
      </c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</row>
    <row r="107" spans="1:68" x14ac:dyDescent="0.25">
      <c r="A107" s="38" t="s">
        <v>100</v>
      </c>
      <c r="B107" s="28">
        <v>2022</v>
      </c>
      <c r="C107" s="39">
        <v>2354.5459569999998</v>
      </c>
      <c r="D107" s="39">
        <v>122.883696</v>
      </c>
      <c r="E107" s="39">
        <v>19.915185000000001</v>
      </c>
      <c r="F107" s="39">
        <v>1.6935020000000001</v>
      </c>
      <c r="G107" s="40">
        <v>31</v>
      </c>
      <c r="H107" s="40"/>
      <c r="I107" s="40"/>
      <c r="J107" s="40"/>
      <c r="K107" s="40"/>
      <c r="L107" s="40"/>
      <c r="M107" s="41" t="s">
        <v>109</v>
      </c>
      <c r="N107" s="42">
        <f>N106+1</f>
        <v>2023</v>
      </c>
      <c r="O107" s="43">
        <f>C112+(C113*16/31)</f>
        <v>2234.1629942580648</v>
      </c>
      <c r="P107" s="43">
        <f>D112+(D113*16/31)</f>
        <v>123.04718051612903</v>
      </c>
      <c r="Q107" s="43">
        <f>E112+(E113*16/31)</f>
        <v>54.10113119354839</v>
      </c>
      <c r="R107" s="45">
        <f>F112+(F113*16/31)</f>
        <v>5.3233692903225807</v>
      </c>
      <c r="S107" s="45"/>
      <c r="T107" s="44">
        <v>291.14999999999998</v>
      </c>
      <c r="U107" s="44">
        <v>771.77</v>
      </c>
      <c r="V107" s="44">
        <v>841.23</v>
      </c>
      <c r="W107" s="44">
        <v>784.57</v>
      </c>
      <c r="X107" s="44">
        <v>138.59</v>
      </c>
      <c r="Y107" s="44">
        <v>336.15</v>
      </c>
      <c r="Z107" s="44">
        <v>1230.8399999999999</v>
      </c>
      <c r="AA107" s="44">
        <f t="shared" si="6"/>
        <v>1566.9899999999998</v>
      </c>
      <c r="AB107" s="44">
        <v>1839.97</v>
      </c>
      <c r="AC107" s="44">
        <v>125.96</v>
      </c>
      <c r="AD107" s="44">
        <f t="shared" si="7"/>
        <v>1965.93</v>
      </c>
      <c r="AE107" s="44">
        <v>1630.07</v>
      </c>
      <c r="AF107" s="44">
        <v>927.38</v>
      </c>
      <c r="AG107" s="44">
        <v>146.35</v>
      </c>
      <c r="AH107" s="39">
        <v>135.64897300000001</v>
      </c>
      <c r="AI107" s="39">
        <v>31.379045999999999</v>
      </c>
      <c r="AJ107" s="39">
        <v>770.44839100000002</v>
      </c>
      <c r="AK107" s="39">
        <v>154.251</v>
      </c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</row>
    <row r="108" spans="1:68" x14ac:dyDescent="0.25">
      <c r="A108" s="38" t="s">
        <v>102</v>
      </c>
      <c r="B108" s="28">
        <v>2022</v>
      </c>
      <c r="C108" s="39">
        <v>2321.24334</v>
      </c>
      <c r="D108" s="39">
        <v>117.17115200000001</v>
      </c>
      <c r="E108" s="39">
        <v>28.403179000000002</v>
      </c>
      <c r="F108" s="39">
        <v>2.6467179999999999</v>
      </c>
      <c r="G108" s="40">
        <v>30</v>
      </c>
      <c r="H108" s="40"/>
      <c r="I108" s="40"/>
      <c r="J108" s="40"/>
      <c r="K108" s="40"/>
      <c r="L108" s="40"/>
      <c r="M108" s="41" t="s">
        <v>111</v>
      </c>
      <c r="N108" s="42">
        <f>N107</f>
        <v>2023</v>
      </c>
      <c r="O108" s="43">
        <f>(C113*15/31)+(C114*13/28)</f>
        <v>2178.389213170507</v>
      </c>
      <c r="P108" s="43">
        <f>(D113*15/31)+(D114*13/28)</f>
        <v>107.38361605529954</v>
      </c>
      <c r="Q108" s="43">
        <f>(E113*15/31)+(E114*13/28)</f>
        <v>44.945430842165898</v>
      </c>
      <c r="R108" s="45">
        <f>(F113*15/31)+(F114*13/28)</f>
        <v>5.8556229953917054</v>
      </c>
      <c r="S108" s="45"/>
      <c r="T108" s="44">
        <v>255.3</v>
      </c>
      <c r="U108" s="44">
        <v>744.83</v>
      </c>
      <c r="V108" s="44">
        <v>839.99</v>
      </c>
      <c r="W108" s="44">
        <v>648.85</v>
      </c>
      <c r="X108" s="44">
        <v>109.34</v>
      </c>
      <c r="Y108" s="44">
        <v>384.5</v>
      </c>
      <c r="Z108" s="44">
        <v>999.07</v>
      </c>
      <c r="AA108" s="44">
        <f t="shared" si="6"/>
        <v>1383.5700000000002</v>
      </c>
      <c r="AB108" s="44">
        <v>1831.23</v>
      </c>
      <c r="AC108" s="44">
        <v>112.73</v>
      </c>
      <c r="AD108" s="44">
        <f t="shared" si="7"/>
        <v>1943.96</v>
      </c>
      <c r="AE108" s="44">
        <v>1664.16</v>
      </c>
      <c r="AF108" s="44">
        <v>966.68</v>
      </c>
      <c r="AG108" s="44">
        <v>126.59</v>
      </c>
      <c r="AH108" s="39">
        <v>111.49932800000001</v>
      </c>
      <c r="AI108" s="39">
        <v>35.323757000000001</v>
      </c>
      <c r="AJ108" s="39">
        <v>762.84061799999995</v>
      </c>
      <c r="AK108" s="39">
        <v>98.736000000000004</v>
      </c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</row>
    <row r="109" spans="1:68" x14ac:dyDescent="0.25">
      <c r="A109" s="38" t="s">
        <v>118</v>
      </c>
      <c r="B109" s="28">
        <v>2022</v>
      </c>
      <c r="C109" s="39">
        <v>2388.4502379999999</v>
      </c>
      <c r="D109" s="39">
        <v>109.225228</v>
      </c>
      <c r="E109" s="39">
        <v>28.718240000000002</v>
      </c>
      <c r="F109" s="39">
        <v>4.194</v>
      </c>
      <c r="G109" s="40">
        <v>31</v>
      </c>
      <c r="H109" s="40"/>
      <c r="I109" s="40"/>
      <c r="J109" s="40"/>
      <c r="K109" s="40"/>
      <c r="L109" s="40"/>
      <c r="M109" s="41" t="s">
        <v>113</v>
      </c>
      <c r="N109" s="42">
        <f t="shared" ref="N109:N118" si="11">N108</f>
        <v>2023</v>
      </c>
      <c r="O109" s="43">
        <f>(C114*15/28)+(C115*16/31)</f>
        <v>2356.8074403456221</v>
      </c>
      <c r="P109" s="43">
        <f>(D114*15/28)+(D115*16/31)</f>
        <v>144.19946765437788</v>
      </c>
      <c r="Q109" s="43">
        <f>(E114*15/28)+(E115*16/31)</f>
        <v>36.195416867511518</v>
      </c>
      <c r="R109" s="45">
        <f>(F114*15/28)+(F115*16/31)</f>
        <v>4.6107087465437786</v>
      </c>
      <c r="S109" s="45"/>
      <c r="T109" s="44">
        <v>289.52999999999997</v>
      </c>
      <c r="U109" s="44">
        <v>759.85</v>
      </c>
      <c r="V109" s="44">
        <v>886.34</v>
      </c>
      <c r="W109" s="44">
        <v>701.61</v>
      </c>
      <c r="X109" s="44">
        <v>122.63</v>
      </c>
      <c r="Y109" s="44">
        <v>476.56</v>
      </c>
      <c r="Z109" s="44">
        <v>1174.73</v>
      </c>
      <c r="AA109" s="44">
        <f t="shared" si="6"/>
        <v>1651.29</v>
      </c>
      <c r="AB109" s="44">
        <v>1965.13</v>
      </c>
      <c r="AC109" s="44">
        <v>256.57</v>
      </c>
      <c r="AD109" s="44">
        <f t="shared" si="7"/>
        <v>2221.7000000000003</v>
      </c>
      <c r="AE109" s="44">
        <v>1531.99</v>
      </c>
      <c r="AF109" s="44">
        <v>963.56</v>
      </c>
      <c r="AG109" s="44">
        <v>78.69</v>
      </c>
      <c r="AH109" s="39">
        <v>144.728802</v>
      </c>
      <c r="AI109" s="39">
        <v>52.269049000000003</v>
      </c>
      <c r="AJ109" s="39">
        <v>649.23852899999997</v>
      </c>
      <c r="AK109" s="39">
        <v>114.752</v>
      </c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</row>
    <row r="110" spans="1:68" x14ac:dyDescent="0.25">
      <c r="A110" s="38" t="s">
        <v>106</v>
      </c>
      <c r="B110" s="28">
        <v>2022</v>
      </c>
      <c r="C110" s="39">
        <v>2330.3670830000001</v>
      </c>
      <c r="D110" s="39">
        <v>135.147018</v>
      </c>
      <c r="E110" s="39">
        <v>47.132041000000001</v>
      </c>
      <c r="F110" s="39">
        <v>5.0185519999999997</v>
      </c>
      <c r="G110" s="40">
        <v>30</v>
      </c>
      <c r="H110" s="40"/>
      <c r="I110" s="40"/>
      <c r="J110" s="40"/>
      <c r="K110" s="40"/>
      <c r="L110" s="40"/>
      <c r="M110" s="41" t="s">
        <v>115</v>
      </c>
      <c r="N110" s="42">
        <f t="shared" si="11"/>
        <v>2023</v>
      </c>
      <c r="O110" s="43">
        <f>(C115+15/31)+(C116*15/30)</f>
        <v>3418.9587454677421</v>
      </c>
      <c r="P110" s="43">
        <f>(D115+15/31)+(D116*15/30)</f>
        <v>237.18357596774192</v>
      </c>
      <c r="Q110" s="43">
        <f>(E115+15/31)+(E116*15/30)</f>
        <v>48.209696967741934</v>
      </c>
      <c r="R110" s="45">
        <f>(F115+15/31)+(F116*15/30)</f>
        <v>8.1219909677419349</v>
      </c>
      <c r="S110" s="45"/>
      <c r="T110" s="44">
        <v>280.91000000000003</v>
      </c>
      <c r="U110" s="44">
        <v>878.24</v>
      </c>
      <c r="V110" s="44">
        <v>1000.99</v>
      </c>
      <c r="W110" s="44">
        <v>871.53</v>
      </c>
      <c r="X110" s="44">
        <v>104.04</v>
      </c>
      <c r="Y110" s="44">
        <v>394.05</v>
      </c>
      <c r="Z110" s="44">
        <v>1051.81</v>
      </c>
      <c r="AA110" s="44">
        <f t="shared" si="6"/>
        <v>1445.86</v>
      </c>
      <c r="AB110" s="44">
        <v>1801.35</v>
      </c>
      <c r="AC110" s="44">
        <v>167.24</v>
      </c>
      <c r="AD110" s="44">
        <f t="shared" si="7"/>
        <v>1968.59</v>
      </c>
      <c r="AE110" s="44">
        <v>1802.02</v>
      </c>
      <c r="AF110" s="44">
        <v>1133.3699999999999</v>
      </c>
      <c r="AG110" s="44">
        <v>81.459999999999994</v>
      </c>
      <c r="AH110" s="39">
        <v>105.48892600000001</v>
      </c>
      <c r="AI110" s="39">
        <v>33.741242999999997</v>
      </c>
      <c r="AJ110" s="39">
        <v>825.98737500000004</v>
      </c>
      <c r="AK110" s="39">
        <v>121.244</v>
      </c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</row>
    <row r="111" spans="1:68" x14ac:dyDescent="0.25">
      <c r="A111" s="38" t="s">
        <v>107</v>
      </c>
      <c r="B111" s="28">
        <v>2022</v>
      </c>
      <c r="C111" s="39">
        <v>1145.612783</v>
      </c>
      <c r="D111" s="39">
        <v>58.535916</v>
      </c>
      <c r="E111" s="39">
        <v>23.386709</v>
      </c>
      <c r="F111" s="39">
        <v>4.84</v>
      </c>
      <c r="G111" s="40">
        <v>16</v>
      </c>
      <c r="H111" s="40"/>
      <c r="I111" s="40"/>
      <c r="J111" s="40"/>
      <c r="K111" s="40"/>
      <c r="L111" s="40"/>
      <c r="M111" s="41" t="s">
        <v>93</v>
      </c>
      <c r="N111" s="42">
        <f t="shared" si="11"/>
        <v>2023</v>
      </c>
      <c r="O111" s="43">
        <f>(C116*15/30)+(C117*16/31)</f>
        <v>2346.8367528870967</v>
      </c>
      <c r="P111" s="43">
        <f>(D116*15/30)+(D117*16/31)</f>
        <v>131.61158890322582</v>
      </c>
      <c r="Q111" s="43">
        <f>(E116*15/30)+(E117*16/31)</f>
        <v>31.515093032258065</v>
      </c>
      <c r="R111" s="45">
        <f>(F116*15/30)+(F117*16/31)</f>
        <v>0.83376290322580626</v>
      </c>
      <c r="S111" s="45"/>
      <c r="T111" s="44">
        <v>325.67</v>
      </c>
      <c r="U111" s="44">
        <v>984.91</v>
      </c>
      <c r="V111" s="44">
        <v>834.28</v>
      </c>
      <c r="W111" s="44">
        <v>631.11</v>
      </c>
      <c r="X111" s="44">
        <v>125.68</v>
      </c>
      <c r="Y111" s="44">
        <v>380.69</v>
      </c>
      <c r="Z111" s="44">
        <v>1158.83</v>
      </c>
      <c r="AA111" s="44">
        <f t="shared" si="6"/>
        <v>1539.52</v>
      </c>
      <c r="AB111" s="44">
        <v>1962.28</v>
      </c>
      <c r="AC111" s="44">
        <v>188.06</v>
      </c>
      <c r="AD111" s="44">
        <f t="shared" si="7"/>
        <v>2150.34</v>
      </c>
      <c r="AE111" s="44">
        <v>1673.76</v>
      </c>
      <c r="AF111" s="44">
        <v>902.95</v>
      </c>
      <c r="AG111" s="44">
        <v>129.27000000000001</v>
      </c>
      <c r="AH111" s="39">
        <v>122.59804699999999</v>
      </c>
      <c r="AI111" s="39">
        <v>37.375318</v>
      </c>
      <c r="AJ111" s="39">
        <v>765.87160500000005</v>
      </c>
      <c r="AK111" s="39">
        <v>101.506</v>
      </c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</row>
    <row r="112" spans="1:68" x14ac:dyDescent="0.25">
      <c r="A112" s="38" t="s">
        <v>109</v>
      </c>
      <c r="B112" s="28">
        <v>2023</v>
      </c>
      <c r="C112" s="39">
        <v>996.80261800000005</v>
      </c>
      <c r="D112" s="39">
        <v>60.01614</v>
      </c>
      <c r="E112" s="39">
        <v>24.587077000000001</v>
      </c>
      <c r="F112" s="39">
        <v>0</v>
      </c>
      <c r="G112" s="40">
        <v>15</v>
      </c>
      <c r="H112" s="40"/>
      <c r="I112" s="46"/>
      <c r="J112" s="40"/>
      <c r="K112" s="40"/>
      <c r="L112" s="40"/>
      <c r="M112" s="41" t="s">
        <v>95</v>
      </c>
      <c r="N112" s="42">
        <f t="shared" si="11"/>
        <v>2023</v>
      </c>
      <c r="O112" s="43">
        <f>(C117*15/31)+(C118*15/30)</f>
        <v>2310.134419612903</v>
      </c>
      <c r="P112" s="43">
        <f>(D117*15/31)+(D118*15/30)</f>
        <v>131.4384735967742</v>
      </c>
      <c r="Q112" s="43">
        <f>(E117*15/31)+(E118*15/30)</f>
        <v>28.748377967741938</v>
      </c>
      <c r="R112" s="45">
        <f>(F117*15/31)+(F118*15/30)</f>
        <v>9.9609080967741939</v>
      </c>
      <c r="S112" s="45"/>
      <c r="T112" s="44">
        <v>311.95999999999998</v>
      </c>
      <c r="U112" s="44">
        <v>1007.13</v>
      </c>
      <c r="V112" s="44">
        <v>662.05</v>
      </c>
      <c r="W112" s="44">
        <v>657.07</v>
      </c>
      <c r="X112" s="44">
        <v>107.4</v>
      </c>
      <c r="Y112" s="44">
        <v>336.32</v>
      </c>
      <c r="Z112" s="44">
        <v>960.95</v>
      </c>
      <c r="AA112" s="44">
        <f t="shared" si="6"/>
        <v>1297.27</v>
      </c>
      <c r="AB112" s="44">
        <v>2122.7399999999998</v>
      </c>
      <c r="AC112" s="44">
        <v>181.16</v>
      </c>
      <c r="AD112" s="44">
        <f t="shared" si="7"/>
        <v>2303.8999999999996</v>
      </c>
      <c r="AE112" s="44">
        <v>1505.11</v>
      </c>
      <c r="AF112" s="44">
        <v>1181.06</v>
      </c>
      <c r="AG112" s="44">
        <v>101.78</v>
      </c>
      <c r="AH112" s="39">
        <v>120.06509</v>
      </c>
      <c r="AI112" s="39">
        <v>23.034032</v>
      </c>
      <c r="AJ112" s="39">
        <v>723.29987800000004</v>
      </c>
      <c r="AK112" s="39">
        <v>129.887</v>
      </c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</row>
    <row r="113" spans="1:68" x14ac:dyDescent="0.25">
      <c r="A113" s="38" t="s">
        <v>117</v>
      </c>
      <c r="B113" s="28">
        <v>2023</v>
      </c>
      <c r="C113" s="39">
        <v>2397.3857290000001</v>
      </c>
      <c r="D113" s="39">
        <v>122.122641</v>
      </c>
      <c r="E113" s="39">
        <v>57.183480000000003</v>
      </c>
      <c r="F113" s="39">
        <v>10.314028</v>
      </c>
      <c r="G113" s="40">
        <v>31</v>
      </c>
      <c r="H113" s="40"/>
      <c r="I113" s="46"/>
      <c r="J113" s="40"/>
      <c r="K113" s="40"/>
      <c r="L113" s="40"/>
      <c r="M113" s="41" t="s">
        <v>97</v>
      </c>
      <c r="N113" s="42">
        <f t="shared" si="11"/>
        <v>2023</v>
      </c>
      <c r="O113" s="43">
        <f>(C118*15/30)+(C119*16/31)</f>
        <v>2363.9534663870968</v>
      </c>
      <c r="P113" s="43">
        <f>(D118*15/30)+(D119*16/31)</f>
        <v>126.27604801612904</v>
      </c>
      <c r="Q113" s="43">
        <f>(E118*15/30)+(E119*16/31)</f>
        <v>33.726735096774192</v>
      </c>
      <c r="R113" s="45">
        <f>(F118*15/30)+(F119*16/31)</f>
        <v>17.157328806451613</v>
      </c>
      <c r="S113" s="45"/>
      <c r="T113" s="44">
        <v>390.52</v>
      </c>
      <c r="U113" s="44">
        <v>1072.2</v>
      </c>
      <c r="V113" s="44">
        <v>760.15</v>
      </c>
      <c r="W113" s="44">
        <v>892.5</v>
      </c>
      <c r="X113" s="44">
        <v>103.37</v>
      </c>
      <c r="Y113" s="44">
        <v>379.24</v>
      </c>
      <c r="Z113" s="44">
        <v>1041.8</v>
      </c>
      <c r="AA113" s="44">
        <f t="shared" si="6"/>
        <v>1421.04</v>
      </c>
      <c r="AB113" s="44">
        <v>1896.32</v>
      </c>
      <c r="AC113" s="44">
        <v>160.32</v>
      </c>
      <c r="AD113" s="44">
        <f t="shared" si="7"/>
        <v>2056.64</v>
      </c>
      <c r="AE113" s="44">
        <v>1587.19</v>
      </c>
      <c r="AF113" s="44">
        <v>1153.51</v>
      </c>
      <c r="AG113" s="44">
        <v>139.01</v>
      </c>
      <c r="AH113" s="39">
        <v>111.9285</v>
      </c>
      <c r="AI113" s="39">
        <v>48.167571000000002</v>
      </c>
      <c r="AJ113" s="39">
        <v>879.19967399999996</v>
      </c>
      <c r="AK113" s="39">
        <v>101.19</v>
      </c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</row>
    <row r="114" spans="1:68" x14ac:dyDescent="0.25">
      <c r="A114" s="38" t="s">
        <v>112</v>
      </c>
      <c r="B114" s="28">
        <v>2023</v>
      </c>
      <c r="C114" s="39">
        <v>2193.3990840000001</v>
      </c>
      <c r="D114" s="39">
        <v>104.013572</v>
      </c>
      <c r="E114" s="39">
        <v>37.209857</v>
      </c>
      <c r="F114" s="39">
        <v>1.863</v>
      </c>
      <c r="G114" s="40">
        <v>28</v>
      </c>
      <c r="H114" s="40"/>
      <c r="I114" s="46"/>
      <c r="J114" s="40"/>
      <c r="K114" s="40"/>
      <c r="L114" s="40"/>
      <c r="M114" s="41" t="s">
        <v>99</v>
      </c>
      <c r="N114" s="42">
        <f t="shared" si="11"/>
        <v>2023</v>
      </c>
      <c r="O114" s="43">
        <f>(C119*15/31)+(C120*16/31)</f>
        <v>2285.441727548387</v>
      </c>
      <c r="P114" s="43">
        <f>(D119*15/31)+(D120*16/31)</f>
        <v>118.87232600000002</v>
      </c>
      <c r="Q114" s="43">
        <f>(E119*15/31)+(E120*16/31)</f>
        <v>40.000674129032255</v>
      </c>
      <c r="R114" s="45">
        <f>(F119*15/31)+(F120*16/31)</f>
        <v>10.663974</v>
      </c>
      <c r="S114" s="45"/>
      <c r="T114" s="44">
        <v>338.13</v>
      </c>
      <c r="U114" s="44">
        <v>1078.1500000000001</v>
      </c>
      <c r="V114" s="44">
        <v>915.19</v>
      </c>
      <c r="W114" s="44">
        <v>1034.05</v>
      </c>
      <c r="X114" s="44">
        <v>113.95</v>
      </c>
      <c r="Y114" s="44">
        <v>472.57</v>
      </c>
      <c r="Z114" s="44">
        <v>991.18</v>
      </c>
      <c r="AA114" s="44">
        <f t="shared" si="6"/>
        <v>1463.75</v>
      </c>
      <c r="AB114" s="44">
        <v>1869.76</v>
      </c>
      <c r="AC114" s="44">
        <v>229.15</v>
      </c>
      <c r="AD114" s="44">
        <f t="shared" si="7"/>
        <v>2098.91</v>
      </c>
      <c r="AE114" s="44">
        <v>1534.16</v>
      </c>
      <c r="AF114" s="44">
        <v>982.88</v>
      </c>
      <c r="AG114" s="44">
        <v>79.81</v>
      </c>
      <c r="AH114" s="39">
        <v>112.15094000000001</v>
      </c>
      <c r="AI114" s="39">
        <v>22.303252000000001</v>
      </c>
      <c r="AJ114" s="39">
        <v>1103.769849</v>
      </c>
      <c r="AK114" s="39">
        <v>134.38200000000001</v>
      </c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</row>
    <row r="115" spans="1:68" x14ac:dyDescent="0.25">
      <c r="A115" s="38" t="s">
        <v>114</v>
      </c>
      <c r="B115" s="28">
        <v>2023</v>
      </c>
      <c r="C115" s="39">
        <v>2289.6836699999999</v>
      </c>
      <c r="D115" s="39">
        <v>171.42595299999999</v>
      </c>
      <c r="E115" s="39">
        <v>31.506782000000001</v>
      </c>
      <c r="F115" s="39">
        <v>6.9995539999999998</v>
      </c>
      <c r="G115" s="40">
        <v>31</v>
      </c>
      <c r="H115" s="40"/>
      <c r="I115" s="46"/>
      <c r="J115" s="40"/>
      <c r="K115" s="40"/>
      <c r="L115" s="40"/>
      <c r="M115" s="41" t="s">
        <v>101</v>
      </c>
      <c r="N115" s="42">
        <f t="shared" si="11"/>
        <v>2023</v>
      </c>
      <c r="O115" s="43">
        <f>(C120*15/31)+(C121*15/30)</f>
        <v>2208.9626265645161</v>
      </c>
      <c r="P115" s="43">
        <f>(D120*15/31)+(D121*15/30)</f>
        <v>117.30131648387098</v>
      </c>
      <c r="Q115" s="43">
        <f>(E120*15/31)+(E121*15/30)</f>
        <v>46.69459177419354</v>
      </c>
      <c r="R115" s="45">
        <f>(F120*15/31)+(F121*15/30)</f>
        <v>10.392948193548387</v>
      </c>
      <c r="S115" s="45"/>
      <c r="T115" s="44">
        <v>280.14999999999998</v>
      </c>
      <c r="U115" s="44">
        <v>1025.57</v>
      </c>
      <c r="V115" s="44">
        <v>956.38</v>
      </c>
      <c r="W115" s="44">
        <v>980.48</v>
      </c>
      <c r="X115" s="44">
        <v>148.69</v>
      </c>
      <c r="Y115" s="44">
        <v>469.44</v>
      </c>
      <c r="Z115" s="44">
        <v>901.39</v>
      </c>
      <c r="AA115" s="44">
        <f t="shared" si="6"/>
        <v>1370.83</v>
      </c>
      <c r="AB115" s="44">
        <v>1868.62</v>
      </c>
      <c r="AC115" s="44">
        <v>220.52</v>
      </c>
      <c r="AD115" s="44">
        <f t="shared" si="7"/>
        <v>2089.14</v>
      </c>
      <c r="AE115" s="44">
        <v>1440.97</v>
      </c>
      <c r="AF115" s="44">
        <v>1016.56</v>
      </c>
      <c r="AG115" s="44">
        <v>72.52</v>
      </c>
      <c r="AH115" s="39">
        <v>79.823133999999996</v>
      </c>
      <c r="AI115" s="39">
        <v>29.372568999999999</v>
      </c>
      <c r="AJ115" s="39">
        <v>963.733653</v>
      </c>
      <c r="AK115" s="39">
        <v>117.355</v>
      </c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</row>
    <row r="116" spans="1:68" x14ac:dyDescent="0.25">
      <c r="A116" s="38" t="s">
        <v>92</v>
      </c>
      <c r="B116" s="28">
        <v>2023</v>
      </c>
      <c r="C116" s="39">
        <v>2257.5824090000001</v>
      </c>
      <c r="D116" s="39">
        <v>130.547504</v>
      </c>
      <c r="E116" s="39">
        <v>32.438088</v>
      </c>
      <c r="F116" s="39">
        <v>1.2771319999999999</v>
      </c>
      <c r="G116" s="40">
        <v>30</v>
      </c>
      <c r="H116" s="40"/>
      <c r="I116" s="46"/>
      <c r="J116" s="40"/>
      <c r="K116" s="40"/>
      <c r="L116" s="40"/>
      <c r="M116" s="41" t="s">
        <v>103</v>
      </c>
      <c r="N116" s="42">
        <f t="shared" si="11"/>
        <v>2023</v>
      </c>
      <c r="O116" s="43">
        <f>(C121*15/30)+(C122*16/31)</f>
        <v>2342.9662104354838</v>
      </c>
      <c r="P116" s="43">
        <f>(D121*15/30)+(D122*16/31)</f>
        <v>104.6978489032258</v>
      </c>
      <c r="Q116" s="43">
        <f>(E121*15/30)+(E122*16/31)</f>
        <v>54.652568741935482</v>
      </c>
      <c r="R116" s="45">
        <f>(F121*15/30)+(F122*16/31)</f>
        <v>7.0267099032258065</v>
      </c>
      <c r="S116" s="45"/>
      <c r="T116" s="44">
        <v>172.53</v>
      </c>
      <c r="U116" s="44">
        <v>1028.8900000000001</v>
      </c>
      <c r="V116" s="44">
        <v>780.48</v>
      </c>
      <c r="W116" s="44">
        <v>801.89</v>
      </c>
      <c r="X116" s="44">
        <v>121.58</v>
      </c>
      <c r="Y116" s="44">
        <v>381.01</v>
      </c>
      <c r="Z116" s="44">
        <v>827.86</v>
      </c>
      <c r="AA116" s="44">
        <f t="shared" si="6"/>
        <v>1208.8699999999999</v>
      </c>
      <c r="AB116" s="44">
        <v>1908.32</v>
      </c>
      <c r="AC116" s="44">
        <v>186.22</v>
      </c>
      <c r="AD116" s="44">
        <f t="shared" si="7"/>
        <v>2094.54</v>
      </c>
      <c r="AE116" s="44">
        <v>1530.18</v>
      </c>
      <c r="AF116" s="44">
        <v>1335.41</v>
      </c>
      <c r="AG116" s="44">
        <v>68.16</v>
      </c>
      <c r="AH116" s="39">
        <v>130.403098</v>
      </c>
      <c r="AI116" s="39">
        <v>33.527118999999999</v>
      </c>
      <c r="AJ116" s="39">
        <v>832.71383800000001</v>
      </c>
      <c r="AK116" s="39">
        <v>149.035</v>
      </c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</row>
    <row r="117" spans="1:68" x14ac:dyDescent="0.25">
      <c r="A117" s="38" t="s">
        <v>94</v>
      </c>
      <c r="B117" s="28">
        <v>2023</v>
      </c>
      <c r="C117" s="39">
        <v>2359.9632499999998</v>
      </c>
      <c r="D117" s="39">
        <v>128.52955900000001</v>
      </c>
      <c r="E117" s="39">
        <v>29.636095000000001</v>
      </c>
      <c r="F117" s="39">
        <v>0.37819399999999997</v>
      </c>
      <c r="G117" s="40">
        <v>31</v>
      </c>
      <c r="H117" s="40"/>
      <c r="I117" s="46"/>
      <c r="J117" s="40"/>
      <c r="K117" s="40"/>
      <c r="L117" s="40"/>
      <c r="M117" s="41" t="s">
        <v>105</v>
      </c>
      <c r="N117" s="42">
        <f t="shared" si="11"/>
        <v>2023</v>
      </c>
      <c r="O117" s="43">
        <f>(C122*15/31)+(C123*15/30)</f>
        <v>2318.4448475645163</v>
      </c>
      <c r="P117" s="43">
        <f>(D122*15/31)+(D123*15/30)</f>
        <v>88.847227096774191</v>
      </c>
      <c r="Q117" s="43">
        <f>(E122*15/31)+(E123*15/30)</f>
        <v>57.273894258064516</v>
      </c>
      <c r="R117" s="45">
        <f>(F122*15/31)+(F123*15/30)</f>
        <v>10.377308096774193</v>
      </c>
      <c r="S117" s="45"/>
      <c r="T117" s="44">
        <v>163.57</v>
      </c>
      <c r="U117" s="44">
        <v>878.11</v>
      </c>
      <c r="V117" s="44">
        <v>794.03</v>
      </c>
      <c r="W117" s="44">
        <v>912.88</v>
      </c>
      <c r="X117" s="44">
        <v>130.13999999999999</v>
      </c>
      <c r="Y117" s="44">
        <v>372.47</v>
      </c>
      <c r="Z117" s="44">
        <v>885.2</v>
      </c>
      <c r="AA117" s="44">
        <f t="shared" si="6"/>
        <v>1257.67</v>
      </c>
      <c r="AB117" s="44">
        <v>1928.21</v>
      </c>
      <c r="AC117" s="44">
        <v>220.51</v>
      </c>
      <c r="AD117" s="44">
        <f t="shared" si="7"/>
        <v>2148.7200000000003</v>
      </c>
      <c r="AE117" s="44">
        <v>1337.89</v>
      </c>
      <c r="AF117" s="44">
        <v>1027.98</v>
      </c>
      <c r="AG117" s="44">
        <v>118.13</v>
      </c>
      <c r="AH117" s="39">
        <v>67.077693999999994</v>
      </c>
      <c r="AI117" s="39">
        <v>40.367806999999999</v>
      </c>
      <c r="AJ117" s="39">
        <v>941.10802000000001</v>
      </c>
      <c r="AK117" s="39">
        <v>139.09100000000001</v>
      </c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</row>
    <row r="118" spans="1:68" x14ac:dyDescent="0.25">
      <c r="A118" s="38" t="s">
        <v>96</v>
      </c>
      <c r="B118" s="28">
        <v>2023</v>
      </c>
      <c r="C118" s="39">
        <v>2336.4334359999998</v>
      </c>
      <c r="D118" s="39">
        <v>138.493503</v>
      </c>
      <c r="E118" s="39">
        <v>28.816663999999999</v>
      </c>
      <c r="F118" s="39">
        <v>19.555821999999999</v>
      </c>
      <c r="G118" s="40">
        <v>30</v>
      </c>
      <c r="H118" s="40"/>
      <c r="I118" s="46"/>
      <c r="J118" s="40"/>
      <c r="K118" s="40"/>
      <c r="L118" s="40"/>
      <c r="M118" s="41" t="s">
        <v>107</v>
      </c>
      <c r="N118" s="42">
        <f t="shared" si="11"/>
        <v>2023</v>
      </c>
      <c r="O118" s="43">
        <f>(C123*15/30)+C124</f>
        <v>2270.0481295</v>
      </c>
      <c r="P118" s="43">
        <f>(D123*15/30)+D124</f>
        <v>72.146283999999994</v>
      </c>
      <c r="Q118" s="43">
        <f>(E123*15/30)+E124</f>
        <v>46.577888999999999</v>
      </c>
      <c r="R118" s="45">
        <f>(F123*15/30)+F124</f>
        <v>10.460931</v>
      </c>
      <c r="S118" s="45"/>
      <c r="T118" s="44">
        <v>215.22</v>
      </c>
      <c r="U118" s="44">
        <v>847.72</v>
      </c>
      <c r="V118" s="44">
        <v>897.57</v>
      </c>
      <c r="W118" s="44">
        <v>938.74</v>
      </c>
      <c r="X118" s="44">
        <v>122.33</v>
      </c>
      <c r="Y118" s="44">
        <v>431.38</v>
      </c>
      <c r="Z118" s="44">
        <v>1083.44</v>
      </c>
      <c r="AA118" s="44">
        <f t="shared" si="6"/>
        <v>1514.8200000000002</v>
      </c>
      <c r="AB118" s="44">
        <v>1943.95</v>
      </c>
      <c r="AC118" s="44">
        <v>136.5</v>
      </c>
      <c r="AD118" s="44">
        <f t="shared" si="7"/>
        <v>2080.4499999999998</v>
      </c>
      <c r="AE118" s="44">
        <v>1452.3</v>
      </c>
      <c r="AF118" s="44">
        <v>1027.3</v>
      </c>
      <c r="AG118" s="44">
        <v>28.22</v>
      </c>
      <c r="AH118" s="39">
        <v>37.538494999999998</v>
      </c>
      <c r="AI118" s="39">
        <v>28.780207000000001</v>
      </c>
      <c r="AJ118" s="39">
        <v>912.02499799999998</v>
      </c>
      <c r="AK118" s="39">
        <v>105.264</v>
      </c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</row>
    <row r="119" spans="1:68" x14ac:dyDescent="0.25">
      <c r="A119" s="38" t="s">
        <v>98</v>
      </c>
      <c r="B119" s="28">
        <v>2023</v>
      </c>
      <c r="C119" s="39">
        <v>2316.7399500000001</v>
      </c>
      <c r="D119" s="39">
        <v>110.49426200000001</v>
      </c>
      <c r="E119" s="39">
        <v>37.429406</v>
      </c>
      <c r="F119" s="39">
        <v>14.297622</v>
      </c>
      <c r="G119" s="40">
        <v>31</v>
      </c>
      <c r="H119" s="40"/>
      <c r="I119" s="46"/>
      <c r="J119" s="40"/>
      <c r="K119" s="40"/>
      <c r="L119" s="40"/>
      <c r="M119" s="41" t="s">
        <v>109</v>
      </c>
      <c r="N119" s="42">
        <f>N118+1</f>
        <v>2024</v>
      </c>
      <c r="O119" s="43">
        <f>C125+(C126*16/31)</f>
        <v>2202.3661214838708</v>
      </c>
      <c r="P119" s="43">
        <f>D125+(D126*16/31)</f>
        <v>56.937112580645163</v>
      </c>
      <c r="Q119" s="43">
        <f>E125+(E126*16/31)</f>
        <v>34.046637580645161</v>
      </c>
      <c r="R119" s="45">
        <f>F125+(F126*16/31)</f>
        <v>4.9151618064516125</v>
      </c>
      <c r="S119" s="45"/>
      <c r="T119" s="44">
        <v>249.36</v>
      </c>
      <c r="U119" s="44">
        <v>857.65</v>
      </c>
      <c r="V119" s="44">
        <v>876.09</v>
      </c>
      <c r="W119" s="44">
        <v>761.88</v>
      </c>
      <c r="X119" s="44">
        <v>113.15</v>
      </c>
      <c r="Y119" s="44">
        <v>485.37</v>
      </c>
      <c r="Z119" s="44">
        <v>910.97</v>
      </c>
      <c r="AA119" s="44">
        <f t="shared" si="6"/>
        <v>1396.3400000000001</v>
      </c>
      <c r="AB119" s="44">
        <v>1745.91</v>
      </c>
      <c r="AC119" s="44">
        <v>190.33</v>
      </c>
      <c r="AD119" s="44">
        <f t="shared" si="7"/>
        <v>1936.24</v>
      </c>
      <c r="AE119" s="44">
        <v>1624.71</v>
      </c>
      <c r="AF119" s="44">
        <v>1174.32</v>
      </c>
      <c r="AG119" s="44">
        <v>32.32</v>
      </c>
      <c r="AH119" s="39">
        <v>76.447000000000003</v>
      </c>
      <c r="AI119" s="39">
        <v>33.042000000000002</v>
      </c>
      <c r="AJ119" s="39">
        <v>818.74</v>
      </c>
      <c r="AK119" s="39">
        <v>115.593</v>
      </c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</row>
    <row r="120" spans="1:68" x14ac:dyDescent="0.25">
      <c r="A120" s="38" t="s">
        <v>100</v>
      </c>
      <c r="B120" s="28">
        <v>2023</v>
      </c>
      <c r="C120" s="39">
        <v>2256.0996439999999</v>
      </c>
      <c r="D120" s="39">
        <v>126.726761</v>
      </c>
      <c r="E120" s="39">
        <v>42.411237999999997</v>
      </c>
      <c r="F120" s="39">
        <v>7.2574290000000001</v>
      </c>
      <c r="G120" s="40">
        <v>31</v>
      </c>
      <c r="H120" s="40"/>
      <c r="I120" s="46"/>
      <c r="J120" s="40"/>
      <c r="K120" s="40"/>
      <c r="L120" s="40"/>
      <c r="M120" s="41" t="s">
        <v>111</v>
      </c>
      <c r="N120" s="42">
        <f>N119</f>
        <v>2024</v>
      </c>
      <c r="O120" s="43">
        <f>(C126*15/31)+(C127*13/28)</f>
        <v>2171.7690618018432</v>
      </c>
      <c r="P120" s="43">
        <f>(D126*15/31)+(D127*13/28)</f>
        <v>70.526019240783398</v>
      </c>
      <c r="Q120" s="43">
        <f>(E126*15/31)+(E127*13/28)</f>
        <v>46.694137669354845</v>
      </c>
      <c r="R120" s="45">
        <f>(F126*15/31)+(F127*13/28)</f>
        <v>8.235147122119816</v>
      </c>
      <c r="S120" s="45"/>
      <c r="T120" s="44">
        <v>224.61</v>
      </c>
      <c r="U120" s="44">
        <v>819.7</v>
      </c>
      <c r="V120" s="44">
        <v>975.05</v>
      </c>
      <c r="W120" s="44">
        <v>851.62</v>
      </c>
      <c r="X120" s="44">
        <v>97.88</v>
      </c>
      <c r="Y120" s="44">
        <v>403.52</v>
      </c>
      <c r="Z120" s="44">
        <v>998.82</v>
      </c>
      <c r="AA120" s="44">
        <f t="shared" si="6"/>
        <v>1402.3400000000001</v>
      </c>
      <c r="AB120" s="44">
        <v>1917.01</v>
      </c>
      <c r="AC120" s="44">
        <v>157.06</v>
      </c>
      <c r="AD120" s="44">
        <f t="shared" si="7"/>
        <v>2074.0700000000002</v>
      </c>
      <c r="AE120" s="44">
        <v>1468.19</v>
      </c>
      <c r="AF120" s="44">
        <v>966.27</v>
      </c>
      <c r="AG120" s="44">
        <v>56.36</v>
      </c>
      <c r="AH120" s="39">
        <v>45.277999999999999</v>
      </c>
      <c r="AI120" s="39">
        <v>44.354999999999997</v>
      </c>
      <c r="AJ120" s="39">
        <v>901.32399999999996</v>
      </c>
      <c r="AK120" s="39">
        <v>91.094999999999999</v>
      </c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</row>
    <row r="121" spans="1:68" x14ac:dyDescent="0.25">
      <c r="A121" s="38" t="s">
        <v>102</v>
      </c>
      <c r="B121" s="28">
        <v>2023</v>
      </c>
      <c r="C121" s="39">
        <v>2234.6030169999999</v>
      </c>
      <c r="D121" s="39">
        <v>111.963832</v>
      </c>
      <c r="E121" s="39">
        <v>52.346049999999998</v>
      </c>
      <c r="F121" s="39">
        <v>13.762578</v>
      </c>
      <c r="G121" s="40">
        <v>30</v>
      </c>
      <c r="H121" s="40"/>
      <c r="I121" s="46"/>
      <c r="J121" s="40"/>
      <c r="K121" s="40"/>
      <c r="L121" s="40"/>
      <c r="M121" s="41" t="s">
        <v>113</v>
      </c>
      <c r="N121" s="42">
        <f t="shared" ref="N121:N130" si="12">N120</f>
        <v>2024</v>
      </c>
      <c r="O121" s="43">
        <f>(C127*15/28)+(C128*16/31)</f>
        <v>2323.6212551981571</v>
      </c>
      <c r="P121" s="43">
        <f>(D127*15/28)+(D128*16/31)</f>
        <v>82.92696537211981</v>
      </c>
      <c r="Q121" s="43">
        <f>(E127*15/28)+(E128*16/31)</f>
        <v>73.65200484677419</v>
      </c>
      <c r="R121" s="45">
        <f>(F127*15/28)+(F128*16/31)</f>
        <v>23.009715329493087</v>
      </c>
      <c r="S121" s="45"/>
      <c r="T121" s="44">
        <v>212.55</v>
      </c>
      <c r="U121" s="44">
        <v>909.23</v>
      </c>
      <c r="V121" s="44">
        <v>987.16</v>
      </c>
      <c r="W121" s="44">
        <v>866.14</v>
      </c>
      <c r="X121" s="44">
        <v>123.08</v>
      </c>
      <c r="Y121" s="44">
        <v>477.08</v>
      </c>
      <c r="Z121" s="44">
        <v>1022.02</v>
      </c>
      <c r="AA121" s="44">
        <f t="shared" si="6"/>
        <v>1499.1</v>
      </c>
      <c r="AB121" s="44">
        <v>1716.34</v>
      </c>
      <c r="AC121" s="44">
        <v>184.73</v>
      </c>
      <c r="AD121" s="44">
        <f t="shared" si="7"/>
        <v>1901.07</v>
      </c>
      <c r="AE121" s="44">
        <v>1488.27</v>
      </c>
      <c r="AF121" s="44">
        <v>866.87</v>
      </c>
      <c r="AG121" s="44">
        <v>72.760000000000005</v>
      </c>
      <c r="AH121" s="39">
        <v>98.912000000000006</v>
      </c>
      <c r="AI121" s="39">
        <v>24.956</v>
      </c>
      <c r="AJ121" s="39">
        <v>839.15300000000002</v>
      </c>
      <c r="AK121" s="39">
        <v>50.167999999999999</v>
      </c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</row>
    <row r="122" spans="1:68" x14ac:dyDescent="0.25">
      <c r="A122" s="38" t="s">
        <v>118</v>
      </c>
      <c r="B122" s="28">
        <v>2023</v>
      </c>
      <c r="C122" s="39">
        <v>2374.7253599999999</v>
      </c>
      <c r="D122" s="39">
        <v>94.387119999999996</v>
      </c>
      <c r="E122" s="39">
        <v>55.179116</v>
      </c>
      <c r="F122" s="39">
        <v>0.28175299999999998</v>
      </c>
      <c r="G122" s="40">
        <v>31</v>
      </c>
      <c r="H122" s="40"/>
      <c r="I122" s="46"/>
      <c r="J122" s="40"/>
      <c r="K122" s="40"/>
      <c r="L122" s="40"/>
      <c r="M122" s="41" t="s">
        <v>115</v>
      </c>
      <c r="N122" s="42">
        <f t="shared" si="12"/>
        <v>2024</v>
      </c>
      <c r="O122" s="43">
        <f>(C128+15/31)+(C129*15/30)</f>
        <v>3351.7234074677417</v>
      </c>
      <c r="P122" s="43">
        <f>(D128+15/31)+(D129*15/30)</f>
        <v>131.36036146774194</v>
      </c>
      <c r="Q122" s="43">
        <f>(E128+15/31)+(E129*15/30)</f>
        <v>117.29508696774194</v>
      </c>
      <c r="R122" s="45">
        <f>(F128+15/31)+(F129*15/30)</f>
        <v>45.495540967741931</v>
      </c>
      <c r="S122" s="45"/>
      <c r="T122" s="44">
        <v>227.23</v>
      </c>
      <c r="U122" s="44">
        <v>973.05</v>
      </c>
      <c r="V122" s="44">
        <v>987.37</v>
      </c>
      <c r="W122" s="44">
        <v>885.16</v>
      </c>
      <c r="X122" s="44">
        <v>98.43</v>
      </c>
      <c r="Y122" s="44">
        <v>371.25</v>
      </c>
      <c r="Z122" s="44">
        <v>1090.08</v>
      </c>
      <c r="AA122" s="44">
        <f t="shared" si="6"/>
        <v>1461.33</v>
      </c>
      <c r="AB122" s="44">
        <v>1889.1</v>
      </c>
      <c r="AC122" s="44">
        <v>215.92</v>
      </c>
      <c r="AD122" s="44">
        <f t="shared" si="7"/>
        <v>2105.02</v>
      </c>
      <c r="AE122" s="44">
        <v>1608.19</v>
      </c>
      <c r="AF122" s="44">
        <v>1200.96</v>
      </c>
      <c r="AG122" s="44">
        <v>99.52</v>
      </c>
      <c r="AH122" s="39">
        <v>80.646000000000001</v>
      </c>
      <c r="AI122" s="39">
        <v>27.013000000000002</v>
      </c>
      <c r="AJ122" s="39">
        <v>930.13099999999997</v>
      </c>
      <c r="AK122" s="39">
        <v>127.782</v>
      </c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</row>
    <row r="123" spans="1:68" x14ac:dyDescent="0.25">
      <c r="A123" s="38" t="s">
        <v>106</v>
      </c>
      <c r="B123" s="28">
        <v>2023</v>
      </c>
      <c r="C123" s="39">
        <v>2338.7683790000001</v>
      </c>
      <c r="D123" s="39">
        <v>86.352080000000001</v>
      </c>
      <c r="E123" s="39">
        <v>61.148643999999997</v>
      </c>
      <c r="F123" s="39">
        <v>20.481952</v>
      </c>
      <c r="G123" s="40">
        <v>30</v>
      </c>
      <c r="H123" s="40"/>
      <c r="I123" s="46"/>
      <c r="J123" s="40"/>
      <c r="K123" s="40"/>
      <c r="L123" s="40"/>
      <c r="M123" s="41" t="s">
        <v>93</v>
      </c>
      <c r="N123" s="42">
        <f t="shared" si="12"/>
        <v>2024</v>
      </c>
      <c r="O123" s="43">
        <f>(C129*15/30)+(C130*16/31)</f>
        <v>2316.692171112903</v>
      </c>
      <c r="P123" s="43">
        <f>(D129*15/30)+(D130*16/31)</f>
        <v>80.168157241935489</v>
      </c>
      <c r="Q123" s="43">
        <f>(E129*15/30)+(E130*16/31)</f>
        <v>77.161840967741938</v>
      </c>
      <c r="R123" s="45">
        <f>(F129*15/30)+(F130*16/31)</f>
        <v>16.129247193548387</v>
      </c>
      <c r="S123" s="45"/>
      <c r="T123" s="44">
        <v>305.44</v>
      </c>
      <c r="U123" s="44">
        <v>1042.79</v>
      </c>
      <c r="V123" s="44">
        <v>965.19</v>
      </c>
      <c r="W123" s="44">
        <v>864.82</v>
      </c>
      <c r="X123" s="44">
        <v>122.21</v>
      </c>
      <c r="Y123" s="44">
        <v>403.3</v>
      </c>
      <c r="Z123" s="44">
        <v>1074.75</v>
      </c>
      <c r="AA123" s="44">
        <f t="shared" si="6"/>
        <v>1478.05</v>
      </c>
      <c r="AB123" s="44">
        <v>2044.23</v>
      </c>
      <c r="AC123" s="44">
        <v>124.58</v>
      </c>
      <c r="AD123" s="44">
        <f t="shared" si="7"/>
        <v>2168.81</v>
      </c>
      <c r="AE123" s="44">
        <v>1511.93</v>
      </c>
      <c r="AF123" s="44">
        <v>1075.8900000000001</v>
      </c>
      <c r="AG123" s="44">
        <v>196.71</v>
      </c>
      <c r="AH123" s="39">
        <v>50.582999999999998</v>
      </c>
      <c r="AI123" s="39">
        <v>20.097999999999999</v>
      </c>
      <c r="AJ123" s="39">
        <v>825.35</v>
      </c>
      <c r="AK123" s="39">
        <v>98.611999999999995</v>
      </c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</row>
    <row r="124" spans="1:68" ht="15.75" x14ac:dyDescent="0.25">
      <c r="A124" s="38" t="s">
        <v>107</v>
      </c>
      <c r="B124" s="28">
        <v>2023</v>
      </c>
      <c r="C124" s="39">
        <v>1100.6639399999999</v>
      </c>
      <c r="D124" s="39">
        <v>28.970244000000001</v>
      </c>
      <c r="E124" s="39">
        <v>16.003567</v>
      </c>
      <c r="F124" s="39">
        <v>0.21995500000000001</v>
      </c>
      <c r="G124" s="40">
        <v>16</v>
      </c>
      <c r="H124" s="40"/>
      <c r="I124" s="46"/>
      <c r="J124" s="40"/>
      <c r="K124" s="40"/>
      <c r="L124" s="40"/>
      <c r="M124" s="41" t="s">
        <v>95</v>
      </c>
      <c r="N124" s="42">
        <f t="shared" si="12"/>
        <v>2024</v>
      </c>
      <c r="O124" s="43">
        <f>(C130*15/31)+(C131*15/30)</f>
        <v>2313.433230387097</v>
      </c>
      <c r="P124" s="43">
        <f>(D130*15/31)+(D131*15/30)</f>
        <v>71.900131258064519</v>
      </c>
      <c r="Q124" s="43">
        <f>(E130*15/31)+(E131*15/30)</f>
        <v>45.228261532258074</v>
      </c>
      <c r="R124" s="45">
        <f>(F130*15/31)+(F131*15/30)</f>
        <v>10.418378306451613</v>
      </c>
      <c r="S124" s="45"/>
      <c r="T124" s="44">
        <v>324.74</v>
      </c>
      <c r="U124" s="44">
        <v>1050.76</v>
      </c>
      <c r="V124" s="47">
        <v>1043</v>
      </c>
      <c r="W124" s="44">
        <v>899.52</v>
      </c>
      <c r="X124" s="44">
        <v>104.45</v>
      </c>
      <c r="Y124" s="44">
        <v>465.54</v>
      </c>
      <c r="Z124" s="44">
        <v>992.03</v>
      </c>
      <c r="AA124" s="44">
        <f t="shared" si="6"/>
        <v>1457.57</v>
      </c>
      <c r="AB124" s="44">
        <v>1892</v>
      </c>
      <c r="AC124" s="44">
        <v>178</v>
      </c>
      <c r="AD124" s="44">
        <f t="shared" si="7"/>
        <v>2070</v>
      </c>
      <c r="AE124" s="44">
        <v>1596</v>
      </c>
      <c r="AF124" s="44">
        <v>1094</v>
      </c>
      <c r="AG124" s="44">
        <v>61.19</v>
      </c>
      <c r="AH124" s="39">
        <v>42.145000000000003</v>
      </c>
      <c r="AI124" s="39">
        <v>14.534000000000001</v>
      </c>
      <c r="AJ124" s="39">
        <v>908.54100000000005</v>
      </c>
      <c r="AK124" s="39">
        <v>121.842</v>
      </c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</row>
    <row r="125" spans="1:68" ht="15.75" x14ac:dyDescent="0.25">
      <c r="A125" s="38" t="s">
        <v>109</v>
      </c>
      <c r="B125" s="28">
        <v>2024</v>
      </c>
      <c r="C125" s="39">
        <v>952.28852199999994</v>
      </c>
      <c r="D125" s="39">
        <v>17.420069999999999</v>
      </c>
      <c r="E125" s="39">
        <v>15.938122999999999</v>
      </c>
      <c r="F125" s="39">
        <v>0</v>
      </c>
      <c r="G125" s="40">
        <v>15</v>
      </c>
      <c r="H125" s="40"/>
      <c r="I125" s="40"/>
      <c r="J125" s="40"/>
      <c r="K125" s="40"/>
      <c r="L125" s="40"/>
      <c r="M125" s="41" t="s">
        <v>97</v>
      </c>
      <c r="N125" s="42">
        <f t="shared" si="12"/>
        <v>2024</v>
      </c>
      <c r="O125" s="43">
        <f>(C131*15/30)+(C132*16/31)</f>
        <v>2346.2642571290326</v>
      </c>
      <c r="P125" s="43">
        <f>(D131*15/30)+(D132*16/31)</f>
        <v>68.566993354838701</v>
      </c>
      <c r="Q125" s="43">
        <f>(E131*15/30)+(E132*16/31)</f>
        <v>57.17480824193548</v>
      </c>
      <c r="R125" s="45">
        <f>(F131*15/30)+(F132*16/31)</f>
        <v>29.208429983870964</v>
      </c>
      <c r="S125" s="45"/>
      <c r="T125" s="44">
        <v>323.48</v>
      </c>
      <c r="U125" s="44">
        <v>1198</v>
      </c>
      <c r="V125" s="48">
        <v>937</v>
      </c>
      <c r="W125" s="44">
        <v>891.13</v>
      </c>
      <c r="X125" s="44">
        <v>126.77</v>
      </c>
      <c r="Y125" s="44">
        <v>403.18</v>
      </c>
      <c r="Z125" s="44">
        <v>1038.6400000000001</v>
      </c>
      <c r="AA125" s="44">
        <f t="shared" si="6"/>
        <v>1441.8200000000002</v>
      </c>
      <c r="AB125" s="44">
        <v>1814</v>
      </c>
      <c r="AC125" s="44">
        <v>239</v>
      </c>
      <c r="AD125" s="44">
        <f t="shared" si="7"/>
        <v>2053</v>
      </c>
      <c r="AE125" s="44">
        <v>1523</v>
      </c>
      <c r="AF125" s="44">
        <v>982</v>
      </c>
      <c r="AG125" s="44">
        <v>108.81</v>
      </c>
      <c r="AH125" s="39">
        <v>59.543999999999997</v>
      </c>
      <c r="AI125" s="39">
        <v>36.627000000000002</v>
      </c>
      <c r="AJ125" s="39">
        <v>866.98099999999999</v>
      </c>
      <c r="AK125" s="39">
        <v>101.404</v>
      </c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</row>
    <row r="126" spans="1:68" ht="15.75" x14ac:dyDescent="0.25">
      <c r="A126" s="38" t="s">
        <v>117</v>
      </c>
      <c r="B126" s="28">
        <v>2024</v>
      </c>
      <c r="C126" s="39">
        <v>2422.025349</v>
      </c>
      <c r="D126" s="39">
        <v>76.564269999999993</v>
      </c>
      <c r="E126" s="39">
        <v>35.085247000000003</v>
      </c>
      <c r="F126" s="39">
        <v>9.5231259999999995</v>
      </c>
      <c r="G126" s="40">
        <v>31</v>
      </c>
      <c r="H126" s="40"/>
      <c r="I126" s="40"/>
      <c r="J126" s="40"/>
      <c r="K126" s="40"/>
      <c r="L126" s="40"/>
      <c r="M126" s="41" t="s">
        <v>99</v>
      </c>
      <c r="N126" s="42">
        <f t="shared" si="12"/>
        <v>2024</v>
      </c>
      <c r="O126" s="43">
        <f>(C132*15/31)+(C133*16/31)</f>
        <v>2276.900122032258</v>
      </c>
      <c r="P126" s="43">
        <f>(D132*15/31)+(D133*16/31)</f>
        <v>64.06533025806452</v>
      </c>
      <c r="Q126" s="43">
        <f>(E132*15/31)+(E133*16/31)</f>
        <v>77.30153261290323</v>
      </c>
      <c r="R126" s="45">
        <f>(F132*15/31)+(F133*16/31)</f>
        <v>35.730810999999996</v>
      </c>
      <c r="S126" s="45"/>
      <c r="T126" s="44">
        <v>355.3</v>
      </c>
      <c r="U126" s="44">
        <v>1163</v>
      </c>
      <c r="V126" s="48">
        <v>907</v>
      </c>
      <c r="W126" s="44">
        <v>960.89</v>
      </c>
      <c r="X126" s="44">
        <v>152.02000000000001</v>
      </c>
      <c r="Y126" s="44">
        <v>441.17</v>
      </c>
      <c r="Z126" s="44">
        <v>1099.19</v>
      </c>
      <c r="AA126" s="44">
        <f t="shared" si="6"/>
        <v>1540.3600000000001</v>
      </c>
      <c r="AB126" s="44">
        <v>1710</v>
      </c>
      <c r="AC126" s="44">
        <v>188</v>
      </c>
      <c r="AD126" s="44">
        <f t="shared" si="7"/>
        <v>1898</v>
      </c>
      <c r="AE126" s="44">
        <v>1604</v>
      </c>
      <c r="AF126" s="44">
        <v>807</v>
      </c>
      <c r="AG126" s="44">
        <v>73.150000000000006</v>
      </c>
      <c r="AH126" s="39">
        <v>50.076000000000001</v>
      </c>
      <c r="AI126" s="39">
        <v>13.393000000000001</v>
      </c>
      <c r="AJ126" s="39">
        <v>968.31299999999999</v>
      </c>
      <c r="AK126" s="39">
        <v>132.53399999999999</v>
      </c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</row>
    <row r="127" spans="1:68" ht="15.75" x14ac:dyDescent="0.25">
      <c r="A127" s="38" t="s">
        <v>112</v>
      </c>
      <c r="B127" s="28">
        <v>2024</v>
      </c>
      <c r="C127" s="39">
        <v>2153.461288</v>
      </c>
      <c r="D127" s="39">
        <v>72.108166999999995</v>
      </c>
      <c r="E127" s="39">
        <v>64.006719000000004</v>
      </c>
      <c r="F127" s="39">
        <v>7.8123940000000003</v>
      </c>
      <c r="G127" s="40">
        <v>28</v>
      </c>
      <c r="H127" s="40"/>
      <c r="I127" s="40"/>
      <c r="J127" s="40"/>
      <c r="K127" s="40"/>
      <c r="L127" s="40"/>
      <c r="M127" s="41" t="s">
        <v>101</v>
      </c>
      <c r="N127" s="42">
        <f t="shared" si="12"/>
        <v>2024</v>
      </c>
      <c r="O127" s="43">
        <f>(C133*15/31)+(C134*15/30)</f>
        <v>2228.2769738387096</v>
      </c>
      <c r="P127" s="43">
        <f>(D133*15/31)+(D134*15/30)</f>
        <v>71.282510387096778</v>
      </c>
      <c r="Q127" s="43">
        <f>(E133*15/31)+(E134*15/30)</f>
        <v>48.541226145161289</v>
      </c>
      <c r="R127" s="45">
        <f>(F133*15/31)+(F134*15/30)</f>
        <v>15.109840516129033</v>
      </c>
      <c r="S127" s="45"/>
      <c r="T127" s="44">
        <v>309.33</v>
      </c>
      <c r="U127" s="44">
        <v>1024</v>
      </c>
      <c r="V127" s="47">
        <v>1062</v>
      </c>
      <c r="W127" s="44">
        <v>1111.73</v>
      </c>
      <c r="X127" s="44">
        <v>133.91</v>
      </c>
      <c r="Y127" s="44">
        <v>431.18</v>
      </c>
      <c r="Z127" s="44">
        <v>870.89</v>
      </c>
      <c r="AA127" s="44">
        <f t="shared" si="6"/>
        <v>1302.07</v>
      </c>
      <c r="AB127" s="44">
        <v>1721</v>
      </c>
      <c r="AC127" s="44">
        <v>218</v>
      </c>
      <c r="AD127" s="44">
        <f t="shared" si="7"/>
        <v>1939</v>
      </c>
      <c r="AE127" s="44">
        <v>1587</v>
      </c>
      <c r="AF127" s="44">
        <v>1043</v>
      </c>
      <c r="AG127" s="44">
        <v>81.77</v>
      </c>
      <c r="AH127" s="39">
        <v>43.968000000000004</v>
      </c>
      <c r="AI127" s="39">
        <v>26.824000000000002</v>
      </c>
      <c r="AJ127" s="39">
        <v>1005.994</v>
      </c>
      <c r="AK127" s="39">
        <v>110.60899999999999</v>
      </c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</row>
    <row r="128" spans="1:68" ht="15.75" x14ac:dyDescent="0.25">
      <c r="A128" s="38" t="s">
        <v>114</v>
      </c>
      <c r="B128" s="28">
        <v>2024</v>
      </c>
      <c r="C128" s="39">
        <v>2266.8387290000001</v>
      </c>
      <c r="D128" s="39">
        <v>85.826581000000004</v>
      </c>
      <c r="E128" s="39">
        <v>76.265214</v>
      </c>
      <c r="F128" s="39">
        <v>36.472476999999998</v>
      </c>
      <c r="G128" s="40">
        <v>31</v>
      </c>
      <c r="H128" s="40"/>
      <c r="I128" s="40"/>
      <c r="J128" s="40"/>
      <c r="K128" s="40"/>
      <c r="L128" s="40"/>
      <c r="M128" s="41" t="s">
        <v>103</v>
      </c>
      <c r="N128" s="42">
        <f t="shared" si="12"/>
        <v>2024</v>
      </c>
      <c r="O128" s="43">
        <f>(C134*15/30)+(C135*16/31)</f>
        <v>2342.8780633870965</v>
      </c>
      <c r="P128" s="43">
        <f>(D134*15/30)+(D135*16/31)</f>
        <v>72.892260516129028</v>
      </c>
      <c r="Q128" s="43">
        <f>(E134*15/30)+(E135*16/31)</f>
        <v>51.867189177419355</v>
      </c>
      <c r="R128" s="45">
        <f>(F134*15/30)+(F135*16/31)</f>
        <v>4.3809110000000002</v>
      </c>
      <c r="S128" s="45"/>
      <c r="T128" s="44">
        <v>296</v>
      </c>
      <c r="U128" s="44">
        <v>1119</v>
      </c>
      <c r="V128" s="47">
        <v>1111</v>
      </c>
      <c r="W128" s="44">
        <v>1147.42</v>
      </c>
      <c r="X128" s="44">
        <v>137.01</v>
      </c>
      <c r="Y128" s="44">
        <v>382</v>
      </c>
      <c r="Z128" s="44">
        <v>941</v>
      </c>
      <c r="AA128" s="44">
        <f t="shared" si="6"/>
        <v>1323</v>
      </c>
      <c r="AB128" s="44">
        <v>1971</v>
      </c>
      <c r="AC128" s="44">
        <v>227</v>
      </c>
      <c r="AD128" s="44">
        <f t="shared" si="7"/>
        <v>2198</v>
      </c>
      <c r="AE128" s="44">
        <v>1605</v>
      </c>
      <c r="AF128" s="44">
        <v>1247</v>
      </c>
      <c r="AG128" s="44">
        <v>59.27</v>
      </c>
      <c r="AH128" s="39">
        <v>61.052999999999997</v>
      </c>
      <c r="AI128" s="39">
        <v>25.655000000000001</v>
      </c>
      <c r="AJ128" s="39">
        <v>1219.0160000000001</v>
      </c>
      <c r="AK128" s="39">
        <v>85.295000000000002</v>
      </c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</row>
    <row r="129" spans="1:68" ht="15.75" x14ac:dyDescent="0.25">
      <c r="A129" s="38" t="s">
        <v>92</v>
      </c>
      <c r="B129" s="28">
        <v>2024</v>
      </c>
      <c r="C129" s="39">
        <v>2168.8016149999999</v>
      </c>
      <c r="D129" s="39">
        <v>90.099818999999997</v>
      </c>
      <c r="E129" s="39">
        <v>81.092004000000003</v>
      </c>
      <c r="F129" s="39">
        <v>17.078385999999998</v>
      </c>
      <c r="G129" s="40">
        <v>30</v>
      </c>
      <c r="H129" s="40"/>
      <c r="I129" s="40"/>
      <c r="J129" s="40"/>
      <c r="K129" s="40"/>
      <c r="L129" s="40"/>
      <c r="M129" s="41" t="s">
        <v>105</v>
      </c>
      <c r="N129" s="42">
        <f t="shared" si="12"/>
        <v>2024</v>
      </c>
      <c r="O129" s="43">
        <f>(C135*15/31)+(C136*15/30)</f>
        <v>2186.8986171129031</v>
      </c>
      <c r="P129" s="43">
        <f>(D135*15/31)+(D136*15/30)</f>
        <v>64.188739483870961</v>
      </c>
      <c r="Q129" s="43">
        <f>(E135*15/31)+(E136*15/30)</f>
        <v>65.932514822580657</v>
      </c>
      <c r="R129" s="45">
        <f>(F135*15/31)+(F136*15/30)</f>
        <v>0</v>
      </c>
      <c r="S129" s="45"/>
      <c r="T129" s="44">
        <v>301</v>
      </c>
      <c r="U129" s="44">
        <v>879</v>
      </c>
      <c r="V129" s="47">
        <v>1194</v>
      </c>
      <c r="W129" s="44">
        <v>795</v>
      </c>
      <c r="X129" s="44">
        <v>121.49</v>
      </c>
      <c r="Y129" s="44">
        <v>379</v>
      </c>
      <c r="Z129" s="44">
        <v>1173</v>
      </c>
      <c r="AA129" s="44">
        <f t="shared" si="6"/>
        <v>1552</v>
      </c>
      <c r="AB129" s="44">
        <v>1796</v>
      </c>
      <c r="AC129" s="44">
        <v>115</v>
      </c>
      <c r="AD129" s="44">
        <f t="shared" si="7"/>
        <v>1911</v>
      </c>
      <c r="AE129" s="44">
        <v>1541</v>
      </c>
      <c r="AF129" s="44">
        <v>676</v>
      </c>
      <c r="AG129" s="44">
        <v>67.239999999999995</v>
      </c>
      <c r="AH129" s="39">
        <v>51.237000000000002</v>
      </c>
      <c r="AI129" s="39">
        <v>19.995000000000001</v>
      </c>
      <c r="AJ129" s="39">
        <v>945.70100000000002</v>
      </c>
      <c r="AK129" s="39">
        <v>138.31200000000001</v>
      </c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</row>
    <row r="130" spans="1:68" ht="15.75" x14ac:dyDescent="0.25">
      <c r="A130" s="38" t="s">
        <v>94</v>
      </c>
      <c r="B130" s="28">
        <v>2024</v>
      </c>
      <c r="C130" s="39">
        <v>2387.5645169999998</v>
      </c>
      <c r="D130" s="39">
        <v>68.041605000000004</v>
      </c>
      <c r="E130" s="39">
        <v>70.943188000000006</v>
      </c>
      <c r="F130" s="39">
        <v>14.705730000000001</v>
      </c>
      <c r="G130" s="40">
        <v>31</v>
      </c>
      <c r="H130" s="40"/>
      <c r="I130" s="40"/>
      <c r="J130" s="40"/>
      <c r="K130" s="40"/>
      <c r="L130" s="40"/>
      <c r="M130" s="41" t="s">
        <v>107</v>
      </c>
      <c r="N130" s="42">
        <f t="shared" si="12"/>
        <v>2024</v>
      </c>
      <c r="O130" s="43">
        <f>(C136*15/30)+C137</f>
        <v>1472.3408225000001</v>
      </c>
      <c r="P130" s="43">
        <f>(D136*15/30)+D137</f>
        <v>31.291772999999999</v>
      </c>
      <c r="Q130" s="43">
        <f>(E136*15/30)+E137</f>
        <v>43.597767499999996</v>
      </c>
      <c r="R130" s="45">
        <f>(F136*15/30)+F137</f>
        <v>21.403099999999998</v>
      </c>
      <c r="S130" s="45"/>
      <c r="T130" s="44">
        <v>312</v>
      </c>
      <c r="U130" s="44">
        <v>928</v>
      </c>
      <c r="V130" s="47">
        <v>1162</v>
      </c>
      <c r="W130" s="44">
        <v>718</v>
      </c>
      <c r="X130" s="44">
        <v>125.58</v>
      </c>
      <c r="Y130" s="44">
        <v>359</v>
      </c>
      <c r="Z130" s="44">
        <v>1246</v>
      </c>
      <c r="AA130" s="44">
        <f t="shared" si="6"/>
        <v>1605</v>
      </c>
      <c r="AB130" s="44">
        <v>1696</v>
      </c>
      <c r="AC130" s="44">
        <v>84</v>
      </c>
      <c r="AD130" s="44">
        <f t="shared" si="7"/>
        <v>1780</v>
      </c>
      <c r="AE130" s="44">
        <v>1622</v>
      </c>
      <c r="AF130" s="44">
        <v>723</v>
      </c>
      <c r="AG130" s="44">
        <v>185.22</v>
      </c>
      <c r="AH130" s="39">
        <v>49.395000000000003</v>
      </c>
      <c r="AI130" s="39">
        <v>21.196999999999999</v>
      </c>
      <c r="AJ130" s="39">
        <v>713.22799999999995</v>
      </c>
      <c r="AK130" s="39">
        <v>118.453</v>
      </c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</row>
    <row r="131" spans="1:68" ht="15.75" x14ac:dyDescent="0.25">
      <c r="A131" s="38" t="s">
        <v>96</v>
      </c>
      <c r="B131" s="28">
        <v>2024</v>
      </c>
      <c r="C131" s="39">
        <v>2316.320154</v>
      </c>
      <c r="D131" s="39">
        <v>77.953547999999998</v>
      </c>
      <c r="E131" s="39">
        <v>21.801825000000001</v>
      </c>
      <c r="F131" s="39">
        <v>6.6054050000000002</v>
      </c>
      <c r="G131" s="40">
        <v>30</v>
      </c>
      <c r="H131" s="40"/>
      <c r="I131" s="40"/>
      <c r="J131" s="40"/>
      <c r="K131" s="40"/>
      <c r="L131" s="40"/>
      <c r="M131" s="41" t="s">
        <v>109</v>
      </c>
      <c r="N131" s="42">
        <f>N130+1</f>
        <v>2025</v>
      </c>
      <c r="O131" s="43">
        <f>C138+(C139*16/31)</f>
        <v>0</v>
      </c>
      <c r="P131" s="43">
        <f>D138+(D139*16/31)</f>
        <v>0</v>
      </c>
      <c r="Q131" s="43">
        <f>E138+(E139*16/31)</f>
        <v>0</v>
      </c>
      <c r="R131" s="45">
        <f>F138+(F139*16/31)</f>
        <v>0</v>
      </c>
      <c r="S131" s="45"/>
      <c r="T131" s="44">
        <v>317</v>
      </c>
      <c r="U131" s="44">
        <v>827</v>
      </c>
      <c r="V131" s="47">
        <v>1077</v>
      </c>
      <c r="W131" s="44">
        <v>622</v>
      </c>
      <c r="X131" s="44">
        <v>100.42</v>
      </c>
      <c r="Y131" s="44">
        <v>397</v>
      </c>
      <c r="Z131" s="44">
        <v>1236</v>
      </c>
      <c r="AA131" s="44">
        <f t="shared" si="6"/>
        <v>1633</v>
      </c>
      <c r="AB131" s="44">
        <v>1833</v>
      </c>
      <c r="AC131" s="44">
        <v>135</v>
      </c>
      <c r="AD131" s="44">
        <f t="shared" si="7"/>
        <v>1968</v>
      </c>
      <c r="AE131" s="44">
        <v>1510</v>
      </c>
      <c r="AF131" s="44">
        <v>780</v>
      </c>
      <c r="AG131" s="44">
        <v>68.05</v>
      </c>
      <c r="AH131" s="39">
        <v>31.759</v>
      </c>
      <c r="AI131" s="39">
        <v>19.919</v>
      </c>
      <c r="AJ131" s="39">
        <v>511.24900000000002</v>
      </c>
      <c r="AK131" s="39">
        <v>121.21899999999999</v>
      </c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</row>
    <row r="132" spans="1:68" x14ac:dyDescent="0.25">
      <c r="A132" s="38" t="s">
        <v>98</v>
      </c>
      <c r="B132" s="28">
        <v>2024</v>
      </c>
      <c r="C132" s="39">
        <v>2301.951849</v>
      </c>
      <c r="D132" s="39">
        <v>57.331049999999998</v>
      </c>
      <c r="E132" s="39">
        <v>89.655672999999993</v>
      </c>
      <c r="F132" s="39">
        <v>50.192346999999998</v>
      </c>
      <c r="G132" s="40">
        <v>31</v>
      </c>
      <c r="H132" s="40"/>
      <c r="I132" s="40"/>
      <c r="J132" s="40"/>
      <c r="K132" s="40"/>
      <c r="L132" s="40"/>
      <c r="M132" s="41"/>
      <c r="N132" s="42"/>
      <c r="O132" s="43"/>
      <c r="P132" s="43"/>
      <c r="Q132" s="43"/>
      <c r="R132" s="45"/>
      <c r="S132" s="45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4"/>
      <c r="AG132" s="40"/>
      <c r="AH132" s="39"/>
      <c r="AI132" s="39"/>
      <c r="AJ132" s="39"/>
      <c r="AK132" s="39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</row>
    <row r="133" spans="1:68" x14ac:dyDescent="0.25">
      <c r="A133" s="38" t="s">
        <v>100</v>
      </c>
      <c r="B133" s="28">
        <v>2024</v>
      </c>
      <c r="C133" s="39">
        <v>2253.4141279999999</v>
      </c>
      <c r="D133" s="39">
        <v>70.378718000000006</v>
      </c>
      <c r="E133" s="39">
        <v>65.719526000000002</v>
      </c>
      <c r="F133" s="39">
        <v>22.173120999999998</v>
      </c>
      <c r="G133" s="40">
        <v>31</v>
      </c>
      <c r="H133" s="40"/>
      <c r="I133" s="40"/>
      <c r="J133" s="40"/>
      <c r="K133" s="40"/>
      <c r="L133" s="40"/>
      <c r="M133" s="41"/>
      <c r="N133" s="42"/>
      <c r="O133" s="43"/>
      <c r="P133" s="43"/>
      <c r="Q133" s="43"/>
      <c r="R133" s="45"/>
      <c r="S133" s="45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4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</row>
    <row r="134" spans="1:68" x14ac:dyDescent="0.25">
      <c r="A134" s="38" t="s">
        <v>102</v>
      </c>
      <c r="B134" s="28">
        <v>2024</v>
      </c>
      <c r="C134" s="39">
        <v>2275.830598</v>
      </c>
      <c r="D134" s="39">
        <v>74.456584000000007</v>
      </c>
      <c r="E134" s="39">
        <v>33.482911000000001</v>
      </c>
      <c r="F134" s="39">
        <v>8.7618220000000004</v>
      </c>
      <c r="G134" s="40">
        <v>30</v>
      </c>
      <c r="H134" s="40"/>
      <c r="I134" s="40"/>
      <c r="J134" s="40"/>
      <c r="K134" s="40"/>
      <c r="L134" s="40"/>
      <c r="M134" s="41"/>
      <c r="N134" s="42"/>
      <c r="O134" s="43"/>
      <c r="P134" s="43"/>
      <c r="Q134" s="43"/>
      <c r="R134" s="45"/>
      <c r="S134" s="45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</row>
    <row r="135" spans="1:68" x14ac:dyDescent="0.25">
      <c r="A135" s="38" t="s">
        <v>118</v>
      </c>
      <c r="B135" s="28">
        <v>2024</v>
      </c>
      <c r="C135" s="39">
        <v>2334.6153559999998</v>
      </c>
      <c r="D135" s="39">
        <v>69.098939000000001</v>
      </c>
      <c r="E135" s="39">
        <v>68.056109000000006</v>
      </c>
      <c r="F135" s="39">
        <v>0</v>
      </c>
      <c r="G135" s="40">
        <v>31</v>
      </c>
      <c r="H135" s="40"/>
      <c r="I135" s="40"/>
      <c r="J135" s="40"/>
      <c r="K135" s="40"/>
      <c r="L135" s="40"/>
      <c r="M135" s="41"/>
      <c r="N135" s="42"/>
      <c r="O135" s="43"/>
      <c r="P135" s="43"/>
      <c r="Q135" s="43"/>
      <c r="R135" s="45"/>
      <c r="S135" s="45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</row>
    <row r="136" spans="1:68" x14ac:dyDescent="0.25">
      <c r="A136" s="38" t="s">
        <v>106</v>
      </c>
      <c r="B136" s="28">
        <v>2024</v>
      </c>
      <c r="C136" s="39">
        <v>2114.4920510000002</v>
      </c>
      <c r="D136" s="39">
        <v>61.507537999999997</v>
      </c>
      <c r="E136" s="39">
        <v>66.004278999999997</v>
      </c>
      <c r="F136" s="39">
        <v>0</v>
      </c>
      <c r="G136" s="40">
        <v>30</v>
      </c>
      <c r="M136" s="41"/>
      <c r="N136" s="42"/>
      <c r="O136" s="43"/>
      <c r="P136" s="43"/>
      <c r="Q136" s="43"/>
      <c r="R136" s="45"/>
      <c r="S136" s="45"/>
    </row>
    <row r="137" spans="1:68" x14ac:dyDescent="0.25">
      <c r="A137" s="38" t="s">
        <v>107</v>
      </c>
      <c r="B137" s="28">
        <v>2024</v>
      </c>
      <c r="C137" s="39">
        <v>415.09479700000003</v>
      </c>
      <c r="D137" s="39">
        <v>0.53800400000000004</v>
      </c>
      <c r="E137" s="39">
        <v>10.595628</v>
      </c>
      <c r="F137" s="39">
        <v>21.403099999999998</v>
      </c>
      <c r="G137" s="40">
        <v>15</v>
      </c>
      <c r="M137" s="41"/>
      <c r="N137" s="42"/>
    </row>
    <row r="138" spans="1:68" x14ac:dyDescent="0.25">
      <c r="A138" s="38" t="s">
        <v>109</v>
      </c>
      <c r="B138" s="28">
        <v>2025</v>
      </c>
      <c r="M138" s="41"/>
      <c r="N138" s="42"/>
    </row>
    <row r="139" spans="1:68" x14ac:dyDescent="0.25">
      <c r="A139" s="38" t="s">
        <v>117</v>
      </c>
      <c r="B139" s="28">
        <v>2025</v>
      </c>
      <c r="M139" s="41"/>
      <c r="N139" s="42"/>
    </row>
  </sheetData>
  <mergeCells count="2">
    <mergeCell ref="Y1:Z1"/>
    <mergeCell ref="AB1:AC1"/>
  </mergeCells>
  <hyperlinks>
    <hyperlink ref="C1" r:id="rId1" display="https://www.gov.uk/government/collections/renewable-fuel-statistics" xr:uid="{3733D96D-5AB6-4457-8C40-90E36736B3E8}"/>
    <hyperlink ref="T1" r:id="rId2" display="https://www.gov.uk/government/statistics/oil-and-oil-products-section-3-energy-trends" xr:uid="{ACCE62AC-DF54-458E-B6C4-489A94C3EA27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822B8-1C6F-4772-855E-F40031FF06E0}">
  <sheetPr>
    <pageSetUpPr fitToPage="1"/>
  </sheetPr>
  <dimension ref="A1:U116"/>
  <sheetViews>
    <sheetView showGridLines="0" zoomScaleNormal="100" workbookViewId="0">
      <pane xSplit="1" ySplit="3" topLeftCell="B65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8.85546875" defaultRowHeight="15" x14ac:dyDescent="0.25"/>
  <cols>
    <col min="1" max="1" width="53.42578125" style="1" bestFit="1" customWidth="1"/>
    <col min="2" max="9" width="9.28515625" style="1" customWidth="1"/>
    <col min="10" max="10" width="9.28515625" style="4" customWidth="1"/>
    <col min="11" max="21" width="9.28515625" style="1" customWidth="1"/>
    <col min="22" max="16384" width="8.85546875" style="1"/>
  </cols>
  <sheetData>
    <row r="1" spans="1:21" s="54" customFormat="1" ht="15.75" thickBot="1" x14ac:dyDescent="0.3">
      <c r="A1" s="51" t="s">
        <v>119</v>
      </c>
      <c r="B1" s="52"/>
      <c r="C1" s="52"/>
      <c r="D1" s="52"/>
      <c r="E1" s="52"/>
      <c r="F1" s="52"/>
      <c r="G1" s="52"/>
      <c r="H1" s="52"/>
      <c r="I1" s="52"/>
      <c r="J1" s="53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</row>
    <row r="2" spans="1:21" ht="15.75" thickTop="1" x14ac:dyDescent="0.25">
      <c r="A2" s="55" t="s">
        <v>120</v>
      </c>
      <c r="B2" s="56">
        <v>2015</v>
      </c>
      <c r="C2" s="56">
        <v>2016</v>
      </c>
      <c r="D2" s="56">
        <v>2017</v>
      </c>
      <c r="E2" s="56">
        <v>2018</v>
      </c>
      <c r="F2" s="56">
        <v>2019</v>
      </c>
      <c r="G2" s="56">
        <v>2020</v>
      </c>
      <c r="H2" s="56">
        <v>2021</v>
      </c>
      <c r="I2" s="56">
        <v>2022</v>
      </c>
      <c r="J2" s="56">
        <v>2023</v>
      </c>
      <c r="K2" s="56">
        <v>2024</v>
      </c>
      <c r="L2" s="56">
        <v>2025</v>
      </c>
      <c r="M2" s="56">
        <v>2026</v>
      </c>
      <c r="N2" s="56">
        <v>2027</v>
      </c>
      <c r="O2" s="56">
        <v>2028</v>
      </c>
      <c r="P2" s="56">
        <v>2029</v>
      </c>
      <c r="Q2" s="56">
        <v>2030</v>
      </c>
      <c r="R2" s="56">
        <v>2031</v>
      </c>
      <c r="S2" s="56">
        <v>2032</v>
      </c>
      <c r="T2" s="56">
        <v>2033</v>
      </c>
      <c r="U2" s="56">
        <v>2034</v>
      </c>
    </row>
    <row r="3" spans="1:21" x14ac:dyDescent="0.25">
      <c r="A3" s="57" t="s">
        <v>121</v>
      </c>
      <c r="B3" s="58"/>
      <c r="C3" s="58"/>
      <c r="D3" s="58"/>
      <c r="E3" s="58"/>
      <c r="F3" s="58"/>
      <c r="G3" s="58"/>
      <c r="H3" s="58"/>
      <c r="I3" s="58"/>
      <c r="J3" s="59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spans="1:21" x14ac:dyDescent="0.25">
      <c r="A4" s="60" t="s">
        <v>122</v>
      </c>
      <c r="B4" s="61">
        <v>0</v>
      </c>
      <c r="C4" s="61">
        <v>0</v>
      </c>
      <c r="D4" s="61">
        <v>0</v>
      </c>
      <c r="E4" s="61">
        <v>0</v>
      </c>
      <c r="F4" s="61">
        <v>0</v>
      </c>
      <c r="G4" s="61">
        <v>0</v>
      </c>
      <c r="H4" s="61">
        <v>0</v>
      </c>
      <c r="I4" s="61">
        <v>0</v>
      </c>
      <c r="J4" s="61">
        <v>0</v>
      </c>
      <c r="K4" s="61">
        <f t="shared" ref="K4:U4" si="0">J11</f>
        <v>0</v>
      </c>
      <c r="L4" s="62">
        <f>K11</f>
        <v>-413.88837485390377</v>
      </c>
      <c r="M4" s="62">
        <f t="shared" si="0"/>
        <v>-1621.1722816626279</v>
      </c>
      <c r="N4" s="62">
        <f t="shared" si="0"/>
        <v>-2141.09192447449</v>
      </c>
      <c r="O4" s="62">
        <f t="shared" si="0"/>
        <v>-2774.8201866252712</v>
      </c>
      <c r="P4" s="62">
        <f t="shared" si="0"/>
        <v>-3351.2750251066809</v>
      </c>
      <c r="Q4" s="62">
        <f t="shared" si="0"/>
        <v>-3954.5849275003679</v>
      </c>
      <c r="R4" s="62">
        <f t="shared" si="0"/>
        <v>-4552.9718401382934</v>
      </c>
      <c r="S4" s="62">
        <f t="shared" si="0"/>
        <v>-5193.6544820647141</v>
      </c>
      <c r="T4" s="62">
        <f t="shared" si="0"/>
        <v>-5790.5254702308957</v>
      </c>
      <c r="U4" s="62">
        <f t="shared" si="0"/>
        <v>-6331.2373990827691</v>
      </c>
    </row>
    <row r="5" spans="1:21" x14ac:dyDescent="0.25">
      <c r="A5" s="60" t="s">
        <v>123</v>
      </c>
      <c r="B5" s="61">
        <f>annual_data!$B$4</f>
        <v>149</v>
      </c>
      <c r="C5" s="61">
        <f>annual_data!$B$5</f>
        <v>342</v>
      </c>
      <c r="D5" s="61">
        <f>annual_data!$B$6</f>
        <v>467</v>
      </c>
      <c r="E5" s="61">
        <f>annual_data!$B$7</f>
        <v>476</v>
      </c>
      <c r="F5" s="61">
        <f>annual_data!$B$8</f>
        <v>510</v>
      </c>
      <c r="G5" s="61">
        <f>annual_data!$B$9</f>
        <v>496</v>
      </c>
      <c r="H5" s="61">
        <f>annual_data!$B$10</f>
        <v>484</v>
      </c>
      <c r="I5" s="61">
        <f>annual_data!$B$11</f>
        <v>479</v>
      </c>
      <c r="J5" s="61">
        <f>J36</f>
        <v>1361.41753006662</v>
      </c>
      <c r="K5" s="61">
        <f t="shared" ref="K5:U5" si="1">K36</f>
        <v>784.51662514609643</v>
      </c>
      <c r="L5" s="62">
        <f t="shared" si="1"/>
        <v>1742.7160931912758</v>
      </c>
      <c r="M5" s="62">
        <f t="shared" si="1"/>
        <v>1495.0803571881381</v>
      </c>
      <c r="N5" s="62">
        <f t="shared" si="1"/>
        <v>1271.2717378492187</v>
      </c>
      <c r="O5" s="62">
        <f t="shared" si="1"/>
        <v>1263.5451615185902</v>
      </c>
      <c r="P5" s="62">
        <f t="shared" si="1"/>
        <v>1421.690097606313</v>
      </c>
      <c r="Q5" s="62">
        <f t="shared" si="1"/>
        <v>1271.6130873620748</v>
      </c>
      <c r="R5" s="62">
        <f t="shared" si="1"/>
        <v>1349.3173580735797</v>
      </c>
      <c r="S5" s="62">
        <f t="shared" si="1"/>
        <v>788.12901183381814</v>
      </c>
      <c r="T5" s="62">
        <f t="shared" si="1"/>
        <v>529.28807114812639</v>
      </c>
      <c r="U5" s="62">
        <f t="shared" si="1"/>
        <v>529.28807114812639</v>
      </c>
    </row>
    <row r="6" spans="1:21" s="66" customFormat="1" x14ac:dyDescent="0.25">
      <c r="A6" s="63" t="s">
        <v>124</v>
      </c>
      <c r="B6" s="61">
        <f>annual_data!$C$4</f>
        <v>452</v>
      </c>
      <c r="C6" s="61">
        <f>annual_data!$C$5</f>
        <v>373</v>
      </c>
      <c r="D6" s="61">
        <f>annual_data!$C$6</f>
        <v>201</v>
      </c>
      <c r="E6" s="61">
        <f>annual_data!$C$7</f>
        <v>637</v>
      </c>
      <c r="F6" s="61">
        <f>annual_data!$C$8</f>
        <v>1190</v>
      </c>
      <c r="G6" s="61">
        <f>annual_data!$C$9</f>
        <v>1321</v>
      </c>
      <c r="H6" s="61">
        <f>annual_data!$C$10</f>
        <v>979</v>
      </c>
      <c r="I6" s="61">
        <f>annual_data!$C$11</f>
        <v>1152</v>
      </c>
      <c r="J6" s="64">
        <f>J52</f>
        <v>1278.9510270000001</v>
      </c>
      <c r="K6" s="65">
        <f>K52</f>
        <v>709.28399999999988</v>
      </c>
      <c r="L6" s="65">
        <v>320</v>
      </c>
      <c r="M6" s="65">
        <v>300</v>
      </c>
      <c r="N6" s="65">
        <v>279.99999999999994</v>
      </c>
      <c r="O6" s="65">
        <v>260</v>
      </c>
      <c r="P6" s="65">
        <v>250.00000000000006</v>
      </c>
      <c r="Q6" s="65">
        <v>229.99999999999997</v>
      </c>
      <c r="R6" s="65">
        <v>210</v>
      </c>
      <c r="S6" s="65">
        <v>190</v>
      </c>
      <c r="T6" s="65">
        <v>180</v>
      </c>
      <c r="U6" s="65">
        <v>180</v>
      </c>
    </row>
    <row r="7" spans="1:21" x14ac:dyDescent="0.25">
      <c r="A7" s="67" t="s">
        <v>125</v>
      </c>
      <c r="B7" s="68">
        <f t="shared" ref="B7:U7" si="2">B4+B5+B6</f>
        <v>601</v>
      </c>
      <c r="C7" s="68">
        <f t="shared" si="2"/>
        <v>715</v>
      </c>
      <c r="D7" s="68">
        <f t="shared" si="2"/>
        <v>668</v>
      </c>
      <c r="E7" s="68">
        <f t="shared" si="2"/>
        <v>1113</v>
      </c>
      <c r="F7" s="68">
        <f t="shared" si="2"/>
        <v>1700</v>
      </c>
      <c r="G7" s="68">
        <f t="shared" si="2"/>
        <v>1817</v>
      </c>
      <c r="H7" s="68">
        <f t="shared" si="2"/>
        <v>1463</v>
      </c>
      <c r="I7" s="68">
        <f t="shared" si="2"/>
        <v>1631</v>
      </c>
      <c r="J7" s="68">
        <f>J4+J5+J6</f>
        <v>2640.3685570666203</v>
      </c>
      <c r="K7" s="69">
        <f t="shared" si="2"/>
        <v>1493.8006251460963</v>
      </c>
      <c r="L7" s="69">
        <f t="shared" si="2"/>
        <v>1648.8277183373721</v>
      </c>
      <c r="M7" s="69">
        <f t="shared" si="2"/>
        <v>173.90807552551018</v>
      </c>
      <c r="N7" s="69">
        <f t="shared" si="2"/>
        <v>-589.82018662527139</v>
      </c>
      <c r="O7" s="69">
        <f t="shared" si="2"/>
        <v>-1251.2750251066809</v>
      </c>
      <c r="P7" s="69">
        <f t="shared" si="2"/>
        <v>-1679.5849275003679</v>
      </c>
      <c r="Q7" s="69">
        <f t="shared" si="2"/>
        <v>-2452.9718401382934</v>
      </c>
      <c r="R7" s="69">
        <f t="shared" si="2"/>
        <v>-2993.6544820647136</v>
      </c>
      <c r="S7" s="69">
        <f t="shared" si="2"/>
        <v>-4215.5254702308957</v>
      </c>
      <c r="T7" s="69">
        <f t="shared" si="2"/>
        <v>-5081.2373990827691</v>
      </c>
      <c r="U7" s="69">
        <f t="shared" si="2"/>
        <v>-5621.9493279346425</v>
      </c>
    </row>
    <row r="8" spans="1:21" x14ac:dyDescent="0.25">
      <c r="A8" s="70" t="s">
        <v>126</v>
      </c>
      <c r="B8" s="61">
        <f>annual_data!$H$4</f>
        <v>596</v>
      </c>
      <c r="C8" s="61">
        <f>annual_data!$H$5</f>
        <v>629</v>
      </c>
      <c r="D8" s="61">
        <f>annual_data!$H$6</f>
        <v>620</v>
      </c>
      <c r="E8" s="61">
        <f>annual_data!$H$7</f>
        <v>1015</v>
      </c>
      <c r="F8" s="61">
        <f>annual_data!$H$8</f>
        <v>1422</v>
      </c>
      <c r="G8" s="61">
        <f>annual_data!$H$9</f>
        <v>1410</v>
      </c>
      <c r="H8" s="61">
        <f>annual_data!$H$10</f>
        <v>1102</v>
      </c>
      <c r="I8" s="61">
        <f>annual_data!$H$11</f>
        <v>1280</v>
      </c>
      <c r="J8" s="61">
        <f>J10-J9</f>
        <v>2224.7275870666203</v>
      </c>
      <c r="K8" s="62">
        <f>MROUND(FORECAST(K5,B8:J8,B5:J5),25)+100</f>
        <v>1600</v>
      </c>
      <c r="L8" s="62">
        <f>MROUND(FORECAST(L5,B8:K8,B5:K5),25)-50</f>
        <v>2825</v>
      </c>
      <c r="M8" s="62">
        <f>MROUND(FORECAST(M5,C8:L8,C5:L5),25)-400</f>
        <v>2100</v>
      </c>
      <c r="N8" s="62">
        <f t="shared" ref="N8:S8" si="3">MROUND(FORECAST(N5,D8:M8,D5:M5),25)</f>
        <v>2100</v>
      </c>
      <c r="O8" s="62">
        <f t="shared" si="3"/>
        <v>2100</v>
      </c>
      <c r="P8" s="62">
        <f t="shared" si="3"/>
        <v>2275</v>
      </c>
      <c r="Q8" s="62">
        <f t="shared" si="3"/>
        <v>2100</v>
      </c>
      <c r="R8" s="62">
        <f t="shared" si="3"/>
        <v>2200</v>
      </c>
      <c r="S8" s="62">
        <f t="shared" si="3"/>
        <v>1575</v>
      </c>
      <c r="T8" s="62">
        <f>MROUND(FORECAST(T5,J8:S8,J5:S5),25)-25</f>
        <v>1250</v>
      </c>
      <c r="U8" s="62">
        <f>MROUND(FORECAST(U5,K8:T8,K5:T5),25)-25</f>
        <v>1225</v>
      </c>
    </row>
    <row r="9" spans="1:21" x14ac:dyDescent="0.25">
      <c r="A9" s="60" t="s">
        <v>127</v>
      </c>
      <c r="B9" s="61">
        <f>annual_data!$D$4</f>
        <v>5</v>
      </c>
      <c r="C9" s="61">
        <f>annual_data!$D$5</f>
        <v>86</v>
      </c>
      <c r="D9" s="61">
        <f>annual_data!$D$6</f>
        <v>48</v>
      </c>
      <c r="E9" s="61">
        <f>annual_data!$D$7</f>
        <v>88</v>
      </c>
      <c r="F9" s="61">
        <f>annual_data!$D$8</f>
        <v>279</v>
      </c>
      <c r="G9" s="61">
        <f>annual_data!$D$9</f>
        <v>394</v>
      </c>
      <c r="H9" s="61">
        <f>annual_data!$D$10</f>
        <v>366</v>
      </c>
      <c r="I9" s="61">
        <f>annual_data!$D$11</f>
        <v>353</v>
      </c>
      <c r="J9" s="61">
        <f>J68</f>
        <v>415.64096999999992</v>
      </c>
      <c r="K9" s="61">
        <f>K68</f>
        <v>307.68900000000002</v>
      </c>
      <c r="L9" s="62">
        <f>MROUND(FORECAST(L5,B9:K9,B5:K5)*0.75,5)</f>
        <v>445</v>
      </c>
      <c r="M9" s="62">
        <f>MROUND(FORECAST(M5,C9:L9,C5:L5)*0.5,5)</f>
        <v>215</v>
      </c>
      <c r="N9" s="62">
        <f>MROUND(FORECAST(N5,D9:M9,D5:M5)*0.25,5)</f>
        <v>85</v>
      </c>
      <c r="O9" s="62">
        <f t="shared" ref="O9:U9" si="4">MROUND(FORECAST(O5,E9:N9,E5:N5)*0,5)</f>
        <v>0</v>
      </c>
      <c r="P9" s="62">
        <f t="shared" si="4"/>
        <v>0</v>
      </c>
      <c r="Q9" s="62">
        <f t="shared" si="4"/>
        <v>0</v>
      </c>
      <c r="R9" s="62">
        <f t="shared" si="4"/>
        <v>0</v>
      </c>
      <c r="S9" s="62">
        <f t="shared" si="4"/>
        <v>0</v>
      </c>
      <c r="T9" s="62">
        <f t="shared" si="4"/>
        <v>0</v>
      </c>
      <c r="U9" s="62">
        <f t="shared" si="4"/>
        <v>0</v>
      </c>
    </row>
    <row r="10" spans="1:21" x14ac:dyDescent="0.25">
      <c r="A10" s="71" t="s">
        <v>128</v>
      </c>
      <c r="B10" s="72">
        <f>B8+B9</f>
        <v>601</v>
      </c>
      <c r="C10" s="72">
        <f t="shared" ref="C10:I10" si="5">C8+C9</f>
        <v>715</v>
      </c>
      <c r="D10" s="72">
        <f t="shared" si="5"/>
        <v>668</v>
      </c>
      <c r="E10" s="72">
        <f t="shared" si="5"/>
        <v>1103</v>
      </c>
      <c r="F10" s="72">
        <f t="shared" si="5"/>
        <v>1701</v>
      </c>
      <c r="G10" s="72">
        <f t="shared" si="5"/>
        <v>1804</v>
      </c>
      <c r="H10" s="72">
        <f t="shared" si="5"/>
        <v>1468</v>
      </c>
      <c r="I10" s="72">
        <f t="shared" si="5"/>
        <v>1633</v>
      </c>
      <c r="J10" s="72">
        <f>J7-J11</f>
        <v>2640.3685570666203</v>
      </c>
      <c r="K10" s="72">
        <f t="shared" ref="K10:U10" si="6">SUM(K8:K9)</f>
        <v>1907.6890000000001</v>
      </c>
      <c r="L10" s="73">
        <f t="shared" si="6"/>
        <v>3270</v>
      </c>
      <c r="M10" s="73">
        <f t="shared" si="6"/>
        <v>2315</v>
      </c>
      <c r="N10" s="73">
        <f t="shared" si="6"/>
        <v>2185</v>
      </c>
      <c r="O10" s="73">
        <f t="shared" si="6"/>
        <v>2100</v>
      </c>
      <c r="P10" s="73">
        <f t="shared" si="6"/>
        <v>2275</v>
      </c>
      <c r="Q10" s="73">
        <f t="shared" si="6"/>
        <v>2100</v>
      </c>
      <c r="R10" s="73">
        <f t="shared" si="6"/>
        <v>2200</v>
      </c>
      <c r="S10" s="73">
        <f t="shared" si="6"/>
        <v>1575</v>
      </c>
      <c r="T10" s="73">
        <f t="shared" si="6"/>
        <v>1250</v>
      </c>
      <c r="U10" s="73">
        <f t="shared" si="6"/>
        <v>1225</v>
      </c>
    </row>
    <row r="11" spans="1:21" x14ac:dyDescent="0.25">
      <c r="A11" s="70" t="s">
        <v>129</v>
      </c>
      <c r="B11" s="61">
        <v>0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f>J99</f>
        <v>0</v>
      </c>
      <c r="K11" s="62">
        <f t="shared" ref="K11:U11" si="7">K7-K10</f>
        <v>-413.88837485390377</v>
      </c>
      <c r="L11" s="62">
        <f t="shared" si="7"/>
        <v>-1621.1722816626279</v>
      </c>
      <c r="M11" s="62">
        <f t="shared" si="7"/>
        <v>-2141.09192447449</v>
      </c>
      <c r="N11" s="62">
        <f t="shared" si="7"/>
        <v>-2774.8201866252712</v>
      </c>
      <c r="O11" s="62">
        <f t="shared" si="7"/>
        <v>-3351.2750251066809</v>
      </c>
      <c r="P11" s="62">
        <f t="shared" si="7"/>
        <v>-3954.5849275003679</v>
      </c>
      <c r="Q11" s="62">
        <f t="shared" si="7"/>
        <v>-4552.9718401382934</v>
      </c>
      <c r="R11" s="62">
        <f t="shared" si="7"/>
        <v>-5193.6544820647141</v>
      </c>
      <c r="S11" s="62">
        <f t="shared" si="7"/>
        <v>-5790.5254702308957</v>
      </c>
      <c r="T11" s="62">
        <f t="shared" si="7"/>
        <v>-6331.2373990827691</v>
      </c>
      <c r="U11" s="62">
        <f t="shared" si="7"/>
        <v>-6846.9493279346425</v>
      </c>
    </row>
    <row r="12" spans="1:21" s="66" customFormat="1" x14ac:dyDescent="0.25">
      <c r="A12" s="74" t="s">
        <v>130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</row>
    <row r="13" spans="1:21" x14ac:dyDescent="0.25">
      <c r="A13" s="76" t="s">
        <v>131</v>
      </c>
      <c r="B13" s="77">
        <f t="shared" ref="B13:U13" si="8">B11/B8</f>
        <v>0</v>
      </c>
      <c r="C13" s="77">
        <f t="shared" si="8"/>
        <v>0</v>
      </c>
      <c r="D13" s="77">
        <f t="shared" si="8"/>
        <v>0</v>
      </c>
      <c r="E13" s="77">
        <f t="shared" si="8"/>
        <v>0</v>
      </c>
      <c r="F13" s="77">
        <f t="shared" si="8"/>
        <v>0</v>
      </c>
      <c r="G13" s="77">
        <f t="shared" si="8"/>
        <v>0</v>
      </c>
      <c r="H13" s="77">
        <f t="shared" si="8"/>
        <v>0</v>
      </c>
      <c r="I13" s="77">
        <f t="shared" si="8"/>
        <v>0</v>
      </c>
      <c r="J13" s="77">
        <f t="shared" si="8"/>
        <v>0</v>
      </c>
      <c r="K13" s="78">
        <f t="shared" si="8"/>
        <v>-0.25868023428368986</v>
      </c>
      <c r="L13" s="78">
        <f t="shared" si="8"/>
        <v>-0.57386629439385062</v>
      </c>
      <c r="M13" s="78">
        <f t="shared" si="8"/>
        <v>-1.0195675830830906</v>
      </c>
      <c r="N13" s="78">
        <f t="shared" si="8"/>
        <v>-1.3213429460120338</v>
      </c>
      <c r="O13" s="78">
        <f t="shared" si="8"/>
        <v>-1.5958452500508005</v>
      </c>
      <c r="P13" s="78">
        <f t="shared" si="8"/>
        <v>-1.7382790890111508</v>
      </c>
      <c r="Q13" s="78">
        <f t="shared" si="8"/>
        <v>-2.1680818286372827</v>
      </c>
      <c r="R13" s="78">
        <f t="shared" si="8"/>
        <v>-2.3607520373021429</v>
      </c>
      <c r="S13" s="78">
        <f t="shared" si="8"/>
        <v>-3.6765241080831084</v>
      </c>
      <c r="T13" s="78">
        <f t="shared" si="8"/>
        <v>-5.0649899192662149</v>
      </c>
      <c r="U13" s="78">
        <f t="shared" si="8"/>
        <v>-5.5893463901507285</v>
      </c>
    </row>
    <row r="14" spans="1:21" x14ac:dyDescent="0.25">
      <c r="G14" s="79"/>
      <c r="H14" s="79"/>
      <c r="I14" s="79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</row>
    <row r="15" spans="1:21" x14ac:dyDescent="0.25">
      <c r="A15" s="70"/>
      <c r="B15" s="81"/>
      <c r="C15" s="81"/>
      <c r="D15" s="81"/>
      <c r="E15" s="81"/>
      <c r="F15" s="81"/>
      <c r="G15" s="81"/>
      <c r="H15" s="81"/>
      <c r="I15" s="81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</row>
    <row r="16" spans="1:21" x14ac:dyDescent="0.25">
      <c r="A16" s="70"/>
      <c r="B16" s="81"/>
      <c r="C16" s="81"/>
      <c r="D16" s="81"/>
      <c r="E16" s="81"/>
      <c r="F16" s="81"/>
      <c r="G16" s="81"/>
      <c r="H16" s="81"/>
      <c r="I16" s="81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</row>
    <row r="17" spans="1:21" x14ac:dyDescent="0.25">
      <c r="A17" s="70"/>
      <c r="B17" s="81"/>
      <c r="C17" s="81"/>
      <c r="D17" s="81"/>
      <c r="E17" s="81"/>
      <c r="F17" s="81"/>
      <c r="G17" s="81"/>
      <c r="H17" s="81"/>
      <c r="I17" s="81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</row>
    <row r="18" spans="1:21" x14ac:dyDescent="0.25">
      <c r="A18" s="70"/>
      <c r="B18" s="81"/>
      <c r="C18" s="81"/>
      <c r="D18" s="81"/>
      <c r="E18" s="81"/>
      <c r="F18" s="81"/>
      <c r="G18" s="81"/>
      <c r="H18" s="81"/>
      <c r="I18" s="81"/>
      <c r="J18" s="82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</row>
    <row r="19" spans="1:21" x14ac:dyDescent="0.25">
      <c r="A19" s="70"/>
      <c r="B19" s="81"/>
      <c r="C19" s="81"/>
      <c r="D19" s="81"/>
      <c r="E19" s="81"/>
      <c r="F19" s="81"/>
      <c r="G19" s="81"/>
      <c r="H19" s="81"/>
      <c r="I19" s="81"/>
      <c r="J19" s="82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</row>
    <row r="20" spans="1:21" x14ac:dyDescent="0.25">
      <c r="A20" s="70"/>
      <c r="B20" s="81"/>
      <c r="C20" s="81"/>
      <c r="D20" s="61"/>
      <c r="E20" s="61"/>
      <c r="F20" s="61"/>
      <c r="G20" s="61"/>
      <c r="H20" s="61"/>
      <c r="I20" s="61"/>
      <c r="J20" s="62"/>
      <c r="K20" s="62"/>
      <c r="L20" s="62"/>
      <c r="M20" s="62"/>
      <c r="N20" s="62"/>
      <c r="O20" s="62"/>
      <c r="P20" s="83"/>
      <c r="Q20" s="83"/>
      <c r="R20" s="83"/>
      <c r="S20" s="83"/>
      <c r="T20" s="83"/>
      <c r="U20" s="83"/>
    </row>
    <row r="21" spans="1:21" x14ac:dyDescent="0.25">
      <c r="A21" s="70"/>
      <c r="B21" s="81"/>
      <c r="C21" s="81"/>
      <c r="D21" s="61"/>
      <c r="E21" s="61"/>
      <c r="F21" s="61"/>
      <c r="G21" s="61"/>
      <c r="H21" s="61"/>
      <c r="I21" s="61"/>
      <c r="J21" s="62"/>
      <c r="K21" s="62"/>
      <c r="L21" s="62"/>
      <c r="M21" s="62"/>
      <c r="N21" s="62"/>
      <c r="O21" s="62"/>
      <c r="P21" s="83"/>
      <c r="Q21" s="83"/>
      <c r="R21" s="83"/>
      <c r="S21" s="83"/>
      <c r="T21" s="83"/>
      <c r="U21" s="83"/>
    </row>
    <row r="22" spans="1:21" ht="15.75" thickBot="1" x14ac:dyDescent="0.3">
      <c r="A22" s="4" t="s">
        <v>132</v>
      </c>
    </row>
    <row r="23" spans="1:21" ht="15.75" thickBot="1" x14ac:dyDescent="0.3">
      <c r="A23" s="84"/>
      <c r="B23" s="84">
        <f t="shared" ref="B23:U23" si="9">B2</f>
        <v>2015</v>
      </c>
      <c r="C23" s="84">
        <f t="shared" si="9"/>
        <v>2016</v>
      </c>
      <c r="D23" s="84">
        <f t="shared" si="9"/>
        <v>2017</v>
      </c>
      <c r="E23" s="84">
        <f t="shared" si="9"/>
        <v>2018</v>
      </c>
      <c r="F23" s="84">
        <f t="shared" si="9"/>
        <v>2019</v>
      </c>
      <c r="G23" s="84">
        <f t="shared" si="9"/>
        <v>2020</v>
      </c>
      <c r="H23" s="84">
        <f t="shared" si="9"/>
        <v>2021</v>
      </c>
      <c r="I23" s="84">
        <f t="shared" si="9"/>
        <v>2022</v>
      </c>
      <c r="J23" s="84">
        <f t="shared" si="9"/>
        <v>2023</v>
      </c>
      <c r="K23" s="84">
        <f t="shared" si="9"/>
        <v>2024</v>
      </c>
      <c r="L23" s="84">
        <f t="shared" si="9"/>
        <v>2025</v>
      </c>
      <c r="M23" s="84">
        <f t="shared" si="9"/>
        <v>2026</v>
      </c>
      <c r="N23" s="84">
        <f t="shared" si="9"/>
        <v>2027</v>
      </c>
      <c r="O23" s="84">
        <f t="shared" si="9"/>
        <v>2028</v>
      </c>
      <c r="P23" s="84">
        <f t="shared" si="9"/>
        <v>2029</v>
      </c>
      <c r="Q23" s="84">
        <f t="shared" si="9"/>
        <v>2030</v>
      </c>
      <c r="R23" s="84">
        <f t="shared" si="9"/>
        <v>2031</v>
      </c>
      <c r="S23" s="84">
        <f t="shared" si="9"/>
        <v>2032</v>
      </c>
      <c r="T23" s="84">
        <f t="shared" si="9"/>
        <v>2033</v>
      </c>
      <c r="U23" s="84">
        <f t="shared" si="9"/>
        <v>2034</v>
      </c>
    </row>
    <row r="24" spans="1:21" s="66" customFormat="1" x14ac:dyDescent="0.25">
      <c r="A24" s="66" t="s">
        <v>133</v>
      </c>
      <c r="B24" s="85">
        <f>monthly_data!$P11/1104*1000</f>
        <v>45.010915118045823</v>
      </c>
      <c r="C24" s="85">
        <f>monthly_data!$P23/1104*1000</f>
        <v>50.750632597007943</v>
      </c>
      <c r="D24" s="85">
        <f>monthly_data!$P35/1104*1000</f>
        <v>43.392727793361388</v>
      </c>
      <c r="E24" s="85">
        <f>monthly_data!$P47/1104*1000</f>
        <v>69.598472533894338</v>
      </c>
      <c r="F24" s="85">
        <f>monthly_data!$P59/1104*1000</f>
        <v>81.066140690743339</v>
      </c>
      <c r="G24" s="85">
        <f>monthly_data!$P71/1104*1000</f>
        <v>133.93143165614774</v>
      </c>
      <c r="H24" s="85">
        <f>monthly_data!$P83/1104*1000</f>
        <v>89.732311681860693</v>
      </c>
      <c r="I24" s="85">
        <f>monthly_data!$P95/1104*1000</f>
        <v>80.94567066970545</v>
      </c>
      <c r="J24" s="85">
        <f>monthly_data!$P107/1104*1000</f>
        <v>111.45577945301542</v>
      </c>
      <c r="K24" s="85">
        <f>monthly_data!$P119/1104*1000</f>
        <v>51.573471540439456</v>
      </c>
      <c r="L24" s="86">
        <v>113.83708665612053</v>
      </c>
      <c r="M24" s="86">
        <v>97.735370529242189</v>
      </c>
      <c r="N24" s="86">
        <v>84.132136931292379</v>
      </c>
      <c r="O24" s="86">
        <v>87.677062517845556</v>
      </c>
      <c r="P24" s="86">
        <v>97.193533661409361</v>
      </c>
      <c r="Q24" s="86">
        <v>84.889892717756737</v>
      </c>
      <c r="R24" s="86">
        <v>90.79249165556665</v>
      </c>
      <c r="S24" s="86">
        <v>52.978302996470305</v>
      </c>
      <c r="T24" s="86">
        <v>35.248942841774827</v>
      </c>
      <c r="U24" s="86">
        <v>35.248942841774827</v>
      </c>
    </row>
    <row r="25" spans="1:21" s="66" customFormat="1" x14ac:dyDescent="0.25">
      <c r="A25" s="66" t="s">
        <v>134</v>
      </c>
      <c r="B25" s="85">
        <f>monthly_data!$P12/1104*1000</f>
        <v>29.558882807804046</v>
      </c>
      <c r="C25" s="85">
        <f>monthly_data!$P24/1104*1000</f>
        <v>38.883114981967537</v>
      </c>
      <c r="D25" s="85">
        <f>monthly_data!$P36/1104*1000</f>
        <v>46.252678618388096</v>
      </c>
      <c r="E25" s="85">
        <f>monthly_data!$P48/1104*1000</f>
        <v>62.489542116434571</v>
      </c>
      <c r="F25" s="85">
        <f>monthly_data!$P60/1104*1000</f>
        <v>81.024096983946109</v>
      </c>
      <c r="G25" s="85">
        <f>monthly_data!$P72/1104*1000</f>
        <v>124.54555388344855</v>
      </c>
      <c r="H25" s="85">
        <f>monthly_data!$P84/1104*1000</f>
        <v>93.38583156348092</v>
      </c>
      <c r="I25" s="85">
        <f>monthly_data!$P96/1104*1000</f>
        <v>91.944071986868039</v>
      </c>
      <c r="J25" s="85">
        <f>monthly_data!$P108/1104*1000</f>
        <v>97.267768166032198</v>
      </c>
      <c r="K25" s="85">
        <f>monthly_data!$P120/1104*1000</f>
        <v>63.882263805057434</v>
      </c>
      <c r="L25" s="86">
        <v>120.42437916904073</v>
      </c>
      <c r="M25" s="86">
        <v>102.89922816133802</v>
      </c>
      <c r="N25" s="86">
        <v>89.056561261577571</v>
      </c>
      <c r="O25" s="86">
        <v>90.450408804592016</v>
      </c>
      <c r="P25" s="86">
        <v>101.92356808483022</v>
      </c>
      <c r="Q25" s="86">
        <v>89.160918257918382</v>
      </c>
      <c r="R25" s="86">
        <v>95.187630914270301</v>
      </c>
      <c r="S25" s="86">
        <v>55.491368268069628</v>
      </c>
      <c r="T25" s="86">
        <v>36.841427632501706</v>
      </c>
      <c r="U25" s="86">
        <v>36.841427632501706</v>
      </c>
    </row>
    <row r="26" spans="1:21" s="66" customFormat="1" x14ac:dyDescent="0.25">
      <c r="A26" s="66" t="s">
        <v>135</v>
      </c>
      <c r="B26" s="85">
        <f>monthly_data!$P13/1104*1000</f>
        <v>33.910574590512923</v>
      </c>
      <c r="C26" s="85">
        <f>monthly_data!$P25/1104*1000</f>
        <v>56.276734246643954</v>
      </c>
      <c r="D26" s="85">
        <f>monthly_data!$P37/1104*1000</f>
        <v>59.392383326445938</v>
      </c>
      <c r="E26" s="85">
        <f>monthly_data!$P49/1104*1000</f>
        <v>64.2442004910923</v>
      </c>
      <c r="F26" s="85">
        <f>monthly_data!$P61/1104*1000</f>
        <v>96.475066439382559</v>
      </c>
      <c r="G26" s="85">
        <f>monthly_data!$P73/1104*1000</f>
        <v>118.9047722619465</v>
      </c>
      <c r="H26" s="85">
        <f>monthly_data!$P85/1104*1000</f>
        <v>114.34031114339143</v>
      </c>
      <c r="I26" s="85">
        <f>monthly_data!$P97/1104*1000</f>
        <v>114.30146772210813</v>
      </c>
      <c r="J26" s="85">
        <f>monthly_data!$P109/1104*1000</f>
        <v>130.615459831864</v>
      </c>
      <c r="K26" s="85">
        <f>monthly_data!$P121/1104*1000</f>
        <v>75.115004866050555</v>
      </c>
      <c r="L26" s="86">
        <v>143.28210765642407</v>
      </c>
      <c r="M26" s="86">
        <v>122.82770268497623</v>
      </c>
      <c r="N26" s="86">
        <v>103.33061270104609</v>
      </c>
      <c r="O26" s="86">
        <v>103.68405938813429</v>
      </c>
      <c r="P26" s="86">
        <v>116.95908435981295</v>
      </c>
      <c r="Q26" s="86">
        <v>104.23394070151124</v>
      </c>
      <c r="R26" s="86">
        <v>110.77673210159479</v>
      </c>
      <c r="S26" s="86">
        <v>64.213632109259606</v>
      </c>
      <c r="T26" s="86">
        <v>42.60930855677541</v>
      </c>
      <c r="U26" s="86">
        <v>42.60930855677541</v>
      </c>
    </row>
    <row r="27" spans="1:21" s="66" customFormat="1" x14ac:dyDescent="0.25">
      <c r="A27" s="66" t="s">
        <v>136</v>
      </c>
      <c r="B27" s="85">
        <f>monthly_data!$P14/1104*1000</f>
        <v>63.028492271505378</v>
      </c>
      <c r="C27" s="85">
        <f>monthly_data!$P26/1104*1000</f>
        <v>113.05945015194014</v>
      </c>
      <c r="D27" s="85">
        <f>monthly_data!$P38/1104*1000</f>
        <v>94.858442905563351</v>
      </c>
      <c r="E27" s="85">
        <f>monthly_data!$P50/1104*1000</f>
        <v>104.92938131136046</v>
      </c>
      <c r="F27" s="85">
        <f>monthly_data!$P62/1104*1000</f>
        <v>166.05275902875175</v>
      </c>
      <c r="G27" s="85">
        <f>monthly_data!$P74/1104*1000</f>
        <v>146.43710504324454</v>
      </c>
      <c r="H27" s="85">
        <f>monthly_data!$P86/1104*1000</f>
        <v>166.98599906498359</v>
      </c>
      <c r="I27" s="85">
        <f>monthly_data!$P98/1104*1000</f>
        <v>177.86511047802713</v>
      </c>
      <c r="J27" s="85">
        <f>monthly_data!$P110/1104*1000</f>
        <v>214.84019562295464</v>
      </c>
      <c r="K27" s="85">
        <f>monthly_data!$P122/1104*1000</f>
        <v>118.98583466280972</v>
      </c>
      <c r="L27" s="86">
        <v>146.57286399898021</v>
      </c>
      <c r="M27" s="86">
        <v>126.47695572769865</v>
      </c>
      <c r="N27" s="86">
        <v>107.50969123408267</v>
      </c>
      <c r="O27" s="86">
        <v>105.65240043031959</v>
      </c>
      <c r="P27" s="86">
        <v>120.00061505198732</v>
      </c>
      <c r="Q27" s="86">
        <v>107.15055144814237</v>
      </c>
      <c r="R27" s="86">
        <v>113.75008354770682</v>
      </c>
      <c r="S27" s="86">
        <v>66.394333797275621</v>
      </c>
      <c r="T27" s="86">
        <v>44.560445513545325</v>
      </c>
      <c r="U27" s="86">
        <v>44.560445513545325</v>
      </c>
    </row>
    <row r="28" spans="1:21" s="66" customFormat="1" x14ac:dyDescent="0.25">
      <c r="A28" s="66" t="s">
        <v>93</v>
      </c>
      <c r="B28" s="85">
        <f>monthly_data!$P15/1104*1000</f>
        <v>52.556655928588128</v>
      </c>
      <c r="C28" s="85">
        <f>monthly_data!$P27/1104*1000</f>
        <v>73.341522440392694</v>
      </c>
      <c r="D28" s="85">
        <f>monthly_data!$P39/1104*1000</f>
        <v>71.036323223468912</v>
      </c>
      <c r="E28" s="85">
        <f>monthly_data!$P51/1104*1000</f>
        <v>93.471739860916315</v>
      </c>
      <c r="F28" s="85">
        <f>monthly_data!$P63/1104*1000</f>
        <v>137.37870900537635</v>
      </c>
      <c r="G28" s="85">
        <f>monthly_data!$P75/1104*1000</f>
        <v>94.382799497428707</v>
      </c>
      <c r="H28" s="85">
        <f>monthly_data!$P87/1104*1000</f>
        <v>92.58436851332398</v>
      </c>
      <c r="I28" s="85">
        <f>monthly_data!$P99/1104*1000</f>
        <v>117.95503421575501</v>
      </c>
      <c r="J28" s="85">
        <f>monthly_data!$P111/1104*1000</f>
        <v>119.21339574567557</v>
      </c>
      <c r="K28" s="85">
        <f>monthly_data!$P123/1104*1000</f>
        <v>72.616084458274898</v>
      </c>
      <c r="L28" s="86">
        <v>153.3185843233791</v>
      </c>
      <c r="M28" s="86">
        <v>134.610813924295</v>
      </c>
      <c r="N28" s="86">
        <v>114.91529046136708</v>
      </c>
      <c r="O28" s="86">
        <v>115.27964037374338</v>
      </c>
      <c r="P28" s="86">
        <v>127.52775166205673</v>
      </c>
      <c r="Q28" s="86">
        <v>114.12183189038944</v>
      </c>
      <c r="R28" s="86">
        <v>121.71098946147565</v>
      </c>
      <c r="S28" s="86">
        <v>71.12535846751436</v>
      </c>
      <c r="T28" s="86">
        <v>47.755402484481714</v>
      </c>
      <c r="U28" s="86">
        <v>47.755402484481714</v>
      </c>
    </row>
    <row r="29" spans="1:21" s="66" customFormat="1" x14ac:dyDescent="0.25">
      <c r="A29" s="66" t="s">
        <v>137</v>
      </c>
      <c r="B29" s="85">
        <f>monthly_data!$P16/1104*1000</f>
        <v>48.483979940977086</v>
      </c>
      <c r="C29" s="85">
        <f>monthly_data!$P28/1104*1000</f>
        <v>67.17350563931744</v>
      </c>
      <c r="D29" s="85">
        <f>monthly_data!$P40/1104*1000</f>
        <v>64.874582120733976</v>
      </c>
      <c r="E29" s="85">
        <f>monthly_data!$P52/1104*1000</f>
        <v>104.94320986734454</v>
      </c>
      <c r="F29" s="85">
        <f>monthly_data!$P64/1104*1000</f>
        <v>143.66701608520336</v>
      </c>
      <c r="G29" s="85">
        <f>monthly_data!$P76/1104*1000</f>
        <v>114.05074443373071</v>
      </c>
      <c r="H29" s="85">
        <f>monthly_data!$P88/1104*1000</f>
        <v>92.917443080878897</v>
      </c>
      <c r="I29" s="85">
        <f>monthly_data!$P100/1104*1000</f>
        <v>111.44769132772322</v>
      </c>
      <c r="J29" s="85">
        <f>monthly_data!$P112/1104*1000</f>
        <v>119.05658840287518</v>
      </c>
      <c r="K29" s="85">
        <f>monthly_data!$P124/1104*1000</f>
        <v>65.12693048737728</v>
      </c>
      <c r="L29" s="86">
        <v>155.76821243416001</v>
      </c>
      <c r="M29" s="86">
        <v>133.23122187832215</v>
      </c>
      <c r="N29" s="86">
        <v>112.75472812892909</v>
      </c>
      <c r="O29" s="86">
        <v>111.72748931856138</v>
      </c>
      <c r="P29" s="86">
        <v>124.92244065406392</v>
      </c>
      <c r="Q29" s="86">
        <v>112.85829252756892</v>
      </c>
      <c r="R29" s="86">
        <v>119.45948457737677</v>
      </c>
      <c r="S29" s="86">
        <v>69.810813183002537</v>
      </c>
      <c r="T29" s="86">
        <v>47.025904323778931</v>
      </c>
      <c r="U29" s="86">
        <v>47.025904323778931</v>
      </c>
    </row>
    <row r="30" spans="1:21" s="66" customFormat="1" x14ac:dyDescent="0.25">
      <c r="A30" s="66" t="s">
        <v>138</v>
      </c>
      <c r="B30" s="85">
        <f>monthly_data!$P17/1104*1000</f>
        <v>53.508994492169244</v>
      </c>
      <c r="C30" s="85">
        <f>monthly_data!$P29/1104*1000</f>
        <v>65.103595546984565</v>
      </c>
      <c r="D30" s="85">
        <f>monthly_data!$P41/1104*1000</f>
        <v>58.823091441678358</v>
      </c>
      <c r="E30" s="85">
        <f>monthly_data!$P53/1104*1000</f>
        <v>115.7736448252688</v>
      </c>
      <c r="F30" s="85">
        <f>monthly_data!$P65/1104*1000</f>
        <v>150.71518053120616</v>
      </c>
      <c r="G30" s="85">
        <f>monthly_data!$P77/1104*1000</f>
        <v>134.88817243747081</v>
      </c>
      <c r="H30" s="85">
        <f>monthly_data!$P89/1104*1000</f>
        <v>99.607334472884531</v>
      </c>
      <c r="I30" s="85">
        <f>monthly_data!$P101/1104*1000</f>
        <v>122.18047837774661</v>
      </c>
      <c r="J30" s="85">
        <f>monthly_data!$P113/1104*1000</f>
        <v>114.38047827547921</v>
      </c>
      <c r="K30" s="85">
        <f>monthly_data!$P125/1104*1000</f>
        <v>62.10778383590462</v>
      </c>
      <c r="L30" s="86">
        <v>152.96209183425736</v>
      </c>
      <c r="M30" s="86">
        <v>130.80055069256989</v>
      </c>
      <c r="N30" s="86">
        <v>111.40527587560702</v>
      </c>
      <c r="O30" s="86">
        <v>110.89409189052873</v>
      </c>
      <c r="P30" s="86">
        <v>125.81719541697804</v>
      </c>
      <c r="Q30" s="86">
        <v>111.70795668917206</v>
      </c>
      <c r="R30" s="86">
        <v>118.47423805865604</v>
      </c>
      <c r="S30" s="86">
        <v>69.415622316622361</v>
      </c>
      <c r="T30" s="86">
        <v>46.843018299744635</v>
      </c>
      <c r="U30" s="86">
        <v>46.843018299744635</v>
      </c>
    </row>
    <row r="31" spans="1:21" s="66" customFormat="1" x14ac:dyDescent="0.25">
      <c r="A31" s="66" t="s">
        <v>139</v>
      </c>
      <c r="B31" s="85">
        <f>monthly_data!$P18/1104*1000</f>
        <v>58.61476928471248</v>
      </c>
      <c r="C31" s="85">
        <f>monthly_data!$P30/1104*1000</f>
        <v>58.045378214118735</v>
      </c>
      <c r="D31" s="85">
        <f>monthly_data!$P42/1104*1000</f>
        <v>50.487184490416084</v>
      </c>
      <c r="E31" s="85">
        <f>monthly_data!$P54/1104*1000</f>
        <v>125.45311909770921</v>
      </c>
      <c r="F31" s="85">
        <f>monthly_data!$P66/1104*1000</f>
        <v>147.66084601449276</v>
      </c>
      <c r="G31" s="85">
        <f>monthly_data!$P78/1104*1000</f>
        <v>134.2042060250117</v>
      </c>
      <c r="H31" s="85">
        <f>monthly_data!$P90/1104*1000</f>
        <v>99.447040468676946</v>
      </c>
      <c r="I31" s="85">
        <f>monthly_data!$P102/1104*1000</f>
        <v>119.11817207223001</v>
      </c>
      <c r="J31" s="85">
        <f>monthly_data!$P114/1104*1000</f>
        <v>107.67420833333334</v>
      </c>
      <c r="K31" s="85">
        <f>monthly_data!$P126/1104*1000</f>
        <v>58.030190451145401</v>
      </c>
      <c r="L31" s="86">
        <v>159.99072816219163</v>
      </c>
      <c r="M31" s="86">
        <v>136.58389097580036</v>
      </c>
      <c r="N31" s="86">
        <v>116.14910517474772</v>
      </c>
      <c r="O31" s="86">
        <v>114.24599961895062</v>
      </c>
      <c r="P31" s="86">
        <v>128.58138130254832</v>
      </c>
      <c r="Q31" s="86">
        <v>115.89295941724896</v>
      </c>
      <c r="R31" s="86">
        <v>122.65128503607924</v>
      </c>
      <c r="S31" s="86">
        <v>71.72579776585782</v>
      </c>
      <c r="T31" s="86">
        <v>48.317816045593389</v>
      </c>
      <c r="U31" s="86">
        <v>48.317816045593389</v>
      </c>
    </row>
    <row r="32" spans="1:21" s="66" customFormat="1" x14ac:dyDescent="0.25">
      <c r="A32" s="66" t="s">
        <v>140</v>
      </c>
      <c r="B32" s="85">
        <f>monthly_data!$P19/1104*1000</f>
        <v>59.522688668770449</v>
      </c>
      <c r="C32" s="85">
        <f>monthly_data!$P31/1104*1000</f>
        <v>43.828930224403926</v>
      </c>
      <c r="D32" s="85">
        <f>monthly_data!$P43/1104*1000</f>
        <v>41.876827781673676</v>
      </c>
      <c r="E32" s="85">
        <f>monthly_data!$P55/1104*1000</f>
        <v>117.48358299731183</v>
      </c>
      <c r="F32" s="85">
        <f>monthly_data!$P67/1104*1000</f>
        <v>142.41007762096774</v>
      </c>
      <c r="G32" s="85">
        <f>monthly_data!$P79/1104*1000</f>
        <v>133.50107624766244</v>
      </c>
      <c r="H32" s="85">
        <f>monthly_data!$P91/1104*1000</f>
        <v>91.965841091047224</v>
      </c>
      <c r="I32" s="85">
        <f>monthly_data!$P103/1104*1000</f>
        <v>106.92520733987845</v>
      </c>
      <c r="J32" s="85">
        <f>monthly_data!$P115/1104*1000</f>
        <v>106.25119246727444</v>
      </c>
      <c r="K32" s="85">
        <f>monthly_data!$P127/1104*1000</f>
        <v>64.567491292660122</v>
      </c>
      <c r="L32" s="86">
        <v>151.22800050311537</v>
      </c>
      <c r="M32" s="86">
        <v>128.08928701257412</v>
      </c>
      <c r="N32" s="86">
        <v>109.66314204583678</v>
      </c>
      <c r="O32" s="86">
        <v>107.97803399953247</v>
      </c>
      <c r="P32" s="86">
        <v>121.61715289615259</v>
      </c>
      <c r="Q32" s="86">
        <v>109.36136962327079</v>
      </c>
      <c r="R32" s="86">
        <v>115.66694097461674</v>
      </c>
      <c r="S32" s="86">
        <v>67.765515632922032</v>
      </c>
      <c r="T32" s="86">
        <v>45.698344937524688</v>
      </c>
      <c r="U32" s="86">
        <v>45.698344937524688</v>
      </c>
    </row>
    <row r="33" spans="1:21" s="66" customFormat="1" x14ac:dyDescent="0.25">
      <c r="A33" s="66" t="s">
        <v>141</v>
      </c>
      <c r="B33" s="85">
        <f>monthly_data!$P20/1104*1000</f>
        <v>65.985448340345968</v>
      </c>
      <c r="C33" s="85">
        <f>monthly_data!$P32/1104*1000</f>
        <v>45.949415205703602</v>
      </c>
      <c r="D33" s="85">
        <f>monthly_data!$P44/1104*1000</f>
        <v>52.00395409654044</v>
      </c>
      <c r="E33" s="85">
        <f>monthly_data!$P56/1104*1000</f>
        <v>98.022862391888737</v>
      </c>
      <c r="F33" s="85">
        <f>monthly_data!$P68/1104*1000</f>
        <v>144.61718853728377</v>
      </c>
      <c r="G33" s="85">
        <f>monthly_data!$P80/1104*1000</f>
        <v>125.10013597183261</v>
      </c>
      <c r="H33" s="85">
        <f>monthly_data!$P92/1104*1000</f>
        <v>77.802979035179973</v>
      </c>
      <c r="I33" s="85">
        <f>monthly_data!$P104/1104*1000</f>
        <v>104.13033263207107</v>
      </c>
      <c r="J33" s="85">
        <f>monthly_data!$P116/1104*1000</f>
        <v>94.835008064516131</v>
      </c>
      <c r="K33" s="85">
        <f>monthly_data!$P128/1104*1000</f>
        <v>66.025598293595138</v>
      </c>
      <c r="L33" s="86">
        <v>149.82277397282525</v>
      </c>
      <c r="M33" s="86">
        <v>129.87677738533102</v>
      </c>
      <c r="N33" s="86">
        <v>111.53099954364001</v>
      </c>
      <c r="O33" s="86">
        <v>110.88138822948446</v>
      </c>
      <c r="P33" s="86">
        <v>125.55596949757077</v>
      </c>
      <c r="Q33" s="86">
        <v>110.96736296144101</v>
      </c>
      <c r="R33" s="86">
        <v>118.10041280658773</v>
      </c>
      <c r="S33" s="86">
        <v>69.283937767819424</v>
      </c>
      <c r="T33" s="86">
        <v>46.754202929966816</v>
      </c>
      <c r="U33" s="86">
        <v>46.754202929966816</v>
      </c>
    </row>
    <row r="34" spans="1:21" s="66" customFormat="1" x14ac:dyDescent="0.25">
      <c r="A34" s="66" t="s">
        <v>142</v>
      </c>
      <c r="B34" s="85">
        <f>monthly_data!$P21/1104*1000</f>
        <v>61.826317964001866</v>
      </c>
      <c r="C34" s="85">
        <f>monthly_data!$P33/1104*1000</f>
        <v>45.075923562412335</v>
      </c>
      <c r="D34" s="85">
        <f>monthly_data!$P45/1104*1000</f>
        <v>61.391810396213188</v>
      </c>
      <c r="E34" s="85">
        <f>monthly_data!$P57/1104*1000</f>
        <v>63.536796122604031</v>
      </c>
      <c r="F34" s="85">
        <f>monthly_data!$P69/1104*1000</f>
        <v>134.34965657141188</v>
      </c>
      <c r="G34" s="85">
        <f>monthly_data!$P81/1104*1000</f>
        <v>107.02585995208041</v>
      </c>
      <c r="H34" s="85">
        <f>monthly_data!$P93/1104*1000</f>
        <v>78.767977939457694</v>
      </c>
      <c r="I34" s="85">
        <f>monthly_data!$P105/1104*1000</f>
        <v>109.08009580995792</v>
      </c>
      <c r="J34" s="85">
        <f>monthly_data!$P117/1104*1000</f>
        <v>80.477560776063584</v>
      </c>
      <c r="K34" s="85">
        <f>monthly_data!$P129/1104*1000</f>
        <v>58.141974170172972</v>
      </c>
      <c r="L34" s="86">
        <v>144.63491644936761</v>
      </c>
      <c r="M34" s="86">
        <v>125.65067901798204</v>
      </c>
      <c r="N34" s="86">
        <v>106.98361316036693</v>
      </c>
      <c r="O34" s="86">
        <v>104.72860647242308</v>
      </c>
      <c r="P34" s="86">
        <v>118.90691928531049</v>
      </c>
      <c r="Q34" s="86">
        <v>106.24292691894817</v>
      </c>
      <c r="R34" s="86">
        <v>112.80448756489585</v>
      </c>
      <c r="S34" s="86">
        <v>66.040665252309125</v>
      </c>
      <c r="T34" s="86">
        <v>44.570352156260029</v>
      </c>
      <c r="U34" s="86">
        <v>44.570352156260029</v>
      </c>
    </row>
    <row r="35" spans="1:21" s="66" customFormat="1" x14ac:dyDescent="0.25">
      <c r="A35" s="66" t="s">
        <v>143</v>
      </c>
      <c r="B35" s="85">
        <f>monthly_data!$P22/1104*1000</f>
        <v>56.490179698457219</v>
      </c>
      <c r="C35" s="85">
        <f>monthly_data!$P34/1104*1000</f>
        <v>41.180237318840575</v>
      </c>
      <c r="D35" s="85">
        <f>monthly_data!$P46/1104*1000</f>
        <v>64.398663306451624</v>
      </c>
      <c r="E35" s="85">
        <f>monthly_data!$P58/1104*1000</f>
        <v>47.005865489130429</v>
      </c>
      <c r="F35" s="85">
        <f>monthly_data!$P70/1104*1000</f>
        <v>141.00053849637683</v>
      </c>
      <c r="G35" s="85">
        <f>monthly_data!$P82/1104*1000</f>
        <v>115.67871195652172</v>
      </c>
      <c r="H35" s="85">
        <f>monthly_data!$P94/1104*1000</f>
        <v>86.116913043478249</v>
      </c>
      <c r="I35" s="85">
        <f>monthly_data!$P106/1104*1000</f>
        <v>114.22955163043478</v>
      </c>
      <c r="J35" s="85">
        <f>monthly_data!$P118/1104*1000</f>
        <v>65.349894927536226</v>
      </c>
      <c r="K35" s="85">
        <f>monthly_data!$P130/1104*1000</f>
        <v>28.343997282608697</v>
      </c>
      <c r="L35" s="86">
        <v>150.874348031414</v>
      </c>
      <c r="M35" s="86">
        <v>126.29787919800843</v>
      </c>
      <c r="N35" s="86">
        <v>103.84058133072524</v>
      </c>
      <c r="O35" s="86">
        <v>100.34598047447454</v>
      </c>
      <c r="P35" s="86">
        <v>112.68448573359197</v>
      </c>
      <c r="Q35" s="86">
        <v>105.02508420870656</v>
      </c>
      <c r="R35" s="86">
        <v>109.94258137475302</v>
      </c>
      <c r="S35" s="86">
        <v>63.883664276695136</v>
      </c>
      <c r="T35" s="86">
        <v>43.062905426178929</v>
      </c>
      <c r="U35" s="86">
        <v>43.062905426178929</v>
      </c>
    </row>
    <row r="36" spans="1:21" x14ac:dyDescent="0.25">
      <c r="A36" s="87" t="s">
        <v>144</v>
      </c>
      <c r="B36" s="88">
        <f>SUM(B24:B35)</f>
        <v>628.49789910589061</v>
      </c>
      <c r="C36" s="88">
        <f t="shared" ref="C36:U36" si="10">SUM(C24:C35)</f>
        <v>698.66844012973354</v>
      </c>
      <c r="D36" s="88">
        <f t="shared" si="10"/>
        <v>708.78866950093493</v>
      </c>
      <c r="E36" s="88">
        <f t="shared" si="10"/>
        <v>1066.9524171049557</v>
      </c>
      <c r="F36" s="88">
        <f t="shared" si="10"/>
        <v>1566.4172760051426</v>
      </c>
      <c r="G36" s="88">
        <f t="shared" si="10"/>
        <v>1482.6505693665265</v>
      </c>
      <c r="H36" s="88">
        <f t="shared" si="10"/>
        <v>1183.6543510986442</v>
      </c>
      <c r="I36" s="88">
        <f t="shared" si="10"/>
        <v>1370.1228842625055</v>
      </c>
      <c r="J36" s="88">
        <f t="shared" si="10"/>
        <v>1361.41753006662</v>
      </c>
      <c r="K36" s="88">
        <f t="shared" si="10"/>
        <v>784.51662514609643</v>
      </c>
      <c r="L36" s="89">
        <f t="shared" si="10"/>
        <v>1742.7160931912758</v>
      </c>
      <c r="M36" s="89">
        <f t="shared" si="10"/>
        <v>1495.0803571881381</v>
      </c>
      <c r="N36" s="89">
        <f t="shared" si="10"/>
        <v>1271.2717378492187</v>
      </c>
      <c r="O36" s="89">
        <f t="shared" si="10"/>
        <v>1263.5451615185902</v>
      </c>
      <c r="P36" s="89">
        <f t="shared" si="10"/>
        <v>1421.690097606313</v>
      </c>
      <c r="Q36" s="89">
        <f t="shared" si="10"/>
        <v>1271.6130873620748</v>
      </c>
      <c r="R36" s="89">
        <f t="shared" si="10"/>
        <v>1349.3173580735797</v>
      </c>
      <c r="S36" s="89">
        <f t="shared" si="10"/>
        <v>788.12901183381814</v>
      </c>
      <c r="T36" s="89">
        <f t="shared" si="10"/>
        <v>529.28807114812639</v>
      </c>
      <c r="U36" s="89">
        <f t="shared" si="10"/>
        <v>529.28807114812639</v>
      </c>
    </row>
    <row r="37" spans="1:21" x14ac:dyDescent="0.25">
      <c r="J37" s="90"/>
    </row>
    <row r="38" spans="1:21" ht="15.75" thickBot="1" x14ac:dyDescent="0.3">
      <c r="A38" s="4" t="s">
        <v>145</v>
      </c>
      <c r="B38" s="83"/>
      <c r="C38" s="83"/>
      <c r="D38" s="83"/>
      <c r="E38" s="83"/>
      <c r="F38" s="83"/>
      <c r="G38" s="83"/>
      <c r="H38" s="83"/>
      <c r="I38" s="83"/>
      <c r="J38" s="91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</row>
    <row r="39" spans="1:21" ht="15.75" thickBot="1" x14ac:dyDescent="0.3">
      <c r="A39" s="84"/>
      <c r="B39" s="93">
        <f t="shared" ref="B39:U39" si="11">B2</f>
        <v>2015</v>
      </c>
      <c r="C39" s="93">
        <f t="shared" si="11"/>
        <v>2016</v>
      </c>
      <c r="D39" s="93">
        <f t="shared" si="11"/>
        <v>2017</v>
      </c>
      <c r="E39" s="93">
        <f t="shared" si="11"/>
        <v>2018</v>
      </c>
      <c r="F39" s="93">
        <f t="shared" si="11"/>
        <v>2019</v>
      </c>
      <c r="G39" s="93">
        <f t="shared" si="11"/>
        <v>2020</v>
      </c>
      <c r="H39" s="93">
        <f t="shared" si="11"/>
        <v>2021</v>
      </c>
      <c r="I39" s="93">
        <f t="shared" si="11"/>
        <v>2022</v>
      </c>
      <c r="J39" s="93">
        <f t="shared" si="11"/>
        <v>2023</v>
      </c>
      <c r="K39" s="93">
        <f t="shared" si="11"/>
        <v>2024</v>
      </c>
      <c r="L39" s="93">
        <f t="shared" si="11"/>
        <v>2025</v>
      </c>
      <c r="M39" s="93">
        <f t="shared" si="11"/>
        <v>2026</v>
      </c>
      <c r="N39" s="93">
        <f t="shared" si="11"/>
        <v>2027</v>
      </c>
      <c r="O39" s="93">
        <f t="shared" si="11"/>
        <v>2028</v>
      </c>
      <c r="P39" s="93">
        <f t="shared" si="11"/>
        <v>2029</v>
      </c>
      <c r="Q39" s="93">
        <f t="shared" si="11"/>
        <v>2030</v>
      </c>
      <c r="R39" s="93">
        <f t="shared" si="11"/>
        <v>2031</v>
      </c>
      <c r="S39" s="93">
        <f t="shared" si="11"/>
        <v>2032</v>
      </c>
      <c r="T39" s="93">
        <f t="shared" si="11"/>
        <v>2033</v>
      </c>
      <c r="U39" s="93">
        <f t="shared" si="11"/>
        <v>2034</v>
      </c>
    </row>
    <row r="40" spans="1:21" x14ac:dyDescent="0.25">
      <c r="A40" s="1" t="s">
        <v>133</v>
      </c>
      <c r="B40" s="94"/>
      <c r="C40" s="94">
        <f>monthly_data!$AH23</f>
        <v>16.361716000000001</v>
      </c>
      <c r="D40" s="94">
        <f>monthly_data!$AH35</f>
        <v>23.650501999999999</v>
      </c>
      <c r="E40" s="94">
        <f>monthly_data!$AH47</f>
        <v>33.321883</v>
      </c>
      <c r="F40" s="94">
        <f>monthly_data!$AH59</f>
        <v>65.072788000000003</v>
      </c>
      <c r="G40" s="94">
        <f>monthly_data!$AH71</f>
        <v>111.8078</v>
      </c>
      <c r="H40" s="94">
        <f>monthly_data!$AH83</f>
        <v>51.577052000000002</v>
      </c>
      <c r="I40" s="94">
        <f>monthly_data!$AH95</f>
        <v>112.071045</v>
      </c>
      <c r="J40" s="94">
        <f>monthly_data!$AH107</f>
        <v>135.64897300000001</v>
      </c>
      <c r="K40" s="94">
        <f>monthly_data!$AH119</f>
        <v>76.447000000000003</v>
      </c>
      <c r="L40" s="95">
        <f t="shared" ref="L40:L50" si="12">L$52*(SUM(G40:K40)/SUM(G$52:K$52))</f>
        <v>30.510607816474216</v>
      </c>
      <c r="M40" s="95">
        <f t="shared" ref="M40:M50" si="13">M$52*(SUM(H40:L40)/SUM(H$52:L$52))</f>
        <v>27.950827768501835</v>
      </c>
      <c r="N40" s="95">
        <f t="shared" ref="N40:U50" si="14">N$52*(SUM(I40:M40)/SUM(I$52:M$52))</f>
        <v>27.442124013131114</v>
      </c>
      <c r="O40" s="95">
        <f t="shared" si="14"/>
        <v>26.826029651744083</v>
      </c>
      <c r="P40" s="95">
        <f t="shared" si="14"/>
        <v>25.300675184970729</v>
      </c>
      <c r="Q40" s="95">
        <f t="shared" si="14"/>
        <v>22.515575049651805</v>
      </c>
      <c r="R40" s="95">
        <f t="shared" si="14"/>
        <v>20.687423219909022</v>
      </c>
      <c r="S40" s="95">
        <f t="shared" si="14"/>
        <v>18.964753782672588</v>
      </c>
      <c r="T40" s="95">
        <f t="shared" si="14"/>
        <v>18.046493192991825</v>
      </c>
      <c r="U40" s="95">
        <f t="shared" si="14"/>
        <v>17.917627997580446</v>
      </c>
    </row>
    <row r="41" spans="1:21" x14ac:dyDescent="0.25">
      <c r="A41" s="1" t="s">
        <v>134</v>
      </c>
      <c r="B41" s="94"/>
      <c r="C41" s="94">
        <f>monthly_data!$AH24</f>
        <v>4.64255</v>
      </c>
      <c r="D41" s="94">
        <f>monthly_data!$AH36</f>
        <v>7.6863650000000003</v>
      </c>
      <c r="E41" s="94">
        <f>monthly_data!$AH48</f>
        <v>19.889544999999998</v>
      </c>
      <c r="F41" s="94">
        <f>monthly_data!$AH60</f>
        <v>42.90569</v>
      </c>
      <c r="G41" s="94">
        <f>monthly_data!$AH72</f>
        <v>71.120823999999999</v>
      </c>
      <c r="H41" s="94">
        <f>monthly_data!$AH84</f>
        <v>40.322676000000001</v>
      </c>
      <c r="I41" s="94">
        <f>monthly_data!$AH96</f>
        <v>79.025800000000004</v>
      </c>
      <c r="J41" s="94">
        <f>monthly_data!$AH108</f>
        <v>111.49932800000001</v>
      </c>
      <c r="K41" s="94">
        <f>monthly_data!$AH120</f>
        <v>45.277999999999999</v>
      </c>
      <c r="L41" s="95">
        <f t="shared" si="12"/>
        <v>21.730417488709691</v>
      </c>
      <c r="M41" s="95">
        <f t="shared" si="13"/>
        <v>20.492878977675748</v>
      </c>
      <c r="N41" s="95">
        <f t="shared" si="14"/>
        <v>19.940063389560631</v>
      </c>
      <c r="O41" s="95">
        <f t="shared" si="14"/>
        <v>19.709122806973699</v>
      </c>
      <c r="P41" s="95">
        <f t="shared" si="14"/>
        <v>17.005238725485238</v>
      </c>
      <c r="Q41" s="95">
        <f t="shared" si="14"/>
        <v>16.128990013711455</v>
      </c>
      <c r="R41" s="95">
        <f t="shared" si="14"/>
        <v>14.839410395314715</v>
      </c>
      <c r="S41" s="95">
        <f t="shared" si="14"/>
        <v>13.53523318121845</v>
      </c>
      <c r="T41" s="95">
        <f t="shared" si="14"/>
        <v>12.823893966742668</v>
      </c>
      <c r="U41" s="95">
        <f t="shared" si="14"/>
        <v>12.622545217778356</v>
      </c>
    </row>
    <row r="42" spans="1:21" x14ac:dyDescent="0.25">
      <c r="A42" s="1" t="s">
        <v>135</v>
      </c>
      <c r="B42" s="94"/>
      <c r="C42" s="94">
        <f>monthly_data!$AH25</f>
        <v>27.687327</v>
      </c>
      <c r="D42" s="94">
        <f>monthly_data!$AH37</f>
        <v>14.756073000000001</v>
      </c>
      <c r="E42" s="94">
        <f>monthly_data!$AH49</f>
        <v>26.185473000000002</v>
      </c>
      <c r="F42" s="94">
        <f>monthly_data!$AH61</f>
        <v>46.429130000000001</v>
      </c>
      <c r="G42" s="94">
        <f>monthly_data!$AH73</f>
        <v>109.908902</v>
      </c>
      <c r="H42" s="94">
        <f>monthly_data!$AH85</f>
        <v>74.070249000000004</v>
      </c>
      <c r="I42" s="94">
        <f>monthly_data!$AH97</f>
        <v>134.79355200000001</v>
      </c>
      <c r="J42" s="94">
        <f>monthly_data!$AH109</f>
        <v>144.728802</v>
      </c>
      <c r="K42" s="94">
        <f>monthly_data!$AH121</f>
        <v>98.912000000000006</v>
      </c>
      <c r="L42" s="95">
        <f t="shared" si="12"/>
        <v>35.195389326972858</v>
      </c>
      <c r="M42" s="95">
        <f t="shared" si="13"/>
        <v>33.554366835842266</v>
      </c>
      <c r="N42" s="95">
        <f t="shared" si="14"/>
        <v>32.07205761310248</v>
      </c>
      <c r="O42" s="95">
        <f t="shared" si="14"/>
        <v>31.00865381954894</v>
      </c>
      <c r="P42" s="95">
        <f t="shared" si="14"/>
        <v>30.859739289945594</v>
      </c>
      <c r="Q42" s="95">
        <f t="shared" si="14"/>
        <v>26.538118853648783</v>
      </c>
      <c r="R42" s="95">
        <f t="shared" si="14"/>
        <v>24.505239883741286</v>
      </c>
      <c r="S42" s="95">
        <f t="shared" si="14"/>
        <v>22.395873006014263</v>
      </c>
      <c r="T42" s="95">
        <f t="shared" si="14"/>
        <v>21.36436181887877</v>
      </c>
      <c r="U42" s="95">
        <f t="shared" si="14"/>
        <v>21.339056522076568</v>
      </c>
    </row>
    <row r="43" spans="1:21" x14ac:dyDescent="0.25">
      <c r="A43" s="1" t="s">
        <v>136</v>
      </c>
      <c r="B43" s="94"/>
      <c r="C43" s="94">
        <f>monthly_data!$AH26</f>
        <v>24.647013000000001</v>
      </c>
      <c r="D43" s="94">
        <f>monthly_data!$AH38</f>
        <v>32.654226999999999</v>
      </c>
      <c r="E43" s="94">
        <f>monthly_data!$AH50</f>
        <v>39.524341</v>
      </c>
      <c r="F43" s="94">
        <f>monthly_data!$AH62</f>
        <v>52.411034000000001</v>
      </c>
      <c r="G43" s="94">
        <f>monthly_data!$AH74</f>
        <v>93.671040000000005</v>
      </c>
      <c r="H43" s="94">
        <f>monthly_data!$AH86</f>
        <v>69.198136000000005</v>
      </c>
      <c r="I43" s="94">
        <f>monthly_data!$AH98</f>
        <v>108.330777</v>
      </c>
      <c r="J43" s="94">
        <f>monthly_data!$AH110</f>
        <v>105.48892600000001</v>
      </c>
      <c r="K43" s="94">
        <f>monthly_data!$AH122</f>
        <v>80.646000000000001</v>
      </c>
      <c r="L43" s="95">
        <f t="shared" si="12"/>
        <v>28.619652579660272</v>
      </c>
      <c r="M43" s="95">
        <f t="shared" si="13"/>
        <v>26.989592756204299</v>
      </c>
      <c r="N43" s="95">
        <f t="shared" si="14"/>
        <v>25.10738565340316</v>
      </c>
      <c r="O43" s="95">
        <f t="shared" si="14"/>
        <v>24.022077209303792</v>
      </c>
      <c r="P43" s="95">
        <f t="shared" si="14"/>
        <v>24.793545041653861</v>
      </c>
      <c r="Q43" s="95">
        <f t="shared" si="14"/>
        <v>21.129374642022576</v>
      </c>
      <c r="R43" s="95">
        <f t="shared" si="14"/>
        <v>19.415768798138945</v>
      </c>
      <c r="S43" s="95">
        <f t="shared" si="14"/>
        <v>17.682072158909953</v>
      </c>
      <c r="T43" s="95">
        <f t="shared" si="14"/>
        <v>16.901500713162491</v>
      </c>
      <c r="U43" s="95">
        <f t="shared" si="14"/>
        <v>16.967931173301707</v>
      </c>
    </row>
    <row r="44" spans="1:21" x14ac:dyDescent="0.25">
      <c r="A44" s="1" t="s">
        <v>93</v>
      </c>
      <c r="B44" s="94"/>
      <c r="C44" s="94">
        <f>monthly_data!$AH27</f>
        <v>40.476148000000002</v>
      </c>
      <c r="D44" s="94">
        <f>monthly_data!$AH39</f>
        <v>40.350786999999997</v>
      </c>
      <c r="E44" s="94">
        <f>monthly_data!$AH51</f>
        <v>73.468618000000006</v>
      </c>
      <c r="F44" s="94">
        <f>monthly_data!$AH63</f>
        <v>124.436031</v>
      </c>
      <c r="G44" s="94">
        <f>monthly_data!$AH75</f>
        <v>111.710185</v>
      </c>
      <c r="H44" s="94">
        <f>monthly_data!$AH87</f>
        <v>66.678251000000003</v>
      </c>
      <c r="I44" s="94">
        <f>monthly_data!$AH99</f>
        <v>108.39638100000001</v>
      </c>
      <c r="J44" s="94">
        <f>monthly_data!$AH111</f>
        <v>122.59804699999999</v>
      </c>
      <c r="K44" s="94">
        <f>monthly_data!$AH123</f>
        <v>50.582999999999998</v>
      </c>
      <c r="L44" s="95">
        <f t="shared" si="12"/>
        <v>28.784297526065718</v>
      </c>
      <c r="M44" s="95">
        <f t="shared" si="13"/>
        <v>25.940819936800448</v>
      </c>
      <c r="N44" s="95">
        <f t="shared" si="14"/>
        <v>24.119628511824846</v>
      </c>
      <c r="O44" s="95">
        <f t="shared" si="14"/>
        <v>22.68745637417258</v>
      </c>
      <c r="P44" s="95">
        <f t="shared" si="14"/>
        <v>20.344046483688892</v>
      </c>
      <c r="Q44" s="95">
        <f t="shared" si="14"/>
        <v>19.880522859210686</v>
      </c>
      <c r="R44" s="95">
        <f t="shared" si="14"/>
        <v>17.972893617270049</v>
      </c>
      <c r="S44" s="95">
        <f t="shared" si="14"/>
        <v>16.220214707944503</v>
      </c>
      <c r="T44" s="95">
        <f t="shared" si="14"/>
        <v>15.332389585624217</v>
      </c>
      <c r="U44" s="95">
        <f t="shared" si="14"/>
        <v>15.240577458181985</v>
      </c>
    </row>
    <row r="45" spans="1:21" x14ac:dyDescent="0.25">
      <c r="A45" s="1" t="s">
        <v>137</v>
      </c>
      <c r="B45" s="94"/>
      <c r="C45" s="94">
        <f>monthly_data!$AH28</f>
        <v>27.685534000000001</v>
      </c>
      <c r="D45" s="94">
        <f>monthly_data!$AH40</f>
        <v>22.855553</v>
      </c>
      <c r="E45" s="94">
        <f>monthly_data!$AH52</f>
        <v>61.066412999999997</v>
      </c>
      <c r="F45" s="94">
        <f>monthly_data!$AH64</f>
        <v>60.955382</v>
      </c>
      <c r="G45" s="94">
        <f>monthly_data!$AH76</f>
        <v>63.793044000000002</v>
      </c>
      <c r="H45" s="94">
        <f>monthly_data!$AH88</f>
        <v>57.279007</v>
      </c>
      <c r="I45" s="94">
        <f>monthly_data!$AH100</f>
        <v>93.727885000000001</v>
      </c>
      <c r="J45" s="94">
        <f>monthly_data!$AH112</f>
        <v>120.06509</v>
      </c>
      <c r="K45" s="94">
        <f>monthly_data!$AH124</f>
        <v>42.145000000000003</v>
      </c>
      <c r="L45" s="95">
        <f t="shared" si="12"/>
        <v>23.592987236752361</v>
      </c>
      <c r="M45" s="95">
        <f t="shared" si="13"/>
        <v>23.172945334314893</v>
      </c>
      <c r="N45" s="95">
        <f t="shared" si="14"/>
        <v>21.709933208037761</v>
      </c>
      <c r="O45" s="95">
        <f t="shared" si="14"/>
        <v>20.766436229002675</v>
      </c>
      <c r="P45" s="95">
        <f t="shared" si="14"/>
        <v>17.571875382246319</v>
      </c>
      <c r="Q45" s="95">
        <f t="shared" si="14"/>
        <v>17.423589219703135</v>
      </c>
      <c r="R45" s="95">
        <f t="shared" si="14"/>
        <v>16.011669445753036</v>
      </c>
      <c r="S45" s="95">
        <f t="shared" si="14"/>
        <v>14.440541188700125</v>
      </c>
      <c r="T45" s="95">
        <f t="shared" si="14"/>
        <v>13.612754441906096</v>
      </c>
      <c r="U45" s="95">
        <f t="shared" si="14"/>
        <v>13.425355983109025</v>
      </c>
    </row>
    <row r="46" spans="1:21" x14ac:dyDescent="0.25">
      <c r="A46" s="1" t="s">
        <v>138</v>
      </c>
      <c r="B46" s="94"/>
      <c r="C46" s="94">
        <f>monthly_data!$AH29</f>
        <v>35.673569000000001</v>
      </c>
      <c r="D46" s="94">
        <f>monthly_data!$AH41</f>
        <v>31.031741</v>
      </c>
      <c r="E46" s="94">
        <f>monthly_data!$AH53</f>
        <v>119.168485</v>
      </c>
      <c r="F46" s="94">
        <f>monthly_data!$AH65</f>
        <v>89.604078000000001</v>
      </c>
      <c r="G46" s="94">
        <f>monthly_data!$AH77</f>
        <v>63.365614000000001</v>
      </c>
      <c r="H46" s="94">
        <f>monthly_data!$AH89</f>
        <v>83.188306999999995</v>
      </c>
      <c r="I46" s="94">
        <f>monthly_data!$AH101</f>
        <v>126.46025400000001</v>
      </c>
      <c r="J46" s="94">
        <f>monthly_data!$AH113</f>
        <v>111.9285</v>
      </c>
      <c r="K46" s="94">
        <f>monthly_data!$AH125</f>
        <v>59.543999999999997</v>
      </c>
      <c r="L46" s="95">
        <f t="shared" si="12"/>
        <v>27.815622203589605</v>
      </c>
      <c r="M46" s="95">
        <f t="shared" si="13"/>
        <v>28.135353079206862</v>
      </c>
      <c r="N46" s="95">
        <f t="shared" si="14"/>
        <v>25.380551535619347</v>
      </c>
      <c r="O46" s="95">
        <f t="shared" si="14"/>
        <v>22.757513276563458</v>
      </c>
      <c r="P46" s="95">
        <f t="shared" si="14"/>
        <v>21.88445416734152</v>
      </c>
      <c r="Q46" s="95">
        <f t="shared" si="14"/>
        <v>20.54886785839275</v>
      </c>
      <c r="R46" s="95">
        <f t="shared" si="14"/>
        <v>18.885163168633351</v>
      </c>
      <c r="S46" s="95">
        <f t="shared" si="14"/>
        <v>16.907922358735433</v>
      </c>
      <c r="T46" s="95">
        <f t="shared" si="14"/>
        <v>15.944829604684188</v>
      </c>
      <c r="U46" s="95">
        <f t="shared" si="14"/>
        <v>15.991342158869532</v>
      </c>
    </row>
    <row r="47" spans="1:21" x14ac:dyDescent="0.25">
      <c r="A47" s="1" t="s">
        <v>139</v>
      </c>
      <c r="B47" s="94"/>
      <c r="C47" s="94">
        <f>monthly_data!$AH30</f>
        <v>23.220109999999998</v>
      </c>
      <c r="D47" s="94">
        <f>monthly_data!$AH42</f>
        <v>16.639634999999998</v>
      </c>
      <c r="E47" s="94">
        <f>monthly_data!$AH54</f>
        <v>47.983347000000002</v>
      </c>
      <c r="F47" s="94">
        <f>monthly_data!$AH66</f>
        <v>96.509690000000006</v>
      </c>
      <c r="G47" s="94">
        <f>monthly_data!$AH78</f>
        <v>65.025996000000006</v>
      </c>
      <c r="H47" s="94">
        <f>monthly_data!$AH90</f>
        <v>54.952722999999999</v>
      </c>
      <c r="I47" s="94">
        <f>monthly_data!$AH102</f>
        <v>110.5968</v>
      </c>
      <c r="J47" s="94">
        <f>monthly_data!$AH114</f>
        <v>112.15094000000001</v>
      </c>
      <c r="K47" s="94">
        <f>monthly_data!$AH126</f>
        <v>50.076000000000001</v>
      </c>
      <c r="L47" s="95">
        <f t="shared" si="12"/>
        <v>24.581265119331185</v>
      </c>
      <c r="M47" s="95">
        <f t="shared" si="13"/>
        <v>24.242650508047006</v>
      </c>
      <c r="N47" s="95">
        <f t="shared" si="14"/>
        <v>23.068579379183905</v>
      </c>
      <c r="O47" s="95">
        <f t="shared" si="14"/>
        <v>21.075519316353116</v>
      </c>
      <c r="P47" s="95">
        <f t="shared" si="14"/>
        <v>19.130856296169448</v>
      </c>
      <c r="Q47" s="95">
        <f t="shared" si="14"/>
        <v>18.285631377581183</v>
      </c>
      <c r="R47" s="95">
        <f t="shared" si="14"/>
        <v>16.832333139575969</v>
      </c>
      <c r="S47" s="95">
        <f t="shared" si="14"/>
        <v>15.198906265596818</v>
      </c>
      <c r="T47" s="95">
        <f t="shared" si="14"/>
        <v>14.293144167675242</v>
      </c>
      <c r="U47" s="95">
        <f t="shared" si="14"/>
        <v>14.220147947535621</v>
      </c>
    </row>
    <row r="48" spans="1:21" x14ac:dyDescent="0.25">
      <c r="A48" s="1" t="s">
        <v>140</v>
      </c>
      <c r="B48" s="94"/>
      <c r="C48" s="94">
        <f>monthly_data!$AH31</f>
        <v>20.131739</v>
      </c>
      <c r="D48" s="94">
        <f>monthly_data!$AH43</f>
        <v>19.337365999999999</v>
      </c>
      <c r="E48" s="94">
        <f>monthly_data!$AH55</f>
        <v>60.716582000000002</v>
      </c>
      <c r="F48" s="94">
        <f>monthly_data!$AH67</f>
        <v>115.38800999999999</v>
      </c>
      <c r="G48" s="94">
        <f>monthly_data!$AH79</f>
        <v>101.972477</v>
      </c>
      <c r="H48" s="94">
        <f>monthly_data!$AH91</f>
        <v>57.932366000000002</v>
      </c>
      <c r="I48" s="94">
        <f>monthly_data!$AH103</f>
        <v>119.118861</v>
      </c>
      <c r="J48" s="94">
        <f>monthly_data!$AH115</f>
        <v>79.823133999999996</v>
      </c>
      <c r="K48" s="94">
        <f>monthly_data!$AH127</f>
        <v>43.968000000000004</v>
      </c>
      <c r="L48" s="95">
        <f t="shared" si="12"/>
        <v>25.207831824898129</v>
      </c>
      <c r="M48" s="95">
        <f t="shared" si="13"/>
        <v>22.432659317347014</v>
      </c>
      <c r="N48" s="95">
        <f t="shared" si="14"/>
        <v>20.838289463541606</v>
      </c>
      <c r="O48" s="95">
        <f t="shared" si="14"/>
        <v>17.308209799473691</v>
      </c>
      <c r="P48" s="95">
        <f t="shared" si="14"/>
        <v>17.353568318840331</v>
      </c>
      <c r="Q48" s="95">
        <f t="shared" si="14"/>
        <v>16.824346458541257</v>
      </c>
      <c r="R48" s="95">
        <f t="shared" si="14"/>
        <v>15.074988943277438</v>
      </c>
      <c r="S48" s="95">
        <f t="shared" si="14"/>
        <v>13.500720786096034</v>
      </c>
      <c r="T48" s="95">
        <f t="shared" si="14"/>
        <v>12.641342258878224</v>
      </c>
      <c r="U48" s="95">
        <f t="shared" si="14"/>
        <v>12.802918884730181</v>
      </c>
    </row>
    <row r="49" spans="1:21" x14ac:dyDescent="0.25">
      <c r="A49" s="1" t="s">
        <v>141</v>
      </c>
      <c r="B49" s="94"/>
      <c r="C49" s="94">
        <f>monthly_data!$AH32</f>
        <v>14.305777000000001</v>
      </c>
      <c r="D49" s="94">
        <f>monthly_data!$AH44</f>
        <v>14.591011</v>
      </c>
      <c r="E49" s="94">
        <f>monthly_data!$AH56</f>
        <v>50.581310000000002</v>
      </c>
      <c r="F49" s="94">
        <f>monthly_data!$AH68</f>
        <v>107.674665</v>
      </c>
      <c r="G49" s="94">
        <f>monthly_data!$AH80</f>
        <v>83.049475000000001</v>
      </c>
      <c r="H49" s="94">
        <f>monthly_data!$AH92</f>
        <v>77.437787999999998</v>
      </c>
      <c r="I49" s="94">
        <f>monthly_data!$AH104</f>
        <v>110.29626399999999</v>
      </c>
      <c r="J49" s="94">
        <f>monthly_data!$AH116</f>
        <v>130.403098</v>
      </c>
      <c r="K49" s="94">
        <f>monthly_data!$AH128</f>
        <v>61.052999999999997</v>
      </c>
      <c r="L49" s="95">
        <f t="shared" si="12"/>
        <v>28.926587678987076</v>
      </c>
      <c r="M49" s="95">
        <f t="shared" si="13"/>
        <v>28.078939805984017</v>
      </c>
      <c r="N49" s="95">
        <f t="shared" si="14"/>
        <v>25.730126449546233</v>
      </c>
      <c r="O49" s="95">
        <f t="shared" si="14"/>
        <v>24.68284431029252</v>
      </c>
      <c r="P49" s="95">
        <f t="shared" si="14"/>
        <v>22.531554627976529</v>
      </c>
      <c r="Q49" s="95">
        <f t="shared" si="14"/>
        <v>21.197526355135366</v>
      </c>
      <c r="R49" s="95">
        <f t="shared" si="14"/>
        <v>19.444248655512336</v>
      </c>
      <c r="S49" s="95">
        <f t="shared" si="14"/>
        <v>17.545851281063392</v>
      </c>
      <c r="T49" s="95">
        <f t="shared" si="14"/>
        <v>16.642425036312652</v>
      </c>
      <c r="U49" s="95">
        <f t="shared" si="14"/>
        <v>16.533102898188726</v>
      </c>
    </row>
    <row r="50" spans="1:21" x14ac:dyDescent="0.25">
      <c r="A50" s="1" t="s">
        <v>142</v>
      </c>
      <c r="B50" s="94"/>
      <c r="C50" s="94">
        <f>monthly_data!$AH33</f>
        <v>12.145759</v>
      </c>
      <c r="D50" s="94">
        <f>monthly_data!$AH45</f>
        <v>22.607448999999999</v>
      </c>
      <c r="E50" s="94">
        <f>monthly_data!$AH57</f>
        <v>23.741592000000001</v>
      </c>
      <c r="F50" s="94">
        <f>monthly_data!$AH69</f>
        <v>79.706241000000006</v>
      </c>
      <c r="G50" s="94">
        <f>monthly_data!$AH81</f>
        <v>97.829188000000002</v>
      </c>
      <c r="H50" s="94">
        <f>monthly_data!$AH93</f>
        <v>55.121614999999998</v>
      </c>
      <c r="I50" s="94">
        <f>monthly_data!$AH105</f>
        <v>79.828006999999999</v>
      </c>
      <c r="J50" s="94">
        <f>monthly_data!$AH117</f>
        <v>67.077693999999994</v>
      </c>
      <c r="K50" s="94">
        <f>monthly_data!$AH129</f>
        <v>51.237000000000002</v>
      </c>
      <c r="L50" s="95">
        <f t="shared" si="12"/>
        <v>21.97115192575453</v>
      </c>
      <c r="M50" s="95">
        <f t="shared" si="13"/>
        <v>18.936542961484662</v>
      </c>
      <c r="N50" s="95">
        <f t="shared" si="14"/>
        <v>17.144701466559432</v>
      </c>
      <c r="O50" s="95">
        <f t="shared" si="14"/>
        <v>15.876631597954665</v>
      </c>
      <c r="P50" s="95">
        <f t="shared" si="14"/>
        <v>16.739835673946995</v>
      </c>
      <c r="Q50" s="95">
        <f t="shared" si="14"/>
        <v>14.789956477951106</v>
      </c>
      <c r="R50" s="95">
        <f t="shared" si="14"/>
        <v>13.282129028301773</v>
      </c>
      <c r="S50" s="95">
        <f t="shared" si="14"/>
        <v>12.023023013411102</v>
      </c>
      <c r="T50" s="95">
        <f t="shared" si="14"/>
        <v>11.480775124984051</v>
      </c>
      <c r="U50" s="95">
        <f t="shared" si="14"/>
        <v>11.600782525799156</v>
      </c>
    </row>
    <row r="51" spans="1:21" x14ac:dyDescent="0.25">
      <c r="A51" s="1" t="s">
        <v>143</v>
      </c>
      <c r="B51" s="94"/>
      <c r="C51" s="94">
        <f>monthly_data!$AH34</f>
        <v>10.950946</v>
      </c>
      <c r="D51" s="94">
        <f>monthly_data!$AH46</f>
        <v>25.0517</v>
      </c>
      <c r="E51" s="94">
        <f>monthly_data!$AH58</f>
        <v>44.559739999999998</v>
      </c>
      <c r="F51" s="94">
        <f>monthly_data!$AH70</f>
        <v>134.45291700000001</v>
      </c>
      <c r="G51" s="94">
        <f>monthly_data!$AH82</f>
        <v>99.879107000000005</v>
      </c>
      <c r="H51" s="94">
        <f>monthly_data!$AH94</f>
        <v>68.558239999999998</v>
      </c>
      <c r="I51" s="94">
        <f>monthly_data!$AH106</f>
        <v>113.189125</v>
      </c>
      <c r="J51" s="94">
        <f>monthly_data!$AH118</f>
        <v>37.538494999999998</v>
      </c>
      <c r="K51" s="94">
        <f>monthly_data!$AH130</f>
        <v>49.395000000000003</v>
      </c>
      <c r="L51" s="95">
        <f t="shared" ref="L51:T51" si="15">L52-SUM(L40:L50)</f>
        <v>23.064189272804299</v>
      </c>
      <c r="M51" s="95">
        <f t="shared" si="15"/>
        <v>20.072422718590929</v>
      </c>
      <c r="N51" s="95">
        <f t="shared" si="15"/>
        <v>17.446559316489413</v>
      </c>
      <c r="O51" s="95">
        <f t="shared" si="15"/>
        <v>13.279505608616802</v>
      </c>
      <c r="P51" s="95">
        <f t="shared" si="15"/>
        <v>16.484610807734583</v>
      </c>
      <c r="Q51" s="95">
        <f t="shared" si="15"/>
        <v>14.737500834449861</v>
      </c>
      <c r="R51" s="95">
        <f t="shared" si="15"/>
        <v>13.048731704572106</v>
      </c>
      <c r="S51" s="95">
        <f t="shared" si="15"/>
        <v>11.584888269637332</v>
      </c>
      <c r="T51" s="95">
        <f t="shared" si="15"/>
        <v>10.916090088159564</v>
      </c>
      <c r="U51" s="95">
        <f t="shared" ref="U51" si="16">U52-SUM(U40:U50)</f>
        <v>11.338611232848677</v>
      </c>
    </row>
    <row r="52" spans="1:21" x14ac:dyDescent="0.25">
      <c r="A52" s="87" t="s">
        <v>144</v>
      </c>
      <c r="B52" s="96"/>
      <c r="C52" s="96">
        <f t="shared" ref="C52:K52" si="17">SUM(C40:C51)</f>
        <v>257.92818800000003</v>
      </c>
      <c r="D52" s="96">
        <f t="shared" si="17"/>
        <v>271.21240900000004</v>
      </c>
      <c r="E52" s="96">
        <f t="shared" si="17"/>
        <v>600.20732900000007</v>
      </c>
      <c r="F52" s="96">
        <f t="shared" si="17"/>
        <v>1015.545656</v>
      </c>
      <c r="G52" s="96">
        <f t="shared" si="17"/>
        <v>1073.1336520000002</v>
      </c>
      <c r="H52" s="96">
        <f t="shared" si="17"/>
        <v>756.31641000000002</v>
      </c>
      <c r="I52" s="96">
        <f t="shared" si="17"/>
        <v>1295.8347510000003</v>
      </c>
      <c r="J52" s="96">
        <f t="shared" si="17"/>
        <v>1278.9510270000001</v>
      </c>
      <c r="K52" s="96">
        <f t="shared" si="17"/>
        <v>709.28399999999988</v>
      </c>
      <c r="L52" s="97">
        <f t="shared" ref="L52:U52" si="18">L6</f>
        <v>320</v>
      </c>
      <c r="M52" s="97">
        <f t="shared" si="18"/>
        <v>300</v>
      </c>
      <c r="N52" s="97">
        <f t="shared" si="18"/>
        <v>279.99999999999994</v>
      </c>
      <c r="O52" s="97">
        <f t="shared" si="18"/>
        <v>260</v>
      </c>
      <c r="P52" s="97">
        <f t="shared" si="18"/>
        <v>250.00000000000006</v>
      </c>
      <c r="Q52" s="97">
        <f t="shared" si="18"/>
        <v>229.99999999999997</v>
      </c>
      <c r="R52" s="97">
        <f t="shared" si="18"/>
        <v>210</v>
      </c>
      <c r="S52" s="97">
        <f t="shared" si="18"/>
        <v>190</v>
      </c>
      <c r="T52" s="97">
        <f t="shared" si="18"/>
        <v>180</v>
      </c>
      <c r="U52" s="97">
        <f t="shared" si="18"/>
        <v>180</v>
      </c>
    </row>
    <row r="53" spans="1:21" x14ac:dyDescent="0.25">
      <c r="J53" s="90"/>
    </row>
    <row r="54" spans="1:21" ht="15.75" thickBot="1" x14ac:dyDescent="0.3">
      <c r="A54" s="4" t="s">
        <v>146</v>
      </c>
    </row>
    <row r="55" spans="1:21" ht="15.75" thickBot="1" x14ac:dyDescent="0.3">
      <c r="A55" s="84"/>
      <c r="B55" s="93">
        <f t="shared" ref="B55:U55" si="19">B2</f>
        <v>2015</v>
      </c>
      <c r="C55" s="93">
        <f t="shared" si="19"/>
        <v>2016</v>
      </c>
      <c r="D55" s="93">
        <f t="shared" si="19"/>
        <v>2017</v>
      </c>
      <c r="E55" s="93">
        <f t="shared" si="19"/>
        <v>2018</v>
      </c>
      <c r="F55" s="93">
        <f t="shared" si="19"/>
        <v>2019</v>
      </c>
      <c r="G55" s="93">
        <f t="shared" si="19"/>
        <v>2020</v>
      </c>
      <c r="H55" s="93">
        <f t="shared" si="19"/>
        <v>2021</v>
      </c>
      <c r="I55" s="93">
        <f t="shared" si="19"/>
        <v>2022</v>
      </c>
      <c r="J55" s="93">
        <f t="shared" si="19"/>
        <v>2023</v>
      </c>
      <c r="K55" s="93">
        <f t="shared" si="19"/>
        <v>2024</v>
      </c>
      <c r="L55" s="93">
        <f t="shared" si="19"/>
        <v>2025</v>
      </c>
      <c r="M55" s="93">
        <f t="shared" si="19"/>
        <v>2026</v>
      </c>
      <c r="N55" s="93">
        <f t="shared" si="19"/>
        <v>2027</v>
      </c>
      <c r="O55" s="93">
        <f t="shared" si="19"/>
        <v>2028</v>
      </c>
      <c r="P55" s="93">
        <f t="shared" si="19"/>
        <v>2029</v>
      </c>
      <c r="Q55" s="93">
        <f t="shared" si="19"/>
        <v>2030</v>
      </c>
      <c r="R55" s="93">
        <f t="shared" si="19"/>
        <v>2031</v>
      </c>
      <c r="S55" s="93">
        <f t="shared" si="19"/>
        <v>2032</v>
      </c>
      <c r="T55" s="93">
        <f t="shared" si="19"/>
        <v>2033</v>
      </c>
      <c r="U55" s="93">
        <f t="shared" si="19"/>
        <v>2034</v>
      </c>
    </row>
    <row r="56" spans="1:21" x14ac:dyDescent="0.25">
      <c r="A56" s="1" t="s">
        <v>133</v>
      </c>
      <c r="B56" s="94"/>
      <c r="C56" s="94">
        <f>monthly_data!$AI23</f>
        <v>3.6569090000000002</v>
      </c>
      <c r="D56" s="94">
        <f>monthly_data!$AI35</f>
        <v>5.413519</v>
      </c>
      <c r="E56" s="94">
        <f>monthly_data!$AI47</f>
        <v>0.251803</v>
      </c>
      <c r="F56" s="94">
        <f>monthly_data!$AI59</f>
        <v>10.186685000000001</v>
      </c>
      <c r="G56" s="94">
        <f>monthly_data!$AI71</f>
        <v>5.5606000000000003E-2</v>
      </c>
      <c r="H56" s="94">
        <f>monthly_data!$AI83</f>
        <v>20.252323000000001</v>
      </c>
      <c r="I56" s="94">
        <f>monthly_data!$AI95</f>
        <v>39.528432000000002</v>
      </c>
      <c r="J56" s="94">
        <f>monthly_data!$AI107</f>
        <v>31.379045999999999</v>
      </c>
      <c r="K56" s="94">
        <f>monthly_data!$AI119</f>
        <v>33.042000000000002</v>
      </c>
      <c r="L56" s="95">
        <f t="shared" ref="L56:L66" si="20">L$68*(SUM(F56:K56)/SUM(F$68:K$68))</f>
        <v>37.266600785109759</v>
      </c>
      <c r="M56" s="95">
        <f t="shared" ref="M56:M66" si="21">M$68*(SUM(G56:L56)/SUM(G$68:L$68))</f>
        <v>17.509869963736275</v>
      </c>
      <c r="N56" s="95">
        <f t="shared" ref="N56:U66" si="22">N$68*(SUM(H56:M56)/SUM(H$68:M$68))</f>
        <v>7.0839057579532287</v>
      </c>
      <c r="O56" s="95">
        <f t="shared" si="22"/>
        <v>0</v>
      </c>
      <c r="P56" s="95">
        <f t="shared" si="22"/>
        <v>0</v>
      </c>
      <c r="Q56" s="95">
        <f t="shared" si="22"/>
        <v>0</v>
      </c>
      <c r="R56" s="95">
        <f t="shared" si="22"/>
        <v>0</v>
      </c>
      <c r="S56" s="95">
        <f t="shared" si="22"/>
        <v>0</v>
      </c>
      <c r="T56" s="95">
        <f t="shared" si="22"/>
        <v>0</v>
      </c>
      <c r="U56" s="95" t="e">
        <f t="shared" si="22"/>
        <v>#DIV/0!</v>
      </c>
    </row>
    <row r="57" spans="1:21" x14ac:dyDescent="0.25">
      <c r="A57" s="1" t="s">
        <v>134</v>
      </c>
      <c r="B57" s="94"/>
      <c r="C57" s="94">
        <f>monthly_data!$AI24</f>
        <v>0.290383</v>
      </c>
      <c r="D57" s="94">
        <f>monthly_data!$AI36</f>
        <v>0.34346399999999999</v>
      </c>
      <c r="E57" s="94">
        <f>monthly_data!$AI48</f>
        <v>0.12762699999999999</v>
      </c>
      <c r="F57" s="94">
        <f>monthly_data!$AI60</f>
        <v>5.2271200000000002</v>
      </c>
      <c r="G57" s="94">
        <f>monthly_data!$AI72</f>
        <v>7.8496999999999997E-2</v>
      </c>
      <c r="H57" s="94">
        <f>monthly_data!$AI84</f>
        <v>14.333964</v>
      </c>
      <c r="I57" s="94">
        <f>monthly_data!$AI96</f>
        <v>24.021697</v>
      </c>
      <c r="J57" s="94">
        <f>monthly_data!$AI108</f>
        <v>35.323757000000001</v>
      </c>
      <c r="K57" s="94">
        <f>monthly_data!$AI120</f>
        <v>44.354999999999997</v>
      </c>
      <c r="L57" s="95">
        <f t="shared" si="20"/>
        <v>34.188663680115184</v>
      </c>
      <c r="M57" s="95">
        <f t="shared" si="21"/>
        <v>16.51012053581799</v>
      </c>
      <c r="N57" s="95">
        <f t="shared" si="22"/>
        <v>6.678409010523044</v>
      </c>
      <c r="O57" s="95">
        <f t="shared" si="22"/>
        <v>0</v>
      </c>
      <c r="P57" s="95">
        <f t="shared" si="22"/>
        <v>0</v>
      </c>
      <c r="Q57" s="95">
        <f t="shared" si="22"/>
        <v>0</v>
      </c>
      <c r="R57" s="95">
        <f t="shared" si="22"/>
        <v>0</v>
      </c>
      <c r="S57" s="95">
        <f t="shared" si="22"/>
        <v>0</v>
      </c>
      <c r="T57" s="95">
        <f t="shared" si="22"/>
        <v>0</v>
      </c>
      <c r="U57" s="95" t="e">
        <f t="shared" si="22"/>
        <v>#DIV/0!</v>
      </c>
    </row>
    <row r="58" spans="1:21" x14ac:dyDescent="0.25">
      <c r="A58" s="1" t="s">
        <v>135</v>
      </c>
      <c r="B58" s="94"/>
      <c r="C58" s="94">
        <f>monthly_data!$AI25</f>
        <v>15.498863999999999</v>
      </c>
      <c r="D58" s="94">
        <f>monthly_data!$AI37</f>
        <v>0.29569400000000001</v>
      </c>
      <c r="E58" s="94">
        <f>monthly_data!$AI49</f>
        <v>10.200194</v>
      </c>
      <c r="F58" s="94">
        <f>monthly_data!$AI61</f>
        <v>10.148197</v>
      </c>
      <c r="G58" s="94">
        <f>monthly_data!$AI73</f>
        <v>0.65645799999999999</v>
      </c>
      <c r="H58" s="94">
        <f>monthly_data!$AI85</f>
        <v>30.888781999999999</v>
      </c>
      <c r="I58" s="94">
        <f>monthly_data!$AI97</f>
        <v>51.726092000000001</v>
      </c>
      <c r="J58" s="94">
        <f>monthly_data!$AI109</f>
        <v>52.269049000000003</v>
      </c>
      <c r="K58" s="94">
        <f>monthly_data!$AI121</f>
        <v>24.956</v>
      </c>
      <c r="L58" s="95">
        <f t="shared" si="20"/>
        <v>47.30102505708858</v>
      </c>
      <c r="M58" s="95">
        <f t="shared" si="21"/>
        <v>22.526097567501942</v>
      </c>
      <c r="N58" s="95">
        <f t="shared" si="22"/>
        <v>9.0901520671468514</v>
      </c>
      <c r="O58" s="95">
        <f t="shared" si="22"/>
        <v>0</v>
      </c>
      <c r="P58" s="95">
        <f t="shared" si="22"/>
        <v>0</v>
      </c>
      <c r="Q58" s="95">
        <f t="shared" si="22"/>
        <v>0</v>
      </c>
      <c r="R58" s="95">
        <f t="shared" si="22"/>
        <v>0</v>
      </c>
      <c r="S58" s="95">
        <f t="shared" si="22"/>
        <v>0</v>
      </c>
      <c r="T58" s="95">
        <f t="shared" si="22"/>
        <v>0</v>
      </c>
      <c r="U58" s="95" t="e">
        <f t="shared" si="22"/>
        <v>#DIV/0!</v>
      </c>
    </row>
    <row r="59" spans="1:21" x14ac:dyDescent="0.25">
      <c r="A59" s="1" t="s">
        <v>136</v>
      </c>
      <c r="B59" s="94"/>
      <c r="C59" s="94">
        <f>monthly_data!$AI26</f>
        <v>5.1412950000000004</v>
      </c>
      <c r="D59" s="94">
        <f>monthly_data!$AI38</f>
        <v>4.8567220000000004</v>
      </c>
      <c r="E59" s="94">
        <f>monthly_data!$AI50</f>
        <v>25.061385999999999</v>
      </c>
      <c r="F59" s="94">
        <f>monthly_data!$AI62</f>
        <v>0.243862</v>
      </c>
      <c r="G59" s="94">
        <f>monthly_data!$AI74</f>
        <v>0.69462800000000002</v>
      </c>
      <c r="H59" s="94">
        <f>monthly_data!$AI86</f>
        <v>31.778126</v>
      </c>
      <c r="I59" s="94">
        <f>monthly_data!$AI98</f>
        <v>27.68244</v>
      </c>
      <c r="J59" s="94">
        <f>monthly_data!$AI110</f>
        <v>33.741242999999997</v>
      </c>
      <c r="K59" s="94">
        <f>monthly_data!$AI122</f>
        <v>27.013000000000002</v>
      </c>
      <c r="L59" s="95">
        <f t="shared" si="20"/>
        <v>33.582521630121434</v>
      </c>
      <c r="M59" s="95">
        <f t="shared" si="21"/>
        <v>16.747566774440362</v>
      </c>
      <c r="N59" s="95">
        <f t="shared" si="22"/>
        <v>6.7501153570699151</v>
      </c>
      <c r="O59" s="95">
        <f t="shared" si="22"/>
        <v>0</v>
      </c>
      <c r="P59" s="95">
        <f t="shared" si="22"/>
        <v>0</v>
      </c>
      <c r="Q59" s="95">
        <f t="shared" si="22"/>
        <v>0</v>
      </c>
      <c r="R59" s="95">
        <f t="shared" si="22"/>
        <v>0</v>
      </c>
      <c r="S59" s="95">
        <f t="shared" si="22"/>
        <v>0</v>
      </c>
      <c r="T59" s="95">
        <f t="shared" si="22"/>
        <v>0</v>
      </c>
      <c r="U59" s="95" t="e">
        <f t="shared" si="22"/>
        <v>#DIV/0!</v>
      </c>
    </row>
    <row r="60" spans="1:21" x14ac:dyDescent="0.25">
      <c r="A60" s="1" t="s">
        <v>93</v>
      </c>
      <c r="B60" s="94"/>
      <c r="C60" s="94">
        <f>monthly_data!$AI27</f>
        <v>3.4651109999999998</v>
      </c>
      <c r="D60" s="94">
        <f>monthly_data!$AI39</f>
        <v>0.30754999999999999</v>
      </c>
      <c r="E60" s="94">
        <f>monthly_data!$AI51</f>
        <v>7.9180029999999997</v>
      </c>
      <c r="F60" s="94">
        <f>monthly_data!$AI63</f>
        <v>11.019417000000001</v>
      </c>
      <c r="G60" s="94">
        <f>monthly_data!$AI75</f>
        <v>5.2764090000000001</v>
      </c>
      <c r="H60" s="94">
        <f>monthly_data!$AI87</f>
        <v>25.378582999999999</v>
      </c>
      <c r="I60" s="94">
        <f>monthly_data!$AI99</f>
        <v>38.386035999999997</v>
      </c>
      <c r="J60" s="94">
        <f>monthly_data!$AI111</f>
        <v>37.375318</v>
      </c>
      <c r="K60" s="94">
        <f>monthly_data!$AI123</f>
        <v>20.097999999999999</v>
      </c>
      <c r="L60" s="95">
        <f t="shared" si="20"/>
        <v>38.123027676031292</v>
      </c>
      <c r="M60" s="95">
        <f t="shared" si="21"/>
        <v>17.847371692718223</v>
      </c>
      <c r="N60" s="95">
        <f t="shared" si="22"/>
        <v>7.0138522519731001</v>
      </c>
      <c r="O60" s="95">
        <f t="shared" si="22"/>
        <v>0</v>
      </c>
      <c r="P60" s="95">
        <f t="shared" si="22"/>
        <v>0</v>
      </c>
      <c r="Q60" s="95">
        <f t="shared" si="22"/>
        <v>0</v>
      </c>
      <c r="R60" s="95">
        <f t="shared" si="22"/>
        <v>0</v>
      </c>
      <c r="S60" s="95">
        <f t="shared" si="22"/>
        <v>0</v>
      </c>
      <c r="T60" s="95">
        <f t="shared" si="22"/>
        <v>0</v>
      </c>
      <c r="U60" s="95" t="e">
        <f t="shared" si="22"/>
        <v>#DIV/0!</v>
      </c>
    </row>
    <row r="61" spans="1:21" x14ac:dyDescent="0.25">
      <c r="A61" s="1" t="s">
        <v>137</v>
      </c>
      <c r="B61" s="94"/>
      <c r="C61" s="94">
        <f>monthly_data!$AI28</f>
        <v>0.60800500000000002</v>
      </c>
      <c r="D61" s="94">
        <f>monthly_data!$AI40</f>
        <v>5.8064419999999997</v>
      </c>
      <c r="E61" s="94">
        <f>monthly_data!$AI52</f>
        <v>6.1476280000000001</v>
      </c>
      <c r="F61" s="94">
        <f>monthly_data!$AI64</f>
        <v>0.37644100000000003</v>
      </c>
      <c r="G61" s="94">
        <f>monthly_data!$AI76</f>
        <v>5.2410069999999997</v>
      </c>
      <c r="H61" s="94">
        <f>monthly_data!$AI88</f>
        <v>20.521954999999998</v>
      </c>
      <c r="I61" s="94">
        <f>monthly_data!$AI100</f>
        <v>32.113114000000003</v>
      </c>
      <c r="J61" s="94">
        <f>monthly_data!$AI112</f>
        <v>23.034032</v>
      </c>
      <c r="K61" s="94">
        <f>monthly_data!$AI124</f>
        <v>14.534000000000001</v>
      </c>
      <c r="L61" s="95">
        <f t="shared" si="20"/>
        <v>26.560528569697563</v>
      </c>
      <c r="M61" s="95">
        <f t="shared" si="21"/>
        <v>13.225806804833649</v>
      </c>
      <c r="N61" s="95">
        <f t="shared" si="22"/>
        <v>5.1449424994940687</v>
      </c>
      <c r="O61" s="95">
        <f t="shared" si="22"/>
        <v>0</v>
      </c>
      <c r="P61" s="95">
        <f t="shared" si="22"/>
        <v>0</v>
      </c>
      <c r="Q61" s="95">
        <f t="shared" si="22"/>
        <v>0</v>
      </c>
      <c r="R61" s="95">
        <f t="shared" si="22"/>
        <v>0</v>
      </c>
      <c r="S61" s="95">
        <f t="shared" si="22"/>
        <v>0</v>
      </c>
      <c r="T61" s="95">
        <f t="shared" si="22"/>
        <v>0</v>
      </c>
      <c r="U61" s="95" t="e">
        <f t="shared" si="22"/>
        <v>#DIV/0!</v>
      </c>
    </row>
    <row r="62" spans="1:21" x14ac:dyDescent="0.25">
      <c r="A62" s="1" t="s">
        <v>138</v>
      </c>
      <c r="B62" s="94"/>
      <c r="C62" s="94">
        <f>monthly_data!$AI29</f>
        <v>4.657737</v>
      </c>
      <c r="D62" s="94">
        <f>monthly_data!$AI41</f>
        <v>5.2525029999999999</v>
      </c>
      <c r="E62" s="94">
        <f>monthly_data!$AI53</f>
        <v>9.9861489999999993</v>
      </c>
      <c r="F62" s="94">
        <f>monthly_data!$AI65</f>
        <v>14.20851</v>
      </c>
      <c r="G62" s="94">
        <f>monthly_data!$AI77</f>
        <v>6.2232669999999999</v>
      </c>
      <c r="H62" s="94">
        <f>monthly_data!$AI89</f>
        <v>47.962783999999999</v>
      </c>
      <c r="I62" s="94">
        <f>monthly_data!$AI101</f>
        <v>29.929715999999999</v>
      </c>
      <c r="J62" s="94">
        <f>monthly_data!$AI113</f>
        <v>48.167571000000002</v>
      </c>
      <c r="K62" s="94">
        <f>monthly_data!$AI125</f>
        <v>36.627000000000002</v>
      </c>
      <c r="L62" s="95">
        <f t="shared" si="20"/>
        <v>50.758771941017642</v>
      </c>
      <c r="M62" s="95">
        <f t="shared" si="21"/>
        <v>23.813039329943429</v>
      </c>
      <c r="N62" s="95">
        <f t="shared" si="22"/>
        <v>9.3906346609676934</v>
      </c>
      <c r="O62" s="95">
        <f t="shared" si="22"/>
        <v>0</v>
      </c>
      <c r="P62" s="95">
        <f t="shared" si="22"/>
        <v>0</v>
      </c>
      <c r="Q62" s="95">
        <f t="shared" si="22"/>
        <v>0</v>
      </c>
      <c r="R62" s="95">
        <f t="shared" si="22"/>
        <v>0</v>
      </c>
      <c r="S62" s="95">
        <f t="shared" si="22"/>
        <v>0</v>
      </c>
      <c r="T62" s="95">
        <f t="shared" si="22"/>
        <v>0</v>
      </c>
      <c r="U62" s="95" t="e">
        <f t="shared" si="22"/>
        <v>#DIV/0!</v>
      </c>
    </row>
    <row r="63" spans="1:21" x14ac:dyDescent="0.25">
      <c r="A63" s="1" t="s">
        <v>139</v>
      </c>
      <c r="B63" s="94"/>
      <c r="C63" s="94">
        <f>monthly_data!$AI30</f>
        <v>0.56713000000000002</v>
      </c>
      <c r="D63" s="94">
        <f>monthly_data!$AI42</f>
        <v>3.8975059999999999</v>
      </c>
      <c r="E63" s="94">
        <f>monthly_data!$AI54</f>
        <v>12.209146</v>
      </c>
      <c r="F63" s="94">
        <f>monthly_data!$AI66</f>
        <v>4.575113</v>
      </c>
      <c r="G63" s="94">
        <f>monthly_data!$AI78</f>
        <v>6.6296189999999999</v>
      </c>
      <c r="H63" s="94">
        <f>monthly_data!$AI90</f>
        <v>46.835374000000002</v>
      </c>
      <c r="I63" s="94">
        <f>monthly_data!$AI102</f>
        <v>34.871867999999999</v>
      </c>
      <c r="J63" s="94">
        <f>monthly_data!$AI114</f>
        <v>22.303252000000001</v>
      </c>
      <c r="K63" s="94">
        <f>monthly_data!$AI126</f>
        <v>13.393000000000001</v>
      </c>
      <c r="L63" s="95">
        <f t="shared" si="20"/>
        <v>35.648955225367374</v>
      </c>
      <c r="M63" s="95">
        <f t="shared" si="21"/>
        <v>17.310196103395597</v>
      </c>
      <c r="N63" s="95">
        <f t="shared" si="22"/>
        <v>6.7429018751397631</v>
      </c>
      <c r="O63" s="95">
        <f t="shared" si="22"/>
        <v>0</v>
      </c>
      <c r="P63" s="95">
        <f t="shared" si="22"/>
        <v>0</v>
      </c>
      <c r="Q63" s="95">
        <f t="shared" si="22"/>
        <v>0</v>
      </c>
      <c r="R63" s="95">
        <f t="shared" si="22"/>
        <v>0</v>
      </c>
      <c r="S63" s="95">
        <f t="shared" si="22"/>
        <v>0</v>
      </c>
      <c r="T63" s="95">
        <f t="shared" si="22"/>
        <v>0</v>
      </c>
      <c r="U63" s="95" t="e">
        <f t="shared" si="22"/>
        <v>#DIV/0!</v>
      </c>
    </row>
    <row r="64" spans="1:21" x14ac:dyDescent="0.25">
      <c r="A64" s="1" t="s">
        <v>140</v>
      </c>
      <c r="B64" s="94"/>
      <c r="C64" s="94">
        <f>monthly_data!$AI31</f>
        <v>0.57535499999999995</v>
      </c>
      <c r="D64" s="94">
        <f>monthly_data!$AI43</f>
        <v>1.130131</v>
      </c>
      <c r="E64" s="94">
        <f>monthly_data!$AI55</f>
        <v>5.1080959999999997</v>
      </c>
      <c r="F64" s="94">
        <f>monthly_data!$AI67</f>
        <v>5.159357</v>
      </c>
      <c r="G64" s="94">
        <f>monthly_data!$AI79</f>
        <v>4.748729</v>
      </c>
      <c r="H64" s="94">
        <f>monthly_data!$AI91</f>
        <v>30.907627000000002</v>
      </c>
      <c r="I64" s="94">
        <f>monthly_data!$AI103</f>
        <v>27.075561</v>
      </c>
      <c r="J64" s="94">
        <f>monthly_data!$AI115</f>
        <v>29.372568999999999</v>
      </c>
      <c r="K64" s="94">
        <f>monthly_data!$AI127</f>
        <v>26.824000000000002</v>
      </c>
      <c r="L64" s="95">
        <f t="shared" si="20"/>
        <v>34.395948818385982</v>
      </c>
      <c r="M64" s="95">
        <f t="shared" si="21"/>
        <v>16.621002368298019</v>
      </c>
      <c r="N64" s="95">
        <f t="shared" si="22"/>
        <v>6.5384356485502559</v>
      </c>
      <c r="O64" s="95">
        <f t="shared" si="22"/>
        <v>0</v>
      </c>
      <c r="P64" s="95">
        <f t="shared" si="22"/>
        <v>0</v>
      </c>
      <c r="Q64" s="95">
        <f t="shared" si="22"/>
        <v>0</v>
      </c>
      <c r="R64" s="95">
        <f t="shared" si="22"/>
        <v>0</v>
      </c>
      <c r="S64" s="95">
        <f t="shared" si="22"/>
        <v>0</v>
      </c>
      <c r="T64" s="95">
        <f t="shared" si="22"/>
        <v>0</v>
      </c>
      <c r="U64" s="95" t="e">
        <f t="shared" si="22"/>
        <v>#DIV/0!</v>
      </c>
    </row>
    <row r="65" spans="1:21" x14ac:dyDescent="0.25">
      <c r="A65" s="1" t="s">
        <v>141</v>
      </c>
      <c r="B65" s="94"/>
      <c r="C65" s="94">
        <f>monthly_data!$AI32</f>
        <v>5.9456879999999996</v>
      </c>
      <c r="D65" s="94">
        <f>monthly_data!$AI44</f>
        <v>6.4576789999999997</v>
      </c>
      <c r="E65" s="94">
        <f>monthly_data!$AI56</f>
        <v>2.3997950000000001</v>
      </c>
      <c r="F65" s="94">
        <f>monthly_data!$AI68</f>
        <v>2.8331379999999999</v>
      </c>
      <c r="G65" s="94">
        <f>monthly_data!$AI80</f>
        <v>1.167316</v>
      </c>
      <c r="H65" s="94">
        <f>monthly_data!$AI92</f>
        <v>21.181484999999999</v>
      </c>
      <c r="I65" s="94">
        <f>monthly_data!$AI104</f>
        <v>23.184144</v>
      </c>
      <c r="J65" s="94">
        <f>monthly_data!$AI116</f>
        <v>33.527118999999999</v>
      </c>
      <c r="K65" s="94">
        <f>monthly_data!$AI128</f>
        <v>25.655000000000001</v>
      </c>
      <c r="L65" s="95">
        <f t="shared" si="20"/>
        <v>29.81132044902607</v>
      </c>
      <c r="M65" s="95">
        <f t="shared" si="21"/>
        <v>14.583216022771248</v>
      </c>
      <c r="N65" s="95">
        <f t="shared" si="22"/>
        <v>5.8555107867236211</v>
      </c>
      <c r="O65" s="95">
        <f t="shared" si="22"/>
        <v>0</v>
      </c>
      <c r="P65" s="95">
        <f t="shared" si="22"/>
        <v>0</v>
      </c>
      <c r="Q65" s="95">
        <f t="shared" si="22"/>
        <v>0</v>
      </c>
      <c r="R65" s="95">
        <f t="shared" si="22"/>
        <v>0</v>
      </c>
      <c r="S65" s="95">
        <f t="shared" si="22"/>
        <v>0</v>
      </c>
      <c r="T65" s="95">
        <f t="shared" si="22"/>
        <v>0</v>
      </c>
      <c r="U65" s="95" t="e">
        <f t="shared" si="22"/>
        <v>#DIV/0!</v>
      </c>
    </row>
    <row r="66" spans="1:21" x14ac:dyDescent="0.25">
      <c r="A66" s="1" t="s">
        <v>142</v>
      </c>
      <c r="B66" s="94"/>
      <c r="C66" s="94">
        <f>monthly_data!$AI33</f>
        <v>0.97986700000000004</v>
      </c>
      <c r="D66" s="94">
        <f>monthly_data!$AI45</f>
        <v>0.116718</v>
      </c>
      <c r="E66" s="94">
        <f>monthly_data!$AI57</f>
        <v>16.261441999999999</v>
      </c>
      <c r="F66" s="94">
        <f>monthly_data!$AI69</f>
        <v>3.0726119999999999</v>
      </c>
      <c r="G66" s="94">
        <f>monthly_data!$AI81</f>
        <v>10.908312</v>
      </c>
      <c r="H66" s="94">
        <f>monthly_data!$AI93</f>
        <v>41.990772999999997</v>
      </c>
      <c r="I66" s="94">
        <f>monthly_data!$AI105</f>
        <v>37.042357000000003</v>
      </c>
      <c r="J66" s="94">
        <f>monthly_data!$AI117</f>
        <v>40.367806999999999</v>
      </c>
      <c r="K66" s="94">
        <f>monthly_data!$AI129</f>
        <v>19.995000000000001</v>
      </c>
      <c r="L66" s="95">
        <f t="shared" si="20"/>
        <v>42.514581068837671</v>
      </c>
      <c r="M66" s="95">
        <f t="shared" si="21"/>
        <v>20.90235802938237</v>
      </c>
      <c r="N66" s="95">
        <f t="shared" si="22"/>
        <v>8.0272721752242475</v>
      </c>
      <c r="O66" s="95">
        <f t="shared" si="22"/>
        <v>0</v>
      </c>
      <c r="P66" s="95">
        <f t="shared" si="22"/>
        <v>0</v>
      </c>
      <c r="Q66" s="95">
        <f t="shared" si="22"/>
        <v>0</v>
      </c>
      <c r="R66" s="95">
        <f t="shared" si="22"/>
        <v>0</v>
      </c>
      <c r="S66" s="95">
        <f t="shared" si="22"/>
        <v>0</v>
      </c>
      <c r="T66" s="95">
        <f t="shared" si="22"/>
        <v>0</v>
      </c>
      <c r="U66" s="95" t="e">
        <f t="shared" si="22"/>
        <v>#DIV/0!</v>
      </c>
    </row>
    <row r="67" spans="1:21" x14ac:dyDescent="0.25">
      <c r="A67" s="1" t="s">
        <v>143</v>
      </c>
      <c r="B67" s="94"/>
      <c r="C67" s="94">
        <f>monthly_data!$AI34</f>
        <v>0.61104000000000003</v>
      </c>
      <c r="D67" s="94">
        <f>monthly_data!$AI46</f>
        <v>6.2861760000000002</v>
      </c>
      <c r="E67" s="94">
        <f>monthly_data!$AI58</f>
        <v>5.1109929999999997</v>
      </c>
      <c r="F67" s="94">
        <f>monthly_data!$AI70</f>
        <v>2.5496999999999999E-2</v>
      </c>
      <c r="G67" s="94">
        <f>monthly_data!$AI82</f>
        <v>9.0736640000000008</v>
      </c>
      <c r="H67" s="94">
        <f>monthly_data!$AI94</f>
        <v>35.899557000000001</v>
      </c>
      <c r="I67" s="94">
        <f>monthly_data!$AI106</f>
        <v>30.74295</v>
      </c>
      <c r="J67" s="94">
        <f>monthly_data!$AI118</f>
        <v>28.780207000000001</v>
      </c>
      <c r="K67" s="94">
        <f>monthly_data!$AI130</f>
        <v>21.196999999999999</v>
      </c>
      <c r="L67" s="95">
        <f t="shared" ref="L67:T67" si="23">L68-SUM(L56:L66)</f>
        <v>34.848055099201417</v>
      </c>
      <c r="M67" s="95">
        <f t="shared" si="23"/>
        <v>17.403354807160895</v>
      </c>
      <c r="N67" s="95">
        <f t="shared" si="23"/>
        <v>6.683867909234209</v>
      </c>
      <c r="O67" s="95">
        <f t="shared" si="23"/>
        <v>0</v>
      </c>
      <c r="P67" s="95">
        <f t="shared" si="23"/>
        <v>0</v>
      </c>
      <c r="Q67" s="95">
        <f t="shared" si="23"/>
        <v>0</v>
      </c>
      <c r="R67" s="95">
        <f t="shared" si="23"/>
        <v>0</v>
      </c>
      <c r="S67" s="95">
        <f t="shared" si="23"/>
        <v>0</v>
      </c>
      <c r="T67" s="95">
        <f t="shared" si="23"/>
        <v>0</v>
      </c>
      <c r="U67" s="95" t="e">
        <f t="shared" ref="U67" si="24">U68-SUM(U56:U66)</f>
        <v>#DIV/0!</v>
      </c>
    </row>
    <row r="68" spans="1:21" x14ac:dyDescent="0.25">
      <c r="A68" s="87" t="s">
        <v>144</v>
      </c>
      <c r="B68" s="96">
        <f t="shared" ref="B68:K68" si="25">SUM(B56:B67)</f>
        <v>0</v>
      </c>
      <c r="C68" s="96">
        <f t="shared" si="25"/>
        <v>41.997383999999997</v>
      </c>
      <c r="D68" s="96">
        <f t="shared" si="25"/>
        <v>40.164103999999995</v>
      </c>
      <c r="E68" s="96">
        <f t="shared" si="25"/>
        <v>100.78226199999999</v>
      </c>
      <c r="F68" s="96">
        <f t="shared" si="25"/>
        <v>67.075949000000008</v>
      </c>
      <c r="G68" s="96">
        <f t="shared" si="25"/>
        <v>50.753512000000001</v>
      </c>
      <c r="H68" s="96">
        <f t="shared" si="25"/>
        <v>367.931333</v>
      </c>
      <c r="I68" s="96">
        <f t="shared" si="25"/>
        <v>396.30440699999997</v>
      </c>
      <c r="J68" s="96">
        <f t="shared" si="25"/>
        <v>415.64096999999992</v>
      </c>
      <c r="K68" s="96">
        <f t="shared" si="25"/>
        <v>307.68900000000002</v>
      </c>
      <c r="L68" s="97">
        <f t="shared" ref="L68:U68" si="26">L9</f>
        <v>445</v>
      </c>
      <c r="M68" s="97">
        <f t="shared" si="26"/>
        <v>215</v>
      </c>
      <c r="N68" s="97">
        <f t="shared" si="26"/>
        <v>85</v>
      </c>
      <c r="O68" s="97">
        <f t="shared" si="26"/>
        <v>0</v>
      </c>
      <c r="P68" s="97">
        <f t="shared" si="26"/>
        <v>0</v>
      </c>
      <c r="Q68" s="97">
        <f t="shared" si="26"/>
        <v>0</v>
      </c>
      <c r="R68" s="97">
        <f t="shared" si="26"/>
        <v>0</v>
      </c>
      <c r="S68" s="97">
        <f t="shared" si="26"/>
        <v>0</v>
      </c>
      <c r="T68" s="97">
        <f t="shared" si="26"/>
        <v>0</v>
      </c>
      <c r="U68" s="97">
        <f t="shared" si="26"/>
        <v>0</v>
      </c>
    </row>
    <row r="69" spans="1:21" x14ac:dyDescent="0.25">
      <c r="A69" s="98"/>
      <c r="B69" s="98"/>
      <c r="C69" s="98"/>
      <c r="D69" s="98"/>
      <c r="E69" s="98"/>
      <c r="F69" s="98"/>
      <c r="G69" s="98"/>
      <c r="H69" s="98"/>
      <c r="I69" s="98"/>
      <c r="J69" s="99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</row>
    <row r="70" spans="1:21" ht="15.75" thickBot="1" x14ac:dyDescent="0.3">
      <c r="A70" s="4" t="s">
        <v>147</v>
      </c>
    </row>
    <row r="71" spans="1:21" ht="15.75" thickBot="1" x14ac:dyDescent="0.3">
      <c r="A71" s="84"/>
      <c r="B71" s="84">
        <f t="shared" ref="B71:U71" si="27">B2</f>
        <v>2015</v>
      </c>
      <c r="C71" s="84">
        <f t="shared" si="27"/>
        <v>2016</v>
      </c>
      <c r="D71" s="84">
        <f t="shared" si="27"/>
        <v>2017</v>
      </c>
      <c r="E71" s="84">
        <f t="shared" si="27"/>
        <v>2018</v>
      </c>
      <c r="F71" s="84">
        <f t="shared" si="27"/>
        <v>2019</v>
      </c>
      <c r="G71" s="84">
        <f t="shared" si="27"/>
        <v>2020</v>
      </c>
      <c r="H71" s="84">
        <f t="shared" si="27"/>
        <v>2021</v>
      </c>
      <c r="I71" s="84">
        <f t="shared" si="27"/>
        <v>2022</v>
      </c>
      <c r="J71" s="84">
        <f t="shared" si="27"/>
        <v>2023</v>
      </c>
      <c r="K71" s="84">
        <f t="shared" si="27"/>
        <v>2024</v>
      </c>
      <c r="L71" s="84">
        <f t="shared" si="27"/>
        <v>2025</v>
      </c>
      <c r="M71" s="84">
        <f t="shared" si="27"/>
        <v>2026</v>
      </c>
      <c r="N71" s="84">
        <f t="shared" si="27"/>
        <v>2027</v>
      </c>
      <c r="O71" s="84">
        <f t="shared" si="27"/>
        <v>2028</v>
      </c>
      <c r="P71" s="84">
        <f t="shared" si="27"/>
        <v>2029</v>
      </c>
      <c r="Q71" s="84">
        <f t="shared" si="27"/>
        <v>2030</v>
      </c>
      <c r="R71" s="84">
        <f t="shared" si="27"/>
        <v>2031</v>
      </c>
      <c r="S71" s="84">
        <f t="shared" si="27"/>
        <v>2032</v>
      </c>
      <c r="T71" s="84">
        <f t="shared" si="27"/>
        <v>2033</v>
      </c>
      <c r="U71" s="84">
        <f t="shared" si="27"/>
        <v>2034</v>
      </c>
    </row>
    <row r="72" spans="1:21" x14ac:dyDescent="0.25">
      <c r="A72" s="1" t="s">
        <v>133</v>
      </c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1">
        <f t="shared" ref="L72:L82" si="28">L$84*(SUM(G72:K72)/SUM(G$84:K$84))</f>
        <v>0</v>
      </c>
      <c r="M72" s="101">
        <f t="shared" ref="M72:M82" si="29">M$84*(SUM(H72:L72)/SUM(H$84:L$84))</f>
        <v>0</v>
      </c>
      <c r="N72" s="101">
        <f t="shared" ref="N72:U82" si="30">N$84*(SUM(I72:M72)/SUM(I$84:M$84))</f>
        <v>0</v>
      </c>
      <c r="O72" s="101">
        <f t="shared" si="30"/>
        <v>0</v>
      </c>
      <c r="P72" s="101">
        <f t="shared" si="30"/>
        <v>0</v>
      </c>
      <c r="Q72" s="101">
        <f t="shared" si="30"/>
        <v>0</v>
      </c>
      <c r="R72" s="101">
        <f t="shared" si="30"/>
        <v>0</v>
      </c>
      <c r="S72" s="101">
        <f t="shared" si="30"/>
        <v>0</v>
      </c>
      <c r="T72" s="101">
        <f t="shared" si="30"/>
        <v>0</v>
      </c>
      <c r="U72" s="101">
        <f t="shared" si="30"/>
        <v>0</v>
      </c>
    </row>
    <row r="73" spans="1:21" x14ac:dyDescent="0.25">
      <c r="A73" s="1" t="s">
        <v>134</v>
      </c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1">
        <f t="shared" si="28"/>
        <v>0</v>
      </c>
      <c r="M73" s="101">
        <f t="shared" si="29"/>
        <v>0</v>
      </c>
      <c r="N73" s="101">
        <f t="shared" si="30"/>
        <v>0</v>
      </c>
      <c r="O73" s="101">
        <f t="shared" si="30"/>
        <v>0</v>
      </c>
      <c r="P73" s="101">
        <f t="shared" si="30"/>
        <v>0</v>
      </c>
      <c r="Q73" s="101">
        <f t="shared" si="30"/>
        <v>0</v>
      </c>
      <c r="R73" s="101">
        <f t="shared" si="30"/>
        <v>0</v>
      </c>
      <c r="S73" s="101">
        <f t="shared" si="30"/>
        <v>0</v>
      </c>
      <c r="T73" s="101">
        <f t="shared" si="30"/>
        <v>0</v>
      </c>
      <c r="U73" s="101">
        <f t="shared" si="30"/>
        <v>0</v>
      </c>
    </row>
    <row r="74" spans="1:21" x14ac:dyDescent="0.25">
      <c r="A74" s="1" t="s">
        <v>135</v>
      </c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1">
        <f t="shared" si="28"/>
        <v>0</v>
      </c>
      <c r="M74" s="101">
        <f t="shared" si="29"/>
        <v>0</v>
      </c>
      <c r="N74" s="101">
        <f t="shared" si="30"/>
        <v>0</v>
      </c>
      <c r="O74" s="101">
        <f t="shared" si="30"/>
        <v>0</v>
      </c>
      <c r="P74" s="101">
        <f t="shared" si="30"/>
        <v>0</v>
      </c>
      <c r="Q74" s="101">
        <f t="shared" si="30"/>
        <v>0</v>
      </c>
      <c r="R74" s="101">
        <f t="shared" si="30"/>
        <v>0</v>
      </c>
      <c r="S74" s="101">
        <f t="shared" si="30"/>
        <v>0</v>
      </c>
      <c r="T74" s="101">
        <f t="shared" si="30"/>
        <v>0</v>
      </c>
      <c r="U74" s="101">
        <f t="shared" si="30"/>
        <v>0</v>
      </c>
    </row>
    <row r="75" spans="1:21" x14ac:dyDescent="0.25">
      <c r="A75" s="1" t="s">
        <v>136</v>
      </c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1">
        <f t="shared" si="28"/>
        <v>0</v>
      </c>
      <c r="M75" s="101">
        <f t="shared" si="29"/>
        <v>0</v>
      </c>
      <c r="N75" s="101">
        <f t="shared" si="30"/>
        <v>0</v>
      </c>
      <c r="O75" s="101">
        <f t="shared" si="30"/>
        <v>0</v>
      </c>
      <c r="P75" s="101">
        <f t="shared" si="30"/>
        <v>0</v>
      </c>
      <c r="Q75" s="101">
        <f t="shared" si="30"/>
        <v>0</v>
      </c>
      <c r="R75" s="101">
        <f t="shared" si="30"/>
        <v>0</v>
      </c>
      <c r="S75" s="101">
        <f t="shared" si="30"/>
        <v>0</v>
      </c>
      <c r="T75" s="101">
        <f t="shared" si="30"/>
        <v>0</v>
      </c>
      <c r="U75" s="101">
        <f t="shared" si="30"/>
        <v>0</v>
      </c>
    </row>
    <row r="76" spans="1:21" x14ac:dyDescent="0.25">
      <c r="A76" s="1" t="s">
        <v>93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1"/>
      <c r="L76" s="101">
        <f t="shared" si="28"/>
        <v>0</v>
      </c>
      <c r="M76" s="101">
        <f t="shared" si="29"/>
        <v>0</v>
      </c>
      <c r="N76" s="101">
        <f t="shared" si="30"/>
        <v>0</v>
      </c>
      <c r="O76" s="101">
        <f t="shared" si="30"/>
        <v>0</v>
      </c>
      <c r="P76" s="101">
        <f t="shared" si="30"/>
        <v>0</v>
      </c>
      <c r="Q76" s="101">
        <f t="shared" si="30"/>
        <v>0</v>
      </c>
      <c r="R76" s="101">
        <f t="shared" si="30"/>
        <v>0</v>
      </c>
      <c r="S76" s="101">
        <f t="shared" si="30"/>
        <v>0</v>
      </c>
      <c r="T76" s="101">
        <f t="shared" si="30"/>
        <v>0</v>
      </c>
      <c r="U76" s="101">
        <f t="shared" si="30"/>
        <v>0</v>
      </c>
    </row>
    <row r="77" spans="1:21" x14ac:dyDescent="0.25">
      <c r="A77" s="1" t="s">
        <v>137</v>
      </c>
      <c r="B77" s="100"/>
      <c r="C77" s="100"/>
      <c r="D77" s="100"/>
      <c r="E77" s="100"/>
      <c r="F77" s="100"/>
      <c r="G77" s="100"/>
      <c r="H77" s="100"/>
      <c r="I77" s="100"/>
      <c r="J77" s="100"/>
      <c r="K77" s="101"/>
      <c r="L77" s="101">
        <f t="shared" si="28"/>
        <v>0</v>
      </c>
      <c r="M77" s="101">
        <f t="shared" si="29"/>
        <v>0</v>
      </c>
      <c r="N77" s="101">
        <f t="shared" si="30"/>
        <v>0</v>
      </c>
      <c r="O77" s="101">
        <f t="shared" si="30"/>
        <v>0</v>
      </c>
      <c r="P77" s="101">
        <f t="shared" si="30"/>
        <v>0</v>
      </c>
      <c r="Q77" s="101">
        <f t="shared" si="30"/>
        <v>0</v>
      </c>
      <c r="R77" s="101">
        <f t="shared" si="30"/>
        <v>0</v>
      </c>
      <c r="S77" s="101">
        <f t="shared" si="30"/>
        <v>0</v>
      </c>
      <c r="T77" s="101">
        <f t="shared" si="30"/>
        <v>0</v>
      </c>
      <c r="U77" s="101">
        <f t="shared" si="30"/>
        <v>0</v>
      </c>
    </row>
    <row r="78" spans="1:21" x14ac:dyDescent="0.25">
      <c r="A78" s="1" t="s">
        <v>138</v>
      </c>
      <c r="B78" s="100"/>
      <c r="C78" s="100"/>
      <c r="D78" s="100"/>
      <c r="E78" s="100"/>
      <c r="F78" s="100"/>
      <c r="G78" s="100"/>
      <c r="H78" s="100"/>
      <c r="I78" s="100"/>
      <c r="J78" s="100"/>
      <c r="K78" s="101"/>
      <c r="L78" s="101">
        <f t="shared" si="28"/>
        <v>0</v>
      </c>
      <c r="M78" s="101">
        <f t="shared" si="29"/>
        <v>0</v>
      </c>
      <c r="N78" s="101">
        <f t="shared" si="30"/>
        <v>0</v>
      </c>
      <c r="O78" s="101">
        <f t="shared" si="30"/>
        <v>0</v>
      </c>
      <c r="P78" s="101">
        <f t="shared" si="30"/>
        <v>0</v>
      </c>
      <c r="Q78" s="101">
        <f t="shared" si="30"/>
        <v>0</v>
      </c>
      <c r="R78" s="101">
        <f t="shared" si="30"/>
        <v>0</v>
      </c>
      <c r="S78" s="101">
        <f t="shared" si="30"/>
        <v>0</v>
      </c>
      <c r="T78" s="101">
        <f t="shared" si="30"/>
        <v>0</v>
      </c>
      <c r="U78" s="101">
        <f t="shared" si="30"/>
        <v>0</v>
      </c>
    </row>
    <row r="79" spans="1:21" x14ac:dyDescent="0.25">
      <c r="A79" s="1" t="s">
        <v>139</v>
      </c>
      <c r="B79" s="100"/>
      <c r="C79" s="100"/>
      <c r="D79" s="100"/>
      <c r="E79" s="100"/>
      <c r="F79" s="100"/>
      <c r="G79" s="100"/>
      <c r="H79" s="100"/>
      <c r="I79" s="100"/>
      <c r="J79" s="100"/>
      <c r="K79" s="101"/>
      <c r="L79" s="101">
        <f t="shared" si="28"/>
        <v>0</v>
      </c>
      <c r="M79" s="101">
        <f t="shared" si="29"/>
        <v>0</v>
      </c>
      <c r="N79" s="101">
        <f t="shared" si="30"/>
        <v>0</v>
      </c>
      <c r="O79" s="101">
        <f t="shared" si="30"/>
        <v>0</v>
      </c>
      <c r="P79" s="101">
        <f t="shared" si="30"/>
        <v>0</v>
      </c>
      <c r="Q79" s="101">
        <f t="shared" si="30"/>
        <v>0</v>
      </c>
      <c r="R79" s="101">
        <f t="shared" si="30"/>
        <v>0</v>
      </c>
      <c r="S79" s="101">
        <f t="shared" si="30"/>
        <v>0</v>
      </c>
      <c r="T79" s="101">
        <f t="shared" si="30"/>
        <v>0</v>
      </c>
      <c r="U79" s="101">
        <f t="shared" si="30"/>
        <v>0</v>
      </c>
    </row>
    <row r="80" spans="1:21" x14ac:dyDescent="0.25">
      <c r="A80" s="1" t="s">
        <v>140</v>
      </c>
      <c r="B80" s="100"/>
      <c r="C80" s="100"/>
      <c r="D80" s="100"/>
      <c r="E80" s="100"/>
      <c r="F80" s="100"/>
      <c r="G80" s="100"/>
      <c r="H80" s="100"/>
      <c r="I80" s="100"/>
      <c r="J80" s="100"/>
      <c r="K80" s="101"/>
      <c r="L80" s="101">
        <f t="shared" si="28"/>
        <v>0</v>
      </c>
      <c r="M80" s="101">
        <f t="shared" si="29"/>
        <v>0</v>
      </c>
      <c r="N80" s="101">
        <f t="shared" si="30"/>
        <v>0</v>
      </c>
      <c r="O80" s="101">
        <f t="shared" si="30"/>
        <v>0</v>
      </c>
      <c r="P80" s="101">
        <f t="shared" si="30"/>
        <v>0</v>
      </c>
      <c r="Q80" s="101">
        <f t="shared" si="30"/>
        <v>0</v>
      </c>
      <c r="R80" s="101">
        <f t="shared" si="30"/>
        <v>0</v>
      </c>
      <c r="S80" s="101">
        <f t="shared" si="30"/>
        <v>0</v>
      </c>
      <c r="T80" s="101">
        <f t="shared" si="30"/>
        <v>0</v>
      </c>
      <c r="U80" s="101">
        <f t="shared" si="30"/>
        <v>0</v>
      </c>
    </row>
    <row r="81" spans="1:21" x14ac:dyDescent="0.25">
      <c r="A81" s="1" t="s">
        <v>141</v>
      </c>
      <c r="B81" s="100"/>
      <c r="C81" s="100"/>
      <c r="D81" s="100"/>
      <c r="E81" s="100"/>
      <c r="F81" s="100"/>
      <c r="G81" s="100"/>
      <c r="H81" s="100"/>
      <c r="I81" s="100"/>
      <c r="J81" s="100"/>
      <c r="K81" s="101"/>
      <c r="L81" s="101">
        <f t="shared" si="28"/>
        <v>0</v>
      </c>
      <c r="M81" s="101">
        <f t="shared" si="29"/>
        <v>0</v>
      </c>
      <c r="N81" s="101">
        <f t="shared" si="30"/>
        <v>0</v>
      </c>
      <c r="O81" s="101">
        <f t="shared" si="30"/>
        <v>0</v>
      </c>
      <c r="P81" s="101">
        <f t="shared" si="30"/>
        <v>0</v>
      </c>
      <c r="Q81" s="101">
        <f t="shared" si="30"/>
        <v>0</v>
      </c>
      <c r="R81" s="101">
        <f t="shared" si="30"/>
        <v>0</v>
      </c>
      <c r="S81" s="101">
        <f t="shared" si="30"/>
        <v>0</v>
      </c>
      <c r="T81" s="101">
        <f t="shared" si="30"/>
        <v>0</v>
      </c>
      <c r="U81" s="101">
        <f t="shared" si="30"/>
        <v>0</v>
      </c>
    </row>
    <row r="82" spans="1:21" x14ac:dyDescent="0.25">
      <c r="A82" s="1" t="s">
        <v>142</v>
      </c>
      <c r="B82" s="100"/>
      <c r="C82" s="100"/>
      <c r="D82" s="100"/>
      <c r="E82" s="100"/>
      <c r="F82" s="100"/>
      <c r="G82" s="100"/>
      <c r="H82" s="100"/>
      <c r="I82" s="100"/>
      <c r="J82" s="100"/>
      <c r="K82" s="101" t="e">
        <f>K$84*(SUM(F82:J82)/SUM(F$84:J$84))</f>
        <v>#DIV/0!</v>
      </c>
      <c r="L82" s="101" t="e">
        <f t="shared" si="28"/>
        <v>#DIV/0!</v>
      </c>
      <c r="M82" s="101" t="e">
        <f t="shared" si="29"/>
        <v>#DIV/0!</v>
      </c>
      <c r="N82" s="101" t="e">
        <f t="shared" si="30"/>
        <v>#DIV/0!</v>
      </c>
      <c r="O82" s="101" t="e">
        <f t="shared" si="30"/>
        <v>#DIV/0!</v>
      </c>
      <c r="P82" s="101" t="e">
        <f t="shared" si="30"/>
        <v>#DIV/0!</v>
      </c>
      <c r="Q82" s="101" t="e">
        <f t="shared" si="30"/>
        <v>#DIV/0!</v>
      </c>
      <c r="R82" s="101" t="e">
        <f t="shared" si="30"/>
        <v>#DIV/0!</v>
      </c>
      <c r="S82" s="101" t="e">
        <f t="shared" si="30"/>
        <v>#DIV/0!</v>
      </c>
      <c r="T82" s="101" t="e">
        <f t="shared" si="30"/>
        <v>#DIV/0!</v>
      </c>
      <c r="U82" s="101" t="e">
        <f t="shared" si="30"/>
        <v>#DIV/0!</v>
      </c>
    </row>
    <row r="83" spans="1:21" x14ac:dyDescent="0.25">
      <c r="A83" s="1" t="s">
        <v>143</v>
      </c>
      <c r="B83" s="100"/>
      <c r="C83" s="100"/>
      <c r="D83" s="100"/>
      <c r="E83" s="100"/>
      <c r="F83" s="100"/>
      <c r="G83" s="100"/>
      <c r="H83" s="100"/>
      <c r="I83" s="100"/>
      <c r="J83" s="100"/>
      <c r="K83" s="101" t="e">
        <f>K84-SUM(K72:K82)</f>
        <v>#DIV/0!</v>
      </c>
      <c r="L83" s="101" t="e">
        <f t="shared" ref="L83:T83" si="31">L84-SUM(L72:L82)</f>
        <v>#DIV/0!</v>
      </c>
      <c r="M83" s="101" t="e">
        <f t="shared" si="31"/>
        <v>#DIV/0!</v>
      </c>
      <c r="N83" s="101" t="e">
        <f t="shared" si="31"/>
        <v>#DIV/0!</v>
      </c>
      <c r="O83" s="101" t="e">
        <f t="shared" si="31"/>
        <v>#DIV/0!</v>
      </c>
      <c r="P83" s="101" t="e">
        <f t="shared" si="31"/>
        <v>#DIV/0!</v>
      </c>
      <c r="Q83" s="101" t="e">
        <f t="shared" si="31"/>
        <v>#DIV/0!</v>
      </c>
      <c r="R83" s="101" t="e">
        <f t="shared" si="31"/>
        <v>#DIV/0!</v>
      </c>
      <c r="S83" s="101" t="e">
        <f t="shared" si="31"/>
        <v>#DIV/0!</v>
      </c>
      <c r="T83" s="101" t="e">
        <f t="shared" si="31"/>
        <v>#DIV/0!</v>
      </c>
      <c r="U83" s="101" t="e">
        <f t="shared" ref="U83" si="32">U84-SUM(U72:U82)</f>
        <v>#DIV/0!</v>
      </c>
    </row>
    <row r="84" spans="1:21" x14ac:dyDescent="0.25">
      <c r="A84" s="87" t="s">
        <v>144</v>
      </c>
      <c r="B84" s="88"/>
      <c r="C84" s="88"/>
      <c r="D84" s="88"/>
      <c r="E84" s="88"/>
      <c r="F84" s="88"/>
      <c r="G84" s="88"/>
      <c r="H84" s="88"/>
      <c r="I84" s="88"/>
      <c r="J84" s="88"/>
      <c r="K84" s="89">
        <f t="shared" ref="K84:U84" si="33">K8</f>
        <v>1600</v>
      </c>
      <c r="L84" s="89">
        <f t="shared" si="33"/>
        <v>2825</v>
      </c>
      <c r="M84" s="89">
        <f t="shared" si="33"/>
        <v>2100</v>
      </c>
      <c r="N84" s="89">
        <f t="shared" si="33"/>
        <v>2100</v>
      </c>
      <c r="O84" s="89">
        <f t="shared" si="33"/>
        <v>2100</v>
      </c>
      <c r="P84" s="89">
        <f t="shared" si="33"/>
        <v>2275</v>
      </c>
      <c r="Q84" s="89">
        <f t="shared" si="33"/>
        <v>2100</v>
      </c>
      <c r="R84" s="89">
        <f t="shared" si="33"/>
        <v>2200</v>
      </c>
      <c r="S84" s="89">
        <f t="shared" si="33"/>
        <v>1575</v>
      </c>
      <c r="T84" s="89">
        <f t="shared" si="33"/>
        <v>1250</v>
      </c>
      <c r="U84" s="89">
        <f t="shared" si="33"/>
        <v>1225</v>
      </c>
    </row>
    <row r="85" spans="1:21" x14ac:dyDescent="0.25">
      <c r="J85" s="90">
        <f>J8</f>
        <v>2224.7275870666203</v>
      </c>
    </row>
    <row r="86" spans="1:21" ht="15.75" thickBot="1" x14ac:dyDescent="0.3">
      <c r="A86" s="4" t="s">
        <v>148</v>
      </c>
      <c r="B86" s="83"/>
      <c r="C86" s="83"/>
      <c r="D86" s="83"/>
      <c r="E86" s="83"/>
      <c r="F86" s="83"/>
      <c r="G86" s="83"/>
      <c r="H86" s="83"/>
      <c r="I86" s="83"/>
      <c r="J86" s="102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</row>
    <row r="87" spans="1:21" ht="15.75" thickBot="1" x14ac:dyDescent="0.3">
      <c r="A87" s="84"/>
      <c r="B87" s="93">
        <f t="shared" ref="B87:U87" si="34">B2</f>
        <v>2015</v>
      </c>
      <c r="C87" s="93">
        <f t="shared" si="34"/>
        <v>2016</v>
      </c>
      <c r="D87" s="93">
        <f t="shared" si="34"/>
        <v>2017</v>
      </c>
      <c r="E87" s="93">
        <f t="shared" si="34"/>
        <v>2018</v>
      </c>
      <c r="F87" s="93">
        <f t="shared" si="34"/>
        <v>2019</v>
      </c>
      <c r="G87" s="93">
        <f t="shared" si="34"/>
        <v>2020</v>
      </c>
      <c r="H87" s="93">
        <f t="shared" si="34"/>
        <v>2021</v>
      </c>
      <c r="I87" s="93">
        <f t="shared" si="34"/>
        <v>2022</v>
      </c>
      <c r="J87" s="93">
        <f t="shared" si="34"/>
        <v>2023</v>
      </c>
      <c r="K87" s="93">
        <f t="shared" si="34"/>
        <v>2024</v>
      </c>
      <c r="L87" s="93">
        <f t="shared" si="34"/>
        <v>2025</v>
      </c>
      <c r="M87" s="93">
        <f t="shared" si="34"/>
        <v>2026</v>
      </c>
      <c r="N87" s="93">
        <f t="shared" si="34"/>
        <v>2027</v>
      </c>
      <c r="O87" s="93">
        <f t="shared" si="34"/>
        <v>2028</v>
      </c>
      <c r="P87" s="93">
        <f t="shared" si="34"/>
        <v>2029</v>
      </c>
      <c r="Q87" s="93">
        <f t="shared" si="34"/>
        <v>2030</v>
      </c>
      <c r="R87" s="93">
        <f t="shared" si="34"/>
        <v>2031</v>
      </c>
      <c r="S87" s="93">
        <f t="shared" si="34"/>
        <v>2032</v>
      </c>
      <c r="T87" s="93">
        <f t="shared" si="34"/>
        <v>2033</v>
      </c>
      <c r="U87" s="93">
        <f t="shared" si="34"/>
        <v>2034</v>
      </c>
    </row>
    <row r="88" spans="1:21" x14ac:dyDescent="0.25">
      <c r="A88" s="1" t="s">
        <v>133</v>
      </c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5" t="e">
        <f t="shared" ref="L88:U88" si="35">K99+L40+L24-L72-L56</f>
        <v>#DIV/0!</v>
      </c>
      <c r="M88" s="95" t="e">
        <f t="shared" si="35"/>
        <v>#DIV/0!</v>
      </c>
      <c r="N88" s="95" t="e">
        <f t="shared" si="35"/>
        <v>#DIV/0!</v>
      </c>
      <c r="O88" s="95" t="e">
        <f t="shared" si="35"/>
        <v>#DIV/0!</v>
      </c>
      <c r="P88" s="95" t="e">
        <f t="shared" si="35"/>
        <v>#DIV/0!</v>
      </c>
      <c r="Q88" s="95" t="e">
        <f t="shared" si="35"/>
        <v>#DIV/0!</v>
      </c>
      <c r="R88" s="95" t="e">
        <f t="shared" si="35"/>
        <v>#DIV/0!</v>
      </c>
      <c r="S88" s="95" t="e">
        <f t="shared" si="35"/>
        <v>#DIV/0!</v>
      </c>
      <c r="T88" s="95" t="e">
        <f t="shared" si="35"/>
        <v>#DIV/0!</v>
      </c>
      <c r="U88" s="95" t="e">
        <f t="shared" si="35"/>
        <v>#DIV/0!</v>
      </c>
    </row>
    <row r="89" spans="1:21" x14ac:dyDescent="0.25">
      <c r="A89" s="1" t="s">
        <v>134</v>
      </c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5" t="e">
        <f t="shared" ref="L89:U99" si="36">L88+L41+L25-L73-L57</f>
        <v>#DIV/0!</v>
      </c>
      <c r="M89" s="95" t="e">
        <f t="shared" si="36"/>
        <v>#DIV/0!</v>
      </c>
      <c r="N89" s="95" t="e">
        <f t="shared" si="36"/>
        <v>#DIV/0!</v>
      </c>
      <c r="O89" s="95" t="e">
        <f t="shared" si="36"/>
        <v>#DIV/0!</v>
      </c>
      <c r="P89" s="95" t="e">
        <f t="shared" si="36"/>
        <v>#DIV/0!</v>
      </c>
      <c r="Q89" s="95" t="e">
        <f t="shared" si="36"/>
        <v>#DIV/0!</v>
      </c>
      <c r="R89" s="95" t="e">
        <f t="shared" si="36"/>
        <v>#DIV/0!</v>
      </c>
      <c r="S89" s="95" t="e">
        <f t="shared" si="36"/>
        <v>#DIV/0!</v>
      </c>
      <c r="T89" s="95" t="e">
        <f t="shared" si="36"/>
        <v>#DIV/0!</v>
      </c>
      <c r="U89" s="95" t="e">
        <f t="shared" si="36"/>
        <v>#DIV/0!</v>
      </c>
    </row>
    <row r="90" spans="1:21" x14ac:dyDescent="0.25">
      <c r="A90" s="1" t="s">
        <v>135</v>
      </c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5" t="e">
        <f t="shared" si="36"/>
        <v>#DIV/0!</v>
      </c>
      <c r="M90" s="95" t="e">
        <f t="shared" si="36"/>
        <v>#DIV/0!</v>
      </c>
      <c r="N90" s="95" t="e">
        <f t="shared" si="36"/>
        <v>#DIV/0!</v>
      </c>
      <c r="O90" s="95" t="e">
        <f t="shared" si="36"/>
        <v>#DIV/0!</v>
      </c>
      <c r="P90" s="95" t="e">
        <f t="shared" si="36"/>
        <v>#DIV/0!</v>
      </c>
      <c r="Q90" s="95" t="e">
        <f t="shared" si="36"/>
        <v>#DIV/0!</v>
      </c>
      <c r="R90" s="95" t="e">
        <f t="shared" si="36"/>
        <v>#DIV/0!</v>
      </c>
      <c r="S90" s="95" t="e">
        <f t="shared" si="36"/>
        <v>#DIV/0!</v>
      </c>
      <c r="T90" s="95" t="e">
        <f t="shared" si="36"/>
        <v>#DIV/0!</v>
      </c>
      <c r="U90" s="95" t="e">
        <f t="shared" si="36"/>
        <v>#DIV/0!</v>
      </c>
    </row>
    <row r="91" spans="1:21" x14ac:dyDescent="0.25">
      <c r="A91" s="1" t="s">
        <v>136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5" t="e">
        <f t="shared" si="36"/>
        <v>#DIV/0!</v>
      </c>
      <c r="M91" s="95" t="e">
        <f t="shared" si="36"/>
        <v>#DIV/0!</v>
      </c>
      <c r="N91" s="95" t="e">
        <f t="shared" si="36"/>
        <v>#DIV/0!</v>
      </c>
      <c r="O91" s="95" t="e">
        <f t="shared" si="36"/>
        <v>#DIV/0!</v>
      </c>
      <c r="P91" s="95" t="e">
        <f t="shared" si="36"/>
        <v>#DIV/0!</v>
      </c>
      <c r="Q91" s="95" t="e">
        <f t="shared" si="36"/>
        <v>#DIV/0!</v>
      </c>
      <c r="R91" s="95" t="e">
        <f t="shared" si="36"/>
        <v>#DIV/0!</v>
      </c>
      <c r="S91" s="95" t="e">
        <f t="shared" si="36"/>
        <v>#DIV/0!</v>
      </c>
      <c r="T91" s="95" t="e">
        <f t="shared" si="36"/>
        <v>#DIV/0!</v>
      </c>
      <c r="U91" s="95" t="e">
        <f t="shared" si="36"/>
        <v>#DIV/0!</v>
      </c>
    </row>
    <row r="92" spans="1:21" x14ac:dyDescent="0.25">
      <c r="A92" s="1" t="s">
        <v>93</v>
      </c>
      <c r="B92" s="94"/>
      <c r="C92" s="94"/>
      <c r="D92" s="94"/>
      <c r="E92" s="94"/>
      <c r="F92" s="94"/>
      <c r="G92" s="94"/>
      <c r="H92" s="94"/>
      <c r="I92" s="94"/>
      <c r="J92" s="94"/>
      <c r="K92" s="95"/>
      <c r="L92" s="95" t="e">
        <f t="shared" si="36"/>
        <v>#DIV/0!</v>
      </c>
      <c r="M92" s="95" t="e">
        <f t="shared" si="36"/>
        <v>#DIV/0!</v>
      </c>
      <c r="N92" s="95" t="e">
        <f t="shared" si="36"/>
        <v>#DIV/0!</v>
      </c>
      <c r="O92" s="95" t="e">
        <f t="shared" si="36"/>
        <v>#DIV/0!</v>
      </c>
      <c r="P92" s="95" t="e">
        <f t="shared" si="36"/>
        <v>#DIV/0!</v>
      </c>
      <c r="Q92" s="95" t="e">
        <f t="shared" si="36"/>
        <v>#DIV/0!</v>
      </c>
      <c r="R92" s="95" t="e">
        <f t="shared" si="36"/>
        <v>#DIV/0!</v>
      </c>
      <c r="S92" s="95" t="e">
        <f t="shared" si="36"/>
        <v>#DIV/0!</v>
      </c>
      <c r="T92" s="95" t="e">
        <f t="shared" si="36"/>
        <v>#DIV/0!</v>
      </c>
      <c r="U92" s="95" t="e">
        <f t="shared" si="36"/>
        <v>#DIV/0!</v>
      </c>
    </row>
    <row r="93" spans="1:21" x14ac:dyDescent="0.25">
      <c r="A93" s="1" t="s">
        <v>137</v>
      </c>
      <c r="B93" s="94"/>
      <c r="C93" s="94"/>
      <c r="D93" s="94"/>
      <c r="E93" s="94"/>
      <c r="F93" s="94"/>
      <c r="G93" s="94"/>
      <c r="H93" s="94"/>
      <c r="I93" s="94"/>
      <c r="J93" s="94"/>
      <c r="K93" s="95"/>
      <c r="L93" s="95" t="e">
        <f t="shared" si="36"/>
        <v>#DIV/0!</v>
      </c>
      <c r="M93" s="95" t="e">
        <f t="shared" si="36"/>
        <v>#DIV/0!</v>
      </c>
      <c r="N93" s="95" t="e">
        <f t="shared" si="36"/>
        <v>#DIV/0!</v>
      </c>
      <c r="O93" s="95" t="e">
        <f t="shared" si="36"/>
        <v>#DIV/0!</v>
      </c>
      <c r="P93" s="95" t="e">
        <f t="shared" si="36"/>
        <v>#DIV/0!</v>
      </c>
      <c r="Q93" s="95" t="e">
        <f t="shared" si="36"/>
        <v>#DIV/0!</v>
      </c>
      <c r="R93" s="95" t="e">
        <f t="shared" si="36"/>
        <v>#DIV/0!</v>
      </c>
      <c r="S93" s="95" t="e">
        <f t="shared" si="36"/>
        <v>#DIV/0!</v>
      </c>
      <c r="T93" s="95" t="e">
        <f t="shared" si="36"/>
        <v>#DIV/0!</v>
      </c>
      <c r="U93" s="95" t="e">
        <f t="shared" si="36"/>
        <v>#DIV/0!</v>
      </c>
    </row>
    <row r="94" spans="1:21" x14ac:dyDescent="0.25">
      <c r="A94" s="1" t="s">
        <v>138</v>
      </c>
      <c r="B94" s="94"/>
      <c r="C94" s="94"/>
      <c r="D94" s="94"/>
      <c r="E94" s="94"/>
      <c r="F94" s="94"/>
      <c r="G94" s="94"/>
      <c r="H94" s="94"/>
      <c r="I94" s="94"/>
      <c r="J94" s="94"/>
      <c r="K94" s="95"/>
      <c r="L94" s="95" t="e">
        <f t="shared" si="36"/>
        <v>#DIV/0!</v>
      </c>
      <c r="M94" s="95" t="e">
        <f t="shared" si="36"/>
        <v>#DIV/0!</v>
      </c>
      <c r="N94" s="95" t="e">
        <f t="shared" si="36"/>
        <v>#DIV/0!</v>
      </c>
      <c r="O94" s="95" t="e">
        <f t="shared" si="36"/>
        <v>#DIV/0!</v>
      </c>
      <c r="P94" s="95" t="e">
        <f t="shared" si="36"/>
        <v>#DIV/0!</v>
      </c>
      <c r="Q94" s="95" t="e">
        <f t="shared" si="36"/>
        <v>#DIV/0!</v>
      </c>
      <c r="R94" s="95" t="e">
        <f t="shared" si="36"/>
        <v>#DIV/0!</v>
      </c>
      <c r="S94" s="95" t="e">
        <f t="shared" si="36"/>
        <v>#DIV/0!</v>
      </c>
      <c r="T94" s="95" t="e">
        <f t="shared" si="36"/>
        <v>#DIV/0!</v>
      </c>
      <c r="U94" s="95" t="e">
        <f t="shared" si="36"/>
        <v>#DIV/0!</v>
      </c>
    </row>
    <row r="95" spans="1:21" x14ac:dyDescent="0.25">
      <c r="A95" s="1" t="s">
        <v>139</v>
      </c>
      <c r="B95" s="94"/>
      <c r="C95" s="94"/>
      <c r="D95" s="94"/>
      <c r="E95" s="94"/>
      <c r="F95" s="94"/>
      <c r="G95" s="94"/>
      <c r="H95" s="94"/>
      <c r="I95" s="94"/>
      <c r="J95" s="94"/>
      <c r="K95" s="95"/>
      <c r="L95" s="95" t="e">
        <f t="shared" si="36"/>
        <v>#DIV/0!</v>
      </c>
      <c r="M95" s="95" t="e">
        <f t="shared" si="36"/>
        <v>#DIV/0!</v>
      </c>
      <c r="N95" s="95" t="e">
        <f t="shared" si="36"/>
        <v>#DIV/0!</v>
      </c>
      <c r="O95" s="95" t="e">
        <f t="shared" si="36"/>
        <v>#DIV/0!</v>
      </c>
      <c r="P95" s="95" t="e">
        <f t="shared" si="36"/>
        <v>#DIV/0!</v>
      </c>
      <c r="Q95" s="95" t="e">
        <f t="shared" si="36"/>
        <v>#DIV/0!</v>
      </c>
      <c r="R95" s="95" t="e">
        <f t="shared" si="36"/>
        <v>#DIV/0!</v>
      </c>
      <c r="S95" s="95" t="e">
        <f t="shared" si="36"/>
        <v>#DIV/0!</v>
      </c>
      <c r="T95" s="95" t="e">
        <f t="shared" si="36"/>
        <v>#DIV/0!</v>
      </c>
      <c r="U95" s="95" t="e">
        <f t="shared" si="36"/>
        <v>#DIV/0!</v>
      </c>
    </row>
    <row r="96" spans="1:21" x14ac:dyDescent="0.25">
      <c r="A96" s="1" t="s">
        <v>140</v>
      </c>
      <c r="B96" s="94"/>
      <c r="C96" s="94"/>
      <c r="D96" s="94"/>
      <c r="E96" s="94"/>
      <c r="F96" s="94"/>
      <c r="G96" s="94"/>
      <c r="H96" s="94"/>
      <c r="I96" s="94"/>
      <c r="J96" s="94"/>
      <c r="K96" s="95"/>
      <c r="L96" s="95" t="e">
        <f t="shared" si="36"/>
        <v>#DIV/0!</v>
      </c>
      <c r="M96" s="95" t="e">
        <f t="shared" si="36"/>
        <v>#DIV/0!</v>
      </c>
      <c r="N96" s="95" t="e">
        <f t="shared" si="36"/>
        <v>#DIV/0!</v>
      </c>
      <c r="O96" s="95" t="e">
        <f t="shared" si="36"/>
        <v>#DIV/0!</v>
      </c>
      <c r="P96" s="95" t="e">
        <f t="shared" si="36"/>
        <v>#DIV/0!</v>
      </c>
      <c r="Q96" s="95" t="e">
        <f t="shared" si="36"/>
        <v>#DIV/0!</v>
      </c>
      <c r="R96" s="95" t="e">
        <f t="shared" si="36"/>
        <v>#DIV/0!</v>
      </c>
      <c r="S96" s="95" t="e">
        <f t="shared" si="36"/>
        <v>#DIV/0!</v>
      </c>
      <c r="T96" s="95" t="e">
        <f t="shared" si="36"/>
        <v>#DIV/0!</v>
      </c>
      <c r="U96" s="95" t="e">
        <f t="shared" si="36"/>
        <v>#DIV/0!</v>
      </c>
    </row>
    <row r="97" spans="1:21" x14ac:dyDescent="0.25">
      <c r="A97" s="1" t="s">
        <v>141</v>
      </c>
      <c r="B97" s="94"/>
      <c r="C97" s="94"/>
      <c r="D97" s="94"/>
      <c r="E97" s="94"/>
      <c r="F97" s="94"/>
      <c r="G97" s="94"/>
      <c r="H97" s="94"/>
      <c r="I97" s="94"/>
      <c r="J97" s="94"/>
      <c r="K97" s="95"/>
      <c r="L97" s="95" t="e">
        <f t="shared" si="36"/>
        <v>#DIV/0!</v>
      </c>
      <c r="M97" s="95" t="e">
        <f t="shared" si="36"/>
        <v>#DIV/0!</v>
      </c>
      <c r="N97" s="95" t="e">
        <f t="shared" si="36"/>
        <v>#DIV/0!</v>
      </c>
      <c r="O97" s="95" t="e">
        <f t="shared" si="36"/>
        <v>#DIV/0!</v>
      </c>
      <c r="P97" s="95" t="e">
        <f t="shared" si="36"/>
        <v>#DIV/0!</v>
      </c>
      <c r="Q97" s="95" t="e">
        <f t="shared" si="36"/>
        <v>#DIV/0!</v>
      </c>
      <c r="R97" s="95" t="e">
        <f t="shared" si="36"/>
        <v>#DIV/0!</v>
      </c>
      <c r="S97" s="95" t="e">
        <f t="shared" si="36"/>
        <v>#DIV/0!</v>
      </c>
      <c r="T97" s="95" t="e">
        <f t="shared" si="36"/>
        <v>#DIV/0!</v>
      </c>
      <c r="U97" s="95" t="e">
        <f t="shared" si="36"/>
        <v>#DIV/0!</v>
      </c>
    </row>
    <row r="98" spans="1:21" x14ac:dyDescent="0.25">
      <c r="A98" s="1" t="s">
        <v>142</v>
      </c>
      <c r="B98" s="94"/>
      <c r="C98" s="94"/>
      <c r="D98" s="94"/>
      <c r="E98" s="94"/>
      <c r="F98" s="94"/>
      <c r="G98" s="94"/>
      <c r="H98" s="94"/>
      <c r="I98" s="94"/>
      <c r="J98" s="94"/>
      <c r="K98" s="95" t="e">
        <f t="shared" ref="K98:K99" si="37">K97+K50+K34-K82-K66</f>
        <v>#DIV/0!</v>
      </c>
      <c r="L98" s="95" t="e">
        <f t="shared" si="36"/>
        <v>#DIV/0!</v>
      </c>
      <c r="M98" s="95" t="e">
        <f t="shared" si="36"/>
        <v>#DIV/0!</v>
      </c>
      <c r="N98" s="95" t="e">
        <f t="shared" si="36"/>
        <v>#DIV/0!</v>
      </c>
      <c r="O98" s="95" t="e">
        <f t="shared" si="36"/>
        <v>#DIV/0!</v>
      </c>
      <c r="P98" s="95" t="e">
        <f t="shared" si="36"/>
        <v>#DIV/0!</v>
      </c>
      <c r="Q98" s="95" t="e">
        <f t="shared" si="36"/>
        <v>#DIV/0!</v>
      </c>
      <c r="R98" s="95" t="e">
        <f t="shared" si="36"/>
        <v>#DIV/0!</v>
      </c>
      <c r="S98" s="95" t="e">
        <f t="shared" si="36"/>
        <v>#DIV/0!</v>
      </c>
      <c r="T98" s="95" t="e">
        <f t="shared" si="36"/>
        <v>#DIV/0!</v>
      </c>
      <c r="U98" s="95" t="e">
        <f t="shared" si="36"/>
        <v>#DIV/0!</v>
      </c>
    </row>
    <row r="99" spans="1:21" x14ac:dyDescent="0.25">
      <c r="A99" s="87" t="s">
        <v>143</v>
      </c>
      <c r="B99" s="94"/>
      <c r="C99" s="94"/>
      <c r="D99" s="94"/>
      <c r="E99" s="94"/>
      <c r="F99" s="94"/>
      <c r="G99" s="94"/>
      <c r="H99" s="94"/>
      <c r="I99" s="94"/>
      <c r="J99" s="94"/>
      <c r="K99" s="95" t="e">
        <f t="shared" si="37"/>
        <v>#DIV/0!</v>
      </c>
      <c r="L99" s="95" t="e">
        <f t="shared" si="36"/>
        <v>#DIV/0!</v>
      </c>
      <c r="M99" s="95" t="e">
        <f t="shared" si="36"/>
        <v>#DIV/0!</v>
      </c>
      <c r="N99" s="95" t="e">
        <f t="shared" si="36"/>
        <v>#DIV/0!</v>
      </c>
      <c r="O99" s="95" t="e">
        <f t="shared" si="36"/>
        <v>#DIV/0!</v>
      </c>
      <c r="P99" s="95" t="e">
        <f t="shared" si="36"/>
        <v>#DIV/0!</v>
      </c>
      <c r="Q99" s="95" t="e">
        <f t="shared" si="36"/>
        <v>#DIV/0!</v>
      </c>
      <c r="R99" s="95" t="e">
        <f t="shared" si="36"/>
        <v>#DIV/0!</v>
      </c>
      <c r="S99" s="95" t="e">
        <f t="shared" si="36"/>
        <v>#DIV/0!</v>
      </c>
      <c r="T99" s="95" t="e">
        <f t="shared" si="36"/>
        <v>#DIV/0!</v>
      </c>
      <c r="U99" s="95" t="e">
        <f t="shared" si="36"/>
        <v>#DIV/0!</v>
      </c>
    </row>
    <row r="100" spans="1:21" x14ac:dyDescent="0.25">
      <c r="A100" s="98"/>
      <c r="B100" s="103"/>
      <c r="C100" s="103"/>
      <c r="D100" s="104">
        <f t="shared" ref="D100:U100" si="38">D11</f>
        <v>0</v>
      </c>
      <c r="E100" s="104">
        <f t="shared" si="38"/>
        <v>0</v>
      </c>
      <c r="F100" s="104">
        <f t="shared" si="38"/>
        <v>0</v>
      </c>
      <c r="G100" s="104">
        <f t="shared" si="38"/>
        <v>0</v>
      </c>
      <c r="H100" s="104">
        <f t="shared" si="38"/>
        <v>0</v>
      </c>
      <c r="I100" s="104">
        <f t="shared" si="38"/>
        <v>0</v>
      </c>
      <c r="J100" s="105">
        <f t="shared" si="38"/>
        <v>0</v>
      </c>
      <c r="K100" s="104">
        <f t="shared" si="38"/>
        <v>-413.88837485390377</v>
      </c>
      <c r="L100" s="104">
        <f t="shared" si="38"/>
        <v>-1621.1722816626279</v>
      </c>
      <c r="M100" s="104">
        <f t="shared" si="38"/>
        <v>-2141.09192447449</v>
      </c>
      <c r="N100" s="104">
        <f t="shared" si="38"/>
        <v>-2774.8201866252712</v>
      </c>
      <c r="O100" s="104">
        <f t="shared" si="38"/>
        <v>-3351.2750251066809</v>
      </c>
      <c r="P100" s="104">
        <f t="shared" si="38"/>
        <v>-3954.5849275003679</v>
      </c>
      <c r="Q100" s="104">
        <f t="shared" si="38"/>
        <v>-4552.9718401382934</v>
      </c>
      <c r="R100" s="104">
        <f t="shared" si="38"/>
        <v>-5193.6544820647141</v>
      </c>
      <c r="S100" s="104">
        <f t="shared" si="38"/>
        <v>-5790.5254702308957</v>
      </c>
      <c r="T100" s="104">
        <f t="shared" si="38"/>
        <v>-6331.2373990827691</v>
      </c>
      <c r="U100" s="104">
        <f t="shared" si="38"/>
        <v>-6846.9493279346425</v>
      </c>
    </row>
    <row r="101" spans="1:21" ht="15.75" thickBot="1" x14ac:dyDescent="0.3">
      <c r="A101" s="4" t="s">
        <v>149</v>
      </c>
    </row>
    <row r="102" spans="1:21" ht="15.75" thickBot="1" x14ac:dyDescent="0.3">
      <c r="A102" s="84"/>
      <c r="B102" s="93">
        <f t="shared" ref="B102:U102" si="39">B2</f>
        <v>2015</v>
      </c>
      <c r="C102" s="93">
        <f t="shared" si="39"/>
        <v>2016</v>
      </c>
      <c r="D102" s="93">
        <f t="shared" si="39"/>
        <v>2017</v>
      </c>
      <c r="E102" s="93">
        <f t="shared" si="39"/>
        <v>2018</v>
      </c>
      <c r="F102" s="93">
        <f t="shared" si="39"/>
        <v>2019</v>
      </c>
      <c r="G102" s="93">
        <f t="shared" si="39"/>
        <v>2020</v>
      </c>
      <c r="H102" s="93">
        <f t="shared" si="39"/>
        <v>2021</v>
      </c>
      <c r="I102" s="93">
        <f t="shared" si="39"/>
        <v>2022</v>
      </c>
      <c r="J102" s="93">
        <f t="shared" si="39"/>
        <v>2023</v>
      </c>
      <c r="K102" s="93">
        <f t="shared" si="39"/>
        <v>2024</v>
      </c>
      <c r="L102" s="93">
        <f t="shared" si="39"/>
        <v>2025</v>
      </c>
      <c r="M102" s="93">
        <f t="shared" si="39"/>
        <v>2026</v>
      </c>
      <c r="N102" s="93">
        <f t="shared" si="39"/>
        <v>2027</v>
      </c>
      <c r="O102" s="93">
        <f t="shared" si="39"/>
        <v>2028</v>
      </c>
      <c r="P102" s="93">
        <f t="shared" si="39"/>
        <v>2029</v>
      </c>
      <c r="Q102" s="93">
        <f t="shared" si="39"/>
        <v>2030</v>
      </c>
      <c r="R102" s="93">
        <f t="shared" si="39"/>
        <v>2031</v>
      </c>
      <c r="S102" s="93">
        <f t="shared" si="39"/>
        <v>2032</v>
      </c>
      <c r="T102" s="93">
        <f t="shared" si="39"/>
        <v>2033</v>
      </c>
      <c r="U102" s="93">
        <f t="shared" si="39"/>
        <v>2034</v>
      </c>
    </row>
    <row r="103" spans="1:21" x14ac:dyDescent="0.25">
      <c r="A103" s="1" t="s">
        <v>133</v>
      </c>
      <c r="B103" s="106">
        <f>B24/(B24+RD!B24)</f>
        <v>1</v>
      </c>
      <c r="C103" s="106">
        <f>C24/(C24+RD!C24)</f>
        <v>1</v>
      </c>
      <c r="D103" s="106">
        <f>D24/(D24+RD!D24)</f>
        <v>1</v>
      </c>
      <c r="E103" s="106">
        <f>E24/(E24+RD!E24)</f>
        <v>1</v>
      </c>
      <c r="F103" s="106">
        <f>F24/(F24+RD!F24)</f>
        <v>1</v>
      </c>
      <c r="G103" s="106">
        <f>G24/(G24+RD!G24)</f>
        <v>1</v>
      </c>
      <c r="H103" s="106">
        <f>H24/(H24+RD!H24)</f>
        <v>1</v>
      </c>
      <c r="I103" s="106">
        <f>I24/(I24+RD!I24)</f>
        <v>1</v>
      </c>
      <c r="J103" s="106">
        <f>J24/(J24+RD!J24)</f>
        <v>1</v>
      </c>
      <c r="K103" s="106">
        <f>K24/(K24+RD!K24)</f>
        <v>1</v>
      </c>
      <c r="L103" s="106">
        <f>L24/(L24+RD!L24)</f>
        <v>1</v>
      </c>
      <c r="M103" s="106">
        <f>M24/(M24+RD!M24)</f>
        <v>1</v>
      </c>
      <c r="N103" s="106">
        <f>N24/(N24+RD!N24)</f>
        <v>1</v>
      </c>
      <c r="O103" s="106">
        <f>O24/(O24+RD!O24)</f>
        <v>1</v>
      </c>
      <c r="P103" s="106">
        <f>P24/(P24+RD!P24)</f>
        <v>1</v>
      </c>
      <c r="Q103" s="106">
        <f>Q24/(Q24+RD!Q24)</f>
        <v>1</v>
      </c>
      <c r="R103" s="106">
        <f>R24/(R24+RD!R24)</f>
        <v>1</v>
      </c>
      <c r="S103" s="106">
        <f>S24/(S24+RD!S24)</f>
        <v>1</v>
      </c>
      <c r="T103" s="106">
        <f>T24/(T24+RD!T24)</f>
        <v>1</v>
      </c>
      <c r="U103" s="106">
        <f>U24/(U24+RD!U24)</f>
        <v>1</v>
      </c>
    </row>
    <row r="104" spans="1:21" x14ac:dyDescent="0.25">
      <c r="A104" s="1" t="s">
        <v>134</v>
      </c>
      <c r="B104" s="106">
        <f>B25/(B25+RD!B25)</f>
        <v>1</v>
      </c>
      <c r="C104" s="106">
        <f>C25/(C25+RD!C25)</f>
        <v>1</v>
      </c>
      <c r="D104" s="106">
        <f>D25/(D25+RD!D25)</f>
        <v>1</v>
      </c>
      <c r="E104" s="106">
        <f>E25/(E25+RD!E25)</f>
        <v>1</v>
      </c>
      <c r="F104" s="106">
        <f>F25/(F25+RD!F25)</f>
        <v>1</v>
      </c>
      <c r="G104" s="106">
        <f>G25/(G25+RD!G25)</f>
        <v>1</v>
      </c>
      <c r="H104" s="106">
        <f>H25/(H25+RD!H25)</f>
        <v>1</v>
      </c>
      <c r="I104" s="106">
        <f>I25/(I25+RD!I25)</f>
        <v>1</v>
      </c>
      <c r="J104" s="106">
        <f>J25/(J25+RD!J25)</f>
        <v>1</v>
      </c>
      <c r="K104" s="106">
        <f>K25/(K25+RD!K25)</f>
        <v>1</v>
      </c>
      <c r="L104" s="106">
        <f>L25/(L25+RD!L25)</f>
        <v>1</v>
      </c>
      <c r="M104" s="106">
        <f>M25/(M25+RD!M25)</f>
        <v>1</v>
      </c>
      <c r="N104" s="106">
        <f>N25/(N25+RD!N25)</f>
        <v>1</v>
      </c>
      <c r="O104" s="106">
        <f>O25/(O25+RD!O25)</f>
        <v>1</v>
      </c>
      <c r="P104" s="106">
        <f>P25/(P25+RD!P25)</f>
        <v>1</v>
      </c>
      <c r="Q104" s="106">
        <f>Q25/(Q25+RD!Q25)</f>
        <v>1</v>
      </c>
      <c r="R104" s="106">
        <f>R25/(R25+RD!R25)</f>
        <v>1</v>
      </c>
      <c r="S104" s="106">
        <f>S25/(S25+RD!S25)</f>
        <v>1</v>
      </c>
      <c r="T104" s="106">
        <f>T25/(T25+RD!T25)</f>
        <v>1</v>
      </c>
      <c r="U104" s="106">
        <f>U25/(U25+RD!U25)</f>
        <v>1</v>
      </c>
    </row>
    <row r="105" spans="1:21" x14ac:dyDescent="0.25">
      <c r="A105" s="1" t="s">
        <v>135</v>
      </c>
      <c r="B105" s="106">
        <f>B26/(B26+RD!B26)</f>
        <v>1</v>
      </c>
      <c r="C105" s="106">
        <f>C26/(C26+RD!C26)</f>
        <v>1</v>
      </c>
      <c r="D105" s="106">
        <f>D26/(D26+RD!D26)</f>
        <v>1</v>
      </c>
      <c r="E105" s="106">
        <f>E26/(E26+RD!E26)</f>
        <v>1</v>
      </c>
      <c r="F105" s="106">
        <f>F26/(F26+RD!F26)</f>
        <v>1</v>
      </c>
      <c r="G105" s="106">
        <f>G26/(G26+RD!G26)</f>
        <v>1</v>
      </c>
      <c r="H105" s="106">
        <f>H26/(H26+RD!H26)</f>
        <v>1</v>
      </c>
      <c r="I105" s="106">
        <f>I26/(I26+RD!I26)</f>
        <v>1</v>
      </c>
      <c r="J105" s="106">
        <f>J26/(J26+RD!J26)</f>
        <v>1</v>
      </c>
      <c r="K105" s="106">
        <f>K26/(K26+RD!K26)</f>
        <v>1</v>
      </c>
      <c r="L105" s="106">
        <f>L26/(L26+RD!L26)</f>
        <v>1</v>
      </c>
      <c r="M105" s="106">
        <f>M26/(M26+RD!M26)</f>
        <v>1</v>
      </c>
      <c r="N105" s="106">
        <f>N26/(N26+RD!N26)</f>
        <v>1</v>
      </c>
      <c r="O105" s="106">
        <f>O26/(O26+RD!O26)</f>
        <v>1</v>
      </c>
      <c r="P105" s="106">
        <f>P26/(P26+RD!P26)</f>
        <v>1</v>
      </c>
      <c r="Q105" s="106">
        <f>Q26/(Q26+RD!Q26)</f>
        <v>1</v>
      </c>
      <c r="R105" s="106">
        <f>R26/(R26+RD!R26)</f>
        <v>1</v>
      </c>
      <c r="S105" s="106">
        <f>S26/(S26+RD!S26)</f>
        <v>1</v>
      </c>
      <c r="T105" s="106">
        <f>T26/(T26+RD!T26)</f>
        <v>1</v>
      </c>
      <c r="U105" s="106">
        <f>U26/(U26+RD!U26)</f>
        <v>1</v>
      </c>
    </row>
    <row r="106" spans="1:21" x14ac:dyDescent="0.25">
      <c r="A106" s="1" t="s">
        <v>136</v>
      </c>
      <c r="B106" s="106">
        <f>B27/(B27+RD!B27)</f>
        <v>1</v>
      </c>
      <c r="C106" s="106">
        <f>C27/(C27+RD!C27)</f>
        <v>1</v>
      </c>
      <c r="D106" s="106">
        <f>D27/(D27+RD!D27)</f>
        <v>1</v>
      </c>
      <c r="E106" s="106">
        <f>E27/(E27+RD!E27)</f>
        <v>1</v>
      </c>
      <c r="F106" s="106">
        <f>F27/(F27+RD!F27)</f>
        <v>1</v>
      </c>
      <c r="G106" s="106">
        <f>G27/(G27+RD!G27)</f>
        <v>1</v>
      </c>
      <c r="H106" s="106">
        <f>H27/(H27+RD!H27)</f>
        <v>1</v>
      </c>
      <c r="I106" s="106">
        <f>I27/(I27+RD!I27)</f>
        <v>1</v>
      </c>
      <c r="J106" s="106">
        <f>J27/(J27+RD!J27)</f>
        <v>1</v>
      </c>
      <c r="K106" s="106">
        <f>K27/(K27+RD!K27)</f>
        <v>1</v>
      </c>
      <c r="L106" s="106">
        <f>L27/(L27+RD!L27)</f>
        <v>1</v>
      </c>
      <c r="M106" s="106">
        <f>M27/(M27+RD!M27)</f>
        <v>1</v>
      </c>
      <c r="N106" s="106">
        <f>N27/(N27+RD!N27)</f>
        <v>1</v>
      </c>
      <c r="O106" s="106">
        <f>O27/(O27+RD!O27)</f>
        <v>1</v>
      </c>
      <c r="P106" s="106">
        <f>P27/(P27+RD!P27)</f>
        <v>1</v>
      </c>
      <c r="Q106" s="106">
        <f>Q27/(Q27+RD!Q27)</f>
        <v>1</v>
      </c>
      <c r="R106" s="106">
        <f>R27/(R27+RD!R27)</f>
        <v>1</v>
      </c>
      <c r="S106" s="106">
        <f>S27/(S27+RD!S27)</f>
        <v>1</v>
      </c>
      <c r="T106" s="106">
        <f>T27/(T27+RD!T27)</f>
        <v>1</v>
      </c>
      <c r="U106" s="106">
        <f>U27/(U27+RD!U27)</f>
        <v>1</v>
      </c>
    </row>
    <row r="107" spans="1:21" x14ac:dyDescent="0.25">
      <c r="A107" s="1" t="s">
        <v>93</v>
      </c>
      <c r="B107" s="106">
        <f>B28/(B28+RD!B28)</f>
        <v>1</v>
      </c>
      <c r="C107" s="106">
        <f>C28/(C28+RD!C28)</f>
        <v>1</v>
      </c>
      <c r="D107" s="106">
        <f>D28/(D28+RD!D28)</f>
        <v>1</v>
      </c>
      <c r="E107" s="106">
        <f>E28/(E28+RD!E28)</f>
        <v>1</v>
      </c>
      <c r="F107" s="106">
        <f>F28/(F28+RD!F28)</f>
        <v>1</v>
      </c>
      <c r="G107" s="106">
        <f>G28/(G28+RD!G28)</f>
        <v>1</v>
      </c>
      <c r="H107" s="106">
        <f>H28/(H28+RD!H28)</f>
        <v>1</v>
      </c>
      <c r="I107" s="106">
        <f>I28/(I28+RD!I28)</f>
        <v>1</v>
      </c>
      <c r="J107" s="106">
        <f>J28/(J28+RD!J28)</f>
        <v>1</v>
      </c>
      <c r="K107" s="106">
        <f>K28/(K28+RD!K28)</f>
        <v>1</v>
      </c>
      <c r="L107" s="106">
        <f>L28/(L28+RD!L28)</f>
        <v>1</v>
      </c>
      <c r="M107" s="106">
        <f>M28/(M28+RD!M28)</f>
        <v>1</v>
      </c>
      <c r="N107" s="106">
        <f>N28/(N28+RD!N28)</f>
        <v>1</v>
      </c>
      <c r="O107" s="106">
        <f>O28/(O28+RD!O28)</f>
        <v>1</v>
      </c>
      <c r="P107" s="106">
        <f>P28/(P28+RD!P28)</f>
        <v>1</v>
      </c>
      <c r="Q107" s="106">
        <f>Q28/(Q28+RD!Q28)</f>
        <v>1</v>
      </c>
      <c r="R107" s="106">
        <f>R28/(R28+RD!R28)</f>
        <v>1</v>
      </c>
      <c r="S107" s="106">
        <f>S28/(S28+RD!S28)</f>
        <v>1</v>
      </c>
      <c r="T107" s="106">
        <f>T28/(T28+RD!T28)</f>
        <v>1</v>
      </c>
      <c r="U107" s="106">
        <f>U28/(U28+RD!U28)</f>
        <v>1</v>
      </c>
    </row>
    <row r="108" spans="1:21" x14ac:dyDescent="0.25">
      <c r="A108" s="1" t="s">
        <v>137</v>
      </c>
      <c r="B108" s="106">
        <f>B29/(B29+RD!B29)</f>
        <v>1</v>
      </c>
      <c r="C108" s="106">
        <f>C29/(C29+RD!C29)</f>
        <v>1</v>
      </c>
      <c r="D108" s="106">
        <f>D29/(D29+RD!D29)</f>
        <v>1</v>
      </c>
      <c r="E108" s="106">
        <f>E29/(E29+RD!E29)</f>
        <v>1</v>
      </c>
      <c r="F108" s="106">
        <f>F29/(F29+RD!F29)</f>
        <v>1</v>
      </c>
      <c r="G108" s="106">
        <f>G29/(G29+RD!G29)</f>
        <v>1</v>
      </c>
      <c r="H108" s="106">
        <f>H29/(H29+RD!H29)</f>
        <v>1</v>
      </c>
      <c r="I108" s="106">
        <f>I29/(I29+RD!I29)</f>
        <v>1</v>
      </c>
      <c r="J108" s="106">
        <f>J29/(J29+RD!J29)</f>
        <v>1</v>
      </c>
      <c r="K108" s="106">
        <f>K29/(K29+RD!K29)</f>
        <v>1</v>
      </c>
      <c r="L108" s="106">
        <f>L29/(L29+RD!L29)</f>
        <v>1</v>
      </c>
      <c r="M108" s="106">
        <f>M29/(M29+RD!M29)</f>
        <v>1</v>
      </c>
      <c r="N108" s="106">
        <f>N29/(N29+RD!N29)</f>
        <v>1</v>
      </c>
      <c r="O108" s="106">
        <f>O29/(O29+RD!O29)</f>
        <v>1</v>
      </c>
      <c r="P108" s="106">
        <f>P29/(P29+RD!P29)</f>
        <v>1</v>
      </c>
      <c r="Q108" s="106">
        <f>Q29/(Q29+RD!Q29)</f>
        <v>1</v>
      </c>
      <c r="R108" s="106">
        <f>R29/(R29+RD!R29)</f>
        <v>1</v>
      </c>
      <c r="S108" s="106">
        <f>S29/(S29+RD!S29)</f>
        <v>1</v>
      </c>
      <c r="T108" s="106">
        <f>T29/(T29+RD!T29)</f>
        <v>1</v>
      </c>
      <c r="U108" s="106">
        <f>U29/(U29+RD!U29)</f>
        <v>1</v>
      </c>
    </row>
    <row r="109" spans="1:21" x14ac:dyDescent="0.25">
      <c r="A109" s="1" t="s">
        <v>138</v>
      </c>
      <c r="B109" s="106">
        <f>B30/(B30+RD!B30)</f>
        <v>1</v>
      </c>
      <c r="C109" s="106">
        <f>C30/(C30+RD!C30)</f>
        <v>1</v>
      </c>
      <c r="D109" s="106">
        <f>D30/(D30+RD!D30)</f>
        <v>1</v>
      </c>
      <c r="E109" s="106">
        <f>E30/(E30+RD!E30)</f>
        <v>1</v>
      </c>
      <c r="F109" s="106">
        <f>F30/(F30+RD!F30)</f>
        <v>1</v>
      </c>
      <c r="G109" s="106">
        <f>G30/(G30+RD!G30)</f>
        <v>1</v>
      </c>
      <c r="H109" s="106">
        <f>H30/(H30+RD!H30)</f>
        <v>1</v>
      </c>
      <c r="I109" s="106">
        <f>I30/(I30+RD!I30)</f>
        <v>1</v>
      </c>
      <c r="J109" s="106">
        <f>J30/(J30+RD!J30)</f>
        <v>1</v>
      </c>
      <c r="K109" s="106">
        <f>K30/(K30+RD!K30)</f>
        <v>1</v>
      </c>
      <c r="L109" s="106">
        <f>L30/(L30+RD!L30)</f>
        <v>1</v>
      </c>
      <c r="M109" s="106">
        <f>M30/(M30+RD!M30)</f>
        <v>1</v>
      </c>
      <c r="N109" s="106">
        <f>N30/(N30+RD!N30)</f>
        <v>1</v>
      </c>
      <c r="O109" s="106">
        <f>O30/(O30+RD!O30)</f>
        <v>1</v>
      </c>
      <c r="P109" s="106">
        <f>P30/(P30+RD!P30)</f>
        <v>1</v>
      </c>
      <c r="Q109" s="106">
        <f>Q30/(Q30+RD!Q30)</f>
        <v>1</v>
      </c>
      <c r="R109" s="106">
        <f>R30/(R30+RD!R30)</f>
        <v>1</v>
      </c>
      <c r="S109" s="106">
        <f>S30/(S30+RD!S30)</f>
        <v>1</v>
      </c>
      <c r="T109" s="106">
        <f>T30/(T30+RD!T30)</f>
        <v>1</v>
      </c>
      <c r="U109" s="106">
        <f>U30/(U30+RD!U30)</f>
        <v>1</v>
      </c>
    </row>
    <row r="110" spans="1:21" x14ac:dyDescent="0.25">
      <c r="A110" s="1" t="s">
        <v>139</v>
      </c>
      <c r="B110" s="106">
        <f>B31/(B31+RD!B31)</f>
        <v>1</v>
      </c>
      <c r="C110" s="106">
        <f>C31/(C31+RD!C31)</f>
        <v>1</v>
      </c>
      <c r="D110" s="106">
        <f>D31/(D31+RD!D31)</f>
        <v>1</v>
      </c>
      <c r="E110" s="106">
        <f>E31/(E31+RD!E31)</f>
        <v>1</v>
      </c>
      <c r="F110" s="106">
        <f>F31/(F31+RD!F31)</f>
        <v>1</v>
      </c>
      <c r="G110" s="106">
        <f>G31/(G31+RD!G31)</f>
        <v>1</v>
      </c>
      <c r="H110" s="106">
        <f>H31/(H31+RD!H31)</f>
        <v>1</v>
      </c>
      <c r="I110" s="106">
        <f>I31/(I31+RD!I31)</f>
        <v>1</v>
      </c>
      <c r="J110" s="106">
        <f>J31/(J31+RD!J31)</f>
        <v>1</v>
      </c>
      <c r="K110" s="106">
        <f>K31/(K31+RD!K31)</f>
        <v>1</v>
      </c>
      <c r="L110" s="106">
        <f>L31/(L31+RD!L31)</f>
        <v>1</v>
      </c>
      <c r="M110" s="106">
        <f>M31/(M31+RD!M31)</f>
        <v>1</v>
      </c>
      <c r="N110" s="106">
        <f>N31/(N31+RD!N31)</f>
        <v>1</v>
      </c>
      <c r="O110" s="106">
        <f>O31/(O31+RD!O31)</f>
        <v>1</v>
      </c>
      <c r="P110" s="106">
        <f>P31/(P31+RD!P31)</f>
        <v>1</v>
      </c>
      <c r="Q110" s="106">
        <f>Q31/(Q31+RD!Q31)</f>
        <v>1</v>
      </c>
      <c r="R110" s="106">
        <f>R31/(R31+RD!R31)</f>
        <v>1</v>
      </c>
      <c r="S110" s="106">
        <f>S31/(S31+RD!S31)</f>
        <v>1</v>
      </c>
      <c r="T110" s="106">
        <f>T31/(T31+RD!T31)</f>
        <v>1</v>
      </c>
      <c r="U110" s="106">
        <f>U31/(U31+RD!U31)</f>
        <v>1</v>
      </c>
    </row>
    <row r="111" spans="1:21" x14ac:dyDescent="0.25">
      <c r="A111" s="1" t="s">
        <v>140</v>
      </c>
      <c r="B111" s="106">
        <f>B32/(B32+RD!B32)</f>
        <v>1</v>
      </c>
      <c r="C111" s="106">
        <f>C32/(C32+RD!C32)</f>
        <v>1</v>
      </c>
      <c r="D111" s="106">
        <f>D32/(D32+RD!D32)</f>
        <v>1</v>
      </c>
      <c r="E111" s="106">
        <f>E32/(E32+RD!E32)</f>
        <v>1</v>
      </c>
      <c r="F111" s="106">
        <f>F32/(F32+RD!F32)</f>
        <v>1</v>
      </c>
      <c r="G111" s="106">
        <f>G32/(G32+RD!G32)</f>
        <v>1</v>
      </c>
      <c r="H111" s="106">
        <f>H32/(H32+RD!H32)</f>
        <v>1</v>
      </c>
      <c r="I111" s="106">
        <f>I32/(I32+RD!I32)</f>
        <v>1</v>
      </c>
      <c r="J111" s="106">
        <f>J32/(J32+RD!J32)</f>
        <v>1</v>
      </c>
      <c r="K111" s="106">
        <f>K32/(K32+RD!K32)</f>
        <v>1</v>
      </c>
      <c r="L111" s="106">
        <f>L32/(L32+RD!L32)</f>
        <v>1</v>
      </c>
      <c r="M111" s="106">
        <f>M32/(M32+RD!M32)</f>
        <v>1</v>
      </c>
      <c r="N111" s="106">
        <f>N32/(N32+RD!N32)</f>
        <v>1</v>
      </c>
      <c r="O111" s="106">
        <f>O32/(O32+RD!O32)</f>
        <v>1</v>
      </c>
      <c r="P111" s="106">
        <f>P32/(P32+RD!P32)</f>
        <v>1</v>
      </c>
      <c r="Q111" s="106">
        <f>Q32/(Q32+RD!Q32)</f>
        <v>1</v>
      </c>
      <c r="R111" s="106">
        <f>R32/(R32+RD!R32)</f>
        <v>1</v>
      </c>
      <c r="S111" s="106">
        <f>S32/(S32+RD!S32)</f>
        <v>1</v>
      </c>
      <c r="T111" s="106">
        <f>T32/(T32+RD!T32)</f>
        <v>1</v>
      </c>
      <c r="U111" s="106">
        <f>U32/(U32+RD!U32)</f>
        <v>1</v>
      </c>
    </row>
    <row r="112" spans="1:21" x14ac:dyDescent="0.25">
      <c r="A112" s="1" t="s">
        <v>141</v>
      </c>
      <c r="B112" s="106">
        <f>B33/(B33+RD!B33)</f>
        <v>1</v>
      </c>
      <c r="C112" s="106">
        <f>C33/(C33+RD!C33)</f>
        <v>1</v>
      </c>
      <c r="D112" s="106">
        <f>D33/(D33+RD!D33)</f>
        <v>1</v>
      </c>
      <c r="E112" s="106">
        <f>E33/(E33+RD!E33)</f>
        <v>1</v>
      </c>
      <c r="F112" s="106">
        <f>F33/(F33+RD!F33)</f>
        <v>1</v>
      </c>
      <c r="G112" s="106">
        <f>G33/(G33+RD!G33)</f>
        <v>1</v>
      </c>
      <c r="H112" s="106">
        <f>H33/(H33+RD!H33)</f>
        <v>1</v>
      </c>
      <c r="I112" s="106">
        <f>I33/(I33+RD!I33)</f>
        <v>1</v>
      </c>
      <c r="J112" s="106">
        <f>J33/(J33+RD!J33)</f>
        <v>1</v>
      </c>
      <c r="K112" s="106">
        <f>K33/(K33+RD!K33)</f>
        <v>1</v>
      </c>
      <c r="L112" s="106">
        <f>L33/(L33+RD!L33)</f>
        <v>1</v>
      </c>
      <c r="M112" s="106">
        <f>M33/(M33+RD!M33)</f>
        <v>1</v>
      </c>
      <c r="N112" s="106">
        <f>N33/(N33+RD!N33)</f>
        <v>1</v>
      </c>
      <c r="O112" s="106">
        <f>O33/(O33+RD!O33)</f>
        <v>1</v>
      </c>
      <c r="P112" s="106">
        <f>P33/(P33+RD!P33)</f>
        <v>1</v>
      </c>
      <c r="Q112" s="106">
        <f>Q33/(Q33+RD!Q33)</f>
        <v>1</v>
      </c>
      <c r="R112" s="106">
        <f>R33/(R33+RD!R33)</f>
        <v>1</v>
      </c>
      <c r="S112" s="106">
        <f>S33/(S33+RD!S33)</f>
        <v>1</v>
      </c>
      <c r="T112" s="106">
        <f>T33/(T33+RD!T33)</f>
        <v>1</v>
      </c>
      <c r="U112" s="106">
        <f>U33/(U33+RD!U33)</f>
        <v>1</v>
      </c>
    </row>
    <row r="113" spans="1:21" x14ac:dyDescent="0.25">
      <c r="A113" s="1" t="s">
        <v>142</v>
      </c>
      <c r="B113" s="106">
        <f>B34/(B34+RD!B34)</f>
        <v>1</v>
      </c>
      <c r="C113" s="106">
        <f>C34/(C34+RD!C34)</f>
        <v>1</v>
      </c>
      <c r="D113" s="106">
        <f>D34/(D34+RD!D34)</f>
        <v>1</v>
      </c>
      <c r="E113" s="106">
        <f>E34/(E34+RD!E34)</f>
        <v>1</v>
      </c>
      <c r="F113" s="106">
        <f>F34/(F34+RD!F34)</f>
        <v>1</v>
      </c>
      <c r="G113" s="106">
        <f>G34/(G34+RD!G34)</f>
        <v>1</v>
      </c>
      <c r="H113" s="106">
        <f>H34/(H34+RD!H34)</f>
        <v>1</v>
      </c>
      <c r="I113" s="106">
        <f>I34/(I34+RD!I34)</f>
        <v>1</v>
      </c>
      <c r="J113" s="106">
        <f>J34/(J34+RD!J34)</f>
        <v>1</v>
      </c>
      <c r="K113" s="106">
        <f>K34/(K34+RD!K34)</f>
        <v>1</v>
      </c>
      <c r="L113" s="106">
        <f>L34/(L34+RD!L34)</f>
        <v>1</v>
      </c>
      <c r="M113" s="106">
        <f>M34/(M34+RD!M34)</f>
        <v>1</v>
      </c>
      <c r="N113" s="106">
        <f>N34/(N34+RD!N34)</f>
        <v>1</v>
      </c>
      <c r="O113" s="106">
        <f>O34/(O34+RD!O34)</f>
        <v>1</v>
      </c>
      <c r="P113" s="106">
        <f>P34/(P34+RD!P34)</f>
        <v>1</v>
      </c>
      <c r="Q113" s="106">
        <f>Q34/(Q34+RD!Q34)</f>
        <v>1</v>
      </c>
      <c r="R113" s="106">
        <f>R34/(R34+RD!R34)</f>
        <v>1</v>
      </c>
      <c r="S113" s="106">
        <f>S34/(S34+RD!S34)</f>
        <v>1</v>
      </c>
      <c r="T113" s="106">
        <f>T34/(T34+RD!T34)</f>
        <v>1</v>
      </c>
      <c r="U113" s="106">
        <f>U34/(U34+RD!U34)</f>
        <v>1</v>
      </c>
    </row>
    <row r="114" spans="1:21" x14ac:dyDescent="0.25">
      <c r="A114" s="1" t="s">
        <v>143</v>
      </c>
      <c r="B114" s="106">
        <f>B35/(B35+RD!B35)</f>
        <v>1</v>
      </c>
      <c r="C114" s="106">
        <f>C35/(C35+RD!C35)</f>
        <v>1</v>
      </c>
      <c r="D114" s="106">
        <f>D35/(D35+RD!D35)</f>
        <v>1</v>
      </c>
      <c r="E114" s="106">
        <f>E35/(E35+RD!E35)</f>
        <v>1</v>
      </c>
      <c r="F114" s="106">
        <f>F35/(F35+RD!F35)</f>
        <v>1</v>
      </c>
      <c r="G114" s="106">
        <f>G35/(G35+RD!G35)</f>
        <v>1</v>
      </c>
      <c r="H114" s="106">
        <f>H35/(H35+RD!H35)</f>
        <v>1</v>
      </c>
      <c r="I114" s="106">
        <f>I35/(I35+RD!I35)</f>
        <v>1</v>
      </c>
      <c r="J114" s="106">
        <f>J35/(J35+RD!J35)</f>
        <v>1</v>
      </c>
      <c r="K114" s="106">
        <f>K35/(K35+RD!K35)</f>
        <v>1</v>
      </c>
      <c r="L114" s="106">
        <f>L35/(L35+RD!L35)</f>
        <v>1</v>
      </c>
      <c r="M114" s="106">
        <f>M35/(M35+RD!M35)</f>
        <v>1</v>
      </c>
      <c r="N114" s="106">
        <f>N35/(N35+RD!N35)</f>
        <v>1</v>
      </c>
      <c r="O114" s="106">
        <f>O35/(O35+RD!O35)</f>
        <v>1</v>
      </c>
      <c r="P114" s="106">
        <f>P35/(P35+RD!P35)</f>
        <v>1</v>
      </c>
      <c r="Q114" s="106">
        <f>Q35/(Q35+RD!Q35)</f>
        <v>1</v>
      </c>
      <c r="R114" s="106">
        <f>R35/(R35+RD!R35)</f>
        <v>1</v>
      </c>
      <c r="S114" s="106">
        <f>S35/(S35+RD!S35)</f>
        <v>1</v>
      </c>
      <c r="T114" s="106">
        <f>T35/(T35+RD!T35)</f>
        <v>1</v>
      </c>
      <c r="U114" s="106">
        <f>U35/(U35+RD!U35)</f>
        <v>1</v>
      </c>
    </row>
    <row r="115" spans="1:21" x14ac:dyDescent="0.25">
      <c r="A115" s="1" t="s">
        <v>150</v>
      </c>
      <c r="B115" s="106">
        <f>B36/(B36+RD!B36)</f>
        <v>1</v>
      </c>
      <c r="C115" s="106">
        <f>C36/(C36+RD!C36)</f>
        <v>1</v>
      </c>
      <c r="D115" s="106">
        <f>D36/(D36+RD!D36)</f>
        <v>1</v>
      </c>
      <c r="E115" s="106">
        <f>E36/(E36+RD!E36)</f>
        <v>1</v>
      </c>
      <c r="F115" s="106">
        <f>F36/(F36+RD!F36)</f>
        <v>1</v>
      </c>
      <c r="G115" s="106">
        <f>G36/(G36+RD!G36)</f>
        <v>1</v>
      </c>
      <c r="H115" s="106">
        <f>H36/(H36+RD!H36)</f>
        <v>1</v>
      </c>
      <c r="I115" s="106">
        <f>I36/(I36+RD!I36)</f>
        <v>1</v>
      </c>
      <c r="J115" s="106">
        <f>J36/(J36+RD!J36)</f>
        <v>1</v>
      </c>
      <c r="K115" s="106">
        <f>K36/(K36+RD!K36)</f>
        <v>1</v>
      </c>
      <c r="L115" s="106">
        <f>L36/(L36+RD!L36)</f>
        <v>1</v>
      </c>
      <c r="M115" s="106">
        <f>M36/(M36+RD!M36)</f>
        <v>1</v>
      </c>
      <c r="N115" s="106">
        <f>N36/(N36+RD!N36)</f>
        <v>1</v>
      </c>
      <c r="O115" s="106">
        <f>O36/(O36+RD!O36)</f>
        <v>1</v>
      </c>
      <c r="P115" s="106">
        <f>P36/(P36+RD!P36)</f>
        <v>1</v>
      </c>
      <c r="Q115" s="106">
        <f>Q36/(Q36+RD!Q36)</f>
        <v>1</v>
      </c>
      <c r="R115" s="106">
        <f>R36/(R36+RD!R36)</f>
        <v>1</v>
      </c>
      <c r="S115" s="106">
        <f>S36/(S36+RD!S36)</f>
        <v>1</v>
      </c>
      <c r="T115" s="106">
        <f>T36/(T36+RD!T36)</f>
        <v>1</v>
      </c>
      <c r="U115" s="106">
        <f>U36/(U36+RD!U36)</f>
        <v>1</v>
      </c>
    </row>
    <row r="116" spans="1:21" x14ac:dyDescent="0.25">
      <c r="A116" s="98"/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</row>
  </sheetData>
  <printOptions verticalCentered="1"/>
  <pageMargins left="0.2" right="0.2" top="0.25" bottom="0.25" header="0" footer="0.1"/>
  <pageSetup scale="52" orientation="landscape" r:id="rId1"/>
  <headerFooter>
    <oddFooter>&amp;L&amp;"Arial,Regular"&amp;10&amp;D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BC13-7E2C-48A1-ADC4-073DFD01A470}">
  <sheetPr>
    <pageSetUpPr fitToPage="1"/>
  </sheetPr>
  <dimension ref="A1:U132"/>
  <sheetViews>
    <sheetView showGridLines="0" zoomScaleNormal="100" workbookViewId="0">
      <pane xSplit="1" ySplit="3" topLeftCell="B60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8.85546875" defaultRowHeight="15" x14ac:dyDescent="0.25"/>
  <cols>
    <col min="1" max="1" width="57.85546875" style="1" customWidth="1"/>
    <col min="2" max="8" width="8.85546875" style="83" customWidth="1"/>
    <col min="9" max="9" width="9.28515625" style="83" bestFit="1" customWidth="1"/>
    <col min="10" max="20" width="8.85546875" style="102" customWidth="1"/>
    <col min="21" max="21" width="8.85546875" style="102"/>
    <col min="22" max="16384" width="8.85546875" style="1"/>
  </cols>
  <sheetData>
    <row r="1" spans="1:21" ht="15.75" thickBot="1" x14ac:dyDescent="0.3">
      <c r="A1" s="51" t="s">
        <v>151</v>
      </c>
      <c r="B1" s="107"/>
      <c r="C1" s="107"/>
      <c r="D1" s="107"/>
      <c r="E1" s="107"/>
      <c r="F1" s="107"/>
      <c r="G1" s="107"/>
      <c r="H1" s="107"/>
      <c r="I1" s="107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</row>
    <row r="2" spans="1:21" ht="15.75" thickTop="1" x14ac:dyDescent="0.25">
      <c r="A2" s="55" t="s">
        <v>120</v>
      </c>
      <c r="B2" s="109">
        <v>2015</v>
      </c>
      <c r="C2" s="109">
        <v>2016</v>
      </c>
      <c r="D2" s="109">
        <v>2017</v>
      </c>
      <c r="E2" s="109">
        <v>2018</v>
      </c>
      <c r="F2" s="109">
        <v>2019</v>
      </c>
      <c r="G2" s="109">
        <v>2020</v>
      </c>
      <c r="H2" s="109">
        <v>2021</v>
      </c>
      <c r="I2" s="109">
        <v>2022</v>
      </c>
      <c r="J2" s="109">
        <v>2023</v>
      </c>
      <c r="K2" s="109">
        <v>2024</v>
      </c>
      <c r="L2" s="109">
        <v>2025</v>
      </c>
      <c r="M2" s="109">
        <v>2026</v>
      </c>
      <c r="N2" s="109">
        <v>2027</v>
      </c>
      <c r="O2" s="109">
        <v>2028</v>
      </c>
      <c r="P2" s="109">
        <v>2029</v>
      </c>
      <c r="Q2" s="109">
        <v>2030</v>
      </c>
      <c r="R2" s="109">
        <v>2031</v>
      </c>
      <c r="S2" s="109">
        <v>2032</v>
      </c>
      <c r="T2" s="109">
        <v>2033</v>
      </c>
      <c r="U2" s="109">
        <v>2034</v>
      </c>
    </row>
    <row r="3" spans="1:21" x14ac:dyDescent="0.25">
      <c r="A3" s="57" t="s">
        <v>152</v>
      </c>
      <c r="B3" s="58"/>
      <c r="C3" s="58"/>
      <c r="D3" s="58"/>
      <c r="E3" s="58"/>
      <c r="F3" s="58"/>
      <c r="G3" s="58"/>
      <c r="H3" s="58"/>
      <c r="I3" s="58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5">
      <c r="A4" s="60" t="s">
        <v>122</v>
      </c>
      <c r="B4" s="61" t="e">
        <f>#REF!</f>
        <v>#REF!</v>
      </c>
      <c r="C4" s="61">
        <f t="shared" ref="C4:U4" si="0">B11</f>
        <v>0</v>
      </c>
      <c r="D4" s="61">
        <f t="shared" si="0"/>
        <v>0</v>
      </c>
      <c r="E4" s="61">
        <f t="shared" si="0"/>
        <v>0</v>
      </c>
      <c r="F4" s="61">
        <f t="shared" si="0"/>
        <v>0</v>
      </c>
      <c r="G4" s="61">
        <f t="shared" si="0"/>
        <v>0</v>
      </c>
      <c r="H4" s="61">
        <f t="shared" si="0"/>
        <v>0</v>
      </c>
      <c r="I4" s="61">
        <f t="shared" si="0"/>
        <v>0</v>
      </c>
      <c r="J4" s="61">
        <f t="shared" si="0"/>
        <v>0</v>
      </c>
      <c r="K4" s="61">
        <f t="shared" si="0"/>
        <v>0</v>
      </c>
      <c r="L4" s="62" t="e">
        <f t="shared" si="0"/>
        <v>#DIV/0!</v>
      </c>
      <c r="M4" s="62" t="e">
        <f t="shared" si="0"/>
        <v>#DIV/0!</v>
      </c>
      <c r="N4" s="62" t="e">
        <f t="shared" si="0"/>
        <v>#DIV/0!</v>
      </c>
      <c r="O4" s="62" t="e">
        <f t="shared" si="0"/>
        <v>#DIV/0!</v>
      </c>
      <c r="P4" s="62" t="e">
        <f t="shared" si="0"/>
        <v>#DIV/0!</v>
      </c>
      <c r="Q4" s="62" t="e">
        <f t="shared" si="0"/>
        <v>#DIV/0!</v>
      </c>
      <c r="R4" s="62" t="e">
        <f t="shared" si="0"/>
        <v>#DIV/0!</v>
      </c>
      <c r="S4" s="62" t="e">
        <f t="shared" si="0"/>
        <v>#DIV/0!</v>
      </c>
      <c r="T4" s="62" t="e">
        <f t="shared" si="0"/>
        <v>#DIV/0!</v>
      </c>
      <c r="U4" s="62" t="e">
        <f t="shared" si="0"/>
        <v>#DIV/0!</v>
      </c>
    </row>
    <row r="5" spans="1:21" x14ac:dyDescent="0.25">
      <c r="A5" s="60" t="s">
        <v>123</v>
      </c>
      <c r="B5" s="61">
        <f t="shared" ref="B5:H5" si="1">B36</f>
        <v>0</v>
      </c>
      <c r="C5" s="61">
        <f t="shared" si="1"/>
        <v>0</v>
      </c>
      <c r="D5" s="61">
        <f t="shared" si="1"/>
        <v>0</v>
      </c>
      <c r="E5" s="61">
        <f t="shared" si="1"/>
        <v>0</v>
      </c>
      <c r="F5" s="61">
        <f t="shared" si="1"/>
        <v>0</v>
      </c>
      <c r="G5" s="61">
        <f t="shared" si="1"/>
        <v>0</v>
      </c>
      <c r="H5" s="61">
        <f t="shared" si="1"/>
        <v>0</v>
      </c>
      <c r="I5" s="61">
        <f>I36</f>
        <v>0</v>
      </c>
      <c r="J5" s="61">
        <f>J36</f>
        <v>0</v>
      </c>
      <c r="K5" s="62">
        <f t="shared" ref="K5:U5" si="2">K36</f>
        <v>0</v>
      </c>
      <c r="L5" s="62">
        <f t="shared" si="2"/>
        <v>0</v>
      </c>
      <c r="M5" s="62">
        <f t="shared" si="2"/>
        <v>0</v>
      </c>
      <c r="N5" s="62">
        <f t="shared" si="2"/>
        <v>0</v>
      </c>
      <c r="O5" s="62">
        <f t="shared" si="2"/>
        <v>0</v>
      </c>
      <c r="P5" s="62">
        <f t="shared" si="2"/>
        <v>0</v>
      </c>
      <c r="Q5" s="62">
        <f t="shared" si="2"/>
        <v>0</v>
      </c>
      <c r="R5" s="62">
        <f t="shared" si="2"/>
        <v>0</v>
      </c>
      <c r="S5" s="62">
        <f t="shared" si="2"/>
        <v>0</v>
      </c>
      <c r="T5" s="62">
        <f t="shared" si="2"/>
        <v>0</v>
      </c>
      <c r="U5" s="62">
        <f t="shared" si="2"/>
        <v>0</v>
      </c>
    </row>
    <row r="6" spans="1:21" x14ac:dyDescent="0.25">
      <c r="A6" s="76" t="s">
        <v>124</v>
      </c>
      <c r="B6" s="110">
        <f t="shared" ref="B6:I6" si="3">B52</f>
        <v>0</v>
      </c>
      <c r="C6" s="110">
        <f t="shared" si="3"/>
        <v>0</v>
      </c>
      <c r="D6" s="110">
        <f t="shared" si="3"/>
        <v>0</v>
      </c>
      <c r="E6" s="110">
        <f t="shared" si="3"/>
        <v>0</v>
      </c>
      <c r="F6" s="110">
        <f t="shared" si="3"/>
        <v>0</v>
      </c>
      <c r="G6" s="110">
        <f t="shared" si="3"/>
        <v>0</v>
      </c>
      <c r="H6" s="110">
        <f t="shared" si="3"/>
        <v>0</v>
      </c>
      <c r="I6" s="110">
        <f t="shared" si="3"/>
        <v>0</v>
      </c>
      <c r="J6" s="110">
        <f>J52</f>
        <v>0</v>
      </c>
      <c r="K6" s="111">
        <v>324.29323162499986</v>
      </c>
      <c r="L6" s="111">
        <v>336.92795500000005</v>
      </c>
      <c r="M6" s="111">
        <v>379.04369724999998</v>
      </c>
      <c r="N6" s="111">
        <v>379.04369824999998</v>
      </c>
      <c r="O6" s="111">
        <v>357.98582862499995</v>
      </c>
      <c r="P6" s="111">
        <v>336.92795900000004</v>
      </c>
      <c r="Q6" s="111">
        <v>315.87008937500002</v>
      </c>
      <c r="R6" s="111">
        <v>294.81221975</v>
      </c>
      <c r="S6" s="111">
        <v>273.75435012499997</v>
      </c>
      <c r="T6" s="111">
        <v>252.69648049999998</v>
      </c>
      <c r="U6" s="111">
        <v>252.69648049999998</v>
      </c>
    </row>
    <row r="7" spans="1:21" x14ac:dyDescent="0.25">
      <c r="A7" s="67" t="s">
        <v>125</v>
      </c>
      <c r="B7" s="68" t="e">
        <f t="shared" ref="B7:T7" si="4">B4+B5+B6</f>
        <v>#REF!</v>
      </c>
      <c r="C7" s="68">
        <f t="shared" si="4"/>
        <v>0</v>
      </c>
      <c r="D7" s="68">
        <f t="shared" si="4"/>
        <v>0</v>
      </c>
      <c r="E7" s="68">
        <f t="shared" si="4"/>
        <v>0</v>
      </c>
      <c r="F7" s="68">
        <f t="shared" si="4"/>
        <v>0</v>
      </c>
      <c r="G7" s="68">
        <f t="shared" si="4"/>
        <v>0</v>
      </c>
      <c r="H7" s="68">
        <f t="shared" si="4"/>
        <v>0</v>
      </c>
      <c r="I7" s="68">
        <f t="shared" si="4"/>
        <v>0</v>
      </c>
      <c r="J7" s="68">
        <f>J4+J5+J6</f>
        <v>0</v>
      </c>
      <c r="K7" s="69">
        <f t="shared" si="4"/>
        <v>324.29323162499986</v>
      </c>
      <c r="L7" s="69" t="e">
        <f t="shared" si="4"/>
        <v>#DIV/0!</v>
      </c>
      <c r="M7" s="69" t="e">
        <f t="shared" si="4"/>
        <v>#DIV/0!</v>
      </c>
      <c r="N7" s="69" t="e">
        <f t="shared" si="4"/>
        <v>#DIV/0!</v>
      </c>
      <c r="O7" s="69" t="e">
        <f t="shared" si="4"/>
        <v>#DIV/0!</v>
      </c>
      <c r="P7" s="69" t="e">
        <f t="shared" si="4"/>
        <v>#DIV/0!</v>
      </c>
      <c r="Q7" s="69" t="e">
        <f t="shared" si="4"/>
        <v>#DIV/0!</v>
      </c>
      <c r="R7" s="69" t="e">
        <f t="shared" si="4"/>
        <v>#DIV/0!</v>
      </c>
      <c r="S7" s="69" t="e">
        <f t="shared" si="4"/>
        <v>#DIV/0!</v>
      </c>
      <c r="T7" s="69" t="e">
        <f t="shared" si="4"/>
        <v>#DIV/0!</v>
      </c>
      <c r="U7" s="218"/>
    </row>
    <row r="8" spans="1:21" x14ac:dyDescent="0.25">
      <c r="A8" s="70" t="s">
        <v>153</v>
      </c>
      <c r="B8" s="61">
        <f>B68</f>
        <v>0</v>
      </c>
      <c r="C8" s="61">
        <f t="shared" ref="C8:H8" si="5">C68</f>
        <v>0</v>
      </c>
      <c r="D8" s="61">
        <f t="shared" si="5"/>
        <v>0</v>
      </c>
      <c r="E8" s="61">
        <f t="shared" si="5"/>
        <v>0</v>
      </c>
      <c r="F8" s="61">
        <f t="shared" si="5"/>
        <v>0</v>
      </c>
      <c r="G8" s="61">
        <f t="shared" si="5"/>
        <v>0</v>
      </c>
      <c r="H8" s="61">
        <f t="shared" si="5"/>
        <v>0</v>
      </c>
      <c r="I8" s="61">
        <f>I68</f>
        <v>0</v>
      </c>
      <c r="J8" s="61">
        <f>J68</f>
        <v>0</v>
      </c>
      <c r="K8" s="62" t="e">
        <f>MROUND(FORECAST(K5,C8:J8,C5:J5),25)</f>
        <v>#DIV/0!</v>
      </c>
      <c r="L8" s="62" t="e">
        <f>MROUND(FORECAST(L5,D8:K8,D5:K5),25)</f>
        <v>#DIV/0!</v>
      </c>
      <c r="M8" s="62" t="e">
        <f t="shared" ref="M8:T8" si="6">MROUND(FORECAST(M5,E8:L8,E5:L5),25)</f>
        <v>#DIV/0!</v>
      </c>
      <c r="N8" s="62" t="e">
        <f t="shared" si="6"/>
        <v>#DIV/0!</v>
      </c>
      <c r="O8" s="62" t="e">
        <f t="shared" si="6"/>
        <v>#DIV/0!</v>
      </c>
      <c r="P8" s="62" t="e">
        <f t="shared" si="6"/>
        <v>#DIV/0!</v>
      </c>
      <c r="Q8" s="62" t="e">
        <f t="shared" si="6"/>
        <v>#DIV/0!</v>
      </c>
      <c r="R8" s="62" t="e">
        <f t="shared" si="6"/>
        <v>#DIV/0!</v>
      </c>
      <c r="S8" s="62" t="e">
        <f t="shared" si="6"/>
        <v>#DIV/0!</v>
      </c>
      <c r="T8" s="62" t="e">
        <f t="shared" si="6"/>
        <v>#DIV/0!</v>
      </c>
      <c r="U8" s="218"/>
    </row>
    <row r="9" spans="1:21" x14ac:dyDescent="0.25">
      <c r="A9" s="112" t="s">
        <v>127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1</v>
      </c>
      <c r="K9" s="114">
        <v>0</v>
      </c>
      <c r="L9" s="114">
        <v>0</v>
      </c>
      <c r="M9" s="114">
        <v>0</v>
      </c>
      <c r="N9" s="114">
        <v>0</v>
      </c>
      <c r="O9" s="114">
        <v>0</v>
      </c>
      <c r="P9" s="114">
        <v>0</v>
      </c>
      <c r="Q9" s="114">
        <v>0</v>
      </c>
      <c r="R9" s="114">
        <v>0</v>
      </c>
      <c r="S9" s="114">
        <v>0</v>
      </c>
      <c r="T9" s="114">
        <v>0</v>
      </c>
      <c r="U9" s="218"/>
    </row>
    <row r="10" spans="1:21" x14ac:dyDescent="0.25">
      <c r="A10" s="76" t="s">
        <v>128</v>
      </c>
      <c r="B10" s="110">
        <f t="shared" ref="B10:I10" si="7">B8+B9</f>
        <v>0</v>
      </c>
      <c r="C10" s="110">
        <f t="shared" si="7"/>
        <v>0</v>
      </c>
      <c r="D10" s="110">
        <f t="shared" si="7"/>
        <v>0</v>
      </c>
      <c r="E10" s="110">
        <f t="shared" si="7"/>
        <v>0</v>
      </c>
      <c r="F10" s="110">
        <f t="shared" si="7"/>
        <v>0</v>
      </c>
      <c r="G10" s="110">
        <f t="shared" si="7"/>
        <v>0</v>
      </c>
      <c r="H10" s="110">
        <f t="shared" si="7"/>
        <v>0</v>
      </c>
      <c r="I10" s="110">
        <f t="shared" si="7"/>
        <v>0</v>
      </c>
      <c r="J10" s="110">
        <f>J8+J9</f>
        <v>1</v>
      </c>
      <c r="K10" s="111" t="e">
        <f t="shared" ref="K10:S10" si="8">SUM(K8:K9)</f>
        <v>#DIV/0!</v>
      </c>
      <c r="L10" s="111" t="e">
        <f t="shared" si="8"/>
        <v>#DIV/0!</v>
      </c>
      <c r="M10" s="111" t="e">
        <f t="shared" si="8"/>
        <v>#DIV/0!</v>
      </c>
      <c r="N10" s="111" t="e">
        <f t="shared" si="8"/>
        <v>#DIV/0!</v>
      </c>
      <c r="O10" s="111" t="e">
        <f t="shared" si="8"/>
        <v>#DIV/0!</v>
      </c>
      <c r="P10" s="111" t="e">
        <f t="shared" si="8"/>
        <v>#DIV/0!</v>
      </c>
      <c r="Q10" s="111" t="e">
        <f t="shared" si="8"/>
        <v>#DIV/0!</v>
      </c>
      <c r="R10" s="111" t="e">
        <f t="shared" si="8"/>
        <v>#DIV/0!</v>
      </c>
      <c r="S10" s="111" t="e">
        <f t="shared" si="8"/>
        <v>#DIV/0!</v>
      </c>
      <c r="T10" s="111" t="e">
        <f>SUM(T8:T9)</f>
        <v>#DIV/0!</v>
      </c>
      <c r="U10" s="218"/>
    </row>
    <row r="11" spans="1:21" x14ac:dyDescent="0.25">
      <c r="A11" s="115" t="s">
        <v>154</v>
      </c>
      <c r="B11" s="68">
        <f t="shared" ref="B11:H11" si="9">B83</f>
        <v>0</v>
      </c>
      <c r="C11" s="68">
        <f t="shared" si="9"/>
        <v>0</v>
      </c>
      <c r="D11" s="68">
        <f t="shared" si="9"/>
        <v>0</v>
      </c>
      <c r="E11" s="68">
        <f t="shared" si="9"/>
        <v>0</v>
      </c>
      <c r="F11" s="68">
        <f t="shared" si="9"/>
        <v>0</v>
      </c>
      <c r="G11" s="68">
        <f t="shared" si="9"/>
        <v>0</v>
      </c>
      <c r="H11" s="68">
        <f t="shared" si="9"/>
        <v>0</v>
      </c>
      <c r="I11" s="68">
        <f>I83</f>
        <v>0</v>
      </c>
      <c r="J11" s="68">
        <f>J83</f>
        <v>0</v>
      </c>
      <c r="K11" s="69" t="e">
        <f t="shared" ref="K11:T11" si="10">K7-K10</f>
        <v>#DIV/0!</v>
      </c>
      <c r="L11" s="69" t="e">
        <f t="shared" si="10"/>
        <v>#DIV/0!</v>
      </c>
      <c r="M11" s="69" t="e">
        <f t="shared" si="10"/>
        <v>#DIV/0!</v>
      </c>
      <c r="N11" s="69" t="e">
        <f t="shared" si="10"/>
        <v>#DIV/0!</v>
      </c>
      <c r="O11" s="69" t="e">
        <f t="shared" si="10"/>
        <v>#DIV/0!</v>
      </c>
      <c r="P11" s="69" t="e">
        <f t="shared" si="10"/>
        <v>#DIV/0!</v>
      </c>
      <c r="Q11" s="69" t="e">
        <f t="shared" si="10"/>
        <v>#DIV/0!</v>
      </c>
      <c r="R11" s="69" t="e">
        <f t="shared" si="10"/>
        <v>#DIV/0!</v>
      </c>
      <c r="S11" s="69" t="e">
        <f t="shared" si="10"/>
        <v>#DIV/0!</v>
      </c>
      <c r="T11" s="69" t="e">
        <f t="shared" si="10"/>
        <v>#DIV/0!</v>
      </c>
      <c r="U11" s="218"/>
    </row>
    <row r="12" spans="1:21" x14ac:dyDescent="0.25">
      <c r="A12" s="70" t="s">
        <v>130</v>
      </c>
      <c r="B12" s="79" t="e">
        <v>#REF!</v>
      </c>
      <c r="C12" s="79" t="e">
        <v>#REF!</v>
      </c>
      <c r="D12" s="79" t="e">
        <v>#REF!</v>
      </c>
      <c r="E12" s="79" t="e">
        <v>#REF!</v>
      </c>
      <c r="F12" s="79" t="e">
        <v>#REF!</v>
      </c>
      <c r="G12" s="79" t="e">
        <v>#REF!</v>
      </c>
      <c r="H12" s="79" t="e">
        <v>#REF!</v>
      </c>
      <c r="I12" s="79" t="e">
        <v>#REF!</v>
      </c>
      <c r="J12" s="79" t="e">
        <v>#REF!</v>
      </c>
      <c r="K12" s="80" t="e">
        <v>#REF!</v>
      </c>
      <c r="L12" s="80">
        <v>8.5040019317694533</v>
      </c>
      <c r="M12" s="80">
        <v>9.0043985157677024</v>
      </c>
      <c r="N12" s="80">
        <v>9.1030514517895789</v>
      </c>
      <c r="O12" s="80">
        <v>8.6907845278407159</v>
      </c>
      <c r="P12" s="80">
        <v>8.5854574370025887</v>
      </c>
      <c r="Q12" s="80">
        <v>8.6979972071319587</v>
      </c>
      <c r="R12" s="80">
        <v>8.4138383015542928</v>
      </c>
      <c r="S12" s="80">
        <v>8.3129595749165457</v>
      </c>
      <c r="T12" s="80">
        <v>7.7545979745548186</v>
      </c>
      <c r="U12" s="218"/>
    </row>
    <row r="13" spans="1:21" x14ac:dyDescent="0.25">
      <c r="A13" s="76" t="s">
        <v>131</v>
      </c>
      <c r="B13" s="77" t="e">
        <f t="shared" ref="B13:U13" si="11">B11/B8</f>
        <v>#DIV/0!</v>
      </c>
      <c r="C13" s="77" t="e">
        <f t="shared" si="11"/>
        <v>#DIV/0!</v>
      </c>
      <c r="D13" s="77" t="e">
        <f t="shared" si="11"/>
        <v>#DIV/0!</v>
      </c>
      <c r="E13" s="77" t="e">
        <f t="shared" si="11"/>
        <v>#DIV/0!</v>
      </c>
      <c r="F13" s="77" t="e">
        <f t="shared" si="11"/>
        <v>#DIV/0!</v>
      </c>
      <c r="G13" s="77" t="e">
        <f t="shared" si="11"/>
        <v>#DIV/0!</v>
      </c>
      <c r="H13" s="77" t="e">
        <f t="shared" si="11"/>
        <v>#DIV/0!</v>
      </c>
      <c r="I13" s="77" t="e">
        <f t="shared" si="11"/>
        <v>#DIV/0!</v>
      </c>
      <c r="J13" s="77" t="e">
        <f>J11/J8</f>
        <v>#DIV/0!</v>
      </c>
      <c r="K13" s="78" t="e">
        <f t="shared" si="11"/>
        <v>#DIV/0!</v>
      </c>
      <c r="L13" s="78" t="e">
        <f t="shared" si="11"/>
        <v>#DIV/0!</v>
      </c>
      <c r="M13" s="78" t="e">
        <f t="shared" si="11"/>
        <v>#DIV/0!</v>
      </c>
      <c r="N13" s="78" t="e">
        <f t="shared" si="11"/>
        <v>#DIV/0!</v>
      </c>
      <c r="O13" s="78" t="e">
        <f t="shared" si="11"/>
        <v>#DIV/0!</v>
      </c>
      <c r="P13" s="78" t="e">
        <f t="shared" si="11"/>
        <v>#DIV/0!</v>
      </c>
      <c r="Q13" s="78" t="e">
        <f t="shared" si="11"/>
        <v>#DIV/0!</v>
      </c>
      <c r="R13" s="78" t="e">
        <f t="shared" si="11"/>
        <v>#DIV/0!</v>
      </c>
      <c r="S13" s="78" t="e">
        <f t="shared" si="11"/>
        <v>#DIV/0!</v>
      </c>
      <c r="T13" s="78" t="e">
        <f t="shared" si="11"/>
        <v>#DIV/0!</v>
      </c>
      <c r="U13" s="78" t="e">
        <f t="shared" si="11"/>
        <v>#DIV/0!</v>
      </c>
    </row>
    <row r="14" spans="1:21" x14ac:dyDescent="0.25">
      <c r="A14" s="60"/>
      <c r="B14" s="116"/>
      <c r="C14" s="116"/>
      <c r="D14" s="116"/>
      <c r="E14" s="116"/>
      <c r="F14" s="116"/>
      <c r="G14" s="116"/>
      <c r="H14" s="116"/>
      <c r="I14" s="116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</row>
    <row r="15" spans="1:21" x14ac:dyDescent="0.25">
      <c r="A15" s="70"/>
      <c r="B15" s="81"/>
      <c r="C15" s="81"/>
      <c r="D15" s="81"/>
      <c r="E15" s="81"/>
      <c r="F15" s="81"/>
      <c r="G15" s="81"/>
      <c r="H15" s="81"/>
      <c r="I15" s="81"/>
      <c r="J15" s="82"/>
      <c r="K15" s="62"/>
      <c r="L15" s="62"/>
      <c r="M15" s="62"/>
      <c r="N15" s="62"/>
      <c r="O15" s="62"/>
      <c r="P15" s="62"/>
    </row>
    <row r="16" spans="1:21" x14ac:dyDescent="0.25">
      <c r="A16" s="70"/>
      <c r="B16" s="81"/>
      <c r="C16" s="81"/>
      <c r="D16" s="81"/>
      <c r="E16" s="81"/>
      <c r="F16" s="81"/>
      <c r="G16" s="81"/>
      <c r="H16" s="81"/>
      <c r="I16" s="81"/>
      <c r="J16" s="82"/>
      <c r="K16" s="62"/>
      <c r="L16" s="62"/>
      <c r="M16" s="62"/>
      <c r="N16" s="62"/>
      <c r="O16" s="62"/>
    </row>
    <row r="17" spans="1:21" x14ac:dyDescent="0.25">
      <c r="A17" s="70"/>
      <c r="B17" s="81"/>
      <c r="C17" s="81"/>
      <c r="D17" s="81"/>
      <c r="E17" s="81"/>
      <c r="F17" s="81"/>
      <c r="G17" s="81"/>
      <c r="H17" s="81"/>
      <c r="I17" s="81"/>
      <c r="J17" s="62"/>
      <c r="K17" s="62"/>
      <c r="L17" s="62"/>
      <c r="M17" s="62"/>
      <c r="N17" s="62"/>
      <c r="O17" s="62"/>
    </row>
    <row r="18" spans="1:21" x14ac:dyDescent="0.25">
      <c r="A18" s="70"/>
      <c r="B18" s="81"/>
      <c r="C18" s="81"/>
      <c r="D18" s="81"/>
      <c r="E18" s="81"/>
      <c r="F18" s="81"/>
      <c r="G18" s="81"/>
      <c r="H18" s="81"/>
      <c r="I18" s="81"/>
      <c r="J18" s="62"/>
      <c r="K18" s="62"/>
      <c r="L18" s="62"/>
      <c r="M18" s="62"/>
      <c r="N18" s="62"/>
      <c r="O18" s="62"/>
    </row>
    <row r="19" spans="1:21" x14ac:dyDescent="0.25">
      <c r="A19" s="70"/>
      <c r="B19" s="81"/>
      <c r="C19" s="81"/>
      <c r="D19" s="81"/>
      <c r="E19" s="81"/>
      <c r="F19" s="81"/>
      <c r="G19" s="81"/>
      <c r="H19" s="81"/>
      <c r="I19" s="81"/>
      <c r="J19" s="62"/>
      <c r="K19" s="62"/>
      <c r="L19" s="62"/>
      <c r="M19" s="62"/>
      <c r="N19" s="62"/>
      <c r="O19" s="62"/>
    </row>
    <row r="20" spans="1:21" x14ac:dyDescent="0.25">
      <c r="A20" s="70"/>
      <c r="B20" s="61"/>
      <c r="C20" s="61"/>
      <c r="D20" s="61"/>
      <c r="E20" s="79"/>
      <c r="F20" s="79"/>
      <c r="G20" s="79"/>
      <c r="H20" s="79"/>
      <c r="I20" s="79"/>
      <c r="J20" s="80"/>
      <c r="K20" s="80"/>
      <c r="L20" s="62"/>
      <c r="M20" s="62"/>
      <c r="N20" s="62"/>
      <c r="O20" s="62"/>
    </row>
    <row r="21" spans="1:21" x14ac:dyDescent="0.25">
      <c r="A21" s="70"/>
      <c r="B21" s="61"/>
      <c r="C21" s="61"/>
      <c r="D21" s="61"/>
      <c r="E21" s="61"/>
      <c r="F21" s="61"/>
      <c r="G21" s="61"/>
      <c r="H21" s="61"/>
      <c r="I21" s="61"/>
      <c r="J21" s="62"/>
      <c r="K21" s="62"/>
      <c r="L21" s="62"/>
      <c r="M21" s="62"/>
      <c r="N21" s="62"/>
      <c r="O21" s="62"/>
    </row>
    <row r="22" spans="1:21" ht="15.75" thickBot="1" x14ac:dyDescent="0.3">
      <c r="A22" s="4" t="s">
        <v>155</v>
      </c>
    </row>
    <row r="23" spans="1:21" ht="15.75" thickBot="1" x14ac:dyDescent="0.3">
      <c r="A23" s="84"/>
      <c r="B23" s="118">
        <f t="shared" ref="B23:U23" si="12">B2</f>
        <v>2015</v>
      </c>
      <c r="C23" s="118">
        <f t="shared" si="12"/>
        <v>2016</v>
      </c>
      <c r="D23" s="118">
        <f t="shared" si="12"/>
        <v>2017</v>
      </c>
      <c r="E23" s="118">
        <f t="shared" si="12"/>
        <v>2018</v>
      </c>
      <c r="F23" s="118">
        <f t="shared" si="12"/>
        <v>2019</v>
      </c>
      <c r="G23" s="118">
        <f t="shared" si="12"/>
        <v>2020</v>
      </c>
      <c r="H23" s="118">
        <f t="shared" si="12"/>
        <v>2021</v>
      </c>
      <c r="I23" s="118">
        <f t="shared" si="12"/>
        <v>2022</v>
      </c>
      <c r="J23" s="118">
        <f t="shared" si="12"/>
        <v>2023</v>
      </c>
      <c r="K23" s="118">
        <f t="shared" si="12"/>
        <v>2024</v>
      </c>
      <c r="L23" s="118">
        <f t="shared" si="12"/>
        <v>2025</v>
      </c>
      <c r="M23" s="118">
        <f t="shared" si="12"/>
        <v>2026</v>
      </c>
      <c r="N23" s="118">
        <f t="shared" si="12"/>
        <v>2027</v>
      </c>
      <c r="O23" s="118">
        <f t="shared" si="12"/>
        <v>2028</v>
      </c>
      <c r="P23" s="118">
        <f t="shared" si="12"/>
        <v>2029</v>
      </c>
      <c r="Q23" s="118">
        <f t="shared" si="12"/>
        <v>2030</v>
      </c>
      <c r="R23" s="118">
        <f t="shared" si="12"/>
        <v>2031</v>
      </c>
      <c r="S23" s="118">
        <f t="shared" si="12"/>
        <v>2032</v>
      </c>
      <c r="T23" s="118">
        <f t="shared" si="12"/>
        <v>2033</v>
      </c>
      <c r="U23" s="118">
        <f t="shared" si="12"/>
        <v>2034</v>
      </c>
    </row>
    <row r="24" spans="1:21" x14ac:dyDescent="0.25">
      <c r="A24" s="1" t="s">
        <v>133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20"/>
      <c r="M24" s="120"/>
      <c r="N24" s="120"/>
      <c r="O24" s="120"/>
      <c r="P24" s="120"/>
      <c r="Q24" s="120"/>
      <c r="R24" s="120"/>
      <c r="S24" s="120"/>
      <c r="T24" s="120"/>
      <c r="U24" s="120"/>
    </row>
    <row r="25" spans="1:21" x14ac:dyDescent="0.25">
      <c r="A25" s="1" t="s">
        <v>134</v>
      </c>
      <c r="B25" s="119"/>
      <c r="C25" s="119"/>
      <c r="D25" s="119"/>
      <c r="E25" s="119"/>
      <c r="F25" s="119"/>
      <c r="G25" s="119"/>
      <c r="H25" s="119"/>
      <c r="I25" s="119"/>
      <c r="J25" s="119"/>
      <c r="K25" s="119"/>
      <c r="L25" s="120"/>
      <c r="M25" s="120"/>
      <c r="N25" s="120"/>
      <c r="O25" s="120"/>
      <c r="P25" s="120"/>
      <c r="Q25" s="120"/>
      <c r="R25" s="120"/>
      <c r="S25" s="120"/>
      <c r="T25" s="120"/>
      <c r="U25" s="120"/>
    </row>
    <row r="26" spans="1:21" x14ac:dyDescent="0.25">
      <c r="A26" s="1" t="s">
        <v>135</v>
      </c>
      <c r="B26" s="119"/>
      <c r="C26" s="119"/>
      <c r="D26" s="119"/>
      <c r="E26" s="119"/>
      <c r="F26" s="119"/>
      <c r="G26" s="119"/>
      <c r="H26" s="119"/>
      <c r="I26" s="119"/>
      <c r="J26" s="119"/>
      <c r="K26" s="119"/>
      <c r="L26" s="120"/>
      <c r="M26" s="120"/>
      <c r="N26" s="120"/>
      <c r="O26" s="120"/>
      <c r="P26" s="120"/>
      <c r="Q26" s="120"/>
      <c r="R26" s="120"/>
      <c r="S26" s="120"/>
      <c r="T26" s="120"/>
      <c r="U26" s="120"/>
    </row>
    <row r="27" spans="1:21" x14ac:dyDescent="0.25">
      <c r="A27" s="1" t="s">
        <v>136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20"/>
      <c r="M27" s="120"/>
      <c r="N27" s="120"/>
      <c r="O27" s="120"/>
      <c r="P27" s="120"/>
      <c r="Q27" s="120"/>
      <c r="R27" s="120"/>
      <c r="S27" s="120"/>
      <c r="T27" s="120"/>
      <c r="U27" s="120"/>
    </row>
    <row r="28" spans="1:21" x14ac:dyDescent="0.25">
      <c r="A28" s="1" t="s">
        <v>93</v>
      </c>
      <c r="B28" s="119"/>
      <c r="C28" s="119"/>
      <c r="D28" s="119"/>
      <c r="E28" s="119"/>
      <c r="F28" s="119"/>
      <c r="G28" s="119"/>
      <c r="H28" s="119"/>
      <c r="I28" s="119"/>
      <c r="J28" s="119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</row>
    <row r="29" spans="1:21" x14ac:dyDescent="0.25">
      <c r="A29" s="1" t="s">
        <v>137</v>
      </c>
      <c r="B29" s="119"/>
      <c r="C29" s="119"/>
      <c r="D29" s="119"/>
      <c r="E29" s="119"/>
      <c r="F29" s="119"/>
      <c r="G29" s="119"/>
      <c r="H29" s="119"/>
      <c r="I29" s="119"/>
      <c r="J29" s="119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</row>
    <row r="30" spans="1:21" x14ac:dyDescent="0.25">
      <c r="A30" s="1" t="s">
        <v>138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</row>
    <row r="31" spans="1:21" x14ac:dyDescent="0.25">
      <c r="A31" s="1" t="s">
        <v>139</v>
      </c>
      <c r="B31" s="119"/>
      <c r="C31" s="119"/>
      <c r="D31" s="119"/>
      <c r="E31" s="119"/>
      <c r="F31" s="119"/>
      <c r="G31" s="119"/>
      <c r="H31" s="119"/>
      <c r="I31" s="119"/>
      <c r="J31" s="119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</row>
    <row r="32" spans="1:21" x14ac:dyDescent="0.25">
      <c r="A32" s="1" t="s">
        <v>140</v>
      </c>
      <c r="B32" s="119"/>
      <c r="C32" s="119"/>
      <c r="D32" s="119"/>
      <c r="E32" s="119"/>
      <c r="F32" s="119"/>
      <c r="G32" s="119"/>
      <c r="H32" s="119"/>
      <c r="I32" s="119"/>
      <c r="J32" s="119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</row>
    <row r="33" spans="1:21" x14ac:dyDescent="0.25">
      <c r="A33" s="1" t="s">
        <v>141</v>
      </c>
      <c r="B33" s="119"/>
      <c r="C33" s="119"/>
      <c r="D33" s="119"/>
      <c r="E33" s="119"/>
      <c r="F33" s="119"/>
      <c r="G33" s="119"/>
      <c r="H33" s="119"/>
      <c r="I33" s="119"/>
      <c r="J33" s="119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</row>
    <row r="34" spans="1:21" x14ac:dyDescent="0.25">
      <c r="A34" s="1" t="s">
        <v>142</v>
      </c>
      <c r="B34" s="119"/>
      <c r="C34" s="119"/>
      <c r="D34" s="119"/>
      <c r="E34" s="119"/>
      <c r="F34" s="119"/>
      <c r="G34" s="119"/>
      <c r="H34" s="119"/>
      <c r="I34" s="119"/>
      <c r="J34" s="119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</row>
    <row r="35" spans="1:21" x14ac:dyDescent="0.25">
      <c r="A35" s="1" t="s">
        <v>143</v>
      </c>
      <c r="B35" s="119"/>
      <c r="C35" s="119"/>
      <c r="D35" s="119"/>
      <c r="E35" s="119"/>
      <c r="F35" s="119"/>
      <c r="G35" s="119"/>
      <c r="H35" s="119"/>
      <c r="I35" s="119"/>
      <c r="J35" s="119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</row>
    <row r="36" spans="1:21" x14ac:dyDescent="0.25">
      <c r="A36" s="87" t="s">
        <v>144</v>
      </c>
      <c r="B36" s="121">
        <f t="shared" ref="B36:U36" si="13">SUM(B24:B35)</f>
        <v>0</v>
      </c>
      <c r="C36" s="121">
        <f t="shared" si="13"/>
        <v>0</v>
      </c>
      <c r="D36" s="121">
        <f t="shared" si="13"/>
        <v>0</v>
      </c>
      <c r="E36" s="121">
        <f t="shared" si="13"/>
        <v>0</v>
      </c>
      <c r="F36" s="121">
        <f t="shared" si="13"/>
        <v>0</v>
      </c>
      <c r="G36" s="121">
        <f t="shared" si="13"/>
        <v>0</v>
      </c>
      <c r="H36" s="121">
        <f t="shared" si="13"/>
        <v>0</v>
      </c>
      <c r="I36" s="121">
        <f t="shared" si="13"/>
        <v>0</v>
      </c>
      <c r="J36" s="121">
        <f t="shared" si="13"/>
        <v>0</v>
      </c>
      <c r="K36" s="122">
        <f t="shared" si="13"/>
        <v>0</v>
      </c>
      <c r="L36" s="122">
        <f t="shared" si="13"/>
        <v>0</v>
      </c>
      <c r="M36" s="122">
        <f t="shared" si="13"/>
        <v>0</v>
      </c>
      <c r="N36" s="122">
        <f t="shared" si="13"/>
        <v>0</v>
      </c>
      <c r="O36" s="122">
        <f t="shared" si="13"/>
        <v>0</v>
      </c>
      <c r="P36" s="122">
        <f t="shared" si="13"/>
        <v>0</v>
      </c>
      <c r="Q36" s="122">
        <f t="shared" si="13"/>
        <v>0</v>
      </c>
      <c r="R36" s="122">
        <f t="shared" si="13"/>
        <v>0</v>
      </c>
      <c r="S36" s="122">
        <f t="shared" si="13"/>
        <v>0</v>
      </c>
      <c r="T36" s="122">
        <f t="shared" si="13"/>
        <v>0</v>
      </c>
      <c r="U36" s="122">
        <f t="shared" si="13"/>
        <v>0</v>
      </c>
    </row>
    <row r="37" spans="1:21" x14ac:dyDescent="0.25">
      <c r="B37" s="123"/>
      <c r="C37" s="123"/>
      <c r="D37" s="123"/>
      <c r="E37" s="123"/>
      <c r="F37" s="123"/>
      <c r="G37" s="123"/>
      <c r="H37" s="123"/>
      <c r="I37" s="123"/>
      <c r="J37" s="124"/>
      <c r="K37" s="124"/>
      <c r="L37" s="124"/>
      <c r="M37" s="124"/>
      <c r="N37" s="124"/>
      <c r="O37" s="124"/>
      <c r="P37" s="124"/>
      <c r="Q37" s="124"/>
      <c r="R37" s="124"/>
      <c r="S37" s="124"/>
      <c r="T37" s="124"/>
      <c r="U37" s="124"/>
    </row>
    <row r="38" spans="1:21" ht="15.75" thickBot="1" x14ac:dyDescent="0.3">
      <c r="A38" s="4" t="s">
        <v>156</v>
      </c>
    </row>
    <row r="39" spans="1:21" ht="15.75" thickBot="1" x14ac:dyDescent="0.3">
      <c r="A39" s="84"/>
      <c r="B39" s="118">
        <f t="shared" ref="B39:U39" si="14">B2</f>
        <v>2015</v>
      </c>
      <c r="C39" s="118">
        <f t="shared" si="14"/>
        <v>2016</v>
      </c>
      <c r="D39" s="118">
        <f t="shared" si="14"/>
        <v>2017</v>
      </c>
      <c r="E39" s="118">
        <f t="shared" si="14"/>
        <v>2018</v>
      </c>
      <c r="F39" s="118">
        <f t="shared" si="14"/>
        <v>2019</v>
      </c>
      <c r="G39" s="118">
        <f t="shared" si="14"/>
        <v>2020</v>
      </c>
      <c r="H39" s="118">
        <f t="shared" si="14"/>
        <v>2021</v>
      </c>
      <c r="I39" s="118">
        <f t="shared" si="14"/>
        <v>2022</v>
      </c>
      <c r="J39" s="118">
        <f t="shared" si="14"/>
        <v>2023</v>
      </c>
      <c r="K39" s="118">
        <f t="shared" si="14"/>
        <v>2024</v>
      </c>
      <c r="L39" s="118">
        <f t="shared" si="14"/>
        <v>2025</v>
      </c>
      <c r="M39" s="118">
        <f t="shared" si="14"/>
        <v>2026</v>
      </c>
      <c r="N39" s="118">
        <f t="shared" si="14"/>
        <v>2027</v>
      </c>
      <c r="O39" s="118">
        <f t="shared" si="14"/>
        <v>2028</v>
      </c>
      <c r="P39" s="118">
        <f t="shared" si="14"/>
        <v>2029</v>
      </c>
      <c r="Q39" s="118">
        <f t="shared" si="14"/>
        <v>2030</v>
      </c>
      <c r="R39" s="118">
        <f t="shared" si="14"/>
        <v>2031</v>
      </c>
      <c r="S39" s="118">
        <f t="shared" si="14"/>
        <v>2032</v>
      </c>
      <c r="T39" s="118">
        <f t="shared" si="14"/>
        <v>2033</v>
      </c>
      <c r="U39" s="118">
        <f t="shared" si="14"/>
        <v>2034</v>
      </c>
    </row>
    <row r="40" spans="1:21" x14ac:dyDescent="0.25">
      <c r="A40" s="1" t="s">
        <v>133</v>
      </c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20"/>
      <c r="M40" s="120"/>
      <c r="N40" s="120"/>
      <c r="O40" s="120"/>
      <c r="P40" s="120"/>
      <c r="Q40" s="120"/>
      <c r="R40" s="120"/>
      <c r="S40" s="120"/>
      <c r="T40" s="120"/>
      <c r="U40" s="120"/>
    </row>
    <row r="41" spans="1:21" x14ac:dyDescent="0.25">
      <c r="A41" s="1" t="s">
        <v>134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20"/>
      <c r="M41" s="120"/>
      <c r="N41" s="120"/>
      <c r="O41" s="120"/>
      <c r="P41" s="120"/>
      <c r="Q41" s="120"/>
      <c r="R41" s="120"/>
      <c r="S41" s="120"/>
      <c r="T41" s="120"/>
      <c r="U41" s="120"/>
    </row>
    <row r="42" spans="1:21" x14ac:dyDescent="0.25">
      <c r="A42" s="1" t="s">
        <v>135</v>
      </c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20"/>
      <c r="M42" s="120"/>
      <c r="N42" s="120"/>
      <c r="O42" s="120"/>
      <c r="P42" s="120"/>
      <c r="Q42" s="120"/>
      <c r="R42" s="120"/>
      <c r="S42" s="120"/>
      <c r="T42" s="120"/>
      <c r="U42" s="120"/>
    </row>
    <row r="43" spans="1:21" x14ac:dyDescent="0.25">
      <c r="A43" s="1" t="s">
        <v>136</v>
      </c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20"/>
      <c r="M43" s="120"/>
      <c r="N43" s="120"/>
      <c r="O43" s="120"/>
      <c r="P43" s="120"/>
      <c r="Q43" s="120"/>
      <c r="R43" s="120"/>
      <c r="S43" s="120"/>
      <c r="T43" s="120"/>
      <c r="U43" s="120"/>
    </row>
    <row r="44" spans="1:21" x14ac:dyDescent="0.25">
      <c r="A44" s="1" t="s">
        <v>93</v>
      </c>
      <c r="B44" s="119"/>
      <c r="C44" s="119"/>
      <c r="D44" s="119"/>
      <c r="E44" s="119"/>
      <c r="F44" s="119"/>
      <c r="G44" s="119"/>
      <c r="H44" s="119"/>
      <c r="I44" s="119"/>
      <c r="J44" s="119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</row>
    <row r="45" spans="1:21" x14ac:dyDescent="0.25">
      <c r="A45" s="1" t="s">
        <v>137</v>
      </c>
      <c r="B45" s="119"/>
      <c r="C45" s="119"/>
      <c r="D45" s="119"/>
      <c r="E45" s="119"/>
      <c r="F45" s="119"/>
      <c r="G45" s="119"/>
      <c r="H45" s="119"/>
      <c r="I45" s="119"/>
      <c r="J45" s="119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</row>
    <row r="46" spans="1:21" x14ac:dyDescent="0.25">
      <c r="A46" s="1" t="s">
        <v>138</v>
      </c>
      <c r="B46" s="119"/>
      <c r="C46" s="119"/>
      <c r="D46" s="119"/>
      <c r="E46" s="119"/>
      <c r="F46" s="119"/>
      <c r="G46" s="119"/>
      <c r="H46" s="119"/>
      <c r="I46" s="119"/>
      <c r="J46" s="119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</row>
    <row r="47" spans="1:21" x14ac:dyDescent="0.25">
      <c r="A47" s="1" t="s">
        <v>139</v>
      </c>
      <c r="B47" s="119"/>
      <c r="C47" s="119"/>
      <c r="D47" s="119"/>
      <c r="E47" s="119"/>
      <c r="F47" s="119"/>
      <c r="G47" s="119"/>
      <c r="H47" s="119"/>
      <c r="I47" s="119"/>
      <c r="J47" s="119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</row>
    <row r="48" spans="1:21" x14ac:dyDescent="0.25">
      <c r="A48" s="1" t="s">
        <v>140</v>
      </c>
      <c r="B48" s="119"/>
      <c r="C48" s="119"/>
      <c r="D48" s="119"/>
      <c r="E48" s="119"/>
      <c r="F48" s="119"/>
      <c r="G48" s="119"/>
      <c r="H48" s="119"/>
      <c r="I48" s="119"/>
      <c r="J48" s="119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</row>
    <row r="49" spans="1:21" x14ac:dyDescent="0.25">
      <c r="A49" s="1" t="s">
        <v>141</v>
      </c>
      <c r="B49" s="119"/>
      <c r="C49" s="119"/>
      <c r="D49" s="119"/>
      <c r="E49" s="119"/>
      <c r="F49" s="119"/>
      <c r="G49" s="119"/>
      <c r="H49" s="119"/>
      <c r="I49" s="119"/>
      <c r="J49" s="119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</row>
    <row r="50" spans="1:21" x14ac:dyDescent="0.25">
      <c r="A50" s="1" t="s">
        <v>142</v>
      </c>
      <c r="B50" s="119"/>
      <c r="C50" s="119"/>
      <c r="D50" s="119"/>
      <c r="E50" s="119"/>
      <c r="F50" s="119"/>
      <c r="G50" s="119"/>
      <c r="H50" s="119"/>
      <c r="I50" s="119"/>
      <c r="J50" s="119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</row>
    <row r="51" spans="1:21" x14ac:dyDescent="0.25">
      <c r="A51" s="1" t="s">
        <v>143</v>
      </c>
      <c r="B51" s="119"/>
      <c r="C51" s="119"/>
      <c r="D51" s="119"/>
      <c r="E51" s="119"/>
      <c r="F51" s="119"/>
      <c r="G51" s="119"/>
      <c r="H51" s="119"/>
      <c r="I51" s="119"/>
      <c r="J51" s="119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</row>
    <row r="52" spans="1:21" x14ac:dyDescent="0.25">
      <c r="A52" s="87" t="s">
        <v>144</v>
      </c>
      <c r="B52" s="121">
        <f t="shared" ref="B52:J52" si="15">SUM(B40:B51)</f>
        <v>0</v>
      </c>
      <c r="C52" s="121">
        <f t="shared" si="15"/>
        <v>0</v>
      </c>
      <c r="D52" s="121">
        <f t="shared" si="15"/>
        <v>0</v>
      </c>
      <c r="E52" s="121">
        <f t="shared" si="15"/>
        <v>0</v>
      </c>
      <c r="F52" s="121">
        <f t="shared" si="15"/>
        <v>0</v>
      </c>
      <c r="G52" s="121">
        <f t="shared" si="15"/>
        <v>0</v>
      </c>
      <c r="H52" s="121">
        <f t="shared" si="15"/>
        <v>0</v>
      </c>
      <c r="I52" s="121">
        <f t="shared" si="15"/>
        <v>0</v>
      </c>
      <c r="J52" s="121">
        <f t="shared" si="15"/>
        <v>0</v>
      </c>
      <c r="K52" s="122">
        <f t="shared" ref="K52:U52" si="16">K6</f>
        <v>324.29323162499986</v>
      </c>
      <c r="L52" s="122">
        <f t="shared" si="16"/>
        <v>336.92795500000005</v>
      </c>
      <c r="M52" s="122">
        <f t="shared" si="16"/>
        <v>379.04369724999998</v>
      </c>
      <c r="N52" s="122">
        <f t="shared" si="16"/>
        <v>379.04369824999998</v>
      </c>
      <c r="O52" s="122">
        <f t="shared" si="16"/>
        <v>357.98582862499995</v>
      </c>
      <c r="P52" s="122">
        <f t="shared" si="16"/>
        <v>336.92795900000004</v>
      </c>
      <c r="Q52" s="122">
        <f t="shared" si="16"/>
        <v>315.87008937500002</v>
      </c>
      <c r="R52" s="122">
        <f t="shared" si="16"/>
        <v>294.81221975</v>
      </c>
      <c r="S52" s="122">
        <f t="shared" si="16"/>
        <v>273.75435012499997</v>
      </c>
      <c r="T52" s="122">
        <f t="shared" si="16"/>
        <v>252.69648049999998</v>
      </c>
      <c r="U52" s="122">
        <f t="shared" si="16"/>
        <v>252.69648049999998</v>
      </c>
    </row>
    <row r="53" spans="1:21" x14ac:dyDescent="0.25">
      <c r="J53" s="114"/>
    </row>
    <row r="54" spans="1:21" ht="15.75" thickBot="1" x14ac:dyDescent="0.3">
      <c r="A54" s="4" t="s">
        <v>157</v>
      </c>
    </row>
    <row r="55" spans="1:21" ht="15.75" thickBot="1" x14ac:dyDescent="0.3">
      <c r="A55" s="84"/>
      <c r="B55" s="118">
        <f t="shared" ref="B55:U55" si="17">B2</f>
        <v>2015</v>
      </c>
      <c r="C55" s="118">
        <f t="shared" si="17"/>
        <v>2016</v>
      </c>
      <c r="D55" s="118">
        <f t="shared" si="17"/>
        <v>2017</v>
      </c>
      <c r="E55" s="118">
        <f t="shared" si="17"/>
        <v>2018</v>
      </c>
      <c r="F55" s="118">
        <f t="shared" si="17"/>
        <v>2019</v>
      </c>
      <c r="G55" s="118">
        <f t="shared" si="17"/>
        <v>2020</v>
      </c>
      <c r="H55" s="118">
        <f t="shared" si="17"/>
        <v>2021</v>
      </c>
      <c r="I55" s="118">
        <f t="shared" si="17"/>
        <v>2022</v>
      </c>
      <c r="J55" s="118">
        <f t="shared" si="17"/>
        <v>2023</v>
      </c>
      <c r="K55" s="118">
        <f t="shared" si="17"/>
        <v>2024</v>
      </c>
      <c r="L55" s="118">
        <f t="shared" si="17"/>
        <v>2025</v>
      </c>
      <c r="M55" s="118">
        <f t="shared" si="17"/>
        <v>2026</v>
      </c>
      <c r="N55" s="118">
        <f t="shared" si="17"/>
        <v>2027</v>
      </c>
      <c r="O55" s="118">
        <f t="shared" si="17"/>
        <v>2028</v>
      </c>
      <c r="P55" s="118">
        <f t="shared" si="17"/>
        <v>2029</v>
      </c>
      <c r="Q55" s="118">
        <f t="shared" si="17"/>
        <v>2030</v>
      </c>
      <c r="R55" s="118">
        <f t="shared" si="17"/>
        <v>2031</v>
      </c>
      <c r="S55" s="118">
        <f t="shared" si="17"/>
        <v>2032</v>
      </c>
      <c r="T55" s="118">
        <f t="shared" si="17"/>
        <v>2033</v>
      </c>
      <c r="U55" s="118">
        <f t="shared" si="17"/>
        <v>2034</v>
      </c>
    </row>
    <row r="56" spans="1:21" x14ac:dyDescent="0.25">
      <c r="A56" s="1" t="s">
        <v>133</v>
      </c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20"/>
      <c r="M56" s="120"/>
      <c r="N56" s="120"/>
      <c r="O56" s="120"/>
      <c r="P56" s="120"/>
      <c r="Q56" s="120"/>
      <c r="R56" s="120"/>
      <c r="S56" s="120"/>
      <c r="T56" s="120"/>
      <c r="U56" s="120"/>
    </row>
    <row r="57" spans="1:21" x14ac:dyDescent="0.25">
      <c r="A57" s="1" t="s">
        <v>134</v>
      </c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20"/>
      <c r="M57" s="120"/>
      <c r="N57" s="120"/>
      <c r="O57" s="120"/>
      <c r="P57" s="120"/>
      <c r="Q57" s="120"/>
      <c r="R57" s="120"/>
      <c r="S57" s="120"/>
      <c r="T57" s="120"/>
      <c r="U57" s="120"/>
    </row>
    <row r="58" spans="1:21" x14ac:dyDescent="0.25">
      <c r="A58" s="1" t="s">
        <v>135</v>
      </c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20"/>
      <c r="M58" s="120"/>
      <c r="N58" s="120"/>
      <c r="O58" s="120"/>
      <c r="P58" s="120"/>
      <c r="Q58" s="120"/>
      <c r="R58" s="120"/>
      <c r="S58" s="120"/>
      <c r="T58" s="120"/>
      <c r="U58" s="120"/>
    </row>
    <row r="59" spans="1:21" x14ac:dyDescent="0.25">
      <c r="A59" s="1" t="s">
        <v>136</v>
      </c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20"/>
      <c r="M59" s="120"/>
      <c r="N59" s="120"/>
      <c r="O59" s="120"/>
      <c r="P59" s="120"/>
      <c r="Q59" s="120"/>
      <c r="R59" s="120"/>
      <c r="S59" s="120"/>
      <c r="T59" s="120"/>
      <c r="U59" s="120"/>
    </row>
    <row r="60" spans="1:21" x14ac:dyDescent="0.25">
      <c r="A60" s="1" t="s">
        <v>93</v>
      </c>
      <c r="B60" s="119"/>
      <c r="C60" s="119"/>
      <c r="D60" s="119"/>
      <c r="E60" s="119"/>
      <c r="F60" s="119"/>
      <c r="G60" s="119"/>
      <c r="H60" s="119"/>
      <c r="I60" s="119"/>
      <c r="J60" s="119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</row>
    <row r="61" spans="1:21" x14ac:dyDescent="0.25">
      <c r="A61" s="1" t="s">
        <v>137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</row>
    <row r="62" spans="1:21" x14ac:dyDescent="0.25">
      <c r="A62" s="1" t="s">
        <v>138</v>
      </c>
      <c r="B62" s="119"/>
      <c r="C62" s="119"/>
      <c r="D62" s="119"/>
      <c r="E62" s="119"/>
      <c r="F62" s="119"/>
      <c r="G62" s="119"/>
      <c r="H62" s="119"/>
      <c r="I62" s="119"/>
      <c r="J62" s="119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</row>
    <row r="63" spans="1:21" x14ac:dyDescent="0.25">
      <c r="A63" s="1" t="s">
        <v>139</v>
      </c>
      <c r="B63" s="119"/>
      <c r="C63" s="119"/>
      <c r="D63" s="119"/>
      <c r="E63" s="119"/>
      <c r="F63" s="119"/>
      <c r="G63" s="119"/>
      <c r="H63" s="119"/>
      <c r="I63" s="119"/>
      <c r="J63" s="119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</row>
    <row r="64" spans="1:21" x14ac:dyDescent="0.25">
      <c r="A64" s="1" t="s">
        <v>140</v>
      </c>
      <c r="B64" s="119"/>
      <c r="C64" s="119"/>
      <c r="D64" s="119"/>
      <c r="E64" s="119"/>
      <c r="F64" s="119"/>
      <c r="G64" s="119"/>
      <c r="H64" s="119"/>
      <c r="I64" s="119"/>
      <c r="J64" s="119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</row>
    <row r="65" spans="1:21" x14ac:dyDescent="0.25">
      <c r="A65" s="1" t="s">
        <v>141</v>
      </c>
      <c r="B65" s="119"/>
      <c r="C65" s="119"/>
      <c r="D65" s="119"/>
      <c r="E65" s="119"/>
      <c r="F65" s="119"/>
      <c r="G65" s="119"/>
      <c r="H65" s="119"/>
      <c r="I65" s="119"/>
      <c r="J65" s="119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</row>
    <row r="66" spans="1:21" x14ac:dyDescent="0.25">
      <c r="A66" s="1" t="s">
        <v>142</v>
      </c>
      <c r="B66" s="119"/>
      <c r="C66" s="119"/>
      <c r="D66" s="119"/>
      <c r="E66" s="119"/>
      <c r="F66" s="119"/>
      <c r="G66" s="119"/>
      <c r="H66" s="119"/>
      <c r="I66" s="119"/>
      <c r="J66" s="119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</row>
    <row r="67" spans="1:21" x14ac:dyDescent="0.25">
      <c r="A67" s="1" t="s">
        <v>143</v>
      </c>
      <c r="B67" s="119"/>
      <c r="C67" s="119"/>
      <c r="D67" s="119"/>
      <c r="E67" s="119"/>
      <c r="F67" s="119"/>
      <c r="G67" s="119"/>
      <c r="H67" s="119"/>
      <c r="I67" s="119"/>
      <c r="J67" s="119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</row>
    <row r="68" spans="1:21" x14ac:dyDescent="0.25">
      <c r="A68" s="87" t="s">
        <v>144</v>
      </c>
      <c r="B68" s="121">
        <f t="shared" ref="B68:J68" si="18">SUM(B56:B67)</f>
        <v>0</v>
      </c>
      <c r="C68" s="121">
        <f t="shared" si="18"/>
        <v>0</v>
      </c>
      <c r="D68" s="121">
        <f t="shared" si="18"/>
        <v>0</v>
      </c>
      <c r="E68" s="121">
        <f t="shared" si="18"/>
        <v>0</v>
      </c>
      <c r="F68" s="121">
        <f t="shared" si="18"/>
        <v>0</v>
      </c>
      <c r="G68" s="121">
        <f t="shared" si="18"/>
        <v>0</v>
      </c>
      <c r="H68" s="121">
        <f t="shared" si="18"/>
        <v>0</v>
      </c>
      <c r="I68" s="121">
        <f t="shared" si="18"/>
        <v>0</v>
      </c>
      <c r="J68" s="121">
        <f t="shared" si="18"/>
        <v>0</v>
      </c>
      <c r="K68" s="122" t="e">
        <f t="shared" ref="K68:U68" si="19">K8</f>
        <v>#DIV/0!</v>
      </c>
      <c r="L68" s="122" t="e">
        <f t="shared" si="19"/>
        <v>#DIV/0!</v>
      </c>
      <c r="M68" s="122" t="e">
        <f t="shared" si="19"/>
        <v>#DIV/0!</v>
      </c>
      <c r="N68" s="122" t="e">
        <f t="shared" si="19"/>
        <v>#DIV/0!</v>
      </c>
      <c r="O68" s="122" t="e">
        <f t="shared" si="19"/>
        <v>#DIV/0!</v>
      </c>
      <c r="P68" s="122" t="e">
        <f t="shared" si="19"/>
        <v>#DIV/0!</v>
      </c>
      <c r="Q68" s="122" t="e">
        <f t="shared" si="19"/>
        <v>#DIV/0!</v>
      </c>
      <c r="R68" s="122" t="e">
        <f t="shared" si="19"/>
        <v>#DIV/0!</v>
      </c>
      <c r="S68" s="122" t="e">
        <f t="shared" si="19"/>
        <v>#DIV/0!</v>
      </c>
      <c r="T68" s="122" t="e">
        <f t="shared" si="19"/>
        <v>#DIV/0!</v>
      </c>
      <c r="U68" s="122">
        <f t="shared" si="19"/>
        <v>0</v>
      </c>
    </row>
    <row r="69" spans="1:21" x14ac:dyDescent="0.25"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</row>
    <row r="70" spans="1:21" ht="15.75" thickBot="1" x14ac:dyDescent="0.3">
      <c r="A70" s="4" t="s">
        <v>158</v>
      </c>
    </row>
    <row r="71" spans="1:21" ht="15.75" thickBot="1" x14ac:dyDescent="0.3">
      <c r="A71" s="84"/>
      <c r="B71" s="118">
        <f t="shared" ref="B71:U71" si="20">B2</f>
        <v>2015</v>
      </c>
      <c r="C71" s="118">
        <f t="shared" si="20"/>
        <v>2016</v>
      </c>
      <c r="D71" s="118">
        <f t="shared" si="20"/>
        <v>2017</v>
      </c>
      <c r="E71" s="118">
        <f t="shared" si="20"/>
        <v>2018</v>
      </c>
      <c r="F71" s="118">
        <f t="shared" si="20"/>
        <v>2019</v>
      </c>
      <c r="G71" s="118">
        <f t="shared" si="20"/>
        <v>2020</v>
      </c>
      <c r="H71" s="118">
        <f t="shared" si="20"/>
        <v>2021</v>
      </c>
      <c r="I71" s="118">
        <f t="shared" si="20"/>
        <v>2022</v>
      </c>
      <c r="J71" s="118">
        <f t="shared" si="20"/>
        <v>2023</v>
      </c>
      <c r="K71" s="118">
        <f t="shared" si="20"/>
        <v>2024</v>
      </c>
      <c r="L71" s="118">
        <f t="shared" si="20"/>
        <v>2025</v>
      </c>
      <c r="M71" s="118">
        <f t="shared" si="20"/>
        <v>2026</v>
      </c>
      <c r="N71" s="118">
        <f t="shared" si="20"/>
        <v>2027</v>
      </c>
      <c r="O71" s="118">
        <f t="shared" si="20"/>
        <v>2028</v>
      </c>
      <c r="P71" s="118">
        <f t="shared" si="20"/>
        <v>2029</v>
      </c>
      <c r="Q71" s="118">
        <f t="shared" si="20"/>
        <v>2030</v>
      </c>
      <c r="R71" s="118">
        <f t="shared" si="20"/>
        <v>2031</v>
      </c>
      <c r="S71" s="118">
        <f t="shared" si="20"/>
        <v>2032</v>
      </c>
      <c r="T71" s="118">
        <f t="shared" si="20"/>
        <v>2033</v>
      </c>
      <c r="U71" s="118">
        <f t="shared" si="20"/>
        <v>2034</v>
      </c>
    </row>
    <row r="72" spans="1:21" x14ac:dyDescent="0.25">
      <c r="A72" s="1" t="s">
        <v>133</v>
      </c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20"/>
      <c r="M72" s="120"/>
      <c r="N72" s="120"/>
      <c r="O72" s="120"/>
      <c r="P72" s="120"/>
      <c r="Q72" s="120"/>
      <c r="R72" s="120"/>
      <c r="S72" s="120"/>
      <c r="T72" s="120"/>
      <c r="U72" s="120"/>
    </row>
    <row r="73" spans="1:21" x14ac:dyDescent="0.25">
      <c r="A73" s="1" t="s">
        <v>134</v>
      </c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20"/>
      <c r="M73" s="120"/>
      <c r="N73" s="120"/>
      <c r="O73" s="120"/>
      <c r="P73" s="120"/>
      <c r="Q73" s="120"/>
      <c r="R73" s="120"/>
      <c r="S73" s="120"/>
      <c r="T73" s="120"/>
      <c r="U73" s="120"/>
    </row>
    <row r="74" spans="1:21" x14ac:dyDescent="0.25">
      <c r="A74" s="1" t="s">
        <v>135</v>
      </c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20"/>
      <c r="M74" s="120"/>
      <c r="N74" s="120"/>
      <c r="O74" s="120"/>
      <c r="P74" s="120"/>
      <c r="Q74" s="120"/>
      <c r="R74" s="120"/>
      <c r="S74" s="120"/>
      <c r="T74" s="120"/>
      <c r="U74" s="120"/>
    </row>
    <row r="75" spans="1:21" x14ac:dyDescent="0.25">
      <c r="A75" s="1" t="s">
        <v>136</v>
      </c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20"/>
      <c r="M75" s="120"/>
      <c r="N75" s="120"/>
      <c r="O75" s="120"/>
      <c r="P75" s="120"/>
      <c r="Q75" s="120"/>
      <c r="R75" s="120"/>
      <c r="S75" s="120"/>
      <c r="T75" s="120"/>
      <c r="U75" s="120"/>
    </row>
    <row r="76" spans="1:21" x14ac:dyDescent="0.25">
      <c r="A76" s="1" t="s">
        <v>93</v>
      </c>
      <c r="B76" s="119"/>
      <c r="C76" s="119"/>
      <c r="D76" s="119"/>
      <c r="E76" s="119"/>
      <c r="F76" s="119"/>
      <c r="G76" s="119"/>
      <c r="H76" s="119"/>
      <c r="I76" s="119"/>
      <c r="J76" s="119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</row>
    <row r="77" spans="1:21" x14ac:dyDescent="0.25">
      <c r="A77" s="1" t="s">
        <v>137</v>
      </c>
      <c r="B77" s="119"/>
      <c r="C77" s="119"/>
      <c r="D77" s="119"/>
      <c r="E77" s="119"/>
      <c r="F77" s="119"/>
      <c r="G77" s="119"/>
      <c r="H77" s="119"/>
      <c r="I77" s="119"/>
      <c r="J77" s="119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</row>
    <row r="78" spans="1:21" x14ac:dyDescent="0.25">
      <c r="A78" s="1" t="s">
        <v>138</v>
      </c>
      <c r="B78" s="119"/>
      <c r="C78" s="119"/>
      <c r="D78" s="119"/>
      <c r="E78" s="119"/>
      <c r="F78" s="119"/>
      <c r="G78" s="119"/>
      <c r="H78" s="119"/>
      <c r="I78" s="119"/>
      <c r="J78" s="119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</row>
    <row r="79" spans="1:21" x14ac:dyDescent="0.25">
      <c r="A79" s="1" t="s">
        <v>139</v>
      </c>
      <c r="B79" s="119"/>
      <c r="C79" s="119"/>
      <c r="D79" s="119"/>
      <c r="E79" s="119"/>
      <c r="F79" s="119"/>
      <c r="G79" s="119"/>
      <c r="H79" s="119"/>
      <c r="I79" s="119"/>
      <c r="J79" s="119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</row>
    <row r="80" spans="1:21" x14ac:dyDescent="0.25">
      <c r="A80" s="1" t="s">
        <v>140</v>
      </c>
      <c r="B80" s="119"/>
      <c r="C80" s="119"/>
      <c r="D80" s="119"/>
      <c r="E80" s="119"/>
      <c r="F80" s="119"/>
      <c r="G80" s="119"/>
      <c r="H80" s="119"/>
      <c r="I80" s="119"/>
      <c r="J80" s="119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</row>
    <row r="81" spans="1:21" x14ac:dyDescent="0.25">
      <c r="A81" s="1" t="s">
        <v>141</v>
      </c>
      <c r="B81" s="119"/>
      <c r="C81" s="119"/>
      <c r="D81" s="119"/>
      <c r="E81" s="119"/>
      <c r="F81" s="119"/>
      <c r="G81" s="119"/>
      <c r="H81" s="119"/>
      <c r="I81" s="119"/>
      <c r="J81" s="119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</row>
    <row r="82" spans="1:21" x14ac:dyDescent="0.25">
      <c r="A82" s="1" t="s">
        <v>142</v>
      </c>
      <c r="B82" s="119"/>
      <c r="C82" s="119"/>
      <c r="D82" s="119"/>
      <c r="E82" s="119"/>
      <c r="F82" s="119"/>
      <c r="G82" s="119"/>
      <c r="H82" s="119"/>
      <c r="I82" s="119"/>
      <c r="J82" s="119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</row>
    <row r="83" spans="1:21" x14ac:dyDescent="0.25">
      <c r="A83" s="1" t="s">
        <v>143</v>
      </c>
      <c r="B83" s="119"/>
      <c r="C83" s="119"/>
      <c r="D83" s="119"/>
      <c r="E83" s="119"/>
      <c r="F83" s="119"/>
      <c r="G83" s="119"/>
      <c r="H83" s="119"/>
      <c r="I83" s="119"/>
      <c r="J83" s="119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</row>
    <row r="84" spans="1:21" x14ac:dyDescent="0.25">
      <c r="A84" s="125"/>
      <c r="B84" s="125"/>
      <c r="C84" s="125"/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</row>
    <row r="85" spans="1:21" ht="15.75" thickBot="1" x14ac:dyDescent="0.3">
      <c r="A85" s="4" t="s">
        <v>157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ht="15.75" thickBot="1" x14ac:dyDescent="0.3">
      <c r="A86" s="84"/>
      <c r="B86" s="118">
        <f t="shared" ref="B86:U86" si="21">B2</f>
        <v>2015</v>
      </c>
      <c r="C86" s="118">
        <f t="shared" si="21"/>
        <v>2016</v>
      </c>
      <c r="D86" s="118">
        <f t="shared" si="21"/>
        <v>2017</v>
      </c>
      <c r="E86" s="118">
        <f t="shared" si="21"/>
        <v>2018</v>
      </c>
      <c r="F86" s="118">
        <f t="shared" si="21"/>
        <v>2019</v>
      </c>
      <c r="G86" s="118">
        <f t="shared" si="21"/>
        <v>2020</v>
      </c>
      <c r="H86" s="118">
        <f t="shared" si="21"/>
        <v>2021</v>
      </c>
      <c r="I86" s="118">
        <f t="shared" si="21"/>
        <v>2022</v>
      </c>
      <c r="J86" s="118">
        <f t="shared" si="21"/>
        <v>2023</v>
      </c>
      <c r="K86" s="118">
        <f t="shared" si="21"/>
        <v>2024</v>
      </c>
      <c r="L86" s="118">
        <f t="shared" si="21"/>
        <v>2025</v>
      </c>
      <c r="M86" s="118">
        <f t="shared" si="21"/>
        <v>2026</v>
      </c>
      <c r="N86" s="118">
        <f t="shared" si="21"/>
        <v>2027</v>
      </c>
      <c r="O86" s="118">
        <f t="shared" si="21"/>
        <v>2028</v>
      </c>
      <c r="P86" s="118">
        <f t="shared" si="21"/>
        <v>2029</v>
      </c>
      <c r="Q86" s="118">
        <f t="shared" si="21"/>
        <v>2030</v>
      </c>
      <c r="R86" s="118">
        <f t="shared" si="21"/>
        <v>2031</v>
      </c>
      <c r="S86" s="118">
        <f t="shared" si="21"/>
        <v>2032</v>
      </c>
      <c r="T86" s="118">
        <f t="shared" si="21"/>
        <v>2033</v>
      </c>
      <c r="U86" s="118">
        <f t="shared" si="21"/>
        <v>2034</v>
      </c>
    </row>
    <row r="87" spans="1:21" x14ac:dyDescent="0.25">
      <c r="A87" s="1" t="s">
        <v>133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7"/>
      <c r="M87" s="127"/>
      <c r="N87" s="127"/>
      <c r="O87" s="127"/>
      <c r="P87" s="127"/>
      <c r="Q87" s="127"/>
      <c r="R87" s="127"/>
      <c r="S87" s="127"/>
      <c r="T87" s="127"/>
      <c r="U87" s="127"/>
    </row>
    <row r="88" spans="1:21" x14ac:dyDescent="0.25">
      <c r="A88" s="1" t="s">
        <v>134</v>
      </c>
      <c r="B88" s="126"/>
      <c r="C88" s="126"/>
      <c r="D88" s="126"/>
      <c r="E88" s="126"/>
      <c r="F88" s="126"/>
      <c r="G88" s="126"/>
      <c r="H88" s="126"/>
      <c r="I88" s="126"/>
      <c r="J88" s="126"/>
      <c r="K88" s="126"/>
      <c r="L88" s="127"/>
      <c r="M88" s="127"/>
      <c r="N88" s="127"/>
      <c r="O88" s="127"/>
      <c r="P88" s="127"/>
      <c r="Q88" s="127"/>
      <c r="R88" s="127"/>
      <c r="S88" s="127"/>
      <c r="T88" s="127"/>
      <c r="U88" s="127"/>
    </row>
    <row r="89" spans="1:21" x14ac:dyDescent="0.25">
      <c r="A89" s="1" t="s">
        <v>135</v>
      </c>
      <c r="B89" s="126"/>
      <c r="C89" s="126"/>
      <c r="D89" s="126"/>
      <c r="E89" s="126"/>
      <c r="F89" s="126"/>
      <c r="G89" s="126"/>
      <c r="H89" s="126"/>
      <c r="I89" s="126"/>
      <c r="J89" s="126"/>
      <c r="K89" s="126"/>
      <c r="L89" s="127"/>
      <c r="M89" s="127"/>
      <c r="N89" s="127"/>
      <c r="O89" s="127"/>
      <c r="P89" s="127"/>
      <c r="Q89" s="127"/>
      <c r="R89" s="127"/>
      <c r="S89" s="127"/>
      <c r="T89" s="127"/>
      <c r="U89" s="127"/>
    </row>
    <row r="90" spans="1:21" x14ac:dyDescent="0.25">
      <c r="A90" s="1" t="s">
        <v>136</v>
      </c>
      <c r="B90" s="126"/>
      <c r="C90" s="126"/>
      <c r="D90" s="126"/>
      <c r="E90" s="126"/>
      <c r="F90" s="126"/>
      <c r="G90" s="126"/>
      <c r="H90" s="126"/>
      <c r="I90" s="126"/>
      <c r="J90" s="126"/>
      <c r="K90" s="126"/>
      <c r="L90" s="127"/>
      <c r="M90" s="127"/>
      <c r="N90" s="127"/>
      <c r="O90" s="127"/>
      <c r="P90" s="127"/>
      <c r="Q90" s="127"/>
      <c r="R90" s="127"/>
      <c r="S90" s="127"/>
      <c r="T90" s="127"/>
      <c r="U90" s="127"/>
    </row>
    <row r="91" spans="1:21" x14ac:dyDescent="0.25">
      <c r="A91" s="1" t="s">
        <v>93</v>
      </c>
      <c r="B91" s="126"/>
      <c r="C91" s="126"/>
      <c r="D91" s="126"/>
      <c r="E91" s="126"/>
      <c r="F91" s="126"/>
      <c r="G91" s="126"/>
      <c r="H91" s="126"/>
      <c r="I91" s="126"/>
      <c r="J91" s="126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</row>
    <row r="92" spans="1:21" x14ac:dyDescent="0.25">
      <c r="A92" s="1" t="s">
        <v>137</v>
      </c>
      <c r="B92" s="126"/>
      <c r="C92" s="126"/>
      <c r="D92" s="126"/>
      <c r="E92" s="126"/>
      <c r="F92" s="126"/>
      <c r="G92" s="126"/>
      <c r="H92" s="126"/>
      <c r="I92" s="126"/>
      <c r="J92" s="126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</row>
    <row r="93" spans="1:21" x14ac:dyDescent="0.25">
      <c r="A93" s="1" t="s">
        <v>138</v>
      </c>
      <c r="B93" s="126"/>
      <c r="C93" s="126"/>
      <c r="D93" s="126"/>
      <c r="E93" s="126"/>
      <c r="F93" s="126"/>
      <c r="G93" s="126"/>
      <c r="H93" s="126"/>
      <c r="I93" s="126"/>
      <c r="J93" s="126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</row>
    <row r="94" spans="1:21" x14ac:dyDescent="0.25">
      <c r="A94" s="1" t="s">
        <v>139</v>
      </c>
      <c r="B94" s="126"/>
      <c r="C94" s="126"/>
      <c r="D94" s="126"/>
      <c r="E94" s="126"/>
      <c r="F94" s="126"/>
      <c r="G94" s="126"/>
      <c r="H94" s="126"/>
      <c r="I94" s="126"/>
      <c r="J94" s="126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</row>
    <row r="95" spans="1:21" x14ac:dyDescent="0.25">
      <c r="A95" s="1" t="s">
        <v>140</v>
      </c>
      <c r="B95" s="126"/>
      <c r="C95" s="126"/>
      <c r="D95" s="126"/>
      <c r="E95" s="126"/>
      <c r="F95" s="126"/>
      <c r="G95" s="126"/>
      <c r="H95" s="126"/>
      <c r="I95" s="126"/>
      <c r="J95" s="126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</row>
    <row r="96" spans="1:21" x14ac:dyDescent="0.25">
      <c r="A96" s="1" t="s">
        <v>141</v>
      </c>
      <c r="B96" s="126"/>
      <c r="C96" s="126"/>
      <c r="D96" s="126"/>
      <c r="E96" s="126"/>
      <c r="F96" s="126"/>
      <c r="G96" s="126"/>
      <c r="H96" s="126"/>
      <c r="I96" s="126"/>
      <c r="J96" s="126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</row>
    <row r="97" spans="1:21" x14ac:dyDescent="0.25">
      <c r="A97" s="1" t="s">
        <v>142</v>
      </c>
      <c r="B97" s="126"/>
      <c r="C97" s="126"/>
      <c r="D97" s="126"/>
      <c r="E97" s="126"/>
      <c r="F97" s="126"/>
      <c r="G97" s="126"/>
      <c r="H97" s="126"/>
      <c r="I97" s="126"/>
      <c r="J97" s="126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</row>
    <row r="98" spans="1:21" x14ac:dyDescent="0.25">
      <c r="A98" s="1" t="s">
        <v>143</v>
      </c>
      <c r="B98" s="126"/>
      <c r="C98" s="126"/>
      <c r="D98" s="126"/>
      <c r="E98" s="126"/>
      <c r="F98" s="126"/>
      <c r="G98" s="126"/>
      <c r="H98" s="126"/>
      <c r="I98" s="126"/>
      <c r="J98" s="126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</row>
    <row r="99" spans="1:21" x14ac:dyDescent="0.25">
      <c r="A99" s="87" t="s">
        <v>144</v>
      </c>
      <c r="B99" s="121">
        <f t="shared" ref="B99:I99" si="22">SUM(B87:B98)</f>
        <v>0</v>
      </c>
      <c r="C99" s="121">
        <f t="shared" si="22"/>
        <v>0</v>
      </c>
      <c r="D99" s="121">
        <f t="shared" si="22"/>
        <v>0</v>
      </c>
      <c r="E99" s="121">
        <f t="shared" si="22"/>
        <v>0</v>
      </c>
      <c r="F99" s="121">
        <f t="shared" si="22"/>
        <v>0</v>
      </c>
      <c r="G99" s="121">
        <f t="shared" si="22"/>
        <v>0</v>
      </c>
      <c r="H99" s="121">
        <f t="shared" si="22"/>
        <v>0</v>
      </c>
      <c r="I99" s="121">
        <f t="shared" si="22"/>
        <v>0</v>
      </c>
      <c r="J99" s="122">
        <f t="shared" ref="J99:U99" si="23">J8</f>
        <v>0</v>
      </c>
      <c r="K99" s="122" t="e">
        <f t="shared" si="23"/>
        <v>#DIV/0!</v>
      </c>
      <c r="L99" s="122" t="e">
        <f t="shared" si="23"/>
        <v>#DIV/0!</v>
      </c>
      <c r="M99" s="122" t="e">
        <f t="shared" si="23"/>
        <v>#DIV/0!</v>
      </c>
      <c r="N99" s="122" t="e">
        <f t="shared" si="23"/>
        <v>#DIV/0!</v>
      </c>
      <c r="O99" s="122" t="e">
        <f t="shared" si="23"/>
        <v>#DIV/0!</v>
      </c>
      <c r="P99" s="122" t="e">
        <f t="shared" si="23"/>
        <v>#DIV/0!</v>
      </c>
      <c r="Q99" s="122" t="e">
        <f t="shared" si="23"/>
        <v>#DIV/0!</v>
      </c>
      <c r="R99" s="122" t="e">
        <f t="shared" si="23"/>
        <v>#DIV/0!</v>
      </c>
      <c r="S99" s="122" t="e">
        <f t="shared" si="23"/>
        <v>#DIV/0!</v>
      </c>
      <c r="T99" s="122" t="e">
        <f t="shared" si="23"/>
        <v>#DIV/0!</v>
      </c>
      <c r="U99" s="122">
        <f t="shared" si="23"/>
        <v>0</v>
      </c>
    </row>
    <row r="101" spans="1:21" ht="15.75" thickBot="1" x14ac:dyDescent="0.3">
      <c r="A101" s="4" t="s">
        <v>159</v>
      </c>
      <c r="J101" s="128"/>
    </row>
    <row r="102" spans="1:21" ht="15.75" thickBot="1" x14ac:dyDescent="0.3">
      <c r="A102" s="84"/>
      <c r="B102" s="118">
        <f t="shared" ref="B102:U102" si="24">B2</f>
        <v>2015</v>
      </c>
      <c r="C102" s="118">
        <f t="shared" si="24"/>
        <v>2016</v>
      </c>
      <c r="D102" s="118">
        <f t="shared" si="24"/>
        <v>2017</v>
      </c>
      <c r="E102" s="118">
        <f t="shared" si="24"/>
        <v>2018</v>
      </c>
      <c r="F102" s="118">
        <f t="shared" si="24"/>
        <v>2019</v>
      </c>
      <c r="G102" s="118">
        <f t="shared" si="24"/>
        <v>2020</v>
      </c>
      <c r="H102" s="118">
        <f t="shared" si="24"/>
        <v>2021</v>
      </c>
      <c r="I102" s="118">
        <f t="shared" si="24"/>
        <v>2022</v>
      </c>
      <c r="J102" s="118">
        <f t="shared" si="24"/>
        <v>2023</v>
      </c>
      <c r="K102" s="118">
        <f t="shared" si="24"/>
        <v>2024</v>
      </c>
      <c r="L102" s="118">
        <f t="shared" si="24"/>
        <v>2025</v>
      </c>
      <c r="M102" s="118">
        <f t="shared" si="24"/>
        <v>2026</v>
      </c>
      <c r="N102" s="118">
        <f t="shared" si="24"/>
        <v>2027</v>
      </c>
      <c r="O102" s="118">
        <f t="shared" si="24"/>
        <v>2028</v>
      </c>
      <c r="P102" s="118">
        <f t="shared" si="24"/>
        <v>2029</v>
      </c>
      <c r="Q102" s="118">
        <f t="shared" si="24"/>
        <v>2030</v>
      </c>
      <c r="R102" s="118">
        <f t="shared" si="24"/>
        <v>2031</v>
      </c>
      <c r="S102" s="118">
        <f t="shared" si="24"/>
        <v>2032</v>
      </c>
      <c r="T102" s="118">
        <f t="shared" si="24"/>
        <v>2033</v>
      </c>
      <c r="U102" s="118">
        <f t="shared" si="24"/>
        <v>2034</v>
      </c>
    </row>
    <row r="103" spans="1:21" x14ac:dyDescent="0.25">
      <c r="A103" s="1" t="s">
        <v>133</v>
      </c>
      <c r="B103" s="119">
        <v>255</v>
      </c>
      <c r="C103" s="119">
        <v>266</v>
      </c>
      <c r="D103" s="119">
        <v>408</v>
      </c>
      <c r="E103" s="119">
        <v>408</v>
      </c>
      <c r="F103" s="119">
        <v>558</v>
      </c>
      <c r="G103" s="119">
        <v>558</v>
      </c>
      <c r="H103" s="119">
        <v>791</v>
      </c>
      <c r="I103" s="119">
        <v>1750</v>
      </c>
      <c r="J103" s="119">
        <v>2999</v>
      </c>
      <c r="K103" s="119">
        <v>3857</v>
      </c>
      <c r="L103" s="119">
        <v>4793.5000000000009</v>
      </c>
      <c r="M103" s="119">
        <v>5129.6000000000013</v>
      </c>
      <c r="N103" s="119">
        <v>5374.1000000000013</v>
      </c>
      <c r="O103" s="119">
        <v>5535.8500000000013</v>
      </c>
      <c r="P103" s="119">
        <v>5593.3500000000013</v>
      </c>
      <c r="Q103" s="119">
        <v>5593.3500000000013</v>
      </c>
      <c r="R103" s="119">
        <v>5593.3500000000013</v>
      </c>
      <c r="S103" s="119">
        <v>5650.8500000000013</v>
      </c>
      <c r="T103" s="119">
        <v>5650.8500000000013</v>
      </c>
      <c r="U103" s="119">
        <v>5650.8500000000013</v>
      </c>
    </row>
    <row r="104" spans="1:21" x14ac:dyDescent="0.25">
      <c r="A104" s="1" t="s">
        <v>134</v>
      </c>
      <c r="B104" s="119">
        <v>255</v>
      </c>
      <c r="C104" s="119">
        <v>277</v>
      </c>
      <c r="D104" s="119">
        <v>408</v>
      </c>
      <c r="E104" s="119">
        <v>408</v>
      </c>
      <c r="F104" s="119">
        <v>558</v>
      </c>
      <c r="G104" s="119">
        <v>558</v>
      </c>
      <c r="H104" s="119">
        <v>791</v>
      </c>
      <c r="I104" s="119">
        <v>1750</v>
      </c>
      <c r="J104" s="119">
        <v>3278</v>
      </c>
      <c r="K104" s="119">
        <v>3857</v>
      </c>
      <c r="L104" s="119">
        <v>4824.7500000000009</v>
      </c>
      <c r="M104" s="119">
        <v>5178.3500000000013</v>
      </c>
      <c r="N104" s="119">
        <v>5377.1000000000013</v>
      </c>
      <c r="O104" s="119">
        <v>5554.6000000000013</v>
      </c>
      <c r="P104" s="119">
        <v>5593.3500000000013</v>
      </c>
      <c r="Q104" s="119">
        <v>5593.3500000000013</v>
      </c>
      <c r="R104" s="119">
        <v>5612.1000000000013</v>
      </c>
      <c r="S104" s="119">
        <v>5650.8500000000013</v>
      </c>
      <c r="T104" s="119">
        <v>5650.8500000000013</v>
      </c>
      <c r="U104" s="119">
        <v>5650.8500000000013</v>
      </c>
    </row>
    <row r="105" spans="1:21" x14ac:dyDescent="0.25">
      <c r="A105" s="1" t="s">
        <v>135</v>
      </c>
      <c r="B105" s="119">
        <v>255</v>
      </c>
      <c r="C105" s="119">
        <v>308</v>
      </c>
      <c r="D105" s="119">
        <v>408</v>
      </c>
      <c r="E105" s="119">
        <v>408</v>
      </c>
      <c r="F105" s="119">
        <v>558</v>
      </c>
      <c r="G105" s="119">
        <v>558</v>
      </c>
      <c r="H105" s="119">
        <v>791</v>
      </c>
      <c r="I105" s="119">
        <v>1750</v>
      </c>
      <c r="J105" s="119">
        <v>3278</v>
      </c>
      <c r="K105" s="119">
        <v>3857</v>
      </c>
      <c r="L105" s="119">
        <v>4856.0000000000009</v>
      </c>
      <c r="M105" s="119">
        <v>5269.6000000000013</v>
      </c>
      <c r="N105" s="119">
        <v>5386.8500000000013</v>
      </c>
      <c r="O105" s="119">
        <v>5593.3500000000013</v>
      </c>
      <c r="P105" s="119">
        <v>5593.3500000000013</v>
      </c>
      <c r="Q105" s="119">
        <v>5593.3500000000013</v>
      </c>
      <c r="R105" s="119">
        <v>5650.8500000000013</v>
      </c>
      <c r="S105" s="119">
        <v>5650.8500000000013</v>
      </c>
      <c r="T105" s="119">
        <v>5650.8500000000013</v>
      </c>
      <c r="U105" s="119">
        <v>5650.8500000000013</v>
      </c>
    </row>
    <row r="106" spans="1:21" x14ac:dyDescent="0.25">
      <c r="A106" s="1" t="s">
        <v>136</v>
      </c>
      <c r="B106" s="119">
        <v>255</v>
      </c>
      <c r="C106" s="119">
        <v>333</v>
      </c>
      <c r="D106" s="119">
        <v>408</v>
      </c>
      <c r="E106" s="119">
        <v>408</v>
      </c>
      <c r="F106" s="119">
        <v>558</v>
      </c>
      <c r="G106" s="119">
        <v>558</v>
      </c>
      <c r="H106" s="119">
        <v>971</v>
      </c>
      <c r="I106" s="119">
        <v>1922</v>
      </c>
      <c r="J106" s="119">
        <v>3278</v>
      </c>
      <c r="K106" s="119">
        <v>4129</v>
      </c>
      <c r="L106" s="119">
        <v>4856.8</v>
      </c>
      <c r="M106" s="119">
        <v>5292.1000000000013</v>
      </c>
      <c r="N106" s="119">
        <v>5386.8500000000013</v>
      </c>
      <c r="O106" s="119">
        <v>5593.3500000000013</v>
      </c>
      <c r="P106" s="119">
        <v>5593.3500000000013</v>
      </c>
      <c r="Q106" s="119">
        <v>5593.3500000000013</v>
      </c>
      <c r="R106" s="119">
        <v>5650.8500000000013</v>
      </c>
      <c r="S106" s="119">
        <v>5650.8500000000013</v>
      </c>
      <c r="T106" s="119">
        <v>5650.8500000000013</v>
      </c>
      <c r="U106" s="119">
        <v>5650.8500000000013</v>
      </c>
    </row>
    <row r="107" spans="1:21" x14ac:dyDescent="0.25">
      <c r="A107" s="1" t="s">
        <v>93</v>
      </c>
      <c r="B107" s="119">
        <v>255</v>
      </c>
      <c r="C107" s="119">
        <v>358</v>
      </c>
      <c r="D107" s="119">
        <v>408</v>
      </c>
      <c r="E107" s="119">
        <v>418</v>
      </c>
      <c r="F107" s="119">
        <v>558</v>
      </c>
      <c r="G107" s="119">
        <v>558</v>
      </c>
      <c r="H107" s="119">
        <v>971</v>
      </c>
      <c r="I107" s="119">
        <v>1947</v>
      </c>
      <c r="J107" s="119">
        <v>3278</v>
      </c>
      <c r="K107" s="119">
        <v>4575</v>
      </c>
      <c r="L107" s="119">
        <v>4885.1000000000004</v>
      </c>
      <c r="M107" s="119">
        <v>5337.1000000000013</v>
      </c>
      <c r="N107" s="119">
        <v>5386.8500000000013</v>
      </c>
      <c r="O107" s="119">
        <v>5593.3500000000013</v>
      </c>
      <c r="P107" s="119">
        <v>5593.3500000000013</v>
      </c>
      <c r="Q107" s="119">
        <v>5593.3500000000013</v>
      </c>
      <c r="R107" s="119">
        <v>5650.8500000000013</v>
      </c>
      <c r="S107" s="119">
        <v>5650.8500000000013</v>
      </c>
      <c r="T107" s="119">
        <v>5650.8500000000013</v>
      </c>
      <c r="U107" s="119">
        <v>5650.8500000000013</v>
      </c>
    </row>
    <row r="108" spans="1:21" x14ac:dyDescent="0.25">
      <c r="A108" s="1" t="s">
        <v>137</v>
      </c>
      <c r="B108" s="119">
        <v>255</v>
      </c>
      <c r="C108" s="119">
        <v>408</v>
      </c>
      <c r="D108" s="119">
        <v>408</v>
      </c>
      <c r="E108" s="119">
        <v>428</v>
      </c>
      <c r="F108" s="119">
        <v>558</v>
      </c>
      <c r="G108" s="119">
        <v>558</v>
      </c>
      <c r="H108" s="119">
        <v>911</v>
      </c>
      <c r="I108" s="119">
        <v>1947</v>
      </c>
      <c r="J108" s="119">
        <v>3700</v>
      </c>
      <c r="K108" s="119">
        <v>4897</v>
      </c>
      <c r="L108" s="119">
        <v>4986.6000000000013</v>
      </c>
      <c r="M108" s="119">
        <v>5342.1000000000013</v>
      </c>
      <c r="N108" s="119">
        <v>5394.3500000000013</v>
      </c>
      <c r="O108" s="119">
        <v>5593.3500000000013</v>
      </c>
      <c r="P108" s="119">
        <v>5593.3500000000013</v>
      </c>
      <c r="Q108" s="119">
        <v>5593.3500000000013</v>
      </c>
      <c r="R108" s="119">
        <v>5650.8500000000013</v>
      </c>
      <c r="S108" s="119">
        <v>5650.8500000000013</v>
      </c>
      <c r="T108" s="119">
        <v>5650.8500000000013</v>
      </c>
      <c r="U108" s="119">
        <v>5650.8500000000013</v>
      </c>
    </row>
    <row r="109" spans="1:21" x14ac:dyDescent="0.25">
      <c r="A109" s="1" t="s">
        <v>138</v>
      </c>
      <c r="B109" s="119">
        <v>255</v>
      </c>
      <c r="C109" s="119">
        <v>408</v>
      </c>
      <c r="D109" s="119">
        <v>408</v>
      </c>
      <c r="E109" s="119">
        <v>268</v>
      </c>
      <c r="F109" s="119">
        <v>558</v>
      </c>
      <c r="G109" s="119">
        <v>618</v>
      </c>
      <c r="H109" s="119">
        <v>911</v>
      </c>
      <c r="I109" s="119">
        <v>2174</v>
      </c>
      <c r="J109" s="119">
        <v>3704</v>
      </c>
      <c r="K109" s="119">
        <v>4598</v>
      </c>
      <c r="L109" s="119">
        <v>5030.6000000000013</v>
      </c>
      <c r="M109" s="119">
        <v>5352.1000000000013</v>
      </c>
      <c r="N109" s="119">
        <v>5399.3500000000013</v>
      </c>
      <c r="O109" s="119">
        <v>5593.3500000000013</v>
      </c>
      <c r="P109" s="119">
        <v>5593.3500000000013</v>
      </c>
      <c r="Q109" s="119">
        <v>5593.3500000000013</v>
      </c>
      <c r="R109" s="119">
        <v>5650.8500000000013</v>
      </c>
      <c r="S109" s="119">
        <v>5650.8500000000013</v>
      </c>
      <c r="T109" s="119">
        <v>5650.8500000000013</v>
      </c>
      <c r="U109" s="119">
        <v>5650.8500000000013</v>
      </c>
    </row>
    <row r="110" spans="1:21" x14ac:dyDescent="0.25">
      <c r="A110" s="1" t="s">
        <v>139</v>
      </c>
      <c r="B110" s="119">
        <v>255</v>
      </c>
      <c r="C110" s="119">
        <v>408</v>
      </c>
      <c r="D110" s="119">
        <v>408</v>
      </c>
      <c r="E110" s="119">
        <v>456.75</v>
      </c>
      <c r="F110" s="119">
        <v>558</v>
      </c>
      <c r="G110" s="119">
        <v>678</v>
      </c>
      <c r="H110" s="119">
        <v>911</v>
      </c>
      <c r="I110" s="119">
        <v>2219</v>
      </c>
      <c r="J110" s="119">
        <v>3704</v>
      </c>
      <c r="K110" s="119">
        <v>4598</v>
      </c>
      <c r="L110" s="119">
        <v>5069.6000000000013</v>
      </c>
      <c r="M110" s="119">
        <v>5359.6000000000013</v>
      </c>
      <c r="N110" s="119">
        <v>5401.3500000000013</v>
      </c>
      <c r="O110" s="119">
        <v>5593.3500000000013</v>
      </c>
      <c r="P110" s="119">
        <v>5593.3500000000013</v>
      </c>
      <c r="Q110" s="119">
        <v>5593.3500000000013</v>
      </c>
      <c r="R110" s="119">
        <v>5650.8500000000013</v>
      </c>
      <c r="S110" s="119">
        <v>5650.8500000000013</v>
      </c>
      <c r="T110" s="119">
        <v>5650.8500000000013</v>
      </c>
      <c r="U110" s="119">
        <v>5650.8500000000013</v>
      </c>
    </row>
    <row r="111" spans="1:21" x14ac:dyDescent="0.25">
      <c r="A111" s="1" t="s">
        <v>140</v>
      </c>
      <c r="B111" s="119">
        <v>255</v>
      </c>
      <c r="C111" s="119">
        <v>408</v>
      </c>
      <c r="D111" s="119">
        <v>408</v>
      </c>
      <c r="E111" s="119">
        <v>485.5</v>
      </c>
      <c r="F111" s="119">
        <v>558</v>
      </c>
      <c r="G111" s="119">
        <v>738</v>
      </c>
      <c r="H111" s="119">
        <v>911</v>
      </c>
      <c r="I111" s="119">
        <v>2219</v>
      </c>
      <c r="J111" s="119">
        <v>3704</v>
      </c>
      <c r="K111" s="119">
        <v>4580</v>
      </c>
      <c r="L111" s="119">
        <v>5069.6000000000013</v>
      </c>
      <c r="M111" s="119">
        <v>5372.1000000000013</v>
      </c>
      <c r="N111" s="119">
        <v>5410.8500000000013</v>
      </c>
      <c r="O111" s="119">
        <v>5593.3500000000013</v>
      </c>
      <c r="P111" s="119">
        <v>5593.3500000000013</v>
      </c>
      <c r="Q111" s="119">
        <v>5593.3500000000013</v>
      </c>
      <c r="R111" s="119">
        <v>5650.8500000000013</v>
      </c>
      <c r="S111" s="119">
        <v>5650.8500000000013</v>
      </c>
      <c r="T111" s="119">
        <v>5650.8500000000013</v>
      </c>
      <c r="U111" s="119">
        <v>5650.8500000000013</v>
      </c>
    </row>
    <row r="112" spans="1:21" x14ac:dyDescent="0.25">
      <c r="A112" s="1" t="s">
        <v>141</v>
      </c>
      <c r="B112" s="119">
        <v>255</v>
      </c>
      <c r="C112" s="119">
        <v>408</v>
      </c>
      <c r="D112" s="119">
        <v>408</v>
      </c>
      <c r="E112" s="119">
        <v>514.29999999999995</v>
      </c>
      <c r="F112" s="119">
        <v>558</v>
      </c>
      <c r="G112" s="119">
        <v>738</v>
      </c>
      <c r="H112" s="119">
        <v>1014</v>
      </c>
      <c r="I112" s="119">
        <v>2219</v>
      </c>
      <c r="J112" s="119">
        <v>3857</v>
      </c>
      <c r="K112" s="119">
        <v>4685.0000000000009</v>
      </c>
      <c r="L112" s="119">
        <v>5069.6000000000013</v>
      </c>
      <c r="M112" s="119">
        <v>5372.1000000000013</v>
      </c>
      <c r="N112" s="119">
        <v>5410.8500000000013</v>
      </c>
      <c r="O112" s="119">
        <v>5593.3500000000013</v>
      </c>
      <c r="P112" s="119">
        <v>5593.3500000000013</v>
      </c>
      <c r="Q112" s="119">
        <v>5593.3500000000013</v>
      </c>
      <c r="R112" s="119">
        <v>5650.8500000000013</v>
      </c>
      <c r="S112" s="119">
        <v>5650.8500000000013</v>
      </c>
      <c r="T112" s="119">
        <v>5650.8500000000013</v>
      </c>
      <c r="U112" s="119">
        <v>5650.8500000000013</v>
      </c>
    </row>
    <row r="113" spans="1:21" x14ac:dyDescent="0.25">
      <c r="A113" s="1" t="s">
        <v>142</v>
      </c>
      <c r="B113" s="119">
        <v>255</v>
      </c>
      <c r="C113" s="119">
        <v>408</v>
      </c>
      <c r="D113" s="119">
        <v>408</v>
      </c>
      <c r="E113" s="119">
        <v>558</v>
      </c>
      <c r="F113" s="119">
        <v>558</v>
      </c>
      <c r="G113" s="119">
        <v>738</v>
      </c>
      <c r="H113" s="119">
        <v>1017</v>
      </c>
      <c r="I113" s="119">
        <v>2755</v>
      </c>
      <c r="J113" s="119">
        <v>3897</v>
      </c>
      <c r="K113" s="119">
        <v>4705.0000000000009</v>
      </c>
      <c r="L113" s="119">
        <v>5069.6000000000013</v>
      </c>
      <c r="M113" s="119">
        <v>5372.1000000000013</v>
      </c>
      <c r="N113" s="119">
        <v>5410.8500000000013</v>
      </c>
      <c r="O113" s="119">
        <v>5593.3500000000013</v>
      </c>
      <c r="P113" s="119">
        <v>5593.3500000000013</v>
      </c>
      <c r="Q113" s="119">
        <v>5593.3500000000013</v>
      </c>
      <c r="R113" s="119">
        <v>5650.8500000000013</v>
      </c>
      <c r="S113" s="119">
        <v>5650.8500000000013</v>
      </c>
      <c r="T113" s="119">
        <v>5650.8500000000013</v>
      </c>
      <c r="U113" s="119">
        <v>5650.8500000000013</v>
      </c>
    </row>
    <row r="114" spans="1:21" x14ac:dyDescent="0.25">
      <c r="A114" s="1" t="s">
        <v>143</v>
      </c>
      <c r="B114" s="119">
        <v>255</v>
      </c>
      <c r="C114" s="119">
        <v>408</v>
      </c>
      <c r="D114" s="119">
        <v>408</v>
      </c>
      <c r="E114" s="119">
        <v>558</v>
      </c>
      <c r="F114" s="119">
        <v>558</v>
      </c>
      <c r="G114" s="119">
        <v>738</v>
      </c>
      <c r="H114" s="119">
        <v>1106</v>
      </c>
      <c r="I114" s="119">
        <v>2939</v>
      </c>
      <c r="J114" s="119">
        <v>3857</v>
      </c>
      <c r="K114" s="119">
        <v>4731.0000000000009</v>
      </c>
      <c r="L114" s="119">
        <v>5069.6000000000013</v>
      </c>
      <c r="M114" s="119">
        <v>5372.1000000000013</v>
      </c>
      <c r="N114" s="119">
        <v>5410.8500000000013</v>
      </c>
      <c r="O114" s="119">
        <v>5593.3500000000013</v>
      </c>
      <c r="P114" s="119">
        <v>5593.3500000000013</v>
      </c>
      <c r="Q114" s="119">
        <v>5593.3500000000013</v>
      </c>
      <c r="R114" s="119">
        <v>5650.8500000000013</v>
      </c>
      <c r="S114" s="119">
        <v>5650.8500000000013</v>
      </c>
      <c r="T114" s="119">
        <v>5650.8500000000013</v>
      </c>
      <c r="U114" s="119">
        <v>5650.8500000000013</v>
      </c>
    </row>
    <row r="115" spans="1:21" x14ac:dyDescent="0.25">
      <c r="A115" s="1" t="s">
        <v>150</v>
      </c>
      <c r="B115" s="119">
        <f t="shared" ref="B115:U115" si="25">AVERAGE(B103:B114)</f>
        <v>255</v>
      </c>
      <c r="C115" s="119">
        <f t="shared" si="25"/>
        <v>366.5</v>
      </c>
      <c r="D115" s="119">
        <f t="shared" si="25"/>
        <v>408</v>
      </c>
      <c r="E115" s="119">
        <f t="shared" si="25"/>
        <v>443.21250000000003</v>
      </c>
      <c r="F115" s="119">
        <f t="shared" si="25"/>
        <v>558</v>
      </c>
      <c r="G115" s="119">
        <f t="shared" si="25"/>
        <v>633</v>
      </c>
      <c r="H115" s="119">
        <f t="shared" si="25"/>
        <v>924.66666666666663</v>
      </c>
      <c r="I115" s="119">
        <f t="shared" si="25"/>
        <v>2132.5833333333335</v>
      </c>
      <c r="J115" s="119">
        <f t="shared" si="25"/>
        <v>3544.5</v>
      </c>
      <c r="K115" s="119">
        <f t="shared" si="25"/>
        <v>4422.416666666667</v>
      </c>
      <c r="L115" s="119">
        <f t="shared" si="25"/>
        <v>4965.1125000000002</v>
      </c>
      <c r="M115" s="119">
        <f t="shared" si="25"/>
        <v>5312.4125000000004</v>
      </c>
      <c r="N115" s="119">
        <f t="shared" si="25"/>
        <v>5395.85</v>
      </c>
      <c r="O115" s="119">
        <f t="shared" si="25"/>
        <v>5585.3291666666664</v>
      </c>
      <c r="P115" s="119">
        <f t="shared" si="25"/>
        <v>5593.3499999999995</v>
      </c>
      <c r="Q115" s="119">
        <f t="shared" si="25"/>
        <v>5593.3499999999995</v>
      </c>
      <c r="R115" s="119">
        <f t="shared" si="25"/>
        <v>5642.8291666666664</v>
      </c>
      <c r="S115" s="119">
        <f t="shared" si="25"/>
        <v>5650.8499999999995</v>
      </c>
      <c r="T115" s="119">
        <f t="shared" si="25"/>
        <v>5650.8499999999995</v>
      </c>
      <c r="U115" s="119">
        <f t="shared" si="25"/>
        <v>5650.8499999999995</v>
      </c>
    </row>
    <row r="116" spans="1:21" x14ac:dyDescent="0.25">
      <c r="A116" s="98"/>
      <c r="B116" s="129"/>
      <c r="C116" s="129"/>
      <c r="D116" s="129"/>
      <c r="E116" s="129"/>
      <c r="F116" s="129"/>
      <c r="G116" s="129"/>
      <c r="H116" s="129"/>
      <c r="I116" s="129"/>
      <c r="J116" s="129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</row>
    <row r="117" spans="1:21" ht="15.75" thickBot="1" x14ac:dyDescent="0.3">
      <c r="A117" s="4" t="s">
        <v>160</v>
      </c>
      <c r="D117" s="113"/>
      <c r="E117" s="113"/>
      <c r="F117" s="113"/>
      <c r="G117" s="113"/>
      <c r="H117" s="113"/>
      <c r="I117" s="113"/>
      <c r="J117" s="113"/>
    </row>
    <row r="118" spans="1:21" ht="15.75" thickBot="1" x14ac:dyDescent="0.3">
      <c r="A118" s="84"/>
      <c r="B118" s="118">
        <f t="shared" ref="B118:U118" si="26">B2</f>
        <v>2015</v>
      </c>
      <c r="C118" s="118">
        <f t="shared" si="26"/>
        <v>2016</v>
      </c>
      <c r="D118" s="118">
        <f t="shared" si="26"/>
        <v>2017</v>
      </c>
      <c r="E118" s="118">
        <f t="shared" si="26"/>
        <v>2018</v>
      </c>
      <c r="F118" s="118">
        <f t="shared" si="26"/>
        <v>2019</v>
      </c>
      <c r="G118" s="118">
        <f t="shared" si="26"/>
        <v>2020</v>
      </c>
      <c r="H118" s="118">
        <f t="shared" si="26"/>
        <v>2021</v>
      </c>
      <c r="I118" s="118">
        <f t="shared" si="26"/>
        <v>2022</v>
      </c>
      <c r="J118" s="118">
        <f t="shared" si="26"/>
        <v>2023</v>
      </c>
      <c r="K118" s="118">
        <f t="shared" si="26"/>
        <v>2024</v>
      </c>
      <c r="L118" s="118">
        <f t="shared" si="26"/>
        <v>2025</v>
      </c>
      <c r="M118" s="118">
        <f t="shared" si="26"/>
        <v>2026</v>
      </c>
      <c r="N118" s="118">
        <f t="shared" si="26"/>
        <v>2027</v>
      </c>
      <c r="O118" s="118">
        <f t="shared" si="26"/>
        <v>2028</v>
      </c>
      <c r="P118" s="118">
        <f t="shared" si="26"/>
        <v>2029</v>
      </c>
      <c r="Q118" s="118">
        <f t="shared" si="26"/>
        <v>2030</v>
      </c>
      <c r="R118" s="118">
        <f t="shared" si="26"/>
        <v>2031</v>
      </c>
      <c r="S118" s="118">
        <f t="shared" si="26"/>
        <v>2032</v>
      </c>
      <c r="T118" s="118">
        <f t="shared" si="26"/>
        <v>2033</v>
      </c>
      <c r="U118" s="118">
        <f t="shared" si="26"/>
        <v>2034</v>
      </c>
    </row>
    <row r="119" spans="1:21" x14ac:dyDescent="0.25">
      <c r="A119" s="19" t="s">
        <v>133</v>
      </c>
      <c r="B119" s="130" t="e">
        <f>(B24/(#REF!-#REF!)*365)/B103</f>
        <v>#REF!</v>
      </c>
      <c r="C119" s="130" t="e">
        <f>(C24/(#REF!-#REF!)*365)/C103</f>
        <v>#REF!</v>
      </c>
      <c r="D119" s="130" t="e">
        <f>(D24/(#REF!-#REF!)*365)/D103</f>
        <v>#REF!</v>
      </c>
      <c r="E119" s="130" t="e">
        <f>(E24/(#REF!-#REF!)*365)/E103</f>
        <v>#REF!</v>
      </c>
      <c r="F119" s="130" t="e">
        <f>(F24/(#REF!-#REF!)*365)/F103</f>
        <v>#REF!</v>
      </c>
      <c r="G119" s="130" t="e">
        <f>(G24/(#REF!-#REF!)*365)/G103</f>
        <v>#REF!</v>
      </c>
      <c r="H119" s="130" t="e">
        <f>(H24/(#REF!-#REF!)*365)/H103</f>
        <v>#REF!</v>
      </c>
      <c r="I119" s="130" t="e">
        <f>(I24/(#REF!-#REF!)*365)/I103</f>
        <v>#REF!</v>
      </c>
      <c r="J119" s="130" t="e">
        <f>(J24/(#REF!-#REF!)*365)/J103</f>
        <v>#REF!</v>
      </c>
      <c r="K119" s="130" t="e">
        <f>(K24/(#REF!-#REF!)*365)/K103</f>
        <v>#REF!</v>
      </c>
      <c r="L119" s="131" t="e">
        <f>(L24/(#REF!-#REF!)*365)/L103</f>
        <v>#REF!</v>
      </c>
      <c r="M119" s="131" t="e">
        <f>(M24/(#REF!-#REF!)*365)/M103</f>
        <v>#REF!</v>
      </c>
      <c r="N119" s="131" t="e">
        <f>(N24/(#REF!-#REF!)*365)/N103</f>
        <v>#REF!</v>
      </c>
      <c r="O119" s="131" t="e">
        <f>(O24/(#REF!-#REF!)*365)/O103</f>
        <v>#REF!</v>
      </c>
      <c r="P119" s="131" t="e">
        <f>(P24/(#REF!-#REF!)*365)/P103</f>
        <v>#REF!</v>
      </c>
      <c r="Q119" s="131" t="e">
        <f>(Q24/(#REF!-#REF!)*365)/Q103</f>
        <v>#REF!</v>
      </c>
      <c r="R119" s="131" t="e">
        <f>(R24/(#REF!-#REF!)*365)/R103</f>
        <v>#REF!</v>
      </c>
      <c r="S119" s="131" t="e">
        <f>(S24/(#REF!-#REF!)*365)/S103</f>
        <v>#REF!</v>
      </c>
      <c r="T119" s="131" t="e">
        <f>(T24/(#REF!-#REF!)*365)/T103</f>
        <v>#REF!</v>
      </c>
      <c r="U119" s="131" t="e">
        <f>(U24/(#REF!-#REF!)*365)/U103</f>
        <v>#REF!</v>
      </c>
    </row>
    <row r="120" spans="1:21" x14ac:dyDescent="0.25">
      <c r="A120" s="19" t="s">
        <v>134</v>
      </c>
      <c r="B120" s="130" t="e">
        <f>(B25/(#REF!-#REF!)*365)/B104</f>
        <v>#REF!</v>
      </c>
      <c r="C120" s="130" t="e">
        <f>(C25/(#REF!-#REF!)*365)/C104</f>
        <v>#REF!</v>
      </c>
      <c r="D120" s="130" t="e">
        <f>(D25/(#REF!-#REF!)*365)/D104</f>
        <v>#REF!</v>
      </c>
      <c r="E120" s="130" t="e">
        <f>(E25/(#REF!-#REF!)*365)/E104</f>
        <v>#REF!</v>
      </c>
      <c r="F120" s="130" t="e">
        <f>(F25/(#REF!-#REF!)*365)/F104</f>
        <v>#REF!</v>
      </c>
      <c r="G120" s="130" t="e">
        <f>(G25/(#REF!-#REF!)*365)/G104</f>
        <v>#REF!</v>
      </c>
      <c r="H120" s="130" t="e">
        <f>(H25/(#REF!-#REF!)*365)/H104</f>
        <v>#REF!</v>
      </c>
      <c r="I120" s="130" t="e">
        <f>(I25/(#REF!-#REF!)*365)/I104</f>
        <v>#REF!</v>
      </c>
      <c r="J120" s="130" t="e">
        <f>(J25/(#REF!-#REF!)*365)/J104</f>
        <v>#REF!</v>
      </c>
      <c r="K120" s="130" t="e">
        <f>(K25/(#REF!-#REF!)*365)/K104</f>
        <v>#REF!</v>
      </c>
      <c r="L120" s="131" t="e">
        <f>(L25/(#REF!-#REF!)*365)/L104</f>
        <v>#REF!</v>
      </c>
      <c r="M120" s="131" t="e">
        <f>(M25/(#REF!-#REF!)*365)/M104</f>
        <v>#REF!</v>
      </c>
      <c r="N120" s="131" t="e">
        <f>(N25/(#REF!-#REF!)*365)/N104</f>
        <v>#REF!</v>
      </c>
      <c r="O120" s="131" t="e">
        <f>(O25/(#REF!-#REF!)*365)/O104</f>
        <v>#REF!</v>
      </c>
      <c r="P120" s="131" t="e">
        <f>(P25/(#REF!-#REF!)*365)/P104</f>
        <v>#REF!</v>
      </c>
      <c r="Q120" s="131" t="e">
        <f>(Q25/(#REF!-#REF!)*365)/Q104</f>
        <v>#REF!</v>
      </c>
      <c r="R120" s="131" t="e">
        <f>(R25/(#REF!-#REF!)*365)/R104</f>
        <v>#REF!</v>
      </c>
      <c r="S120" s="131" t="e">
        <f>(S25/(#REF!-#REF!)*365)/S104</f>
        <v>#REF!</v>
      </c>
      <c r="T120" s="131" t="e">
        <f>(T25/(#REF!-#REF!)*365)/T104</f>
        <v>#REF!</v>
      </c>
      <c r="U120" s="131" t="e">
        <f>(U25/(#REF!-#REF!)*365)/U104</f>
        <v>#REF!</v>
      </c>
    </row>
    <row r="121" spans="1:21" x14ac:dyDescent="0.25">
      <c r="A121" s="19" t="s">
        <v>135</v>
      </c>
      <c r="B121" s="130" t="e">
        <f>(B26/(#REF!-#REF!)*365)/B105</f>
        <v>#REF!</v>
      </c>
      <c r="C121" s="130" t="e">
        <f>(C26/(#REF!-#REF!)*365)/C105</f>
        <v>#REF!</v>
      </c>
      <c r="D121" s="130" t="e">
        <f>(D26/(#REF!-#REF!)*365)/D105</f>
        <v>#REF!</v>
      </c>
      <c r="E121" s="130" t="e">
        <f>(E26/(#REF!-#REF!)*365)/E105</f>
        <v>#REF!</v>
      </c>
      <c r="F121" s="130" t="e">
        <f>(F26/(#REF!-#REF!)*365)/F105</f>
        <v>#REF!</v>
      </c>
      <c r="G121" s="130" t="e">
        <f>(G26/(#REF!-#REF!)*365)/G105</f>
        <v>#REF!</v>
      </c>
      <c r="H121" s="130" t="e">
        <f>(H26/(#REF!-#REF!)*365)/H105</f>
        <v>#REF!</v>
      </c>
      <c r="I121" s="130" t="e">
        <f>(I26/(#REF!-#REF!)*365)/I105</f>
        <v>#REF!</v>
      </c>
      <c r="J121" s="130" t="e">
        <f>(J26/(#REF!-#REF!)*365)/J105</f>
        <v>#REF!</v>
      </c>
      <c r="K121" s="130" t="e">
        <f>(K26/(#REF!-#REF!)*365)/K105</f>
        <v>#REF!</v>
      </c>
      <c r="L121" s="131" t="e">
        <f>(L26/(#REF!-#REF!)*365)/L105</f>
        <v>#REF!</v>
      </c>
      <c r="M121" s="131" t="e">
        <f>(M26/(#REF!-#REF!)*365)/M105</f>
        <v>#REF!</v>
      </c>
      <c r="N121" s="131" t="e">
        <f>(N26/(#REF!-#REF!)*365)/N105</f>
        <v>#REF!</v>
      </c>
      <c r="O121" s="131" t="e">
        <f>(O26/(#REF!-#REF!)*365)/O105</f>
        <v>#REF!</v>
      </c>
      <c r="P121" s="131" t="e">
        <f>(P26/(#REF!-#REF!)*365)/P105</f>
        <v>#REF!</v>
      </c>
      <c r="Q121" s="131" t="e">
        <f>(Q26/(#REF!-#REF!)*365)/Q105</f>
        <v>#REF!</v>
      </c>
      <c r="R121" s="131" t="e">
        <f>(R26/(#REF!-#REF!)*365)/R105</f>
        <v>#REF!</v>
      </c>
      <c r="S121" s="131" t="e">
        <f>(S26/(#REF!-#REF!)*365)/S105</f>
        <v>#REF!</v>
      </c>
      <c r="T121" s="131" t="e">
        <f>(T26/(#REF!-#REF!)*365)/T105</f>
        <v>#REF!</v>
      </c>
      <c r="U121" s="131" t="e">
        <f>(U26/(#REF!-#REF!)*365)/U105</f>
        <v>#REF!</v>
      </c>
    </row>
    <row r="122" spans="1:21" x14ac:dyDescent="0.25">
      <c r="A122" s="19" t="s">
        <v>136</v>
      </c>
      <c r="B122" s="130" t="e">
        <f>(B27/(#REF!-#REF!)*365)/B106</f>
        <v>#REF!</v>
      </c>
      <c r="C122" s="130" t="e">
        <f>(C27/(#REF!-#REF!)*365)/C106</f>
        <v>#REF!</v>
      </c>
      <c r="D122" s="130" t="e">
        <f>(D27/(#REF!-#REF!)*365)/D106</f>
        <v>#REF!</v>
      </c>
      <c r="E122" s="130" t="e">
        <f>(E27/(#REF!-#REF!)*365)/E106</f>
        <v>#REF!</v>
      </c>
      <c r="F122" s="130" t="e">
        <f>(F27/(#REF!-#REF!)*365)/F106</f>
        <v>#REF!</v>
      </c>
      <c r="G122" s="130" t="e">
        <f>(G27/(#REF!-#REF!)*365)/G106</f>
        <v>#REF!</v>
      </c>
      <c r="H122" s="130" t="e">
        <f>(H27/(#REF!-#REF!)*365)/H106</f>
        <v>#REF!</v>
      </c>
      <c r="I122" s="130" t="e">
        <f>(I27/(#REF!-#REF!)*365)/I106</f>
        <v>#REF!</v>
      </c>
      <c r="J122" s="130" t="e">
        <f>(J27/(#REF!-#REF!)*365)/J106</f>
        <v>#REF!</v>
      </c>
      <c r="K122" s="130" t="e">
        <f>(K27/(#REF!-#REF!)*365)/K106</f>
        <v>#REF!</v>
      </c>
      <c r="L122" s="131" t="e">
        <f>(L27/(#REF!-#REF!)*365)/L106</f>
        <v>#REF!</v>
      </c>
      <c r="M122" s="131" t="e">
        <f>(M27/(#REF!-#REF!)*365)/M106</f>
        <v>#REF!</v>
      </c>
      <c r="N122" s="131" t="e">
        <f>(N27/(#REF!-#REF!)*365)/N106</f>
        <v>#REF!</v>
      </c>
      <c r="O122" s="131" t="e">
        <f>(O27/(#REF!-#REF!)*365)/O106</f>
        <v>#REF!</v>
      </c>
      <c r="P122" s="131" t="e">
        <f>(P27/(#REF!-#REF!)*365)/P106</f>
        <v>#REF!</v>
      </c>
      <c r="Q122" s="131" t="e">
        <f>(Q27/(#REF!-#REF!)*365)/Q106</f>
        <v>#REF!</v>
      </c>
      <c r="R122" s="131" t="e">
        <f>(R27/(#REF!-#REF!)*365)/R106</f>
        <v>#REF!</v>
      </c>
      <c r="S122" s="131" t="e">
        <f>(S27/(#REF!-#REF!)*365)/S106</f>
        <v>#REF!</v>
      </c>
      <c r="T122" s="131" t="e">
        <f>(T27/(#REF!-#REF!)*365)/T106</f>
        <v>#REF!</v>
      </c>
      <c r="U122" s="131" t="e">
        <f>(U27/(#REF!-#REF!)*365)/U106</f>
        <v>#REF!</v>
      </c>
    </row>
    <row r="123" spans="1:21" x14ac:dyDescent="0.25">
      <c r="A123" s="19" t="s">
        <v>93</v>
      </c>
      <c r="B123" s="130" t="e">
        <f>(B28/(#REF!-#REF!)*365)/B107</f>
        <v>#REF!</v>
      </c>
      <c r="C123" s="130" t="e">
        <f>(C28/(#REF!-#REF!)*365)/C107</f>
        <v>#REF!</v>
      </c>
      <c r="D123" s="130" t="e">
        <f>(D28/(#REF!-#REF!)*365)/D107</f>
        <v>#REF!</v>
      </c>
      <c r="E123" s="130" t="e">
        <f>(E28/(#REF!-#REF!)*365)/E107</f>
        <v>#REF!</v>
      </c>
      <c r="F123" s="130" t="e">
        <f>(F28/(#REF!-#REF!)*365)/F107</f>
        <v>#REF!</v>
      </c>
      <c r="G123" s="130" t="e">
        <f>(G28/(#REF!-#REF!)*365)/G107</f>
        <v>#REF!</v>
      </c>
      <c r="H123" s="130" t="e">
        <f>(H28/(#REF!-#REF!)*365)/H107</f>
        <v>#REF!</v>
      </c>
      <c r="I123" s="130" t="e">
        <f>(I28/(#REF!-#REF!)*365)/I107</f>
        <v>#REF!</v>
      </c>
      <c r="J123" s="130" t="e">
        <f>(J28/(#REF!-#REF!)*365)/J107</f>
        <v>#REF!</v>
      </c>
      <c r="K123" s="131" t="e">
        <f>(K28/(#REF!-#REF!)*365)/K107</f>
        <v>#REF!</v>
      </c>
      <c r="L123" s="131" t="e">
        <f>(L28/(#REF!-#REF!)*365)/L107</f>
        <v>#REF!</v>
      </c>
      <c r="M123" s="131" t="e">
        <f>(M28/(#REF!-#REF!)*365)/M107</f>
        <v>#REF!</v>
      </c>
      <c r="N123" s="131" t="e">
        <f>(N28/(#REF!-#REF!)*365)/N107</f>
        <v>#REF!</v>
      </c>
      <c r="O123" s="131" t="e">
        <f>(O28/(#REF!-#REF!)*365)/O107</f>
        <v>#REF!</v>
      </c>
      <c r="P123" s="131" t="e">
        <f>(P28/(#REF!-#REF!)*365)/P107</f>
        <v>#REF!</v>
      </c>
      <c r="Q123" s="131" t="e">
        <f>(Q28/(#REF!-#REF!)*365)/Q107</f>
        <v>#REF!</v>
      </c>
      <c r="R123" s="131" t="e">
        <f>(R28/(#REF!-#REF!)*365)/R107</f>
        <v>#REF!</v>
      </c>
      <c r="S123" s="131" t="e">
        <f>(S28/(#REF!-#REF!)*365)/S107</f>
        <v>#REF!</v>
      </c>
      <c r="T123" s="131" t="e">
        <f>(T28/(#REF!-#REF!)*365)/T107</f>
        <v>#REF!</v>
      </c>
      <c r="U123" s="131" t="e">
        <f>(U28/(#REF!-#REF!)*365)/U107</f>
        <v>#REF!</v>
      </c>
    </row>
    <row r="124" spans="1:21" x14ac:dyDescent="0.25">
      <c r="A124" s="19" t="s">
        <v>137</v>
      </c>
      <c r="B124" s="130" t="e">
        <f>(B29/(#REF!-#REF!)*365)/B108</f>
        <v>#REF!</v>
      </c>
      <c r="C124" s="130" t="e">
        <f>(C29/(#REF!-#REF!)*365)/C108</f>
        <v>#REF!</v>
      </c>
      <c r="D124" s="130" t="e">
        <f>(D29/(#REF!-#REF!)*365)/D108</f>
        <v>#REF!</v>
      </c>
      <c r="E124" s="130" t="e">
        <f>(E29/(#REF!-#REF!)*365)/E108</f>
        <v>#REF!</v>
      </c>
      <c r="F124" s="130" t="e">
        <f>(F29/(#REF!-#REF!)*365)/F108</f>
        <v>#REF!</v>
      </c>
      <c r="G124" s="130" t="e">
        <f>(G29/(#REF!-#REF!)*365)/G108</f>
        <v>#REF!</v>
      </c>
      <c r="H124" s="130" t="e">
        <f>(H29/(#REF!-#REF!)*365)/H108</f>
        <v>#REF!</v>
      </c>
      <c r="I124" s="130" t="e">
        <f>(I29/(#REF!-#REF!)*365)/I108</f>
        <v>#REF!</v>
      </c>
      <c r="J124" s="130" t="e">
        <f>(J29/(#REF!-#REF!)*365)/J108</f>
        <v>#REF!</v>
      </c>
      <c r="K124" s="131" t="e">
        <f>(K29/(#REF!-#REF!)*365)/K108</f>
        <v>#REF!</v>
      </c>
      <c r="L124" s="131" t="e">
        <f>(L29/(#REF!-#REF!)*365)/L108</f>
        <v>#REF!</v>
      </c>
      <c r="M124" s="131" t="e">
        <f>(M29/(#REF!-#REF!)*365)/M108</f>
        <v>#REF!</v>
      </c>
      <c r="N124" s="131" t="e">
        <f>(N29/(#REF!-#REF!)*365)/N108</f>
        <v>#REF!</v>
      </c>
      <c r="O124" s="131" t="e">
        <f>(O29/(#REF!-#REF!)*365)/O108</f>
        <v>#REF!</v>
      </c>
      <c r="P124" s="131" t="e">
        <f>(P29/(#REF!-#REF!)*365)/P108</f>
        <v>#REF!</v>
      </c>
      <c r="Q124" s="131" t="e">
        <f>(Q29/(#REF!-#REF!)*365)/Q108</f>
        <v>#REF!</v>
      </c>
      <c r="R124" s="131" t="e">
        <f>(R29/(#REF!-#REF!)*365)/R108</f>
        <v>#REF!</v>
      </c>
      <c r="S124" s="131" t="e">
        <f>(S29/(#REF!-#REF!)*365)/S108</f>
        <v>#REF!</v>
      </c>
      <c r="T124" s="131" t="e">
        <f>(T29/(#REF!-#REF!)*365)/T108</f>
        <v>#REF!</v>
      </c>
      <c r="U124" s="131" t="e">
        <f>(U29/(#REF!-#REF!)*365)/U108</f>
        <v>#REF!</v>
      </c>
    </row>
    <row r="125" spans="1:21" x14ac:dyDescent="0.25">
      <c r="A125" s="19" t="s">
        <v>138</v>
      </c>
      <c r="B125" s="130" t="e">
        <f>(B30/(#REF!-#REF!)*365)/B109</f>
        <v>#REF!</v>
      </c>
      <c r="C125" s="130" t="e">
        <f>(C30/(#REF!-#REF!)*365)/C109</f>
        <v>#REF!</v>
      </c>
      <c r="D125" s="130" t="e">
        <f>(D30/(#REF!-#REF!)*365)/D109</f>
        <v>#REF!</v>
      </c>
      <c r="E125" s="130" t="e">
        <f>(E30/(#REF!-#REF!)*365)/E109</f>
        <v>#REF!</v>
      </c>
      <c r="F125" s="130" t="e">
        <f>(F30/(#REF!-#REF!)*365)/F109</f>
        <v>#REF!</v>
      </c>
      <c r="G125" s="130" t="e">
        <f>(G30/(#REF!-#REF!)*365)/G109</f>
        <v>#REF!</v>
      </c>
      <c r="H125" s="130" t="e">
        <f>(H30/(#REF!-#REF!)*365)/H109</f>
        <v>#REF!</v>
      </c>
      <c r="I125" s="130" t="e">
        <f>(I30/(#REF!-#REF!)*365)/I109</f>
        <v>#REF!</v>
      </c>
      <c r="J125" s="130" t="e">
        <f>(J30/(#REF!-#REF!)*365)/J109</f>
        <v>#REF!</v>
      </c>
      <c r="K125" s="131" t="e">
        <f>(K30/(#REF!-#REF!)*365)/K109</f>
        <v>#REF!</v>
      </c>
      <c r="L125" s="131" t="e">
        <f>(L30/(#REF!-#REF!)*365)/L109</f>
        <v>#REF!</v>
      </c>
      <c r="M125" s="131" t="e">
        <f>(M30/(#REF!-#REF!)*365)/M109</f>
        <v>#REF!</v>
      </c>
      <c r="N125" s="131" t="e">
        <f>(N30/(#REF!-#REF!)*365)/N109</f>
        <v>#REF!</v>
      </c>
      <c r="O125" s="131" t="e">
        <f>(O30/(#REF!-#REF!)*365)/O109</f>
        <v>#REF!</v>
      </c>
      <c r="P125" s="131" t="e">
        <f>(P30/(#REF!-#REF!)*365)/P109</f>
        <v>#REF!</v>
      </c>
      <c r="Q125" s="131" t="e">
        <f>(Q30/(#REF!-#REF!)*365)/Q109</f>
        <v>#REF!</v>
      </c>
      <c r="R125" s="131" t="e">
        <f>(R30/(#REF!-#REF!)*365)/R109</f>
        <v>#REF!</v>
      </c>
      <c r="S125" s="131" t="e">
        <f>(S30/(#REF!-#REF!)*365)/S109</f>
        <v>#REF!</v>
      </c>
      <c r="T125" s="131" t="e">
        <f>(T30/(#REF!-#REF!)*365)/T109</f>
        <v>#REF!</v>
      </c>
      <c r="U125" s="131" t="e">
        <f>(U30/(#REF!-#REF!)*365)/U109</f>
        <v>#REF!</v>
      </c>
    </row>
    <row r="126" spans="1:21" x14ac:dyDescent="0.25">
      <c r="A126" s="19" t="s">
        <v>139</v>
      </c>
      <c r="B126" s="130" t="e">
        <f>(B31/(#REF!-#REF!)*365)/B110</f>
        <v>#REF!</v>
      </c>
      <c r="C126" s="130" t="e">
        <f>(C31/(#REF!-#REF!)*365)/C110</f>
        <v>#REF!</v>
      </c>
      <c r="D126" s="130" t="e">
        <f>(D31/(#REF!-#REF!)*365)/D110</f>
        <v>#REF!</v>
      </c>
      <c r="E126" s="130" t="e">
        <f>(E31/(#REF!-#REF!)*365)/E110</f>
        <v>#REF!</v>
      </c>
      <c r="F126" s="130" t="e">
        <f>(F31/(#REF!-#REF!)*365)/F110</f>
        <v>#REF!</v>
      </c>
      <c r="G126" s="130" t="e">
        <f>(G31/(#REF!-#REF!)*365)/G110</f>
        <v>#REF!</v>
      </c>
      <c r="H126" s="130" t="e">
        <f>(H31/(#REF!-#REF!)*365)/H110</f>
        <v>#REF!</v>
      </c>
      <c r="I126" s="130" t="e">
        <f>(I31/(#REF!-#REF!)*365)/I110</f>
        <v>#REF!</v>
      </c>
      <c r="J126" s="130" t="e">
        <f>(J31/(#REF!-#REF!)*365)/J110</f>
        <v>#REF!</v>
      </c>
      <c r="K126" s="131" t="e">
        <f>(K31/(#REF!-#REF!)*365)/K110</f>
        <v>#REF!</v>
      </c>
      <c r="L126" s="131" t="e">
        <f>(L31/(#REF!-#REF!)*365)/L110</f>
        <v>#REF!</v>
      </c>
      <c r="M126" s="131" t="e">
        <f>(M31/(#REF!-#REF!)*365)/M110</f>
        <v>#REF!</v>
      </c>
      <c r="N126" s="131" t="e">
        <f>(N31/(#REF!-#REF!)*365)/N110</f>
        <v>#REF!</v>
      </c>
      <c r="O126" s="131" t="e">
        <f>(O31/(#REF!-#REF!)*365)/O110</f>
        <v>#REF!</v>
      </c>
      <c r="P126" s="131" t="e">
        <f>(P31/(#REF!-#REF!)*365)/P110</f>
        <v>#REF!</v>
      </c>
      <c r="Q126" s="131" t="e">
        <f>(Q31/(#REF!-#REF!)*365)/Q110</f>
        <v>#REF!</v>
      </c>
      <c r="R126" s="131" t="e">
        <f>(R31/(#REF!-#REF!)*365)/R110</f>
        <v>#REF!</v>
      </c>
      <c r="S126" s="131" t="e">
        <f>(S31/(#REF!-#REF!)*365)/S110</f>
        <v>#REF!</v>
      </c>
      <c r="T126" s="131" t="e">
        <f>(T31/(#REF!-#REF!)*365)/T110</f>
        <v>#REF!</v>
      </c>
      <c r="U126" s="131" t="e">
        <f>(U31/(#REF!-#REF!)*365)/U110</f>
        <v>#REF!</v>
      </c>
    </row>
    <row r="127" spans="1:21" x14ac:dyDescent="0.25">
      <c r="A127" s="19" t="s">
        <v>140</v>
      </c>
      <c r="B127" s="130" t="e">
        <f>(B32/(#REF!-#REF!)*365)/B111</f>
        <v>#REF!</v>
      </c>
      <c r="C127" s="130" t="e">
        <f>(C32/(#REF!-#REF!)*365)/C111</f>
        <v>#REF!</v>
      </c>
      <c r="D127" s="130" t="e">
        <f>(D32/(#REF!-#REF!)*365)/D111</f>
        <v>#REF!</v>
      </c>
      <c r="E127" s="130" t="e">
        <f>(E32/(#REF!-#REF!)*365)/E111</f>
        <v>#REF!</v>
      </c>
      <c r="F127" s="130" t="e">
        <f>(F32/(#REF!-#REF!)*365)/F111</f>
        <v>#REF!</v>
      </c>
      <c r="G127" s="130" t="e">
        <f>(G32/(#REF!-#REF!)*365)/G111</f>
        <v>#REF!</v>
      </c>
      <c r="H127" s="130" t="e">
        <f>(H32/(#REF!-#REF!)*365)/H111</f>
        <v>#REF!</v>
      </c>
      <c r="I127" s="130" t="e">
        <f>(I32/(#REF!-#REF!)*365)/I111</f>
        <v>#REF!</v>
      </c>
      <c r="J127" s="130" t="e">
        <f>(J32/(#REF!-#REF!)*365)/J111</f>
        <v>#REF!</v>
      </c>
      <c r="K127" s="131" t="e">
        <f>(K32/(#REF!-#REF!)*365)/K111</f>
        <v>#REF!</v>
      </c>
      <c r="L127" s="131" t="e">
        <f>(L32/(#REF!-#REF!)*365)/L111</f>
        <v>#REF!</v>
      </c>
      <c r="M127" s="131" t="e">
        <f>(M32/(#REF!-#REF!)*365)/M111</f>
        <v>#REF!</v>
      </c>
      <c r="N127" s="131" t="e">
        <f>(N32/(#REF!-#REF!)*365)/N111</f>
        <v>#REF!</v>
      </c>
      <c r="O127" s="131" t="e">
        <f>(O32/(#REF!-#REF!)*365)/O111</f>
        <v>#REF!</v>
      </c>
      <c r="P127" s="131" t="e">
        <f>(P32/(#REF!-#REF!)*365)/P111</f>
        <v>#REF!</v>
      </c>
      <c r="Q127" s="131" t="e">
        <f>(Q32/(#REF!-#REF!)*365)/Q111</f>
        <v>#REF!</v>
      </c>
      <c r="R127" s="131" t="e">
        <f>(R32/(#REF!-#REF!)*365)/R111</f>
        <v>#REF!</v>
      </c>
      <c r="S127" s="131" t="e">
        <f>(S32/(#REF!-#REF!)*365)/S111</f>
        <v>#REF!</v>
      </c>
      <c r="T127" s="131" t="e">
        <f>(T32/(#REF!-#REF!)*365)/T111</f>
        <v>#REF!</v>
      </c>
      <c r="U127" s="131" t="e">
        <f>(U32/(#REF!-#REF!)*365)/U111</f>
        <v>#REF!</v>
      </c>
    </row>
    <row r="128" spans="1:21" x14ac:dyDescent="0.25">
      <c r="A128" s="19" t="s">
        <v>141</v>
      </c>
      <c r="B128" s="130" t="e">
        <f>(B33/(#REF!-#REF!)*365)/B112</f>
        <v>#REF!</v>
      </c>
      <c r="C128" s="130" t="e">
        <f>(C33/(#REF!-#REF!)*365)/C112</f>
        <v>#REF!</v>
      </c>
      <c r="D128" s="130" t="e">
        <f>(D33/(#REF!-#REF!)*365)/D112</f>
        <v>#REF!</v>
      </c>
      <c r="E128" s="130" t="e">
        <f>(E33/(#REF!-#REF!)*365)/E112</f>
        <v>#REF!</v>
      </c>
      <c r="F128" s="130" t="e">
        <f>(F33/(#REF!-#REF!)*365)/F112</f>
        <v>#REF!</v>
      </c>
      <c r="G128" s="130" t="e">
        <f>(G33/(#REF!-#REF!)*365)/G112</f>
        <v>#REF!</v>
      </c>
      <c r="H128" s="130" t="e">
        <f>(H33/(#REF!-#REF!)*365)/H112</f>
        <v>#REF!</v>
      </c>
      <c r="I128" s="130" t="e">
        <f>(I33/(#REF!-#REF!)*365)/I112</f>
        <v>#REF!</v>
      </c>
      <c r="J128" s="130" t="e">
        <f>(J33/(#REF!-#REF!)*365)/J112</f>
        <v>#REF!</v>
      </c>
      <c r="K128" s="131" t="e">
        <f>(K33/(#REF!-#REF!)*365)/K112</f>
        <v>#REF!</v>
      </c>
      <c r="L128" s="131" t="e">
        <f>(L33/(#REF!-#REF!)*365)/L112</f>
        <v>#REF!</v>
      </c>
      <c r="M128" s="131" t="e">
        <f>(M33/(#REF!-#REF!)*365)/M112</f>
        <v>#REF!</v>
      </c>
      <c r="N128" s="131" t="e">
        <f>(N33/(#REF!-#REF!)*365)/N112</f>
        <v>#REF!</v>
      </c>
      <c r="O128" s="131" t="e">
        <f>(O33/(#REF!-#REF!)*365)/O112</f>
        <v>#REF!</v>
      </c>
      <c r="P128" s="131" t="e">
        <f>(P33/(#REF!-#REF!)*365)/P112</f>
        <v>#REF!</v>
      </c>
      <c r="Q128" s="131" t="e">
        <f>(Q33/(#REF!-#REF!)*365)/Q112</f>
        <v>#REF!</v>
      </c>
      <c r="R128" s="131" t="e">
        <f>(R33/(#REF!-#REF!)*365)/R112</f>
        <v>#REF!</v>
      </c>
      <c r="S128" s="131" t="e">
        <f>(S33/(#REF!-#REF!)*365)/S112</f>
        <v>#REF!</v>
      </c>
      <c r="T128" s="131" t="e">
        <f>(T33/(#REF!-#REF!)*365)/T112</f>
        <v>#REF!</v>
      </c>
      <c r="U128" s="131" t="e">
        <f>(U33/(#REF!-#REF!)*365)/U112</f>
        <v>#REF!</v>
      </c>
    </row>
    <row r="129" spans="1:21" x14ac:dyDescent="0.25">
      <c r="A129" s="19" t="s">
        <v>142</v>
      </c>
      <c r="B129" s="130" t="e">
        <f>(B34/(#REF!-#REF!)*365)/B113</f>
        <v>#REF!</v>
      </c>
      <c r="C129" s="130" t="e">
        <f>(C34/(#REF!-#REF!)*365)/C113</f>
        <v>#REF!</v>
      </c>
      <c r="D129" s="130" t="e">
        <f>(D34/(#REF!-#REF!)*365)/D113</f>
        <v>#REF!</v>
      </c>
      <c r="E129" s="130" t="e">
        <f>(E34/(#REF!-#REF!)*365)/E113</f>
        <v>#REF!</v>
      </c>
      <c r="F129" s="130" t="e">
        <f>(F34/(#REF!-#REF!)*365)/F113</f>
        <v>#REF!</v>
      </c>
      <c r="G129" s="130" t="e">
        <f>(G34/(#REF!-#REF!)*365)/G113</f>
        <v>#REF!</v>
      </c>
      <c r="H129" s="130" t="e">
        <f>(H34/(#REF!-#REF!)*365)/H113</f>
        <v>#REF!</v>
      </c>
      <c r="I129" s="130" t="e">
        <f>(I34/(#REF!-#REF!)*365)/I113</f>
        <v>#REF!</v>
      </c>
      <c r="J129" s="130" t="e">
        <f>(J34/(#REF!-#REF!)*365)/J113</f>
        <v>#REF!</v>
      </c>
      <c r="K129" s="131" t="e">
        <f>(K34/(#REF!-#REF!)*365)/K113</f>
        <v>#REF!</v>
      </c>
      <c r="L129" s="131" t="e">
        <f>(L34/(#REF!-#REF!)*365)/L113</f>
        <v>#REF!</v>
      </c>
      <c r="M129" s="131" t="e">
        <f>(M34/(#REF!-#REF!)*365)/M113</f>
        <v>#REF!</v>
      </c>
      <c r="N129" s="131" t="e">
        <f>(N34/(#REF!-#REF!)*365)/N113</f>
        <v>#REF!</v>
      </c>
      <c r="O129" s="131" t="e">
        <f>(O34/(#REF!-#REF!)*365)/O113</f>
        <v>#REF!</v>
      </c>
      <c r="P129" s="131" t="e">
        <f>(P34/(#REF!-#REF!)*365)/P113</f>
        <v>#REF!</v>
      </c>
      <c r="Q129" s="131" t="e">
        <f>(Q34/(#REF!-#REF!)*365)/Q113</f>
        <v>#REF!</v>
      </c>
      <c r="R129" s="131" t="e">
        <f>(R34/(#REF!-#REF!)*365)/R113</f>
        <v>#REF!</v>
      </c>
      <c r="S129" s="131" t="e">
        <f>(S34/(#REF!-#REF!)*365)/S113</f>
        <v>#REF!</v>
      </c>
      <c r="T129" s="131" t="e">
        <f>(T34/(#REF!-#REF!)*365)/T113</f>
        <v>#REF!</v>
      </c>
      <c r="U129" s="131" t="e">
        <f>(U34/(#REF!-#REF!)*365)/U113</f>
        <v>#REF!</v>
      </c>
    </row>
    <row r="130" spans="1:21" x14ac:dyDescent="0.25">
      <c r="A130" s="19" t="s">
        <v>143</v>
      </c>
      <c r="B130" s="130" t="e">
        <f>(B35/(#REF!-#REF!)*365)/B114</f>
        <v>#REF!</v>
      </c>
      <c r="C130" s="130" t="e">
        <f>(C35/(#REF!-#REF!)*365)/C114</f>
        <v>#REF!</v>
      </c>
      <c r="D130" s="130" t="e">
        <f>(D35/(#REF!-#REF!)*365)/D114</f>
        <v>#REF!</v>
      </c>
      <c r="E130" s="130" t="e">
        <f>(E35/(#REF!-#REF!)*365)/E114</f>
        <v>#REF!</v>
      </c>
      <c r="F130" s="130" t="e">
        <f>(F35/(#REF!-#REF!)*365)/F114</f>
        <v>#REF!</v>
      </c>
      <c r="G130" s="130" t="e">
        <f>(G35/(#REF!-#REF!)*365)/G114</f>
        <v>#REF!</v>
      </c>
      <c r="H130" s="130" t="e">
        <f>(H35/(#REF!-#REF!)*365)/H114</f>
        <v>#REF!</v>
      </c>
      <c r="I130" s="130" t="e">
        <f>(I35/(#REF!-#REF!)*365)/I114</f>
        <v>#REF!</v>
      </c>
      <c r="J130" s="130" t="e">
        <f>(J35/(#REF!-#REF!)*365)/J114</f>
        <v>#REF!</v>
      </c>
      <c r="K130" s="131" t="e">
        <f>(K35/(#REF!-#REF!)*365)/K114</f>
        <v>#REF!</v>
      </c>
      <c r="L130" s="131" t="e">
        <f>(L35/(#REF!-#REF!)*365)/L114</f>
        <v>#REF!</v>
      </c>
      <c r="M130" s="131" t="e">
        <f>(M35/(#REF!-#REF!)*365)/M114</f>
        <v>#REF!</v>
      </c>
      <c r="N130" s="131" t="e">
        <f>(N35/(#REF!-#REF!)*365)/N114</f>
        <v>#REF!</v>
      </c>
      <c r="O130" s="131" t="e">
        <f>(O35/(#REF!-#REF!)*365)/O114</f>
        <v>#REF!</v>
      </c>
      <c r="P130" s="131" t="e">
        <f>(P35/(#REF!-#REF!)*365)/P114</f>
        <v>#REF!</v>
      </c>
      <c r="Q130" s="131" t="e">
        <f>(Q35/(#REF!-#REF!)*365)/Q114</f>
        <v>#REF!</v>
      </c>
      <c r="R130" s="131" t="e">
        <f>(R35/(#REF!-#REF!)*365)/R114</f>
        <v>#REF!</v>
      </c>
      <c r="S130" s="131" t="e">
        <f>(S35/(#REF!-#REF!)*365)/S114</f>
        <v>#REF!</v>
      </c>
      <c r="T130" s="131" t="e">
        <f>(T35/(#REF!-#REF!)*365)/T114</f>
        <v>#REF!</v>
      </c>
      <c r="U130" s="131" t="e">
        <f>(U35/(#REF!-#REF!)*365)/U114</f>
        <v>#REF!</v>
      </c>
    </row>
    <row r="131" spans="1:21" x14ac:dyDescent="0.25">
      <c r="A131" s="19" t="s">
        <v>150</v>
      </c>
      <c r="B131" s="132" t="e">
        <f t="shared" ref="B131:S131" si="27">AVERAGE(B119:B130)</f>
        <v>#REF!</v>
      </c>
      <c r="C131" s="132" t="e">
        <f t="shared" si="27"/>
        <v>#REF!</v>
      </c>
      <c r="D131" s="132" t="e">
        <f t="shared" si="27"/>
        <v>#REF!</v>
      </c>
      <c r="E131" s="132" t="e">
        <f t="shared" si="27"/>
        <v>#REF!</v>
      </c>
      <c r="F131" s="132" t="e">
        <f t="shared" si="27"/>
        <v>#REF!</v>
      </c>
      <c r="G131" s="132" t="e">
        <f t="shared" si="27"/>
        <v>#REF!</v>
      </c>
      <c r="H131" s="132" t="e">
        <f t="shared" si="27"/>
        <v>#REF!</v>
      </c>
      <c r="I131" s="132" t="e">
        <f t="shared" si="27"/>
        <v>#REF!</v>
      </c>
      <c r="J131" s="132" t="e">
        <f t="shared" si="27"/>
        <v>#REF!</v>
      </c>
      <c r="K131" s="133" t="e">
        <f t="shared" si="27"/>
        <v>#REF!</v>
      </c>
      <c r="L131" s="133" t="e">
        <f t="shared" si="27"/>
        <v>#REF!</v>
      </c>
      <c r="M131" s="133" t="e">
        <f t="shared" si="27"/>
        <v>#REF!</v>
      </c>
      <c r="N131" s="133" t="e">
        <f t="shared" si="27"/>
        <v>#REF!</v>
      </c>
      <c r="O131" s="133" t="e">
        <f t="shared" si="27"/>
        <v>#REF!</v>
      </c>
      <c r="P131" s="133" t="e">
        <f t="shared" si="27"/>
        <v>#REF!</v>
      </c>
      <c r="Q131" s="133" t="e">
        <f t="shared" si="27"/>
        <v>#REF!</v>
      </c>
      <c r="R131" s="133" t="e">
        <f t="shared" si="27"/>
        <v>#REF!</v>
      </c>
      <c r="S131" s="133" t="e">
        <f t="shared" si="27"/>
        <v>#REF!</v>
      </c>
      <c r="T131" s="133" t="e">
        <f>AVERAGE(T119:T130)</f>
        <v>#REF!</v>
      </c>
      <c r="U131" s="133" t="e">
        <f>AVERAGE(U119:U130)</f>
        <v>#REF!</v>
      </c>
    </row>
    <row r="132" spans="1:21" x14ac:dyDescent="0.25">
      <c r="A132" s="98"/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</row>
  </sheetData>
  <mergeCells count="1">
    <mergeCell ref="U7:U12"/>
  </mergeCells>
  <printOptions verticalCentered="1"/>
  <pageMargins left="0.2" right="0.2" top="0.25" bottom="0.25" header="0" footer="0.1"/>
  <pageSetup scale="53" orientation="landscape" r:id="rId1"/>
  <headerFooter>
    <oddFooter>&amp;L&amp;"Arial,Regular"&amp;10&amp;D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AE35-9585-4CC4-B9AE-E2CD6B637F5B}">
  <dimension ref="A2:X67"/>
  <sheetViews>
    <sheetView topLeftCell="A3" workbookViewId="0">
      <pane xSplit="1" ySplit="2" topLeftCell="B5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8" defaultRowHeight="15" x14ac:dyDescent="0.25"/>
  <cols>
    <col min="1" max="1" width="18.7109375" style="134" customWidth="1"/>
    <col min="2" max="10" width="9.28515625" style="134" customWidth="1"/>
    <col min="11" max="13" width="12.42578125" style="134" bestFit="1" customWidth="1"/>
    <col min="14" max="18" width="13.7109375" style="134" bestFit="1" customWidth="1"/>
    <col min="19" max="16384" width="8" style="134"/>
  </cols>
  <sheetData>
    <row r="2" spans="1:24" ht="15.75" thickBot="1" x14ac:dyDescent="0.3"/>
    <row r="3" spans="1:24" ht="16.5" thickTop="1" thickBot="1" x14ac:dyDescent="0.3">
      <c r="A3" s="219" t="s">
        <v>161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135"/>
    </row>
    <row r="4" spans="1:24" ht="15.75" thickBot="1" x14ac:dyDescent="0.3">
      <c r="A4" s="136" t="s">
        <v>120</v>
      </c>
      <c r="B4" s="137">
        <v>2018</v>
      </c>
      <c r="C4" s="137">
        <v>2019</v>
      </c>
      <c r="D4" s="137">
        <v>2020</v>
      </c>
      <c r="E4" s="137">
        <v>2021</v>
      </c>
      <c r="F4" s="137">
        <v>2022</v>
      </c>
      <c r="G4" s="137">
        <v>2023</v>
      </c>
      <c r="H4" s="137">
        <v>2024</v>
      </c>
      <c r="I4" s="137">
        <v>2025</v>
      </c>
      <c r="J4" s="137">
        <v>2026</v>
      </c>
      <c r="K4" s="137">
        <v>2027</v>
      </c>
      <c r="L4" s="137">
        <v>2028</v>
      </c>
      <c r="M4" s="137">
        <v>2029</v>
      </c>
      <c r="N4" s="137">
        <v>2030</v>
      </c>
      <c r="O4" s="137">
        <v>2031</v>
      </c>
      <c r="P4" s="137">
        <v>2032</v>
      </c>
      <c r="Q4" s="137">
        <v>2033</v>
      </c>
      <c r="R4" s="137">
        <v>2034</v>
      </c>
      <c r="S4" s="137">
        <v>2035</v>
      </c>
      <c r="T4" s="137">
        <v>2036</v>
      </c>
      <c r="U4" s="137">
        <v>2037</v>
      </c>
      <c r="V4" s="137">
        <v>2038</v>
      </c>
      <c r="W4" s="137">
        <v>2039</v>
      </c>
      <c r="X4" s="137">
        <v>2040</v>
      </c>
    </row>
    <row r="5" spans="1:24" x14ac:dyDescent="0.25">
      <c r="A5" s="134" t="s">
        <v>122</v>
      </c>
      <c r="B5" s="138">
        <v>0</v>
      </c>
      <c r="C5" s="138">
        <f t="shared" ref="C5:Q5" si="0">B12</f>
        <v>0</v>
      </c>
      <c r="D5" s="138">
        <f t="shared" si="0"/>
        <v>0</v>
      </c>
      <c r="E5" s="138">
        <f t="shared" si="0"/>
        <v>0</v>
      </c>
      <c r="F5" s="138">
        <f t="shared" si="0"/>
        <v>0</v>
      </c>
      <c r="G5" s="138">
        <f t="shared" si="0"/>
        <v>0</v>
      </c>
      <c r="H5" s="138">
        <f t="shared" si="0"/>
        <v>0</v>
      </c>
      <c r="I5" s="139">
        <f t="shared" si="0"/>
        <v>0</v>
      </c>
      <c r="J5" s="139">
        <f t="shared" si="0"/>
        <v>0</v>
      </c>
      <c r="K5" s="139">
        <f t="shared" si="0"/>
        <v>0</v>
      </c>
      <c r="L5" s="139">
        <f t="shared" si="0"/>
        <v>0</v>
      </c>
      <c r="M5" s="139">
        <f t="shared" si="0"/>
        <v>0</v>
      </c>
      <c r="N5" s="139">
        <f t="shared" si="0"/>
        <v>0</v>
      </c>
      <c r="O5" s="139">
        <f t="shared" si="0"/>
        <v>0</v>
      </c>
      <c r="P5" s="139">
        <f t="shared" si="0"/>
        <v>0</v>
      </c>
      <c r="Q5" s="139">
        <f t="shared" si="0"/>
        <v>0</v>
      </c>
      <c r="R5" s="139">
        <f>Q12</f>
        <v>0</v>
      </c>
    </row>
    <row r="6" spans="1:24" x14ac:dyDescent="0.25">
      <c r="A6" s="134" t="s">
        <v>162</v>
      </c>
      <c r="B6" s="138">
        <v>0</v>
      </c>
      <c r="C6" s="138">
        <v>0</v>
      </c>
      <c r="D6" s="138">
        <v>0</v>
      </c>
      <c r="E6" s="138">
        <f>E18*0.5</f>
        <v>5</v>
      </c>
      <c r="F6" s="138">
        <f>F18*0.5</f>
        <v>10</v>
      </c>
      <c r="G6" s="138">
        <f>G18*0.5</f>
        <v>10</v>
      </c>
      <c r="H6" s="138">
        <f>H18*0.5</f>
        <v>16.908999999999999</v>
      </c>
      <c r="I6" s="138">
        <f>I18*0.75</f>
        <v>33.613500000000002</v>
      </c>
      <c r="J6" s="138">
        <f>J18*0.75</f>
        <v>115.13849999999998</v>
      </c>
      <c r="K6" s="138">
        <f>K18*0.75</f>
        <v>124.13849999999998</v>
      </c>
      <c r="L6" s="138">
        <f>L18*0.8</f>
        <v>490.25440000000003</v>
      </c>
      <c r="M6" s="138">
        <f t="shared" ref="M6:R6" si="1">M18*0.8</f>
        <v>530.25440000000003</v>
      </c>
      <c r="N6" s="138">
        <f t="shared" si="1"/>
        <v>610.25440000000003</v>
      </c>
      <c r="O6" s="138">
        <f t="shared" si="1"/>
        <v>610.25440000000003</v>
      </c>
      <c r="P6" s="138">
        <f t="shared" si="1"/>
        <v>610.25440000000003</v>
      </c>
      <c r="Q6" s="138">
        <f t="shared" si="1"/>
        <v>610.25440000000003</v>
      </c>
      <c r="R6" s="138">
        <f t="shared" si="1"/>
        <v>610.25440000000003</v>
      </c>
    </row>
    <row r="7" spans="1:24" x14ac:dyDescent="0.25">
      <c r="A7" s="134" t="s">
        <v>163</v>
      </c>
      <c r="B7" s="138">
        <f>B8-B6</f>
        <v>0</v>
      </c>
      <c r="C7" s="138">
        <f t="shared" ref="C7:H7" si="2">C8-C6</f>
        <v>0</v>
      </c>
      <c r="D7" s="138">
        <f t="shared" si="2"/>
        <v>0</v>
      </c>
      <c r="E7" s="138">
        <f t="shared" si="2"/>
        <v>9.8353888000000023</v>
      </c>
      <c r="F7" s="138">
        <f t="shared" si="2"/>
        <v>24.246921600000007</v>
      </c>
      <c r="G7" s="138">
        <f t="shared" si="2"/>
        <v>67.175251199999991</v>
      </c>
      <c r="H7" s="138">
        <f t="shared" si="2"/>
        <v>121.7508464</v>
      </c>
      <c r="I7" s="138">
        <f>I9-I6</f>
        <v>201.02878476174243</v>
      </c>
      <c r="J7" s="138">
        <f t="shared" ref="J7:R7" si="3">J9-J6</f>
        <v>318.62122761055713</v>
      </c>
      <c r="K7" s="138">
        <f t="shared" si="3"/>
        <v>519.31995814761626</v>
      </c>
      <c r="L7" s="138">
        <f t="shared" si="3"/>
        <v>373.9103092922486</v>
      </c>
      <c r="M7" s="138">
        <f t="shared" si="3"/>
        <v>566.06561678270145</v>
      </c>
      <c r="N7" s="138">
        <f t="shared" si="3"/>
        <v>730.1273348045645</v>
      </c>
      <c r="O7" s="138">
        <f t="shared" si="3"/>
        <v>931.50628664160217</v>
      </c>
      <c r="P7" s="138">
        <f t="shared" si="3"/>
        <v>1142.7825635931672</v>
      </c>
      <c r="Q7" s="138">
        <f t="shared" si="3"/>
        <v>1364.3438159595551</v>
      </c>
      <c r="R7" s="138">
        <f t="shared" si="3"/>
        <v>1596.5914120072687</v>
      </c>
    </row>
    <row r="8" spans="1:24" x14ac:dyDescent="0.25">
      <c r="A8" s="134" t="s">
        <v>164</v>
      </c>
      <c r="B8" s="138">
        <f>B34</f>
        <v>0</v>
      </c>
      <c r="C8" s="138">
        <f t="shared" ref="C8:H8" si="4">C34</f>
        <v>0</v>
      </c>
      <c r="D8" s="138">
        <f t="shared" si="4"/>
        <v>0</v>
      </c>
      <c r="E8" s="138">
        <f t="shared" si="4"/>
        <v>14.835388800000002</v>
      </c>
      <c r="F8" s="138">
        <f t="shared" si="4"/>
        <v>34.246921600000007</v>
      </c>
      <c r="G8" s="138">
        <f t="shared" si="4"/>
        <v>77.175251199999991</v>
      </c>
      <c r="H8" s="138">
        <f t="shared" si="4"/>
        <v>138.65984639999999</v>
      </c>
      <c r="I8" s="138">
        <f>I7+I6+I5</f>
        <v>234.64228476174242</v>
      </c>
      <c r="J8" s="138">
        <f t="shared" ref="J8:R8" si="5">J7+J6+J5</f>
        <v>433.75972761055709</v>
      </c>
      <c r="K8" s="138">
        <f t="shared" si="5"/>
        <v>643.45845814761628</v>
      </c>
      <c r="L8" s="138">
        <f t="shared" si="5"/>
        <v>864.16470929224863</v>
      </c>
      <c r="M8" s="138">
        <f t="shared" si="5"/>
        <v>1096.3200167827015</v>
      </c>
      <c r="N8" s="138">
        <f t="shared" si="5"/>
        <v>1340.3817348045645</v>
      </c>
      <c r="O8" s="138">
        <f t="shared" si="5"/>
        <v>1541.7606866416022</v>
      </c>
      <c r="P8" s="138">
        <f t="shared" si="5"/>
        <v>1753.0369635931672</v>
      </c>
      <c r="Q8" s="138">
        <f t="shared" si="5"/>
        <v>1974.5982159595551</v>
      </c>
      <c r="R8" s="138">
        <f t="shared" si="5"/>
        <v>2206.8458120072687</v>
      </c>
      <c r="S8" s="138"/>
    </row>
    <row r="9" spans="1:24" x14ac:dyDescent="0.25">
      <c r="A9" s="134" t="s">
        <v>165</v>
      </c>
      <c r="B9" s="138">
        <f t="shared" ref="B9:H9" si="6">B11-B10</f>
        <v>0</v>
      </c>
      <c r="C9" s="138">
        <f t="shared" si="6"/>
        <v>0</v>
      </c>
      <c r="D9" s="138">
        <f t="shared" si="6"/>
        <v>0</v>
      </c>
      <c r="E9" s="138">
        <f t="shared" si="6"/>
        <v>14.835388800000002</v>
      </c>
      <c r="F9" s="138">
        <f t="shared" si="6"/>
        <v>34.246921600000007</v>
      </c>
      <c r="G9" s="138">
        <f t="shared" si="6"/>
        <v>77.175251199999991</v>
      </c>
      <c r="H9" s="139">
        <f t="shared" si="6"/>
        <v>138.65984639999999</v>
      </c>
      <c r="I9" s="139">
        <f>'Jet Fuel'!I9*SAF!I16*1000</f>
        <v>234.64228476174245</v>
      </c>
      <c r="J9" s="139">
        <f>'Jet Fuel'!J9*SAF!J16*1000</f>
        <v>433.75972761055709</v>
      </c>
      <c r="K9" s="139">
        <f>'Jet Fuel'!K9*SAF!K16*1000</f>
        <v>643.45845814761628</v>
      </c>
      <c r="L9" s="139">
        <f>'Jet Fuel'!L9*SAF!L16*1000</f>
        <v>864.16470929224863</v>
      </c>
      <c r="M9" s="139">
        <f>'Jet Fuel'!M9*SAF!M16*1000</f>
        <v>1096.3200167827015</v>
      </c>
      <c r="N9" s="139">
        <f>'Jet Fuel'!N9*SAF!N16*1000</f>
        <v>1340.3817348045645</v>
      </c>
      <c r="O9" s="139">
        <f>'Jet Fuel'!O9*SAF!O16*1000</f>
        <v>1541.7606866416022</v>
      </c>
      <c r="P9" s="139">
        <f>'Jet Fuel'!P9*SAF!P16*1000</f>
        <v>1753.0369635931672</v>
      </c>
      <c r="Q9" s="139">
        <f>'Jet Fuel'!Q9*SAF!Q16*1000</f>
        <v>1974.5982159595551</v>
      </c>
      <c r="R9" s="139">
        <f>'Jet Fuel'!R9*SAF!R16*1000</f>
        <v>2206.8458120072687</v>
      </c>
      <c r="S9" s="134" t="s">
        <v>166</v>
      </c>
    </row>
    <row r="10" spans="1:24" x14ac:dyDescent="0.25">
      <c r="A10" s="134" t="s">
        <v>127</v>
      </c>
      <c r="B10" s="138">
        <f t="shared" ref="B10:G10" si="7">B66/1000</f>
        <v>0</v>
      </c>
      <c r="C10" s="138">
        <f t="shared" si="7"/>
        <v>0</v>
      </c>
      <c r="D10" s="138">
        <f t="shared" si="7"/>
        <v>0</v>
      </c>
      <c r="E10" s="138">
        <f t="shared" si="7"/>
        <v>0</v>
      </c>
      <c r="F10" s="138">
        <f t="shared" si="7"/>
        <v>0</v>
      </c>
      <c r="G10" s="138">
        <f t="shared" si="7"/>
        <v>0</v>
      </c>
      <c r="H10" s="139">
        <v>0</v>
      </c>
      <c r="I10" s="139">
        <v>0</v>
      </c>
      <c r="J10" s="139">
        <v>0</v>
      </c>
      <c r="K10" s="139">
        <v>0</v>
      </c>
      <c r="L10" s="139">
        <v>0</v>
      </c>
      <c r="M10" s="139">
        <v>0</v>
      </c>
      <c r="N10" s="139">
        <v>0</v>
      </c>
      <c r="O10" s="139">
        <v>0</v>
      </c>
      <c r="P10" s="139">
        <v>0</v>
      </c>
      <c r="Q10" s="139">
        <v>0</v>
      </c>
      <c r="R10" s="139">
        <v>0</v>
      </c>
    </row>
    <row r="11" spans="1:24" x14ac:dyDescent="0.25">
      <c r="A11" s="134" t="s">
        <v>167</v>
      </c>
      <c r="B11" s="138">
        <f t="shared" ref="B11:R11" si="8">B8-B12</f>
        <v>0</v>
      </c>
      <c r="C11" s="138">
        <f t="shared" si="8"/>
        <v>0</v>
      </c>
      <c r="D11" s="138">
        <f t="shared" si="8"/>
        <v>0</v>
      </c>
      <c r="E11" s="138">
        <f t="shared" si="8"/>
        <v>14.835388800000002</v>
      </c>
      <c r="F11" s="138">
        <f t="shared" si="8"/>
        <v>34.246921600000007</v>
      </c>
      <c r="G11" s="138">
        <f t="shared" si="8"/>
        <v>77.175251199999991</v>
      </c>
      <c r="H11" s="139">
        <f t="shared" si="8"/>
        <v>138.65984639999999</v>
      </c>
      <c r="I11" s="139">
        <f>I8-I12</f>
        <v>234.64228476174242</v>
      </c>
      <c r="J11" s="139">
        <f t="shared" si="8"/>
        <v>433.75972761055709</v>
      </c>
      <c r="K11" s="139">
        <f t="shared" si="8"/>
        <v>643.45845814761628</v>
      </c>
      <c r="L11" s="139">
        <f t="shared" si="8"/>
        <v>864.16470929224863</v>
      </c>
      <c r="M11" s="139">
        <f t="shared" si="8"/>
        <v>1096.3200167827015</v>
      </c>
      <c r="N11" s="139">
        <f t="shared" si="8"/>
        <v>1340.3817348045645</v>
      </c>
      <c r="O11" s="139">
        <f t="shared" si="8"/>
        <v>1541.7606866416022</v>
      </c>
      <c r="P11" s="139">
        <f t="shared" si="8"/>
        <v>1753.0369635931672</v>
      </c>
      <c r="Q11" s="139">
        <f t="shared" si="8"/>
        <v>1974.5982159595551</v>
      </c>
      <c r="R11" s="139">
        <f t="shared" si="8"/>
        <v>2206.8458120072687</v>
      </c>
      <c r="U11" s="140"/>
    </row>
    <row r="12" spans="1:24" x14ac:dyDescent="0.25">
      <c r="A12" s="134" t="s">
        <v>168</v>
      </c>
      <c r="B12" s="138">
        <v>0</v>
      </c>
      <c r="C12" s="138">
        <v>0</v>
      </c>
      <c r="D12" s="138">
        <v>0</v>
      </c>
      <c r="E12" s="138">
        <v>0</v>
      </c>
      <c r="F12" s="138">
        <v>0</v>
      </c>
      <c r="G12" s="138">
        <v>0</v>
      </c>
      <c r="H12" s="141">
        <v>0</v>
      </c>
      <c r="I12" s="141">
        <v>0</v>
      </c>
      <c r="J12" s="141">
        <v>0</v>
      </c>
      <c r="K12" s="141">
        <v>0</v>
      </c>
      <c r="L12" s="141">
        <v>0</v>
      </c>
      <c r="M12" s="141">
        <v>0</v>
      </c>
      <c r="N12" s="141">
        <v>0</v>
      </c>
      <c r="O12" s="141">
        <v>0</v>
      </c>
      <c r="P12" s="141">
        <v>0</v>
      </c>
      <c r="Q12" s="141">
        <v>0</v>
      </c>
      <c r="R12" s="141">
        <v>0</v>
      </c>
    </row>
    <row r="13" spans="1:24" x14ac:dyDescent="0.25">
      <c r="B13" s="142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</row>
    <row r="14" spans="1:24" x14ac:dyDescent="0.25">
      <c r="A14" s="134" t="s">
        <v>169</v>
      </c>
      <c r="B14" s="143" t="e">
        <f t="shared" ref="B14:Q14" si="9">B12/(C11/365)</f>
        <v>#DIV/0!</v>
      </c>
      <c r="C14" s="143" t="e">
        <f t="shared" si="9"/>
        <v>#DIV/0!</v>
      </c>
      <c r="D14" s="143">
        <f t="shared" si="9"/>
        <v>0</v>
      </c>
      <c r="E14" s="143">
        <f t="shared" si="9"/>
        <v>0</v>
      </c>
      <c r="F14" s="143">
        <f t="shared" si="9"/>
        <v>0</v>
      </c>
      <c r="G14" s="143">
        <f t="shared" si="9"/>
        <v>0</v>
      </c>
      <c r="H14" s="143">
        <f t="shared" si="9"/>
        <v>0</v>
      </c>
      <c r="I14" s="143">
        <f t="shared" si="9"/>
        <v>0</v>
      </c>
      <c r="J14" s="143">
        <f t="shared" si="9"/>
        <v>0</v>
      </c>
      <c r="K14" s="143">
        <f t="shared" si="9"/>
        <v>0</v>
      </c>
      <c r="L14" s="143">
        <f t="shared" si="9"/>
        <v>0</v>
      </c>
      <c r="M14" s="143">
        <f t="shared" si="9"/>
        <v>0</v>
      </c>
      <c r="N14" s="143">
        <f t="shared" si="9"/>
        <v>0</v>
      </c>
      <c r="O14" s="143">
        <f t="shared" si="9"/>
        <v>0</v>
      </c>
      <c r="P14" s="143">
        <f t="shared" si="9"/>
        <v>0</v>
      </c>
      <c r="Q14" s="143">
        <f t="shared" si="9"/>
        <v>0</v>
      </c>
      <c r="R14" s="143" t="e">
        <f>R12/(S11/365)</f>
        <v>#DIV/0!</v>
      </c>
    </row>
    <row r="15" spans="1:24" ht="15.75" thickBot="1" x14ac:dyDescent="0.3"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</row>
    <row r="16" spans="1:24" s="144" customFormat="1" ht="15.75" thickTop="1" x14ac:dyDescent="0.25">
      <c r="A16" s="144" t="s">
        <v>170</v>
      </c>
      <c r="H16" s="145">
        <v>0</v>
      </c>
      <c r="I16" s="145">
        <v>0.02</v>
      </c>
      <c r="J16" s="145">
        <f>I16+0.016</f>
        <v>3.6000000000000004E-2</v>
      </c>
      <c r="K16" s="145">
        <f t="shared" ref="K16:M16" si="10">J16+0.016</f>
        <v>5.2000000000000005E-2</v>
      </c>
      <c r="L16" s="145">
        <f t="shared" si="10"/>
        <v>6.8000000000000005E-2</v>
      </c>
      <c r="M16" s="145">
        <f t="shared" si="10"/>
        <v>8.4000000000000005E-2</v>
      </c>
      <c r="N16" s="145">
        <f>M16+0.016</f>
        <v>0.1</v>
      </c>
      <c r="O16" s="145">
        <f>N16+0.012</f>
        <v>0.112</v>
      </c>
      <c r="P16" s="145">
        <f t="shared" ref="P16:X16" si="11">O16+0.012</f>
        <v>0.124</v>
      </c>
      <c r="Q16" s="145">
        <f t="shared" si="11"/>
        <v>0.13600000000000001</v>
      </c>
      <c r="R16" s="145">
        <f t="shared" si="11"/>
        <v>0.14800000000000002</v>
      </c>
      <c r="S16" s="145">
        <f t="shared" si="11"/>
        <v>0.16000000000000003</v>
      </c>
      <c r="T16" s="145">
        <f t="shared" si="11"/>
        <v>0.17200000000000004</v>
      </c>
      <c r="U16" s="145">
        <f t="shared" si="11"/>
        <v>0.18400000000000005</v>
      </c>
      <c r="V16" s="145">
        <f t="shared" si="11"/>
        <v>0.19600000000000006</v>
      </c>
      <c r="W16" s="145">
        <f t="shared" si="11"/>
        <v>0.20800000000000007</v>
      </c>
      <c r="X16" s="145">
        <f t="shared" si="11"/>
        <v>0.22000000000000008</v>
      </c>
    </row>
    <row r="17" spans="1:18" x14ac:dyDescent="0.25">
      <c r="A17" s="134" t="s">
        <v>171</v>
      </c>
      <c r="B17" s="146">
        <f>B9/'Jet Fuel'!B9</f>
        <v>0</v>
      </c>
      <c r="C17" s="147">
        <f>C9/'Jet Fuel'!C9</f>
        <v>0</v>
      </c>
      <c r="D17" s="147">
        <f>D9/'Jet Fuel'!D9</f>
        <v>0</v>
      </c>
      <c r="E17" s="147"/>
      <c r="F17" s="147"/>
      <c r="G17" s="147"/>
      <c r="H17" s="148">
        <f>H9/('Jet Fuel'!H9*1000)</f>
        <v>1.2137936893803923E-2</v>
      </c>
      <c r="I17" s="148">
        <f>I9/('Jet Fuel'!I9*1000)</f>
        <v>0.02</v>
      </c>
      <c r="J17" s="148">
        <f>J9/('Jet Fuel'!J9*1000)</f>
        <v>3.6000000000000004E-2</v>
      </c>
      <c r="K17" s="148">
        <f>K9/('Jet Fuel'!K9*1000)</f>
        <v>5.2000000000000005E-2</v>
      </c>
      <c r="L17" s="148">
        <f>L9/('Jet Fuel'!L9*1000)</f>
        <v>6.8000000000000005E-2</v>
      </c>
      <c r="M17" s="148">
        <f>M9/('Jet Fuel'!M9*1000)</f>
        <v>8.4000000000000005E-2</v>
      </c>
      <c r="N17" s="148">
        <f>N9/('Jet Fuel'!N9*1000)</f>
        <v>9.9999999999999992E-2</v>
      </c>
      <c r="O17" s="148">
        <f>O9/('Jet Fuel'!O9*1000)</f>
        <v>0.112</v>
      </c>
      <c r="P17" s="148">
        <f>P9/('Jet Fuel'!P9*1000)</f>
        <v>0.124</v>
      </c>
      <c r="Q17" s="148">
        <f>Q9/('Jet Fuel'!Q9*1000)</f>
        <v>0.13599999999999998</v>
      </c>
      <c r="R17" s="148">
        <f>R9/('Jet Fuel'!R9*1000)</f>
        <v>0.14800000000000002</v>
      </c>
    </row>
    <row r="18" spans="1:18" x14ac:dyDescent="0.25">
      <c r="A18" s="134" t="s">
        <v>172</v>
      </c>
      <c r="B18" s="134">
        <v>0</v>
      </c>
      <c r="C18" s="134">
        <v>0</v>
      </c>
      <c r="D18" s="134">
        <v>0</v>
      </c>
      <c r="E18" s="134">
        <v>10</v>
      </c>
      <c r="F18" s="134">
        <v>20</v>
      </c>
      <c r="G18" s="134">
        <v>20</v>
      </c>
      <c r="H18" s="134">
        <f>G18+1.4+12.418</f>
        <v>33.817999999999998</v>
      </c>
      <c r="I18" s="134">
        <f>H18+11</f>
        <v>44.817999999999998</v>
      </c>
      <c r="J18" s="134">
        <f>I18+86+2.6+14+6.1</f>
        <v>153.51799999999997</v>
      </c>
      <c r="K18" s="134">
        <f>+J18+12</f>
        <v>165.51799999999997</v>
      </c>
      <c r="L18" s="134">
        <f>K18+37.4+124.2+77+76+67.7+65</f>
        <v>612.81799999999998</v>
      </c>
      <c r="M18" s="134">
        <f>L18+50</f>
        <v>662.81799999999998</v>
      </c>
      <c r="N18" s="134">
        <f>M18+100</f>
        <v>762.81799999999998</v>
      </c>
      <c r="O18" s="134">
        <f>N18</f>
        <v>762.81799999999998</v>
      </c>
      <c r="P18" s="134">
        <f>O18</f>
        <v>762.81799999999998</v>
      </c>
      <c r="Q18" s="134">
        <f>P18</f>
        <v>762.81799999999998</v>
      </c>
      <c r="R18" s="134">
        <f>Q18</f>
        <v>762.81799999999998</v>
      </c>
    </row>
    <row r="19" spans="1:18" ht="15.75" thickBot="1" x14ac:dyDescent="0.3">
      <c r="A19" s="134" t="s">
        <v>173</v>
      </c>
    </row>
    <row r="20" spans="1:18" s="150" customFormat="1" ht="15.75" thickBot="1" x14ac:dyDescent="0.3">
      <c r="A20" s="136" t="s">
        <v>120</v>
      </c>
      <c r="B20" s="149">
        <f t="shared" ref="B20:R20" si="12">B4</f>
        <v>2018</v>
      </c>
      <c r="C20" s="149">
        <f t="shared" si="12"/>
        <v>2019</v>
      </c>
      <c r="D20" s="149">
        <f t="shared" si="12"/>
        <v>2020</v>
      </c>
      <c r="E20" s="149">
        <f t="shared" si="12"/>
        <v>2021</v>
      </c>
      <c r="F20" s="149">
        <f t="shared" si="12"/>
        <v>2022</v>
      </c>
      <c r="G20" s="149">
        <f t="shared" si="12"/>
        <v>2023</v>
      </c>
      <c r="H20" s="149">
        <f t="shared" si="12"/>
        <v>2024</v>
      </c>
      <c r="I20" s="149">
        <f t="shared" si="12"/>
        <v>2025</v>
      </c>
      <c r="J20" s="149">
        <f t="shared" si="12"/>
        <v>2026</v>
      </c>
      <c r="K20" s="149">
        <f t="shared" si="12"/>
        <v>2027</v>
      </c>
      <c r="L20" s="149">
        <f t="shared" si="12"/>
        <v>2028</v>
      </c>
      <c r="M20" s="149">
        <f t="shared" si="12"/>
        <v>2029</v>
      </c>
      <c r="N20" s="149">
        <f t="shared" si="12"/>
        <v>2030</v>
      </c>
      <c r="O20" s="149">
        <f t="shared" si="12"/>
        <v>2031</v>
      </c>
      <c r="P20" s="149">
        <f t="shared" si="12"/>
        <v>2032</v>
      </c>
      <c r="Q20" s="149">
        <f t="shared" si="12"/>
        <v>2033</v>
      </c>
      <c r="R20" s="149">
        <f t="shared" si="12"/>
        <v>2034</v>
      </c>
    </row>
    <row r="21" spans="1:18" x14ac:dyDescent="0.25">
      <c r="A21" s="38" t="s">
        <v>109</v>
      </c>
      <c r="B21" s="140">
        <f>monthly_data!F47/1250*1000</f>
        <v>0</v>
      </c>
      <c r="C21" s="140">
        <f>monthly_data!F60/1250*1000</f>
        <v>0</v>
      </c>
      <c r="D21" s="140">
        <f>monthly_data!F73/1250*1000</f>
        <v>0</v>
      </c>
      <c r="E21" s="140">
        <f>monthly_data!F86/1250*1000</f>
        <v>0</v>
      </c>
      <c r="F21" s="140">
        <f>monthly_data!F99/1250*1000</f>
        <v>0</v>
      </c>
      <c r="G21" s="140">
        <f>monthly_data!F112/1250*1000</f>
        <v>0</v>
      </c>
      <c r="H21" s="140">
        <f>monthly_data!F125/1250*1000</f>
        <v>0</v>
      </c>
      <c r="I21" s="151"/>
      <c r="J21" s="151"/>
      <c r="K21" s="151"/>
      <c r="L21" s="151"/>
      <c r="M21" s="151"/>
      <c r="N21" s="151"/>
      <c r="O21" s="151"/>
      <c r="P21" s="151"/>
      <c r="Q21" s="151"/>
      <c r="R21" s="151"/>
    </row>
    <row r="22" spans="1:18" x14ac:dyDescent="0.25">
      <c r="A22" s="38" t="s">
        <v>117</v>
      </c>
      <c r="B22" s="140">
        <f>monthly_data!F48/1250*1000</f>
        <v>0</v>
      </c>
      <c r="C22" s="140">
        <f>monthly_data!F61/1250*1000</f>
        <v>0</v>
      </c>
      <c r="D22" s="140">
        <f>monthly_data!F74/1250*1000</f>
        <v>0</v>
      </c>
      <c r="E22" s="140">
        <f>monthly_data!F87/1250*1000</f>
        <v>0</v>
      </c>
      <c r="F22" s="140">
        <f>monthly_data!F100/1250*1000</f>
        <v>1.3962151999999999</v>
      </c>
      <c r="G22" s="140">
        <f>monthly_data!F113/1250*1000</f>
        <v>8.2512224000000014</v>
      </c>
      <c r="H22" s="140">
        <f>monthly_data!F126/1250*1000</f>
        <v>7.6185007999999996</v>
      </c>
      <c r="I22" s="151"/>
      <c r="J22" s="151"/>
      <c r="K22" s="151"/>
      <c r="L22" s="151"/>
      <c r="M22" s="151"/>
      <c r="N22" s="151"/>
      <c r="O22" s="151"/>
      <c r="P22" s="151"/>
      <c r="Q22" s="151"/>
      <c r="R22" s="151"/>
    </row>
    <row r="23" spans="1:18" x14ac:dyDescent="0.25">
      <c r="A23" s="38" t="s">
        <v>112</v>
      </c>
      <c r="B23" s="140">
        <f>monthly_data!F49/1250*1000</f>
        <v>0</v>
      </c>
      <c r="C23" s="140">
        <f>monthly_data!F62/1250*1000</f>
        <v>0</v>
      </c>
      <c r="D23" s="140">
        <f>monthly_data!F75/1250*1000</f>
        <v>0</v>
      </c>
      <c r="E23" s="140">
        <f>monthly_data!F88/1250*1000</f>
        <v>0</v>
      </c>
      <c r="F23" s="140">
        <f>monthly_data!F101/1250*1000</f>
        <v>0</v>
      </c>
      <c r="G23" s="140">
        <f>monthly_data!F114/1250*1000</f>
        <v>1.4903999999999999</v>
      </c>
      <c r="H23" s="140">
        <f>monthly_data!F127/1250*1000</f>
        <v>6.2499152000000002</v>
      </c>
      <c r="I23" s="151"/>
      <c r="J23" s="151"/>
      <c r="K23" s="151"/>
      <c r="L23" s="151"/>
      <c r="M23" s="151"/>
      <c r="N23" s="151"/>
      <c r="O23" s="151"/>
      <c r="P23" s="151"/>
      <c r="Q23" s="151"/>
      <c r="R23" s="151"/>
    </row>
    <row r="24" spans="1:18" x14ac:dyDescent="0.25">
      <c r="A24" s="38" t="s">
        <v>114</v>
      </c>
      <c r="B24" s="140">
        <f>monthly_data!F50/1250*1000</f>
        <v>0</v>
      </c>
      <c r="C24" s="140">
        <f>monthly_data!F63/1250*1000</f>
        <v>0</v>
      </c>
      <c r="D24" s="140">
        <f>monthly_data!F76/1250*1000</f>
        <v>0</v>
      </c>
      <c r="E24" s="140">
        <f>monthly_data!F89/1250*1000</f>
        <v>0</v>
      </c>
      <c r="F24" s="140">
        <f>monthly_data!F102/1250*1000</f>
        <v>3.9987744000000003</v>
      </c>
      <c r="G24" s="140">
        <f>monthly_data!F115/1250*1000</f>
        <v>5.5996432</v>
      </c>
      <c r="H24" s="140">
        <f>monthly_data!F128/1250*1000</f>
        <v>29.177981599999999</v>
      </c>
      <c r="I24" s="151"/>
      <c r="J24" s="151"/>
      <c r="K24" s="151"/>
      <c r="L24" s="151"/>
      <c r="M24" s="151"/>
      <c r="N24" s="151"/>
      <c r="O24" s="151"/>
      <c r="P24" s="151"/>
      <c r="Q24" s="151"/>
      <c r="R24" s="151"/>
    </row>
    <row r="25" spans="1:18" x14ac:dyDescent="0.25">
      <c r="A25" s="38" t="s">
        <v>92</v>
      </c>
      <c r="B25" s="140">
        <f>monthly_data!F51/1250*1000</f>
        <v>0</v>
      </c>
      <c r="C25" s="140">
        <f>monthly_data!F64/1250*1000</f>
        <v>0</v>
      </c>
      <c r="D25" s="140">
        <f>monthly_data!F77/1250*1000</f>
        <v>0</v>
      </c>
      <c r="E25" s="140">
        <f>monthly_data!F90/1250*1000</f>
        <v>0</v>
      </c>
      <c r="F25" s="140">
        <f>monthly_data!F103/1250*1000</f>
        <v>2.646156</v>
      </c>
      <c r="G25" s="140">
        <f>monthly_data!F116/1250*1000</f>
        <v>1.0217056</v>
      </c>
      <c r="H25" s="140">
        <f>monthly_data!F129/1250*1000</f>
        <v>13.662708799999999</v>
      </c>
      <c r="I25" s="151"/>
      <c r="J25" s="151"/>
      <c r="K25" s="151"/>
      <c r="L25" s="151"/>
      <c r="M25" s="151"/>
      <c r="N25" s="151"/>
      <c r="O25" s="151"/>
      <c r="P25" s="151"/>
      <c r="Q25" s="151"/>
      <c r="R25" s="151"/>
    </row>
    <row r="26" spans="1:18" x14ac:dyDescent="0.25">
      <c r="A26" s="38" t="s">
        <v>94</v>
      </c>
      <c r="B26" s="140">
        <f>monthly_data!F52/1250*1000</f>
        <v>0</v>
      </c>
      <c r="C26" s="140">
        <f>monthly_data!F65/1250*1000</f>
        <v>0</v>
      </c>
      <c r="D26" s="140">
        <f>monthly_data!F78/1250*1000</f>
        <v>0</v>
      </c>
      <c r="E26" s="140">
        <f>monthly_data!F91/1250*1000</f>
        <v>0</v>
      </c>
      <c r="F26" s="140">
        <f>monthly_data!F104/1250*1000</f>
        <v>0</v>
      </c>
      <c r="G26" s="140">
        <f>monthly_data!F117/1250*1000</f>
        <v>0.30255519999999997</v>
      </c>
      <c r="H26" s="140">
        <f>monthly_data!F130/1250*1000</f>
        <v>11.764584000000001</v>
      </c>
      <c r="I26" s="151"/>
      <c r="J26" s="151"/>
      <c r="K26" s="151"/>
      <c r="L26" s="151"/>
      <c r="M26" s="151"/>
      <c r="N26" s="151"/>
      <c r="O26" s="151"/>
      <c r="P26" s="151"/>
      <c r="Q26" s="151"/>
      <c r="R26" s="151"/>
    </row>
    <row r="27" spans="1:18" x14ac:dyDescent="0.25">
      <c r="A27" s="38" t="s">
        <v>96</v>
      </c>
      <c r="B27" s="140">
        <f>monthly_data!F53/1250*1000</f>
        <v>0</v>
      </c>
      <c r="C27" s="140">
        <f>monthly_data!F66/1250*1000</f>
        <v>0</v>
      </c>
      <c r="D27" s="140">
        <f>monthly_data!F79/1250*1000</f>
        <v>0</v>
      </c>
      <c r="E27" s="140">
        <f>monthly_data!F92/1250*1000</f>
        <v>1.9174448000000002</v>
      </c>
      <c r="F27" s="140">
        <f>monthly_data!F105/1250*1000</f>
        <v>10.2796352</v>
      </c>
      <c r="G27" s="140">
        <f>monthly_data!F118/1250*1000</f>
        <v>15.6446576</v>
      </c>
      <c r="H27" s="140">
        <f>monthly_data!F131/1250*1000</f>
        <v>5.2843239999999998</v>
      </c>
      <c r="I27" s="151"/>
      <c r="J27" s="151"/>
      <c r="K27" s="151"/>
      <c r="L27" s="151"/>
      <c r="M27" s="151"/>
      <c r="N27" s="151"/>
      <c r="O27" s="151"/>
      <c r="P27" s="151"/>
      <c r="Q27" s="151"/>
      <c r="R27" s="151"/>
    </row>
    <row r="28" spans="1:18" x14ac:dyDescent="0.25">
      <c r="A28" s="38" t="s">
        <v>98</v>
      </c>
      <c r="B28" s="140">
        <f>monthly_data!F54/1250*1000</f>
        <v>0</v>
      </c>
      <c r="C28" s="140">
        <f>monthly_data!F67/1250*1000</f>
        <v>0</v>
      </c>
      <c r="D28" s="140">
        <f>monthly_data!F80/1250*1000</f>
        <v>0</v>
      </c>
      <c r="E28" s="140">
        <f>monthly_data!F93/1250*1000</f>
        <v>0</v>
      </c>
      <c r="F28" s="140">
        <f>monthly_data!F106/1250*1000</f>
        <v>5.083923200000001</v>
      </c>
      <c r="G28" s="140">
        <f>monthly_data!F119/1250*1000</f>
        <v>11.438097600000001</v>
      </c>
      <c r="H28" s="140">
        <f>monthly_data!F132/1250*1000</f>
        <v>40.153877600000001</v>
      </c>
      <c r="I28" s="151"/>
      <c r="J28" s="151"/>
      <c r="K28" s="151"/>
      <c r="L28" s="151"/>
      <c r="M28" s="151"/>
      <c r="N28" s="151"/>
      <c r="O28" s="151"/>
      <c r="P28" s="151"/>
      <c r="Q28" s="151"/>
      <c r="R28" s="151"/>
    </row>
    <row r="29" spans="1:18" x14ac:dyDescent="0.25">
      <c r="A29" s="38" t="s">
        <v>100</v>
      </c>
      <c r="B29" s="140">
        <f>monthly_data!F55/1250*1000</f>
        <v>0</v>
      </c>
      <c r="C29" s="140">
        <f>monthly_data!F68/1250*1000</f>
        <v>0</v>
      </c>
      <c r="D29" s="140">
        <f>monthly_data!F81/1250*1000</f>
        <v>0</v>
      </c>
      <c r="E29" s="140">
        <f>monthly_data!F94/1250*1000</f>
        <v>0.68316239999999995</v>
      </c>
      <c r="F29" s="140">
        <f>monthly_data!F107/1250*1000</f>
        <v>1.3548016000000001</v>
      </c>
      <c r="G29" s="140">
        <f>monthly_data!F120/1250*1000</f>
        <v>5.8059431999999997</v>
      </c>
      <c r="H29" s="140">
        <f>monthly_data!F133/1250*1000</f>
        <v>17.7384968</v>
      </c>
      <c r="I29" s="151"/>
      <c r="J29" s="151"/>
      <c r="K29" s="151"/>
      <c r="L29" s="151"/>
      <c r="M29" s="151"/>
      <c r="N29" s="151"/>
      <c r="O29" s="151"/>
      <c r="P29" s="151"/>
      <c r="Q29" s="151"/>
      <c r="R29" s="151"/>
    </row>
    <row r="30" spans="1:18" x14ac:dyDescent="0.25">
      <c r="A30" s="38" t="s">
        <v>102</v>
      </c>
      <c r="B30" s="140">
        <f>monthly_data!F56/1250*1000</f>
        <v>0</v>
      </c>
      <c r="C30" s="140">
        <f>monthly_data!F69/1250*1000</f>
        <v>0</v>
      </c>
      <c r="D30" s="140">
        <f>monthly_data!F82/1250*1000</f>
        <v>0</v>
      </c>
      <c r="E30" s="140">
        <f>monthly_data!F95/1250*1000</f>
        <v>0.72400000000000009</v>
      </c>
      <c r="F30" s="140">
        <f>monthly_data!F108/1250*1000</f>
        <v>2.1173744000000001</v>
      </c>
      <c r="G30" s="140">
        <f>monthly_data!F121/1250*1000</f>
        <v>11.010062399999999</v>
      </c>
      <c r="H30" s="140">
        <f>monthly_data!F134/1250*1000</f>
        <v>7.0094576000000002</v>
      </c>
      <c r="I30" s="151"/>
      <c r="J30" s="151"/>
      <c r="K30" s="151"/>
      <c r="L30" s="151"/>
      <c r="M30" s="151"/>
      <c r="N30" s="151"/>
      <c r="O30" s="151"/>
      <c r="P30" s="151"/>
      <c r="Q30" s="151"/>
      <c r="R30" s="151"/>
    </row>
    <row r="31" spans="1:18" x14ac:dyDescent="0.25">
      <c r="A31" s="38" t="s">
        <v>118</v>
      </c>
      <c r="B31" s="140">
        <f>monthly_data!F57/1250*1000</f>
        <v>0</v>
      </c>
      <c r="C31" s="140">
        <f>monthly_data!F70/1250*1000</f>
        <v>0</v>
      </c>
      <c r="D31" s="140">
        <f>monthly_data!F83/1250*1000</f>
        <v>0</v>
      </c>
      <c r="E31" s="140">
        <f>monthly_data!F96/1250*1000</f>
        <v>5.0768000000000001E-2</v>
      </c>
      <c r="F31" s="140">
        <f>monthly_data!F109/1250*1000</f>
        <v>3.3552</v>
      </c>
      <c r="G31" s="140">
        <f>monthly_data!F122/1250*1000</f>
        <v>0.22540239999999997</v>
      </c>
      <c r="H31" s="140">
        <f>monthly_data!F135/1250*1000</f>
        <v>0</v>
      </c>
      <c r="I31" s="151"/>
      <c r="J31" s="151"/>
      <c r="K31" s="151"/>
      <c r="L31" s="151"/>
      <c r="M31" s="151"/>
      <c r="N31" s="151"/>
      <c r="O31" s="151"/>
      <c r="P31" s="151"/>
      <c r="Q31" s="151"/>
      <c r="R31" s="151"/>
    </row>
    <row r="32" spans="1:18" x14ac:dyDescent="0.25">
      <c r="A32" s="38" t="s">
        <v>106</v>
      </c>
      <c r="B32" s="140">
        <f>monthly_data!F58/1250*1000</f>
        <v>0</v>
      </c>
      <c r="C32" s="140">
        <f>monthly_data!F71/1250*1000</f>
        <v>0</v>
      </c>
      <c r="D32" s="140">
        <f>monthly_data!F84/1250*1000</f>
        <v>0</v>
      </c>
      <c r="E32" s="140">
        <f>monthly_data!F97/1250*1000</f>
        <v>11.460013600000002</v>
      </c>
      <c r="F32" s="140">
        <f>monthly_data!F110/1250*1000</f>
        <v>4.0148416000000005</v>
      </c>
      <c r="G32" s="140">
        <f>monthly_data!F123/1250*1000</f>
        <v>16.385561600000003</v>
      </c>
      <c r="H32" s="140">
        <f>monthly_data!F136/1250*1000</f>
        <v>0</v>
      </c>
      <c r="I32" s="151"/>
      <c r="J32" s="151"/>
      <c r="K32" s="151"/>
      <c r="L32" s="151"/>
      <c r="M32" s="151"/>
      <c r="N32" s="151"/>
      <c r="O32" s="151"/>
      <c r="P32" s="151"/>
      <c r="Q32" s="151"/>
      <c r="R32" s="151"/>
    </row>
    <row r="33" spans="1:18" x14ac:dyDescent="0.25">
      <c r="A33" s="38" t="s">
        <v>107</v>
      </c>
      <c r="B33" s="140">
        <f>monthly_data!F59/1250*1000</f>
        <v>0</v>
      </c>
      <c r="C33" s="140">
        <f>monthly_data!F72/1250*1000</f>
        <v>0</v>
      </c>
      <c r="D33" s="140">
        <f>monthly_data!F85/1250*1000</f>
        <v>0</v>
      </c>
      <c r="E33" s="140">
        <f>monthly_data!F98/1250*1000</f>
        <v>0</v>
      </c>
      <c r="F33" s="140">
        <f>monthly_data!F111/1250*1000</f>
        <v>3.8719999999999999</v>
      </c>
      <c r="G33" s="140">
        <f>monthly_data!F124/1250*1000</f>
        <v>0.17596400000000001</v>
      </c>
      <c r="H33" s="140">
        <f>monthly_data!F137/1250*1000</f>
        <v>17.122479999999999</v>
      </c>
      <c r="I33" s="151"/>
      <c r="J33" s="151"/>
      <c r="K33" s="151"/>
      <c r="L33" s="151"/>
      <c r="M33" s="151"/>
      <c r="N33" s="151"/>
      <c r="O33" s="151"/>
      <c r="P33" s="151"/>
      <c r="Q33" s="151"/>
      <c r="R33" s="151"/>
    </row>
    <row r="34" spans="1:18" ht="15.75" thickBot="1" x14ac:dyDescent="0.3">
      <c r="A34" s="134" t="s">
        <v>174</v>
      </c>
      <c r="B34" s="140">
        <f t="shared" ref="B34:R34" si="13">SUM(B21:B32)</f>
        <v>0</v>
      </c>
      <c r="C34" s="140">
        <f t="shared" si="13"/>
        <v>0</v>
      </c>
      <c r="D34" s="140">
        <f t="shared" si="13"/>
        <v>0</v>
      </c>
      <c r="E34" s="140">
        <f t="shared" si="13"/>
        <v>14.835388800000002</v>
      </c>
      <c r="F34" s="140">
        <f t="shared" si="13"/>
        <v>34.246921600000007</v>
      </c>
      <c r="G34" s="140">
        <f t="shared" si="13"/>
        <v>77.175251199999991</v>
      </c>
      <c r="H34" s="140">
        <f t="shared" si="13"/>
        <v>138.65984639999999</v>
      </c>
      <c r="I34" s="151">
        <f t="shared" si="13"/>
        <v>0</v>
      </c>
      <c r="J34" s="151">
        <f t="shared" si="13"/>
        <v>0</v>
      </c>
      <c r="K34" s="151">
        <f t="shared" si="13"/>
        <v>0</v>
      </c>
      <c r="L34" s="151">
        <f t="shared" si="13"/>
        <v>0</v>
      </c>
      <c r="M34" s="151">
        <f t="shared" si="13"/>
        <v>0</v>
      </c>
      <c r="N34" s="151">
        <f t="shared" si="13"/>
        <v>0</v>
      </c>
      <c r="O34" s="151">
        <f t="shared" si="13"/>
        <v>0</v>
      </c>
      <c r="P34" s="151">
        <f t="shared" si="13"/>
        <v>0</v>
      </c>
      <c r="Q34" s="151">
        <f t="shared" si="13"/>
        <v>0</v>
      </c>
      <c r="R34" s="151">
        <f t="shared" si="13"/>
        <v>0</v>
      </c>
    </row>
    <row r="35" spans="1:18" x14ac:dyDescent="0.25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</row>
    <row r="36" spans="1:18" ht="15.75" thickBot="1" x14ac:dyDescent="0.3">
      <c r="A36" s="134" t="s">
        <v>175</v>
      </c>
    </row>
    <row r="37" spans="1:18" s="150" customFormat="1" ht="15.75" thickBot="1" x14ac:dyDescent="0.3">
      <c r="A37" s="153" t="s">
        <v>176</v>
      </c>
      <c r="B37" s="149">
        <f t="shared" ref="B37:R37" si="14">B20</f>
        <v>2018</v>
      </c>
      <c r="C37" s="149">
        <f t="shared" si="14"/>
        <v>2019</v>
      </c>
      <c r="D37" s="149">
        <f t="shared" si="14"/>
        <v>2020</v>
      </c>
      <c r="E37" s="149">
        <f t="shared" si="14"/>
        <v>2021</v>
      </c>
      <c r="F37" s="149">
        <f t="shared" si="14"/>
        <v>2022</v>
      </c>
      <c r="G37" s="149">
        <f t="shared" si="14"/>
        <v>2023</v>
      </c>
      <c r="H37" s="149">
        <f t="shared" si="14"/>
        <v>2024</v>
      </c>
      <c r="I37" s="149">
        <f t="shared" si="14"/>
        <v>2025</v>
      </c>
      <c r="J37" s="149">
        <f t="shared" si="14"/>
        <v>2026</v>
      </c>
      <c r="K37" s="149">
        <f t="shared" si="14"/>
        <v>2027</v>
      </c>
      <c r="L37" s="149">
        <f t="shared" si="14"/>
        <v>2028</v>
      </c>
      <c r="M37" s="149">
        <f t="shared" si="14"/>
        <v>2029</v>
      </c>
      <c r="N37" s="149">
        <f t="shared" si="14"/>
        <v>2030</v>
      </c>
      <c r="O37" s="149">
        <f t="shared" si="14"/>
        <v>2031</v>
      </c>
      <c r="P37" s="149">
        <f t="shared" si="14"/>
        <v>2032</v>
      </c>
      <c r="Q37" s="149">
        <f t="shared" si="14"/>
        <v>2033</v>
      </c>
      <c r="R37" s="149">
        <f t="shared" si="14"/>
        <v>2034</v>
      </c>
    </row>
    <row r="38" spans="1:18" x14ac:dyDescent="0.25">
      <c r="A38" s="134" t="s">
        <v>133</v>
      </c>
      <c r="B38" s="140"/>
      <c r="C38" s="140"/>
      <c r="D38" s="140"/>
      <c r="E38" s="140"/>
      <c r="F38" s="140"/>
      <c r="G38" s="140"/>
      <c r="H38" s="140"/>
      <c r="I38" s="151"/>
      <c r="J38" s="151"/>
      <c r="K38" s="151"/>
      <c r="L38" s="151"/>
      <c r="M38" s="151"/>
      <c r="N38" s="151"/>
      <c r="O38" s="151"/>
      <c r="P38" s="151"/>
      <c r="Q38" s="151"/>
      <c r="R38" s="151"/>
    </row>
    <row r="39" spans="1:18" x14ac:dyDescent="0.25">
      <c r="A39" s="134" t="s">
        <v>134</v>
      </c>
      <c r="B39" s="140"/>
      <c r="C39" s="140"/>
      <c r="D39" s="140"/>
      <c r="E39" s="140"/>
      <c r="F39" s="140"/>
      <c r="G39" s="140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</row>
    <row r="40" spans="1:18" x14ac:dyDescent="0.25">
      <c r="A40" s="134" t="s">
        <v>135</v>
      </c>
      <c r="B40" s="140"/>
      <c r="C40" s="140"/>
      <c r="D40" s="140"/>
      <c r="E40" s="140"/>
      <c r="F40" s="140"/>
      <c r="G40" s="140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</row>
    <row r="41" spans="1:18" x14ac:dyDescent="0.25">
      <c r="A41" s="134" t="s">
        <v>136</v>
      </c>
      <c r="B41" s="140"/>
      <c r="C41" s="140"/>
      <c r="D41" s="140"/>
      <c r="E41" s="140"/>
      <c r="F41" s="140"/>
      <c r="G41" s="140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</row>
    <row r="42" spans="1:18" x14ac:dyDescent="0.25">
      <c r="A42" s="134" t="s">
        <v>93</v>
      </c>
      <c r="B42" s="140"/>
      <c r="C42" s="140"/>
      <c r="D42" s="140"/>
      <c r="E42" s="140"/>
      <c r="F42" s="140"/>
      <c r="G42" s="140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</row>
    <row r="43" spans="1:18" x14ac:dyDescent="0.25">
      <c r="A43" s="134" t="s">
        <v>137</v>
      </c>
      <c r="B43" s="140"/>
      <c r="C43" s="140"/>
      <c r="D43" s="140"/>
      <c r="E43" s="140"/>
      <c r="F43" s="140"/>
      <c r="G43" s="140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</row>
    <row r="44" spans="1:18" x14ac:dyDescent="0.25">
      <c r="A44" s="134" t="s">
        <v>138</v>
      </c>
      <c r="B44" s="140"/>
      <c r="C44" s="140"/>
      <c r="D44" s="140"/>
      <c r="E44" s="140"/>
      <c r="F44" s="140"/>
      <c r="G44" s="140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</row>
    <row r="45" spans="1:18" x14ac:dyDescent="0.25">
      <c r="A45" s="134" t="s">
        <v>139</v>
      </c>
      <c r="B45" s="140"/>
      <c r="C45" s="140"/>
      <c r="D45" s="140"/>
      <c r="E45" s="140"/>
      <c r="F45" s="140"/>
      <c r="G45" s="140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</row>
    <row r="46" spans="1:18" x14ac:dyDescent="0.25">
      <c r="A46" s="134" t="s">
        <v>140</v>
      </c>
      <c r="B46" s="140"/>
      <c r="C46" s="140"/>
      <c r="D46" s="140"/>
      <c r="E46" s="140"/>
      <c r="F46" s="140"/>
      <c r="G46" s="140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</row>
    <row r="47" spans="1:18" x14ac:dyDescent="0.25">
      <c r="A47" s="134" t="s">
        <v>141</v>
      </c>
      <c r="B47" s="140"/>
      <c r="C47" s="140"/>
      <c r="D47" s="140"/>
      <c r="E47" s="140"/>
      <c r="F47" s="140"/>
      <c r="G47" s="140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</row>
    <row r="48" spans="1:18" x14ac:dyDescent="0.25">
      <c r="A48" s="134" t="s">
        <v>142</v>
      </c>
      <c r="B48" s="140"/>
      <c r="C48" s="140"/>
      <c r="D48" s="140"/>
      <c r="E48" s="140"/>
      <c r="F48" s="140"/>
      <c r="G48" s="140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</row>
    <row r="49" spans="1:18" x14ac:dyDescent="0.25">
      <c r="A49" s="134" t="s">
        <v>143</v>
      </c>
      <c r="B49" s="140"/>
      <c r="C49" s="140"/>
      <c r="D49" s="140"/>
      <c r="E49" s="140"/>
      <c r="F49" s="140"/>
      <c r="G49" s="140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</row>
    <row r="50" spans="1:18" ht="15.75" thickBot="1" x14ac:dyDescent="0.3">
      <c r="A50" s="134" t="s">
        <v>174</v>
      </c>
      <c r="B50" s="140"/>
      <c r="C50" s="140"/>
      <c r="D50" s="140"/>
      <c r="E50" s="140"/>
      <c r="F50" s="140"/>
      <c r="G50" s="140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</row>
    <row r="51" spans="1:18" x14ac:dyDescent="0.25">
      <c r="A51" s="152"/>
      <c r="B51" s="152"/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</row>
    <row r="52" spans="1:18" ht="15.75" thickBot="1" x14ac:dyDescent="0.3">
      <c r="A52" s="134" t="s">
        <v>177</v>
      </c>
    </row>
    <row r="53" spans="1:18" s="150" customFormat="1" ht="15.75" thickBot="1" x14ac:dyDescent="0.3">
      <c r="A53" s="153" t="s">
        <v>176</v>
      </c>
      <c r="B53" s="149">
        <f t="shared" ref="B53:Q53" si="15">B4</f>
        <v>2018</v>
      </c>
      <c r="C53" s="149">
        <f t="shared" si="15"/>
        <v>2019</v>
      </c>
      <c r="D53" s="149">
        <f t="shared" si="15"/>
        <v>2020</v>
      </c>
      <c r="E53" s="149">
        <f t="shared" si="15"/>
        <v>2021</v>
      </c>
      <c r="F53" s="149">
        <f t="shared" si="15"/>
        <v>2022</v>
      </c>
      <c r="G53" s="149">
        <f t="shared" si="15"/>
        <v>2023</v>
      </c>
      <c r="H53" s="149">
        <f t="shared" si="15"/>
        <v>2024</v>
      </c>
      <c r="I53" s="149">
        <f t="shared" si="15"/>
        <v>2025</v>
      </c>
      <c r="J53" s="149">
        <f t="shared" si="15"/>
        <v>2026</v>
      </c>
      <c r="K53" s="149">
        <f t="shared" si="15"/>
        <v>2027</v>
      </c>
      <c r="L53" s="149">
        <f t="shared" si="15"/>
        <v>2028</v>
      </c>
      <c r="M53" s="149">
        <f t="shared" si="15"/>
        <v>2029</v>
      </c>
      <c r="N53" s="149">
        <f t="shared" si="15"/>
        <v>2030</v>
      </c>
      <c r="O53" s="149">
        <f t="shared" si="15"/>
        <v>2031</v>
      </c>
      <c r="P53" s="149">
        <f t="shared" si="15"/>
        <v>2032</v>
      </c>
      <c r="Q53" s="149">
        <f t="shared" si="15"/>
        <v>2033</v>
      </c>
      <c r="R53" s="149">
        <f>R4</f>
        <v>2034</v>
      </c>
    </row>
    <row r="54" spans="1:18" x14ac:dyDescent="0.25">
      <c r="A54" s="134" t="s">
        <v>133</v>
      </c>
      <c r="B54" s="140"/>
      <c r="C54" s="140"/>
      <c r="D54" s="140"/>
      <c r="E54" s="140"/>
      <c r="F54" s="140"/>
      <c r="G54" s="140"/>
      <c r="H54" s="140"/>
      <c r="I54" s="151"/>
      <c r="J54" s="151"/>
      <c r="K54" s="151"/>
      <c r="L54" s="151"/>
      <c r="M54" s="151"/>
      <c r="N54" s="151"/>
      <c r="O54" s="151"/>
      <c r="P54" s="151"/>
      <c r="Q54" s="151"/>
      <c r="R54" s="151"/>
    </row>
    <row r="55" spans="1:18" x14ac:dyDescent="0.25">
      <c r="A55" s="134" t="s">
        <v>134</v>
      </c>
      <c r="B55" s="140"/>
      <c r="C55" s="140"/>
      <c r="D55" s="140"/>
      <c r="E55" s="140"/>
      <c r="F55" s="140"/>
      <c r="G55" s="140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</row>
    <row r="56" spans="1:18" x14ac:dyDescent="0.25">
      <c r="A56" s="134" t="s">
        <v>135</v>
      </c>
      <c r="B56" s="140"/>
      <c r="C56" s="140"/>
      <c r="D56" s="140"/>
      <c r="E56" s="140"/>
      <c r="F56" s="140"/>
      <c r="G56" s="140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</row>
    <row r="57" spans="1:18" x14ac:dyDescent="0.25">
      <c r="A57" s="134" t="s">
        <v>136</v>
      </c>
      <c r="B57" s="140"/>
      <c r="C57" s="140"/>
      <c r="D57" s="140"/>
      <c r="E57" s="140"/>
      <c r="F57" s="140"/>
      <c r="G57" s="140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</row>
    <row r="58" spans="1:18" x14ac:dyDescent="0.25">
      <c r="A58" s="134" t="s">
        <v>93</v>
      </c>
      <c r="B58" s="140"/>
      <c r="C58" s="140"/>
      <c r="D58" s="140"/>
      <c r="E58" s="140"/>
      <c r="F58" s="140"/>
      <c r="G58" s="140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</row>
    <row r="59" spans="1:18" x14ac:dyDescent="0.25">
      <c r="A59" s="134" t="s">
        <v>137</v>
      </c>
      <c r="B59" s="140"/>
      <c r="C59" s="140"/>
      <c r="D59" s="140"/>
      <c r="E59" s="140"/>
      <c r="F59" s="140"/>
      <c r="G59" s="140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</row>
    <row r="60" spans="1:18" x14ac:dyDescent="0.25">
      <c r="A60" s="134" t="s">
        <v>138</v>
      </c>
      <c r="B60" s="140"/>
      <c r="C60" s="140"/>
      <c r="D60" s="140"/>
      <c r="E60" s="140"/>
      <c r="F60" s="140"/>
      <c r="G60" s="140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</row>
    <row r="61" spans="1:18" x14ac:dyDescent="0.25">
      <c r="A61" s="134" t="s">
        <v>139</v>
      </c>
      <c r="B61" s="140"/>
      <c r="C61" s="140"/>
      <c r="D61" s="140"/>
      <c r="E61" s="140"/>
      <c r="F61" s="140"/>
      <c r="G61" s="140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</row>
    <row r="62" spans="1:18" x14ac:dyDescent="0.25">
      <c r="A62" s="134" t="s">
        <v>140</v>
      </c>
      <c r="B62" s="140"/>
      <c r="C62" s="140"/>
      <c r="D62" s="140"/>
      <c r="E62" s="140"/>
      <c r="F62" s="140"/>
      <c r="G62" s="140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</row>
    <row r="63" spans="1:18" x14ac:dyDescent="0.25">
      <c r="A63" s="134" t="s">
        <v>141</v>
      </c>
      <c r="B63" s="140"/>
      <c r="C63" s="140"/>
      <c r="D63" s="140"/>
      <c r="E63" s="140"/>
      <c r="F63" s="140"/>
      <c r="G63" s="140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</row>
    <row r="64" spans="1:18" x14ac:dyDescent="0.25">
      <c r="A64" s="134" t="s">
        <v>142</v>
      </c>
      <c r="B64" s="140"/>
      <c r="C64" s="140"/>
      <c r="D64" s="140"/>
      <c r="E64" s="140"/>
      <c r="F64" s="140"/>
      <c r="G64" s="140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</row>
    <row r="65" spans="1:18" x14ac:dyDescent="0.25">
      <c r="A65" s="134" t="s">
        <v>143</v>
      </c>
      <c r="B65" s="140"/>
      <c r="C65" s="140"/>
      <c r="D65" s="140"/>
      <c r="E65" s="140"/>
      <c r="F65" s="140"/>
      <c r="G65" s="140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</row>
    <row r="66" spans="1:18" ht="15.75" thickBot="1" x14ac:dyDescent="0.3">
      <c r="A66" s="134" t="s">
        <v>174</v>
      </c>
      <c r="B66" s="140"/>
      <c r="C66" s="140"/>
      <c r="D66" s="140"/>
      <c r="E66" s="140"/>
      <c r="F66" s="140"/>
      <c r="G66" s="140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</row>
    <row r="67" spans="1:18" x14ac:dyDescent="0.25">
      <c r="A67" s="152"/>
      <c r="B67" s="152"/>
      <c r="C67" s="152"/>
      <c r="D67" s="152"/>
      <c r="E67" s="152"/>
      <c r="F67" s="152"/>
      <c r="G67" s="152"/>
      <c r="H67" s="152"/>
      <c r="I67" s="152"/>
      <c r="J67" s="152"/>
      <c r="K67" s="152"/>
      <c r="L67" s="152"/>
      <c r="M67" s="152"/>
      <c r="N67" s="152"/>
      <c r="O67" s="152"/>
      <c r="P67" s="152"/>
      <c r="Q67" s="152"/>
      <c r="R67" s="152"/>
    </row>
  </sheetData>
  <mergeCells count="1">
    <mergeCell ref="A3:Q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8B4B-AAD1-41E7-8B0F-E11A2C22348F}">
  <dimension ref="A2:S97"/>
  <sheetViews>
    <sheetView topLeftCell="A3" workbookViewId="0">
      <pane xSplit="1" ySplit="2" topLeftCell="B5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8" defaultRowHeight="15" x14ac:dyDescent="0.25"/>
  <cols>
    <col min="1" max="1" width="18.7109375" style="154" customWidth="1"/>
    <col min="2" max="19" width="12.85546875" style="154" customWidth="1"/>
    <col min="20" max="16384" width="8" style="154"/>
  </cols>
  <sheetData>
    <row r="2" spans="1:19" ht="15.75" thickBot="1" x14ac:dyDescent="0.3"/>
    <row r="3" spans="1:19" ht="16.5" thickTop="1" thickBot="1" x14ac:dyDescent="0.3">
      <c r="A3" s="219" t="s">
        <v>178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135"/>
      <c r="S3" s="135"/>
    </row>
    <row r="4" spans="1:19" ht="16.5" thickTop="1" thickBot="1" x14ac:dyDescent="0.3">
      <c r="A4" s="55" t="s">
        <v>38</v>
      </c>
      <c r="B4" s="137">
        <v>2018</v>
      </c>
      <c r="C4" s="137">
        <v>2019</v>
      </c>
      <c r="D4" s="137">
        <v>2020</v>
      </c>
      <c r="E4" s="137">
        <v>2021</v>
      </c>
      <c r="F4" s="137">
        <v>2022</v>
      </c>
      <c r="G4" s="137">
        <v>2023</v>
      </c>
      <c r="H4" s="137">
        <v>2024</v>
      </c>
      <c r="I4" s="137">
        <v>2025</v>
      </c>
      <c r="J4" s="137">
        <v>2026</v>
      </c>
      <c r="K4" s="137">
        <v>2027</v>
      </c>
      <c r="L4" s="137">
        <v>2028</v>
      </c>
      <c r="M4" s="137">
        <v>2029</v>
      </c>
      <c r="N4" s="137">
        <v>2030</v>
      </c>
      <c r="O4" s="137">
        <v>2031</v>
      </c>
      <c r="P4" s="137">
        <v>2032</v>
      </c>
      <c r="Q4" s="137">
        <v>2033</v>
      </c>
      <c r="R4" s="137">
        <v>2034</v>
      </c>
      <c r="S4" s="137">
        <v>2035</v>
      </c>
    </row>
    <row r="5" spans="1:19" x14ac:dyDescent="0.25">
      <c r="A5" s="155" t="s">
        <v>122</v>
      </c>
      <c r="B5" s="138">
        <v>1.7350000000000001</v>
      </c>
      <c r="C5" s="138">
        <f t="shared" ref="C5:S5" si="0">B12</f>
        <v>9.1173000000000003E-4</v>
      </c>
      <c r="D5" s="138">
        <f t="shared" si="0"/>
        <v>1.0335799999999999E-3</v>
      </c>
      <c r="E5" s="138">
        <f t="shared" si="0"/>
        <v>1.2672699999999999</v>
      </c>
      <c r="F5" s="138">
        <f t="shared" si="0"/>
        <v>0.71816000000000002</v>
      </c>
      <c r="G5" s="138">
        <f t="shared" si="0"/>
        <v>0.71960000000000002</v>
      </c>
      <c r="H5" s="139">
        <f t="shared" si="0"/>
        <v>0.89757000000000009</v>
      </c>
      <c r="I5" s="139">
        <f t="shared" si="0"/>
        <v>1.1619999999999999</v>
      </c>
      <c r="J5" s="139">
        <f t="shared" si="0"/>
        <v>2.5121917519128791</v>
      </c>
      <c r="K5" s="139">
        <f t="shared" si="0"/>
        <v>3.8988386811274047</v>
      </c>
      <c r="L5" s="139">
        <f t="shared" si="0"/>
        <v>5.3229250774307211</v>
      </c>
      <c r="M5" s="139">
        <f t="shared" si="0"/>
        <v>6.7854618064342329</v>
      </c>
      <c r="N5" s="139">
        <f t="shared" si="0"/>
        <v>8.2874870271208341</v>
      </c>
      <c r="O5" s="139">
        <f t="shared" si="0"/>
        <v>9.8300669287659677</v>
      </c>
      <c r="P5" s="139">
        <f t="shared" si="0"/>
        <v>11.414296487755527</v>
      </c>
      <c r="Q5" s="139">
        <f t="shared" si="0"/>
        <v>13.041300244837805</v>
      </c>
      <c r="R5" s="139">
        <f t="shared" si="0"/>
        <v>14.712233103361308</v>
      </c>
      <c r="S5" s="139">
        <f t="shared" si="0"/>
        <v>16.428281149064937</v>
      </c>
    </row>
    <row r="6" spans="1:19" x14ac:dyDescent="0.25">
      <c r="A6" s="155" t="s">
        <v>162</v>
      </c>
      <c r="B6" s="156">
        <f>B33</f>
        <v>5.1289499999999997</v>
      </c>
      <c r="C6" s="156">
        <f t="shared" ref="C6:G6" si="1">C33</f>
        <v>5.1853300000000004</v>
      </c>
      <c r="D6" s="156">
        <f t="shared" si="1"/>
        <v>1.94278</v>
      </c>
      <c r="E6" s="156">
        <f t="shared" si="1"/>
        <v>1.83375</v>
      </c>
      <c r="F6" s="156">
        <f t="shared" si="1"/>
        <v>3.4898100000000003</v>
      </c>
      <c r="G6" s="156">
        <f t="shared" si="1"/>
        <v>3.3146399999999998</v>
      </c>
      <c r="H6" s="156">
        <f>H33</f>
        <v>3.4410400000000001</v>
      </c>
      <c r="I6" s="157">
        <f t="shared" ref="I6:S6" si="2">H6*(1+I18)</f>
        <v>3.5339480799999996</v>
      </c>
      <c r="J6" s="157">
        <f t="shared" si="2"/>
        <v>3.6293646781599991</v>
      </c>
      <c r="K6" s="157">
        <f t="shared" si="2"/>
        <v>3.7273575244703188</v>
      </c>
      <c r="L6" s="157">
        <f t="shared" si="2"/>
        <v>3.8279961776310172</v>
      </c>
      <c r="M6" s="157">
        <f t="shared" si="2"/>
        <v>3.9313520744270543</v>
      </c>
      <c r="N6" s="157">
        <f t="shared" si="2"/>
        <v>4.0374985804365844</v>
      </c>
      <c r="O6" s="157">
        <f t="shared" si="2"/>
        <v>4.1465110421083722</v>
      </c>
      <c r="P6" s="157">
        <f t="shared" si="2"/>
        <v>4.2584668402452976</v>
      </c>
      <c r="Q6" s="157">
        <f t="shared" si="2"/>
        <v>4.37344544493192</v>
      </c>
      <c r="R6" s="157">
        <f t="shared" si="2"/>
        <v>4.4915284719450819</v>
      </c>
      <c r="S6" s="157">
        <f t="shared" si="2"/>
        <v>4.6127997406875991</v>
      </c>
    </row>
    <row r="7" spans="1:19" x14ac:dyDescent="0.25">
      <c r="A7" s="155" t="s">
        <v>163</v>
      </c>
      <c r="B7" s="138">
        <f>B49</f>
        <v>9.3951400000000014</v>
      </c>
      <c r="C7" s="138">
        <f t="shared" ref="C7:G7" si="3">C49</f>
        <v>9.0784500000000001</v>
      </c>
      <c r="D7" s="138">
        <f t="shared" si="3"/>
        <v>5.5608199999999997</v>
      </c>
      <c r="E7" s="138">
        <f t="shared" si="3"/>
        <v>4.4451000000000001</v>
      </c>
      <c r="F7" s="138">
        <f t="shared" si="3"/>
        <v>7.7481100000000005</v>
      </c>
      <c r="G7" s="138">
        <f t="shared" si="3"/>
        <v>9.8552799999999987</v>
      </c>
      <c r="H7" s="156">
        <f>H49</f>
        <v>10.753310000000001</v>
      </c>
      <c r="I7" s="157">
        <f t="shared" ref="I7:S7" si="4">H7*(1+I18)</f>
        <v>11.043649370000001</v>
      </c>
      <c r="J7" s="157">
        <f t="shared" si="4"/>
        <v>11.34182790299</v>
      </c>
      <c r="K7" s="157">
        <f t="shared" si="4"/>
        <v>11.648057256370729</v>
      </c>
      <c r="L7" s="157">
        <f t="shared" si="4"/>
        <v>11.962554802292738</v>
      </c>
      <c r="M7" s="157">
        <f t="shared" si="4"/>
        <v>12.28554378195464</v>
      </c>
      <c r="N7" s="157">
        <f t="shared" si="4"/>
        <v>12.617253464067414</v>
      </c>
      <c r="O7" s="157">
        <f t="shared" si="4"/>
        <v>12.957919307597233</v>
      </c>
      <c r="P7" s="157">
        <f t="shared" si="4"/>
        <v>13.307783128902358</v>
      </c>
      <c r="Q7" s="157">
        <f t="shared" si="4"/>
        <v>13.66709327338272</v>
      </c>
      <c r="R7" s="157">
        <f t="shared" si="4"/>
        <v>14.036104791764053</v>
      </c>
      <c r="S7" s="157">
        <f t="shared" si="4"/>
        <v>14.415079621141681</v>
      </c>
    </row>
    <row r="8" spans="1:19" x14ac:dyDescent="0.25">
      <c r="A8" s="155" t="s">
        <v>164</v>
      </c>
      <c r="B8" s="138">
        <f t="shared" ref="B8:R8" si="5">SUM(B5:B7)</f>
        <v>16.25909</v>
      </c>
      <c r="C8" s="138">
        <f t="shared" si="5"/>
        <v>14.264691730000001</v>
      </c>
      <c r="D8" s="138">
        <f t="shared" si="5"/>
        <v>7.5046335800000001</v>
      </c>
      <c r="E8" s="138">
        <f t="shared" si="5"/>
        <v>7.5461200000000002</v>
      </c>
      <c r="F8" s="138">
        <f t="shared" si="5"/>
        <v>11.95608</v>
      </c>
      <c r="G8" s="138">
        <f t="shared" si="5"/>
        <v>13.889519999999997</v>
      </c>
      <c r="H8" s="139">
        <f t="shared" si="5"/>
        <v>15.091920000000002</v>
      </c>
      <c r="I8" s="139">
        <f t="shared" si="5"/>
        <v>15.73959745</v>
      </c>
      <c r="J8" s="139">
        <f t="shared" si="5"/>
        <v>17.48338433306288</v>
      </c>
      <c r="K8" s="139">
        <f t="shared" si="5"/>
        <v>19.274253461968453</v>
      </c>
      <c r="L8" s="139">
        <f t="shared" si="5"/>
        <v>21.113476057354475</v>
      </c>
      <c r="M8" s="139">
        <f t="shared" si="5"/>
        <v>23.002357662815928</v>
      </c>
      <c r="N8" s="139">
        <f t="shared" si="5"/>
        <v>24.942239071624833</v>
      </c>
      <c r="O8" s="139">
        <f t="shared" si="5"/>
        <v>26.934497278471575</v>
      </c>
      <c r="P8" s="139">
        <f t="shared" si="5"/>
        <v>28.980546456903184</v>
      </c>
      <c r="Q8" s="139">
        <f t="shared" si="5"/>
        <v>31.081838963152443</v>
      </c>
      <c r="R8" s="139">
        <f t="shared" si="5"/>
        <v>33.239866367070448</v>
      </c>
      <c r="S8" s="139">
        <f t="shared" ref="S8" si="6">SUM(S5:S7)</f>
        <v>35.456160510894215</v>
      </c>
    </row>
    <row r="9" spans="1:19" x14ac:dyDescent="0.25">
      <c r="A9" s="155" t="s">
        <v>165</v>
      </c>
      <c r="B9" s="138">
        <f>annual_data!$X7</f>
        <v>12.272143999999999</v>
      </c>
      <c r="C9" s="138">
        <f>annual_data!$X8</f>
        <v>12.318619999999999</v>
      </c>
      <c r="D9" s="138">
        <f>annual_data!$X9</f>
        <v>4.9839899999999995</v>
      </c>
      <c r="E9" s="138">
        <f>annual_data!$X10</f>
        <v>4.9029420000000004</v>
      </c>
      <c r="F9" s="138">
        <f>annual_data!$X11</f>
        <v>9.5850000000000009</v>
      </c>
      <c r="G9" s="138">
        <f>F9*(1+G18)</f>
        <v>10.456373044038445</v>
      </c>
      <c r="H9" s="139">
        <f>G9*(1+H18)+0.8</f>
        <v>11.423675012743061</v>
      </c>
      <c r="I9" s="139">
        <f t="shared" ref="I9:S9" si="7">H9*(1+I18)</f>
        <v>11.732114238087123</v>
      </c>
      <c r="J9" s="139">
        <f t="shared" si="7"/>
        <v>12.048881322515474</v>
      </c>
      <c r="K9" s="139">
        <f t="shared" si="7"/>
        <v>12.37420111822339</v>
      </c>
      <c r="L9" s="139">
        <f t="shared" si="7"/>
        <v>12.70830454841542</v>
      </c>
      <c r="M9" s="139">
        <f t="shared" si="7"/>
        <v>13.051428771222636</v>
      </c>
      <c r="N9" s="139">
        <f t="shared" si="7"/>
        <v>13.403817348045646</v>
      </c>
      <c r="O9" s="139">
        <f t="shared" si="7"/>
        <v>13.765720416442877</v>
      </c>
      <c r="P9" s="139">
        <f t="shared" si="7"/>
        <v>14.137394867686833</v>
      </c>
      <c r="Q9" s="139">
        <f t="shared" si="7"/>
        <v>14.519104529114376</v>
      </c>
      <c r="R9" s="139">
        <f t="shared" si="7"/>
        <v>14.911120351400463</v>
      </c>
      <c r="S9" s="139">
        <f t="shared" si="7"/>
        <v>15.313720600888274</v>
      </c>
    </row>
    <row r="10" spans="1:19" x14ac:dyDescent="0.25">
      <c r="A10" s="155" t="s">
        <v>127</v>
      </c>
      <c r="B10" s="138">
        <f>B65</f>
        <v>1.5722699999999998</v>
      </c>
      <c r="C10" s="138">
        <f t="shared" ref="C10:H10" si="8">C65</f>
        <v>1.2840199999999999</v>
      </c>
      <c r="D10" s="138">
        <f t="shared" si="8"/>
        <v>1.1933699999999998</v>
      </c>
      <c r="E10" s="138">
        <f t="shared" si="8"/>
        <v>1.1724100000000002</v>
      </c>
      <c r="F10" s="138">
        <f t="shared" si="8"/>
        <v>1.1248799999999999</v>
      </c>
      <c r="G10" s="138">
        <f t="shared" si="8"/>
        <v>1.44774</v>
      </c>
      <c r="H10" s="138">
        <f t="shared" si="8"/>
        <v>1.4559800000000003</v>
      </c>
      <c r="I10" s="139">
        <f t="shared" ref="I10:S10" si="9">H10*(1+I18)</f>
        <v>1.4952914600000002</v>
      </c>
      <c r="J10" s="139">
        <f t="shared" si="9"/>
        <v>1.5356643294200001</v>
      </c>
      <c r="K10" s="139">
        <f t="shared" si="9"/>
        <v>1.5771272663143399</v>
      </c>
      <c r="L10" s="139">
        <f t="shared" si="9"/>
        <v>1.6197097025048268</v>
      </c>
      <c r="M10" s="139">
        <f t="shared" si="9"/>
        <v>1.6634418644724569</v>
      </c>
      <c r="N10" s="139">
        <f t="shared" si="9"/>
        <v>1.7083547948132132</v>
      </c>
      <c r="O10" s="139">
        <f t="shared" si="9"/>
        <v>1.7544803742731698</v>
      </c>
      <c r="P10" s="139">
        <f t="shared" si="9"/>
        <v>1.8018513443785453</v>
      </c>
      <c r="Q10" s="139">
        <f t="shared" si="9"/>
        <v>1.8505013306767659</v>
      </c>
      <c r="R10" s="139">
        <f t="shared" si="9"/>
        <v>1.9004648666050385</v>
      </c>
      <c r="S10" s="139">
        <f t="shared" si="9"/>
        <v>1.9517774180033745</v>
      </c>
    </row>
    <row r="11" spans="1:19" x14ac:dyDescent="0.25">
      <c r="A11" s="155" t="s">
        <v>167</v>
      </c>
      <c r="B11" s="138">
        <f>B10+B9</f>
        <v>13.844413999999999</v>
      </c>
      <c r="C11" s="138">
        <f t="shared" ref="C11:S11" si="10">C10+C9</f>
        <v>13.602639999999999</v>
      </c>
      <c r="D11" s="138">
        <f t="shared" si="10"/>
        <v>6.1773599999999993</v>
      </c>
      <c r="E11" s="138">
        <f t="shared" si="10"/>
        <v>6.0753520000000005</v>
      </c>
      <c r="F11" s="138">
        <f t="shared" si="10"/>
        <v>10.70988</v>
      </c>
      <c r="G11" s="138">
        <f t="shared" si="10"/>
        <v>11.904113044038445</v>
      </c>
      <c r="H11" s="138">
        <f t="shared" si="10"/>
        <v>12.879655012743061</v>
      </c>
      <c r="I11" s="139">
        <f t="shared" si="10"/>
        <v>13.227405698087123</v>
      </c>
      <c r="J11" s="139">
        <f t="shared" si="10"/>
        <v>13.584545651935473</v>
      </c>
      <c r="K11" s="139">
        <f t="shared" si="10"/>
        <v>13.95132838453773</v>
      </c>
      <c r="L11" s="139">
        <f t="shared" si="10"/>
        <v>14.328014250920246</v>
      </c>
      <c r="M11" s="139">
        <f t="shared" si="10"/>
        <v>14.714870635695092</v>
      </c>
      <c r="N11" s="139">
        <f t="shared" si="10"/>
        <v>15.112172142858858</v>
      </c>
      <c r="O11" s="139">
        <f t="shared" si="10"/>
        <v>15.520200790716046</v>
      </c>
      <c r="P11" s="139">
        <f t="shared" si="10"/>
        <v>15.939246212065378</v>
      </c>
      <c r="Q11" s="139">
        <f t="shared" si="10"/>
        <v>16.369605859791143</v>
      </c>
      <c r="R11" s="139">
        <f t="shared" si="10"/>
        <v>16.811585218005501</v>
      </c>
      <c r="S11" s="139">
        <f t="shared" si="10"/>
        <v>17.265498018891648</v>
      </c>
    </row>
    <row r="12" spans="1:19" x14ac:dyDescent="0.25">
      <c r="A12" s="155" t="s">
        <v>168</v>
      </c>
      <c r="B12" s="138">
        <f t="shared" ref="B12:C12" si="11">B96/1000</f>
        <v>9.1173000000000003E-4</v>
      </c>
      <c r="C12" s="138">
        <f t="shared" si="11"/>
        <v>1.0335799999999999E-3</v>
      </c>
      <c r="D12" s="138">
        <f>D96</f>
        <v>1.2672699999999999</v>
      </c>
      <c r="E12" s="138">
        <f t="shared" ref="E12:S12" si="12">E96</f>
        <v>0.71816000000000002</v>
      </c>
      <c r="F12" s="138">
        <f t="shared" si="12"/>
        <v>0.71960000000000002</v>
      </c>
      <c r="G12" s="138">
        <f t="shared" si="12"/>
        <v>0.89757000000000009</v>
      </c>
      <c r="H12" s="138">
        <f t="shared" si="12"/>
        <v>1.1619999999999999</v>
      </c>
      <c r="I12" s="139">
        <f t="shared" si="12"/>
        <v>2.5121917519128791</v>
      </c>
      <c r="J12" s="139">
        <f t="shared" si="12"/>
        <v>3.8988386811274047</v>
      </c>
      <c r="K12" s="139">
        <f t="shared" si="12"/>
        <v>5.3229250774307211</v>
      </c>
      <c r="L12" s="139">
        <f t="shared" si="12"/>
        <v>6.7854618064342329</v>
      </c>
      <c r="M12" s="139">
        <f t="shared" si="12"/>
        <v>8.2874870271208341</v>
      </c>
      <c r="N12" s="139">
        <f t="shared" si="12"/>
        <v>9.8300669287659677</v>
      </c>
      <c r="O12" s="139">
        <f t="shared" si="12"/>
        <v>11.414296487755527</v>
      </c>
      <c r="P12" s="139">
        <f t="shared" si="12"/>
        <v>13.041300244837805</v>
      </c>
      <c r="Q12" s="139">
        <f t="shared" si="12"/>
        <v>14.712233103361308</v>
      </c>
      <c r="R12" s="139">
        <f t="shared" si="12"/>
        <v>16.428281149064937</v>
      </c>
      <c r="S12" s="139">
        <f t="shared" si="12"/>
        <v>18.190662492002559</v>
      </c>
    </row>
    <row r="13" spans="1:19" x14ac:dyDescent="0.25">
      <c r="B13" s="158"/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</row>
    <row r="14" spans="1:19" x14ac:dyDescent="0.25">
      <c r="A14" s="155" t="s">
        <v>169</v>
      </c>
      <c r="B14" s="143">
        <f t="shared" ref="B14:S14" si="13">B12/(C11/365)</f>
        <v>2.4464475278328325E-2</v>
      </c>
      <c r="C14" s="143">
        <f t="shared" si="13"/>
        <v>6.1070861986350151E-2</v>
      </c>
      <c r="D14" s="143">
        <f t="shared" si="13"/>
        <v>76.136090550802635</v>
      </c>
      <c r="E14" s="143">
        <f t="shared" si="13"/>
        <v>24.475381610251468</v>
      </c>
      <c r="F14" s="143">
        <f t="shared" si="13"/>
        <v>22.064138590445978</v>
      </c>
      <c r="G14" s="143">
        <f t="shared" si="13"/>
        <v>25.436477116495855</v>
      </c>
      <c r="H14" s="143">
        <f t="shared" si="13"/>
        <v>32.064488659430424</v>
      </c>
      <c r="I14" s="159">
        <f t="shared" si="13"/>
        <v>67.499496335201869</v>
      </c>
      <c r="J14" s="159">
        <f t="shared" si="13"/>
        <v>102.00291179359661</v>
      </c>
      <c r="K14" s="159">
        <f t="shared" si="13"/>
        <v>135.59922674821661</v>
      </c>
      <c r="L14" s="159">
        <f t="shared" si="13"/>
        <v>168.31228902145915</v>
      </c>
      <c r="M14" s="159">
        <f t="shared" si="13"/>
        <v>200.1653194725229</v>
      </c>
      <c r="N14" s="159">
        <f t="shared" si="13"/>
        <v>231.18092848037449</v>
      </c>
      <c r="O14" s="159">
        <f t="shared" si="13"/>
        <v>261.38113199337528</v>
      </c>
      <c r="P14" s="159">
        <f t="shared" si="13"/>
        <v>290.78736715695925</v>
      </c>
      <c r="Q14" s="159">
        <f t="shared" si="13"/>
        <v>319.42050753045891</v>
      </c>
      <c r="R14" s="159">
        <f t="shared" si="13"/>
        <v>347.30087790387603</v>
      </c>
      <c r="S14" s="159" t="e">
        <f t="shared" si="13"/>
        <v>#DIV/0!</v>
      </c>
    </row>
    <row r="15" spans="1:19" ht="15.75" thickBot="1" x14ac:dyDescent="0.3">
      <c r="A15" s="155"/>
      <c r="B15" s="158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</row>
    <row r="16" spans="1:19" ht="15.75" thickTop="1" x14ac:dyDescent="0.25">
      <c r="A16" s="160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</row>
    <row r="17" spans="1:19" x14ac:dyDescent="0.25">
      <c r="A17" s="154" t="s">
        <v>179</v>
      </c>
      <c r="B17" s="140">
        <f>[1]Assumptions!BC$20</f>
        <v>722415.33364099998</v>
      </c>
      <c r="C17" s="140">
        <f>[1]Assumptions!BD$20</f>
        <v>754450.05571900005</v>
      </c>
      <c r="D17" s="140">
        <f>[1]Assumptions!BE$20</f>
        <v>306058.02996800002</v>
      </c>
      <c r="E17" s="140">
        <f>[1]Assumptions!BF$20</f>
        <v>573403.84113099996</v>
      </c>
      <c r="F17" s="140">
        <f>[1]Assumptions!BG$20</f>
        <v>708959.95827800001</v>
      </c>
      <c r="G17" s="161">
        <f>[1]Assumptions!BH$20</f>
        <v>773411.55941999995</v>
      </c>
      <c r="H17" s="161">
        <f>[1]Assumptions!BI$20</f>
        <v>785786.14437071991</v>
      </c>
      <c r="I17" s="161">
        <f>[1]Assumptions!BJ$20</f>
        <v>807002.37026872928</v>
      </c>
      <c r="J17" s="161">
        <f>[1]Assumptions!BK$20</f>
        <v>828791.43426598492</v>
      </c>
      <c r="K17" s="161">
        <f>[1]Assumptions!BL$20</f>
        <v>851168.80299116648</v>
      </c>
      <c r="L17" s="161">
        <f>[1]Assumptions!BM$20</f>
        <v>874150.36067192792</v>
      </c>
      <c r="M17" s="161">
        <f>[1]Assumptions!BN$20</f>
        <v>897752.42041006987</v>
      </c>
      <c r="N17" s="161">
        <f>[1]Assumptions!BO$20</f>
        <v>921991.73576114164</v>
      </c>
      <c r="O17" s="161">
        <f>[1]Assumptions!BP$20</f>
        <v>946885.51262669242</v>
      </c>
      <c r="P17" s="161">
        <f>[1]Assumptions!BQ$20</f>
        <v>972451.42146761308</v>
      </c>
      <c r="Q17" s="161">
        <f>[1]Assumptions!BR$20</f>
        <v>998707.60984723852</v>
      </c>
      <c r="R17" s="161">
        <f>[1]Assumptions!BS$20</f>
        <v>1025672.7153131139</v>
      </c>
      <c r="S17" s="161">
        <f>[1]Assumptions!BT$20</f>
        <v>1053365.8786265678</v>
      </c>
    </row>
    <row r="18" spans="1:19" x14ac:dyDescent="0.25">
      <c r="A18" s="154" t="s">
        <v>180</v>
      </c>
      <c r="C18" s="162">
        <f>(C17-B17)/B17</f>
        <v>4.4343912132296381E-2</v>
      </c>
      <c r="D18" s="162">
        <f t="shared" ref="D18:S18" si="14">(D17-C17)/C17</f>
        <v>-0.59432963435025132</v>
      </c>
      <c r="E18" s="162">
        <f t="shared" si="14"/>
        <v>0.87351346798825169</v>
      </c>
      <c r="F18" s="162">
        <f t="shared" si="14"/>
        <v>0.23640601513869325</v>
      </c>
      <c r="G18" s="162">
        <f t="shared" si="14"/>
        <v>9.0910072408810064E-2</v>
      </c>
      <c r="H18" s="162">
        <f t="shared" si="14"/>
        <v>1.5999999999999948E-2</v>
      </c>
      <c r="I18" s="162">
        <f t="shared" si="14"/>
        <v>2.699999999999992E-2</v>
      </c>
      <c r="J18" s="162">
        <f t="shared" si="14"/>
        <v>2.6999999999999934E-2</v>
      </c>
      <c r="K18" s="162">
        <f t="shared" si="14"/>
        <v>2.6999999999999958E-2</v>
      </c>
      <c r="L18" s="162">
        <f t="shared" si="14"/>
        <v>2.6999999999999937E-2</v>
      </c>
      <c r="M18" s="162">
        <f t="shared" si="14"/>
        <v>2.6999999999999882E-2</v>
      </c>
      <c r="N18" s="162">
        <f t="shared" si="14"/>
        <v>2.6999999999999868E-2</v>
      </c>
      <c r="O18" s="162">
        <f t="shared" si="14"/>
        <v>2.6999999999999955E-2</v>
      </c>
      <c r="P18" s="162">
        <f t="shared" si="14"/>
        <v>2.6999999999999962E-2</v>
      </c>
      <c r="Q18" s="162">
        <f t="shared" si="14"/>
        <v>2.6999999999999885E-2</v>
      </c>
      <c r="R18" s="162">
        <f t="shared" si="14"/>
        <v>2.6999999999999916E-2</v>
      </c>
      <c r="S18" s="162">
        <f t="shared" si="14"/>
        <v>2.699999999999983E-2</v>
      </c>
    </row>
    <row r="19" spans="1:19" ht="15.75" thickBot="1" x14ac:dyDescent="0.3">
      <c r="A19" s="155" t="s">
        <v>181</v>
      </c>
    </row>
    <row r="20" spans="1:19" ht="16.5" thickTop="1" thickBot="1" x14ac:dyDescent="0.3">
      <c r="A20" s="55" t="s">
        <v>38</v>
      </c>
      <c r="B20" s="163">
        <f t="shared" ref="B20:Q20" si="15">B4</f>
        <v>2018</v>
      </c>
      <c r="C20" s="163">
        <f t="shared" si="15"/>
        <v>2019</v>
      </c>
      <c r="D20" s="163">
        <f t="shared" si="15"/>
        <v>2020</v>
      </c>
      <c r="E20" s="163">
        <f t="shared" si="15"/>
        <v>2021</v>
      </c>
      <c r="F20" s="163">
        <f t="shared" si="15"/>
        <v>2022</v>
      </c>
      <c r="G20" s="163">
        <f t="shared" si="15"/>
        <v>2023</v>
      </c>
      <c r="H20" s="163">
        <f t="shared" si="15"/>
        <v>2024</v>
      </c>
      <c r="I20" s="163">
        <f t="shared" si="15"/>
        <v>2025</v>
      </c>
      <c r="J20" s="163">
        <f t="shared" si="15"/>
        <v>2026</v>
      </c>
      <c r="K20" s="163">
        <f t="shared" si="15"/>
        <v>2027</v>
      </c>
      <c r="L20" s="163">
        <f t="shared" si="15"/>
        <v>2028</v>
      </c>
      <c r="M20" s="163">
        <f t="shared" si="15"/>
        <v>2029</v>
      </c>
      <c r="N20" s="163">
        <f t="shared" si="15"/>
        <v>2030</v>
      </c>
      <c r="O20" s="163">
        <f t="shared" si="15"/>
        <v>2031</v>
      </c>
      <c r="P20" s="163">
        <f t="shared" si="15"/>
        <v>2032</v>
      </c>
      <c r="Q20" s="163">
        <f t="shared" si="15"/>
        <v>2033</v>
      </c>
      <c r="R20" s="163">
        <f>R4</f>
        <v>2034</v>
      </c>
      <c r="S20" s="163">
        <f>S4</f>
        <v>2035</v>
      </c>
    </row>
    <row r="21" spans="1:19" x14ac:dyDescent="0.25">
      <c r="A21" s="155" t="s">
        <v>133</v>
      </c>
      <c r="B21" s="164">
        <f>monthly_data!T47/1000</f>
        <v>0.33305000000000001</v>
      </c>
      <c r="C21" s="164">
        <f>monthly_data!T59/1000</f>
        <v>0.42935000000000001</v>
      </c>
      <c r="D21" s="164">
        <f>monthly_data!T71/1000</f>
        <v>0.45054</v>
      </c>
      <c r="E21" s="164">
        <f>monthly_data!T83/1000</f>
        <v>7.8159999999999993E-2</v>
      </c>
      <c r="F21" s="164">
        <f>monthly_data!T95/1000</f>
        <v>0.2656</v>
      </c>
      <c r="G21" s="164">
        <f>monthly_data!T107/1000</f>
        <v>0.29114999999999996</v>
      </c>
      <c r="H21" s="164">
        <f>monthly_data!T119/1000</f>
        <v>0.24936000000000003</v>
      </c>
      <c r="I21" s="165">
        <f t="shared" ref="I21:I31" si="16">I$33*(SUM(D21:H21)/SUM(D$33:H$33))</f>
        <v>0.33641010615195238</v>
      </c>
      <c r="J21" s="165">
        <f t="shared" ref="J21:J31" si="17">J$33*(SUM(E21:I21)/SUM(E$33:I$33))</f>
        <v>0.28375327562188013</v>
      </c>
      <c r="K21" s="165">
        <f t="shared" ref="K21:S31" si="18">K$33*(SUM(F21:J21)/SUM(F$33:J$33))</f>
        <v>0.30537601553412708</v>
      </c>
      <c r="L21" s="165">
        <f t="shared" si="18"/>
        <v>0.31802788674308313</v>
      </c>
      <c r="M21" s="165">
        <f t="shared" si="18"/>
        <v>0.32320031097233676</v>
      </c>
      <c r="N21" s="165">
        <f t="shared" si="18"/>
        <v>0.33918582595588986</v>
      </c>
      <c r="O21" s="165">
        <f t="shared" si="18"/>
        <v>0.33978673499773582</v>
      </c>
      <c r="P21" s="165">
        <f t="shared" si="18"/>
        <v>0.35191728662513377</v>
      </c>
      <c r="Q21" s="165">
        <f t="shared" si="18"/>
        <v>0.36199289677062219</v>
      </c>
      <c r="R21" s="165">
        <f t="shared" si="18"/>
        <v>0.37151077822714246</v>
      </c>
      <c r="S21" s="165">
        <f t="shared" si="18"/>
        <v>0.38196939748259862</v>
      </c>
    </row>
    <row r="22" spans="1:19" x14ac:dyDescent="0.25">
      <c r="A22" s="155" t="s">
        <v>134</v>
      </c>
      <c r="B22" s="164">
        <f>monthly_data!T48/1000</f>
        <v>0.26573000000000002</v>
      </c>
      <c r="C22" s="164">
        <f>monthly_data!T60/1000</f>
        <v>0.38572000000000001</v>
      </c>
      <c r="D22" s="164">
        <f>monthly_data!T72/1000</f>
        <v>0.34679000000000004</v>
      </c>
      <c r="E22" s="164">
        <f>monthly_data!T84/1000</f>
        <v>7.2569999999999996E-2</v>
      </c>
      <c r="F22" s="164">
        <f>monthly_data!T96/1000</f>
        <v>0.20626</v>
      </c>
      <c r="G22" s="164">
        <f>monthly_data!T108/1000</f>
        <v>0.25530000000000003</v>
      </c>
      <c r="H22" s="164">
        <f>monthly_data!T120/1000</f>
        <v>0.22461</v>
      </c>
      <c r="I22" s="165">
        <f t="shared" si="16"/>
        <v>0.27862502127955885</v>
      </c>
      <c r="J22" s="165">
        <f t="shared" si="17"/>
        <v>0.24114075532168486</v>
      </c>
      <c r="K22" s="165">
        <f t="shared" si="18"/>
        <v>0.25820005277707514</v>
      </c>
      <c r="L22" s="165">
        <f t="shared" si="18"/>
        <v>0.27286910832401989</v>
      </c>
      <c r="M22" s="165">
        <f t="shared" si="18"/>
        <v>0.27611807011452189</v>
      </c>
      <c r="N22" s="165">
        <f t="shared" si="18"/>
        <v>0.28726893088077815</v>
      </c>
      <c r="O22" s="165">
        <f t="shared" si="18"/>
        <v>0.28914023050868121</v>
      </c>
      <c r="P22" s="165">
        <f t="shared" si="18"/>
        <v>0.29953152382395276</v>
      </c>
      <c r="Q22" s="165">
        <f t="shared" si="18"/>
        <v>0.30847927663013575</v>
      </c>
      <c r="R22" s="165">
        <f t="shared" si="18"/>
        <v>0.31618843808311942</v>
      </c>
      <c r="S22" s="165">
        <f t="shared" si="18"/>
        <v>0.32486317765455053</v>
      </c>
    </row>
    <row r="23" spans="1:19" x14ac:dyDescent="0.25">
      <c r="A23" s="155" t="s">
        <v>135</v>
      </c>
      <c r="B23" s="164">
        <f>monthly_data!T49/1000</f>
        <v>0.31445999999999996</v>
      </c>
      <c r="C23" s="164">
        <f>monthly_data!T61/1000</f>
        <v>0.40698000000000001</v>
      </c>
      <c r="D23" s="164">
        <f>monthly_data!T73/1000</f>
        <v>0.25019000000000002</v>
      </c>
      <c r="E23" s="164">
        <f>monthly_data!T85/1000</f>
        <v>9.6700000000000008E-2</v>
      </c>
      <c r="F23" s="164">
        <f>monthly_data!T97/1000</f>
        <v>0.23005</v>
      </c>
      <c r="G23" s="164">
        <f>monthly_data!T109/1000</f>
        <v>0.28952999999999995</v>
      </c>
      <c r="H23" s="164">
        <f>monthly_data!T121/1000</f>
        <v>0.21255000000000002</v>
      </c>
      <c r="I23" s="165">
        <f t="shared" si="16"/>
        <v>0.27194374685541728</v>
      </c>
      <c r="J23" s="165">
        <f t="shared" si="17"/>
        <v>0.25588043486137824</v>
      </c>
      <c r="K23" s="165">
        <f t="shared" si="18"/>
        <v>0.26976580554964652</v>
      </c>
      <c r="L23" s="165">
        <f t="shared" si="18"/>
        <v>0.2819354520200601</v>
      </c>
      <c r="M23" s="165">
        <f t="shared" si="18"/>
        <v>0.27971836822753016</v>
      </c>
      <c r="N23" s="165">
        <f t="shared" si="18"/>
        <v>0.29425949004274371</v>
      </c>
      <c r="O23" s="165">
        <f t="shared" si="18"/>
        <v>0.29909057271821859</v>
      </c>
      <c r="P23" s="165">
        <f t="shared" si="18"/>
        <v>0.30844503367668746</v>
      </c>
      <c r="Q23" s="165">
        <f t="shared" si="18"/>
        <v>0.31681860866080042</v>
      </c>
      <c r="R23" s="165">
        <f t="shared" si="18"/>
        <v>0.3243703810709016</v>
      </c>
      <c r="S23" s="165">
        <f t="shared" si="18"/>
        <v>0.33403699014871191</v>
      </c>
    </row>
    <row r="24" spans="1:19" x14ac:dyDescent="0.25">
      <c r="A24" s="155" t="s">
        <v>136</v>
      </c>
      <c r="B24" s="164">
        <f>monthly_data!T50/1000</f>
        <v>0.41320999999999997</v>
      </c>
      <c r="C24" s="164">
        <f>monthly_data!T62/1000</f>
        <v>0.37726999999999999</v>
      </c>
      <c r="D24" s="164">
        <f>monthly_data!T74/1000</f>
        <v>0.14837999999999998</v>
      </c>
      <c r="E24" s="164">
        <f>monthly_data!T86/1000</f>
        <v>8.9180000000000009E-2</v>
      </c>
      <c r="F24" s="164">
        <f>monthly_data!T98/1000</f>
        <v>0.30391000000000001</v>
      </c>
      <c r="G24" s="164">
        <f>monthly_data!T110/1000</f>
        <v>0.28091000000000005</v>
      </c>
      <c r="H24" s="164">
        <f>monthly_data!T122/1000</f>
        <v>0.22722999999999999</v>
      </c>
      <c r="I24" s="165">
        <f t="shared" si="16"/>
        <v>0.26453158990279574</v>
      </c>
      <c r="J24" s="165">
        <f t="shared" si="17"/>
        <v>0.27098718825840529</v>
      </c>
      <c r="K24" s="165">
        <f t="shared" si="18"/>
        <v>0.28852475927249305</v>
      </c>
      <c r="L24" s="165">
        <f t="shared" si="18"/>
        <v>0.28898856746705226</v>
      </c>
      <c r="M24" s="165">
        <f t="shared" si="18"/>
        <v>0.29015018595744935</v>
      </c>
      <c r="N24" s="165">
        <f t="shared" si="18"/>
        <v>0.30377162880006642</v>
      </c>
      <c r="O24" s="165">
        <f t="shared" si="18"/>
        <v>0.31226661238677605</v>
      </c>
      <c r="P24" s="165">
        <f t="shared" si="18"/>
        <v>0.32120309767817373</v>
      </c>
      <c r="Q24" s="165">
        <f t="shared" si="18"/>
        <v>0.32827755418225485</v>
      </c>
      <c r="R24" s="165">
        <f t="shared" si="18"/>
        <v>0.33678313436676666</v>
      </c>
      <c r="S24" s="165">
        <f t="shared" si="18"/>
        <v>0.34687859151894035</v>
      </c>
    </row>
    <row r="25" spans="1:19" x14ac:dyDescent="0.25">
      <c r="A25" s="155" t="s">
        <v>93</v>
      </c>
      <c r="B25" s="164">
        <f>monthly_data!T51/1000</f>
        <v>0.44026999999999999</v>
      </c>
      <c r="C25" s="164">
        <f>monthly_data!T63/1000</f>
        <v>0.36510000000000004</v>
      </c>
      <c r="D25" s="164">
        <f>monthly_data!T75/1000</f>
        <v>8.3400000000000002E-2</v>
      </c>
      <c r="E25" s="164">
        <f>monthly_data!T87/1000</f>
        <v>0.10542</v>
      </c>
      <c r="F25" s="164">
        <f>monthly_data!T99/1000</f>
        <v>0.38735000000000003</v>
      </c>
      <c r="G25" s="164">
        <f>monthly_data!T111/1000</f>
        <v>0.32567000000000002</v>
      </c>
      <c r="H25" s="164">
        <f>monthly_data!T123/1000</f>
        <v>0.30543999999999999</v>
      </c>
      <c r="I25" s="165">
        <f t="shared" si="16"/>
        <v>0.3042689168908902</v>
      </c>
      <c r="J25" s="165">
        <f t="shared" si="17"/>
        <v>0.33198045188194875</v>
      </c>
      <c r="K25" s="165">
        <f t="shared" si="18"/>
        <v>0.35428590364239715</v>
      </c>
      <c r="L25" s="165">
        <f t="shared" si="18"/>
        <v>0.35178106548124344</v>
      </c>
      <c r="M25" s="165">
        <f t="shared" si="18"/>
        <v>0.35671888812273389</v>
      </c>
      <c r="N25" s="165">
        <f t="shared" si="18"/>
        <v>0.36782013381945106</v>
      </c>
      <c r="O25" s="165">
        <f t="shared" si="18"/>
        <v>0.38157818707054242</v>
      </c>
      <c r="P25" s="165">
        <f t="shared" si="18"/>
        <v>0.3923154839286852</v>
      </c>
      <c r="Q25" s="165">
        <f t="shared" si="18"/>
        <v>0.40054841818206943</v>
      </c>
      <c r="R25" s="165">
        <f t="shared" si="18"/>
        <v>0.41110594749149143</v>
      </c>
      <c r="S25" s="165">
        <f t="shared" si="18"/>
        <v>0.42288007385962639</v>
      </c>
    </row>
    <row r="26" spans="1:19" x14ac:dyDescent="0.25">
      <c r="A26" s="155" t="s">
        <v>137</v>
      </c>
      <c r="B26" s="164">
        <f>monthly_data!T52/1000</f>
        <v>0.50400999999999996</v>
      </c>
      <c r="C26" s="164">
        <f>monthly_data!T64/1000</f>
        <v>0.38862999999999998</v>
      </c>
      <c r="D26" s="164">
        <f>monthly_data!T76/1000</f>
        <v>8.1680000000000003E-2</v>
      </c>
      <c r="E26" s="164">
        <f>monthly_data!T88/1000</f>
        <v>0.10814</v>
      </c>
      <c r="F26" s="164">
        <f>monthly_data!T100/1000</f>
        <v>0.32133</v>
      </c>
      <c r="G26" s="164">
        <f>monthly_data!T112/1000</f>
        <v>0.31195999999999996</v>
      </c>
      <c r="H26" s="164">
        <f>monthly_data!T124/1000</f>
        <v>0.32474000000000003</v>
      </c>
      <c r="I26" s="165">
        <f t="shared" si="16"/>
        <v>0.28929086562620787</v>
      </c>
      <c r="J26" s="165">
        <f t="shared" si="17"/>
        <v>0.31508374606936362</v>
      </c>
      <c r="K26" s="165">
        <f t="shared" si="18"/>
        <v>0.33452275073545246</v>
      </c>
      <c r="L26" s="165">
        <f t="shared" si="18"/>
        <v>0.34179196175247017</v>
      </c>
      <c r="M26" s="165">
        <f t="shared" si="18"/>
        <v>0.34755561262987378</v>
      </c>
      <c r="N26" s="165">
        <f t="shared" si="18"/>
        <v>0.35249491086346901</v>
      </c>
      <c r="O26" s="165">
        <f t="shared" si="18"/>
        <v>0.36617780573291137</v>
      </c>
      <c r="P26" s="165">
        <f t="shared" si="18"/>
        <v>0.37723903835188272</v>
      </c>
      <c r="Q26" s="165">
        <f t="shared" si="18"/>
        <v>0.38648658683512283</v>
      </c>
      <c r="R26" s="165">
        <f t="shared" si="18"/>
        <v>0.39616242093623738</v>
      </c>
      <c r="S26" s="165">
        <f t="shared" si="18"/>
        <v>0.40668519436788192</v>
      </c>
    </row>
    <row r="27" spans="1:19" x14ac:dyDescent="0.25">
      <c r="A27" s="155" t="s">
        <v>138</v>
      </c>
      <c r="B27" s="164">
        <f>monthly_data!T53/1000</f>
        <v>0.54142999999999997</v>
      </c>
      <c r="C27" s="164">
        <f>monthly_data!T65/1000</f>
        <v>0.51912999999999998</v>
      </c>
      <c r="D27" s="164">
        <f>monthly_data!T77/1000</f>
        <v>0.10981999999999999</v>
      </c>
      <c r="E27" s="164">
        <f>monthly_data!T89/1000</f>
        <v>0.17080999999999999</v>
      </c>
      <c r="F27" s="164">
        <f>monthly_data!T101/1000</f>
        <v>0.35557</v>
      </c>
      <c r="G27" s="164">
        <f>monthly_data!T113/1000</f>
        <v>0.39051999999999998</v>
      </c>
      <c r="H27" s="164">
        <f>monthly_data!T125/1000</f>
        <v>0.32348000000000005</v>
      </c>
      <c r="I27" s="165">
        <f t="shared" si="16"/>
        <v>0.34028882412205941</v>
      </c>
      <c r="J27" s="165">
        <f t="shared" si="17"/>
        <v>0.36743447710631189</v>
      </c>
      <c r="K27" s="165">
        <f t="shared" si="18"/>
        <v>0.38053205907104209</v>
      </c>
      <c r="L27" s="165">
        <f t="shared" si="18"/>
        <v>0.3909605397061639</v>
      </c>
      <c r="M27" s="165">
        <f t="shared" si="18"/>
        <v>0.39026138894681695</v>
      </c>
      <c r="N27" s="165">
        <f t="shared" si="18"/>
        <v>0.40471873452912044</v>
      </c>
      <c r="O27" s="165">
        <f t="shared" si="18"/>
        <v>0.41866701406151469</v>
      </c>
      <c r="P27" s="165">
        <f t="shared" si="18"/>
        <v>0.42975822530315821</v>
      </c>
      <c r="Q27" s="165">
        <f t="shared" si="18"/>
        <v>0.44041508207318414</v>
      </c>
      <c r="R27" s="165">
        <f t="shared" si="18"/>
        <v>0.45112137945469083</v>
      </c>
      <c r="S27" s="165">
        <f t="shared" si="18"/>
        <v>0.46429681543744278</v>
      </c>
    </row>
    <row r="28" spans="1:19" x14ac:dyDescent="0.25">
      <c r="A28" s="155" t="s">
        <v>139</v>
      </c>
      <c r="B28" s="164">
        <f>monthly_data!T54/1000</f>
        <v>0.58477999999999997</v>
      </c>
      <c r="C28" s="164">
        <f>monthly_data!T66/1000</f>
        <v>0.56787999999999994</v>
      </c>
      <c r="D28" s="164">
        <f>monthly_data!T78/1000</f>
        <v>7.4740000000000001E-2</v>
      </c>
      <c r="E28" s="164">
        <f>monthly_data!T90/1000</f>
        <v>0.21284999999999998</v>
      </c>
      <c r="F28" s="164">
        <f>monthly_data!T102/1000</f>
        <v>0.36760999999999999</v>
      </c>
      <c r="G28" s="164">
        <f>monthly_data!T114/1000</f>
        <v>0.33812999999999999</v>
      </c>
      <c r="H28" s="164">
        <f>monthly_data!T126/1000</f>
        <v>0.3553</v>
      </c>
      <c r="I28" s="165">
        <f t="shared" si="16"/>
        <v>0.33989313944284771</v>
      </c>
      <c r="J28" s="165">
        <f t="shared" si="17"/>
        <v>0.37513206748637484</v>
      </c>
      <c r="K28" s="165">
        <f t="shared" si="18"/>
        <v>0.3802691147094866</v>
      </c>
      <c r="L28" s="165">
        <f t="shared" si="18"/>
        <v>0.38802527187780522</v>
      </c>
      <c r="M28" s="165">
        <f t="shared" si="18"/>
        <v>0.39803842473284978</v>
      </c>
      <c r="N28" s="165">
        <f t="shared" si="18"/>
        <v>0.40729076562827715</v>
      </c>
      <c r="O28" s="165">
        <f t="shared" si="18"/>
        <v>0.42188151895875453</v>
      </c>
      <c r="P28" s="165">
        <f t="shared" si="18"/>
        <v>0.43200219758461489</v>
      </c>
      <c r="Q28" s="165">
        <f t="shared" si="18"/>
        <v>0.44320177083337303</v>
      </c>
      <c r="R28" s="165">
        <f t="shared" si="18"/>
        <v>0.45514680111804601</v>
      </c>
      <c r="S28" s="165">
        <f t="shared" si="18"/>
        <v>0.46751005899671283</v>
      </c>
    </row>
    <row r="29" spans="1:19" x14ac:dyDescent="0.25">
      <c r="A29" s="155" t="s">
        <v>140</v>
      </c>
      <c r="B29" s="164">
        <f>monthly_data!T55/1000</f>
        <v>0.46399000000000001</v>
      </c>
      <c r="C29" s="164">
        <f>monthly_data!T67/1000</f>
        <v>0.45541999999999999</v>
      </c>
      <c r="D29" s="164">
        <f>monthly_data!T79/1000</f>
        <v>0.10804999999999999</v>
      </c>
      <c r="E29" s="164">
        <f>monthly_data!T91/1000</f>
        <v>0.18587999999999999</v>
      </c>
      <c r="F29" s="164">
        <f>monthly_data!T103/1000</f>
        <v>0.32880999999999999</v>
      </c>
      <c r="G29" s="164">
        <f>monthly_data!T115/1000</f>
        <v>0.28014999999999995</v>
      </c>
      <c r="H29" s="164">
        <f>monthly_data!T127/1000</f>
        <v>0.30932999999999999</v>
      </c>
      <c r="I29" s="165">
        <f t="shared" si="16"/>
        <v>0.30551393747388739</v>
      </c>
      <c r="J29" s="165">
        <f t="shared" si="17"/>
        <v>0.32768817385803467</v>
      </c>
      <c r="K29" s="165">
        <f t="shared" si="18"/>
        <v>0.33218630112968228</v>
      </c>
      <c r="L29" s="165">
        <f t="shared" si="18"/>
        <v>0.33729526186958564</v>
      </c>
      <c r="M29" s="165">
        <f t="shared" si="18"/>
        <v>0.34898104308319866</v>
      </c>
      <c r="N29" s="165">
        <f t="shared" si="18"/>
        <v>0.35756500399795488</v>
      </c>
      <c r="O29" s="165">
        <f t="shared" si="18"/>
        <v>0.36883341677782705</v>
      </c>
      <c r="P29" s="165">
        <f t="shared" si="18"/>
        <v>0.37774085349545788</v>
      </c>
      <c r="Q29" s="165">
        <f t="shared" si="18"/>
        <v>0.38760285122844379</v>
      </c>
      <c r="R29" s="165">
        <f t="shared" si="18"/>
        <v>0.39849382274376888</v>
      </c>
      <c r="S29" s="165">
        <f t="shared" si="18"/>
        <v>0.40921272777977197</v>
      </c>
    </row>
    <row r="30" spans="1:19" x14ac:dyDescent="0.25">
      <c r="A30" s="155" t="s">
        <v>141</v>
      </c>
      <c r="B30" s="164">
        <f>monthly_data!T56/1000</f>
        <v>0.46575</v>
      </c>
      <c r="C30" s="164">
        <f>monthly_data!T68/1000</f>
        <v>0.48557</v>
      </c>
      <c r="D30" s="164">
        <f>monthly_data!T80/1000</f>
        <v>0.11452</v>
      </c>
      <c r="E30" s="164">
        <f>monthly_data!T92/1000</f>
        <v>0.21668999999999999</v>
      </c>
      <c r="F30" s="164">
        <f>monthly_data!T104/1000</f>
        <v>0.26571</v>
      </c>
      <c r="G30" s="164">
        <f>monthly_data!T116/1000</f>
        <v>0.17252999999999999</v>
      </c>
      <c r="H30" s="164">
        <f>monthly_data!T128/1000</f>
        <v>0.29599999999999999</v>
      </c>
      <c r="I30" s="165">
        <f t="shared" si="16"/>
        <v>0.26852372067904617</v>
      </c>
      <c r="J30" s="165">
        <f t="shared" si="17"/>
        <v>0.28346819610484825</v>
      </c>
      <c r="K30" s="165">
        <f t="shared" si="18"/>
        <v>0.27539206916403997</v>
      </c>
      <c r="L30" s="165">
        <f t="shared" si="18"/>
        <v>0.28112066831350646</v>
      </c>
      <c r="M30" s="165">
        <f t="shared" si="18"/>
        <v>0.30405790413826472</v>
      </c>
      <c r="N30" s="165">
        <f t="shared" si="18"/>
        <v>0.30580234082389196</v>
      </c>
      <c r="O30" s="165">
        <f t="shared" si="18"/>
        <v>0.31387270148522339</v>
      </c>
      <c r="P30" s="165">
        <f t="shared" si="18"/>
        <v>0.32045490123391607</v>
      </c>
      <c r="Q30" s="165">
        <f t="shared" si="18"/>
        <v>0.33021044759834317</v>
      </c>
      <c r="R30" s="165">
        <f t="shared" si="18"/>
        <v>0.34083777827942685</v>
      </c>
      <c r="S30" s="165">
        <f t="shared" si="18"/>
        <v>0.3488001665932709</v>
      </c>
    </row>
    <row r="31" spans="1:19" x14ac:dyDescent="0.25">
      <c r="A31" s="155" t="s">
        <v>142</v>
      </c>
      <c r="B31" s="164">
        <f>monthly_data!T57/1000</f>
        <v>0.40506999999999999</v>
      </c>
      <c r="C31" s="164">
        <f>monthly_data!T69/1000</f>
        <v>0.38186999999999999</v>
      </c>
      <c r="D31" s="164">
        <f>monthly_data!T81/1000</f>
        <v>7.4579999999999994E-2</v>
      </c>
      <c r="E31" s="164">
        <f>monthly_data!T93/1000</f>
        <v>0.26318000000000003</v>
      </c>
      <c r="F31" s="164">
        <f>monthly_data!T105/1000</f>
        <v>0.23049</v>
      </c>
      <c r="G31" s="164">
        <f>monthly_data!T117/1000</f>
        <v>0.16356999999999999</v>
      </c>
      <c r="H31" s="164">
        <f>monthly_data!T129/1000</f>
        <v>0.30099999999999999</v>
      </c>
      <c r="I31" s="165">
        <f t="shared" si="16"/>
        <v>0.26030003209135344</v>
      </c>
      <c r="J31" s="165">
        <f t="shared" si="17"/>
        <v>0.28325580456315808</v>
      </c>
      <c r="K31" s="165">
        <f t="shared" si="18"/>
        <v>0.26519710302986138</v>
      </c>
      <c r="L31" s="165">
        <f t="shared" si="18"/>
        <v>0.27622002668730461</v>
      </c>
      <c r="M31" s="165">
        <f t="shared" si="18"/>
        <v>0.30004602268040736</v>
      </c>
      <c r="N31" s="165">
        <f t="shared" si="18"/>
        <v>0.29983949837768559</v>
      </c>
      <c r="O31" s="165">
        <f t="shared" si="18"/>
        <v>0.30839930429451951</v>
      </c>
      <c r="P31" s="165">
        <f t="shared" si="18"/>
        <v>0.31384256132312571</v>
      </c>
      <c r="Q31" s="165">
        <f t="shared" si="18"/>
        <v>0.32437370199939008</v>
      </c>
      <c r="R31" s="165">
        <f t="shared" si="18"/>
        <v>0.33479837773650722</v>
      </c>
      <c r="S31" s="165">
        <f t="shared" si="18"/>
        <v>0.34232183321966686</v>
      </c>
    </row>
    <row r="32" spans="1:19" x14ac:dyDescent="0.25">
      <c r="A32" s="155" t="s">
        <v>143</v>
      </c>
      <c r="B32" s="164">
        <f>monthly_data!T58/1000</f>
        <v>0.3972</v>
      </c>
      <c r="C32" s="164">
        <f>monthly_data!T70/1000</f>
        <v>0.42241000000000001</v>
      </c>
      <c r="D32" s="164">
        <f>monthly_data!T82/1000</f>
        <v>0.10009</v>
      </c>
      <c r="E32" s="164">
        <f>monthly_data!T94/1000</f>
        <v>0.23416999999999999</v>
      </c>
      <c r="F32" s="164">
        <f>monthly_data!T106/1000</f>
        <v>0.22712000000000002</v>
      </c>
      <c r="G32" s="164">
        <f>monthly_data!T118/1000</f>
        <v>0.21521999999999999</v>
      </c>
      <c r="H32" s="164">
        <f>monthly_data!T130/1000</f>
        <v>0.312</v>
      </c>
      <c r="I32" s="165">
        <f t="shared" ref="I32:Q32" si="19">I33-SUM(I21:I31)</f>
        <v>0.27435817948398311</v>
      </c>
      <c r="J32" s="165">
        <f t="shared" si="19"/>
        <v>0.29356010702661006</v>
      </c>
      <c r="K32" s="165">
        <f t="shared" si="19"/>
        <v>0.28310558985501544</v>
      </c>
      <c r="L32" s="165">
        <f t="shared" si="19"/>
        <v>0.29898036738872191</v>
      </c>
      <c r="M32" s="165">
        <f t="shared" si="19"/>
        <v>0.31650585482107152</v>
      </c>
      <c r="N32" s="165">
        <f t="shared" si="19"/>
        <v>0.31748131671725588</v>
      </c>
      <c r="O32" s="165">
        <f t="shared" si="19"/>
        <v>0.32681694311566778</v>
      </c>
      <c r="P32" s="165">
        <f t="shared" si="19"/>
        <v>0.33401663722050845</v>
      </c>
      <c r="Q32" s="165">
        <f t="shared" si="19"/>
        <v>0.345038249938181</v>
      </c>
      <c r="R32" s="165">
        <f t="shared" ref="R32:S32" si="20">R33-SUM(R21:R31)</f>
        <v>0.35500921243698258</v>
      </c>
      <c r="S32" s="165">
        <f t="shared" si="20"/>
        <v>0.36334471362842358</v>
      </c>
    </row>
    <row r="33" spans="1:19" ht="15.75" thickBot="1" x14ac:dyDescent="0.3">
      <c r="A33" s="155" t="s">
        <v>174</v>
      </c>
      <c r="B33" s="166">
        <f t="shared" ref="B33:H33" si="21">SUM(B21:B32)</f>
        <v>5.1289499999999997</v>
      </c>
      <c r="C33" s="166">
        <f t="shared" si="21"/>
        <v>5.1853300000000004</v>
      </c>
      <c r="D33" s="166">
        <f t="shared" si="21"/>
        <v>1.94278</v>
      </c>
      <c r="E33" s="166">
        <f t="shared" si="21"/>
        <v>1.83375</v>
      </c>
      <c r="F33" s="166">
        <f t="shared" si="21"/>
        <v>3.4898100000000003</v>
      </c>
      <c r="G33" s="166">
        <f t="shared" si="21"/>
        <v>3.3146399999999998</v>
      </c>
      <c r="H33" s="166">
        <f t="shared" si="21"/>
        <v>3.4410400000000001</v>
      </c>
      <c r="I33" s="166">
        <f t="shared" ref="I33:S33" si="22">I6</f>
        <v>3.5339480799999996</v>
      </c>
      <c r="J33" s="166">
        <f t="shared" si="22"/>
        <v>3.6293646781599991</v>
      </c>
      <c r="K33" s="166">
        <f t="shared" si="22"/>
        <v>3.7273575244703188</v>
      </c>
      <c r="L33" s="166">
        <f t="shared" si="22"/>
        <v>3.8279961776310172</v>
      </c>
      <c r="M33" s="166">
        <f t="shared" si="22"/>
        <v>3.9313520744270543</v>
      </c>
      <c r="N33" s="166">
        <f t="shared" si="22"/>
        <v>4.0374985804365844</v>
      </c>
      <c r="O33" s="166">
        <f t="shared" si="22"/>
        <v>4.1465110421083722</v>
      </c>
      <c r="P33" s="166">
        <f t="shared" si="22"/>
        <v>4.2584668402452976</v>
      </c>
      <c r="Q33" s="166">
        <f t="shared" si="22"/>
        <v>4.37344544493192</v>
      </c>
      <c r="R33" s="166">
        <f t="shared" si="22"/>
        <v>4.4915284719450819</v>
      </c>
      <c r="S33" s="166">
        <f t="shared" si="22"/>
        <v>4.6127997406875991</v>
      </c>
    </row>
    <row r="34" spans="1:19" x14ac:dyDescent="0.25">
      <c r="A34" s="167"/>
      <c r="B34" s="167"/>
      <c r="C34" s="167"/>
      <c r="D34" s="167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7"/>
      <c r="R34" s="167"/>
      <c r="S34" s="167"/>
    </row>
    <row r="35" spans="1:19" ht="15.75" thickBot="1" x14ac:dyDescent="0.3">
      <c r="A35" s="155" t="s">
        <v>182</v>
      </c>
    </row>
    <row r="36" spans="1:19" ht="16.5" thickTop="1" thickBot="1" x14ac:dyDescent="0.3">
      <c r="A36" s="55" t="s">
        <v>38</v>
      </c>
      <c r="B36" s="163">
        <f t="shared" ref="B36:S36" si="23">B20</f>
        <v>2018</v>
      </c>
      <c r="C36" s="163">
        <f t="shared" si="23"/>
        <v>2019</v>
      </c>
      <c r="D36" s="163">
        <f t="shared" si="23"/>
        <v>2020</v>
      </c>
      <c r="E36" s="163">
        <f t="shared" si="23"/>
        <v>2021</v>
      </c>
      <c r="F36" s="163">
        <f t="shared" si="23"/>
        <v>2022</v>
      </c>
      <c r="G36" s="163">
        <f t="shared" si="23"/>
        <v>2023</v>
      </c>
      <c r="H36" s="163">
        <f t="shared" si="23"/>
        <v>2024</v>
      </c>
      <c r="I36" s="163">
        <f t="shared" si="23"/>
        <v>2025</v>
      </c>
      <c r="J36" s="163">
        <f t="shared" si="23"/>
        <v>2026</v>
      </c>
      <c r="K36" s="163">
        <f t="shared" si="23"/>
        <v>2027</v>
      </c>
      <c r="L36" s="163">
        <f t="shared" si="23"/>
        <v>2028</v>
      </c>
      <c r="M36" s="163">
        <f t="shared" si="23"/>
        <v>2029</v>
      </c>
      <c r="N36" s="163">
        <f t="shared" si="23"/>
        <v>2030</v>
      </c>
      <c r="O36" s="163">
        <f t="shared" si="23"/>
        <v>2031</v>
      </c>
      <c r="P36" s="163">
        <f t="shared" si="23"/>
        <v>2032</v>
      </c>
      <c r="Q36" s="163">
        <f t="shared" si="23"/>
        <v>2033</v>
      </c>
      <c r="R36" s="163">
        <f t="shared" si="23"/>
        <v>2034</v>
      </c>
      <c r="S36" s="163">
        <f t="shared" si="23"/>
        <v>2035</v>
      </c>
    </row>
    <row r="37" spans="1:19" x14ac:dyDescent="0.25">
      <c r="A37" s="155" t="s">
        <v>133</v>
      </c>
      <c r="B37" s="164">
        <f>monthly_data!W47/1000</f>
        <v>0.88563999999999998</v>
      </c>
      <c r="C37" s="164">
        <f>monthly_data!W59/1000</f>
        <v>0.71538999999999997</v>
      </c>
      <c r="D37" s="164">
        <f>monthly_data!W71/1000</f>
        <v>0.89933000000000007</v>
      </c>
      <c r="E37" s="164">
        <f>monthly_data!W83/1000</f>
        <v>0.52339999999999998</v>
      </c>
      <c r="F37" s="164">
        <f>monthly_data!W95/1000</f>
        <v>0.46106000000000003</v>
      </c>
      <c r="G37" s="164">
        <f>monthly_data!W107/1000</f>
        <v>0.7845700000000001</v>
      </c>
      <c r="H37" s="164">
        <f>monthly_data!W119/1000</f>
        <v>0.76188</v>
      </c>
      <c r="I37" s="165">
        <f t="shared" ref="I37:I47" si="24">I$49*(SUM(D37:H37)/SUM(D$49:H$49))</f>
        <v>0.98748124645680624</v>
      </c>
      <c r="J37" s="165">
        <f t="shared" ref="J37:J47" si="25">J$49*(SUM(E37:I37)/SUM(E$49:I$49))</f>
        <v>0.91012838472590551</v>
      </c>
      <c r="K37" s="165">
        <f t="shared" ref="K37:S47" si="26">K$49*(SUM(F37:J37)/SUM(F$49:J$49))</f>
        <v>0.89643486940412165</v>
      </c>
      <c r="L37" s="165">
        <f t="shared" si="26"/>
        <v>0.95024495807113729</v>
      </c>
      <c r="M37" s="165">
        <f t="shared" si="26"/>
        <v>0.97553001133477091</v>
      </c>
      <c r="N37" s="165">
        <f t="shared" si="26"/>
        <v>1.021782599012899</v>
      </c>
      <c r="O37" s="165">
        <f t="shared" si="26"/>
        <v>1.0292084180272176</v>
      </c>
      <c r="P37" s="165">
        <f t="shared" si="26"/>
        <v>1.0549877739307061</v>
      </c>
      <c r="Q37" s="165">
        <f t="shared" si="26"/>
        <v>1.0893125187431314</v>
      </c>
      <c r="R37" s="165">
        <f t="shared" si="26"/>
        <v>1.1194189273643143</v>
      </c>
      <c r="S37" s="165">
        <f t="shared" si="26"/>
        <v>1.1505690998496276</v>
      </c>
    </row>
    <row r="38" spans="1:19" x14ac:dyDescent="0.25">
      <c r="A38" s="155" t="s">
        <v>134</v>
      </c>
      <c r="B38" s="164">
        <f>monthly_data!W48/1000</f>
        <v>0.79413</v>
      </c>
      <c r="C38" s="164">
        <f>monthly_data!W60/1000</f>
        <v>0.68474000000000002</v>
      </c>
      <c r="D38" s="164">
        <f>monthly_data!W72/1000</f>
        <v>0.63040999999999991</v>
      </c>
      <c r="E38" s="164">
        <f>monthly_data!W84/1000</f>
        <v>0.31494</v>
      </c>
      <c r="F38" s="164">
        <f>monthly_data!W96/1000</f>
        <v>0.42535000000000001</v>
      </c>
      <c r="G38" s="164">
        <f>monthly_data!W108/1000</f>
        <v>0.64885000000000004</v>
      </c>
      <c r="H38" s="164">
        <f>monthly_data!W120/1000</f>
        <v>0.85162000000000004</v>
      </c>
      <c r="I38" s="165">
        <f t="shared" si="24"/>
        <v>0.82653882246996946</v>
      </c>
      <c r="J38" s="165">
        <f t="shared" si="25"/>
        <v>0.79344095844303286</v>
      </c>
      <c r="K38" s="165">
        <f t="shared" si="26"/>
        <v>0.81395164904928652</v>
      </c>
      <c r="L38" s="165">
        <f t="shared" si="26"/>
        <v>0.86134082679843837</v>
      </c>
      <c r="M38" s="165">
        <f t="shared" si="26"/>
        <v>0.89775093621238866</v>
      </c>
      <c r="N38" s="165">
        <f t="shared" si="26"/>
        <v>0.90773771392659319</v>
      </c>
      <c r="O38" s="165">
        <f t="shared" si="26"/>
        <v>0.92531627066525635</v>
      </c>
      <c r="P38" s="165">
        <f t="shared" si="26"/>
        <v>0.95386564636166793</v>
      </c>
      <c r="Q38" s="165">
        <f t="shared" si="26"/>
        <v>0.98415529805725488</v>
      </c>
      <c r="R38" s="165">
        <f t="shared" si="26"/>
        <v>1.0107431136372906</v>
      </c>
      <c r="S38" s="165">
        <f t="shared" si="26"/>
        <v>1.0352045239626986</v>
      </c>
    </row>
    <row r="39" spans="1:19" x14ac:dyDescent="0.25">
      <c r="A39" s="155" t="s">
        <v>135</v>
      </c>
      <c r="B39" s="164">
        <f>monthly_data!W49/1000</f>
        <v>0.69583000000000006</v>
      </c>
      <c r="C39" s="164">
        <f>monthly_data!W61/1000</f>
        <v>0.79657</v>
      </c>
      <c r="D39" s="164">
        <f>monthly_data!W73/1000</f>
        <v>0.65242</v>
      </c>
      <c r="E39" s="164">
        <f>monthly_data!W85/1000</f>
        <v>0.37617</v>
      </c>
      <c r="F39" s="164">
        <f>monthly_data!W97/1000</f>
        <v>0.35694999999999999</v>
      </c>
      <c r="G39" s="164">
        <f>monthly_data!W109/1000</f>
        <v>0.70161000000000007</v>
      </c>
      <c r="H39" s="164">
        <f>monthly_data!W121/1000</f>
        <v>0.86614000000000002</v>
      </c>
      <c r="I39" s="165">
        <f t="shared" si="24"/>
        <v>0.85017913917055987</v>
      </c>
      <c r="J39" s="165">
        <f t="shared" si="25"/>
        <v>0.81510527463747318</v>
      </c>
      <c r="K39" s="165">
        <f t="shared" si="26"/>
        <v>0.82409439737961865</v>
      </c>
      <c r="L39" s="165">
        <f t="shared" si="26"/>
        <v>0.88820898092486511</v>
      </c>
      <c r="M39" s="165">
        <f t="shared" si="26"/>
        <v>0.91871463315410851</v>
      </c>
      <c r="N39" s="165">
        <f t="shared" si="26"/>
        <v>0.93009639164040003</v>
      </c>
      <c r="O39" s="165">
        <f t="shared" si="26"/>
        <v>0.94739748937385393</v>
      </c>
      <c r="P39" s="165">
        <f t="shared" si="26"/>
        <v>0.97603711931349646</v>
      </c>
      <c r="Q39" s="165">
        <f t="shared" si="26"/>
        <v>1.008930841267428</v>
      </c>
      <c r="R39" s="165">
        <f t="shared" si="26"/>
        <v>1.0350656324395755</v>
      </c>
      <c r="S39" s="165">
        <f t="shared" si="26"/>
        <v>1.0602541861975086</v>
      </c>
    </row>
    <row r="40" spans="1:19" x14ac:dyDescent="0.25">
      <c r="A40" s="155" t="s">
        <v>136</v>
      </c>
      <c r="B40" s="164">
        <f>monthly_data!W50/1000</f>
        <v>0.87226999999999999</v>
      </c>
      <c r="C40" s="164">
        <f>monthly_data!W62/1000</f>
        <v>0.68764999999999998</v>
      </c>
      <c r="D40" s="164">
        <f>monthly_data!W74/1000</f>
        <v>0.34583999999999998</v>
      </c>
      <c r="E40" s="164">
        <f>monthly_data!W86/1000</f>
        <v>0.40150999999999998</v>
      </c>
      <c r="F40" s="164">
        <f>monthly_data!W98/1000</f>
        <v>0.78007000000000004</v>
      </c>
      <c r="G40" s="164">
        <f>monthly_data!W110/1000</f>
        <v>0.87153000000000003</v>
      </c>
      <c r="H40" s="164">
        <f>monthly_data!W122/1000</f>
        <v>0.88515999999999995</v>
      </c>
      <c r="I40" s="165">
        <f t="shared" si="24"/>
        <v>0.945414034091277</v>
      </c>
      <c r="J40" s="165">
        <f t="shared" si="25"/>
        <v>1.0046213820855912</v>
      </c>
      <c r="K40" s="165">
        <f t="shared" si="26"/>
        <v>1.0299607291993189</v>
      </c>
      <c r="L40" s="165">
        <f t="shared" si="26"/>
        <v>1.0369814146753544</v>
      </c>
      <c r="M40" s="165">
        <f t="shared" si="26"/>
        <v>1.0612522128597262</v>
      </c>
      <c r="N40" s="165">
        <f t="shared" si="26"/>
        <v>1.0993740012174533</v>
      </c>
      <c r="O40" s="165">
        <f t="shared" si="26"/>
        <v>1.1327044318312258</v>
      </c>
      <c r="P40" s="165">
        <f t="shared" si="26"/>
        <v>1.1604328295571653</v>
      </c>
      <c r="Q40" s="165">
        <f t="shared" si="26"/>
        <v>1.1886784272224757</v>
      </c>
      <c r="R40" s="165">
        <f t="shared" si="26"/>
        <v>1.2215189561300632</v>
      </c>
      <c r="S40" s="165">
        <f t="shared" si="26"/>
        <v>1.2562147258549905</v>
      </c>
    </row>
    <row r="41" spans="1:19" x14ac:dyDescent="0.25">
      <c r="A41" s="155" t="s">
        <v>93</v>
      </c>
      <c r="B41" s="164">
        <f>monthly_data!W51/1000</f>
        <v>0.75584000000000007</v>
      </c>
      <c r="C41" s="164">
        <f>monthly_data!W63/1000</f>
        <v>0.85539999999999994</v>
      </c>
      <c r="D41" s="164">
        <f>monthly_data!W75/1000</f>
        <v>0.44097000000000003</v>
      </c>
      <c r="E41" s="164">
        <f>monthly_data!W87/1000</f>
        <v>0.34094000000000002</v>
      </c>
      <c r="F41" s="164">
        <f>monthly_data!W99/1000</f>
        <v>0.61721000000000004</v>
      </c>
      <c r="G41" s="164">
        <f>monthly_data!W111/1000</f>
        <v>0.63111000000000006</v>
      </c>
      <c r="H41" s="164">
        <f>monthly_data!W123/1000</f>
        <v>0.86482000000000003</v>
      </c>
      <c r="I41" s="165">
        <f t="shared" si="24"/>
        <v>0.83341328378037027</v>
      </c>
      <c r="J41" s="165">
        <f t="shared" si="25"/>
        <v>0.85040029450318355</v>
      </c>
      <c r="K41" s="165">
        <f t="shared" si="26"/>
        <v>0.87160494595431182</v>
      </c>
      <c r="L41" s="165">
        <f t="shared" si="26"/>
        <v>0.88694352867524351</v>
      </c>
      <c r="M41" s="165">
        <f t="shared" si="26"/>
        <v>0.93245169660144667</v>
      </c>
      <c r="N41" s="165">
        <f t="shared" si="26"/>
        <v>0.94709312328490902</v>
      </c>
      <c r="O41" s="165">
        <f t="shared" si="26"/>
        <v>0.97170340395407517</v>
      </c>
      <c r="P41" s="165">
        <f t="shared" si="26"/>
        <v>0.99796402837648956</v>
      </c>
      <c r="Q41" s="165">
        <f t="shared" si="26"/>
        <v>1.0253192084775662</v>
      </c>
      <c r="R41" s="165">
        <f t="shared" si="26"/>
        <v>1.0552758334390739</v>
      </c>
      <c r="S41" s="165">
        <f t="shared" si="26"/>
        <v>1.0818657414974979</v>
      </c>
    </row>
    <row r="42" spans="1:19" x14ac:dyDescent="0.25">
      <c r="A42" s="155" t="s">
        <v>137</v>
      </c>
      <c r="B42" s="164">
        <f>monthly_data!W52/1000</f>
        <v>0.63658000000000003</v>
      </c>
      <c r="C42" s="164">
        <f>monthly_data!W64/1000</f>
        <v>0.69635999999999998</v>
      </c>
      <c r="D42" s="164">
        <f>monthly_data!W76/1000</f>
        <v>0.41649000000000003</v>
      </c>
      <c r="E42" s="164">
        <f>monthly_data!W88/1000</f>
        <v>0.14721000000000001</v>
      </c>
      <c r="F42" s="164">
        <f>monthly_data!W100/1000</f>
        <v>0.62409999999999999</v>
      </c>
      <c r="G42" s="164">
        <f>monthly_data!W112/1000</f>
        <v>0.65707000000000004</v>
      </c>
      <c r="H42" s="164">
        <f>monthly_data!W124/1000</f>
        <v>0.89951999999999999</v>
      </c>
      <c r="I42" s="165">
        <f t="shared" si="24"/>
        <v>0.7900419964677674</v>
      </c>
      <c r="J42" s="165">
        <f t="shared" si="25"/>
        <v>0.80654120424270792</v>
      </c>
      <c r="K42" s="165">
        <f t="shared" si="26"/>
        <v>0.86708724141110838</v>
      </c>
      <c r="L42" s="165">
        <f t="shared" si="26"/>
        <v>0.88013755454416109</v>
      </c>
      <c r="M42" s="165">
        <f t="shared" si="26"/>
        <v>0.91862808237959837</v>
      </c>
      <c r="N42" s="165">
        <f t="shared" si="26"/>
        <v>0.92276474612280024</v>
      </c>
      <c r="O42" s="165">
        <f t="shared" si="26"/>
        <v>0.95149758155281017</v>
      </c>
      <c r="P42" s="165">
        <f t="shared" si="26"/>
        <v>0.98287884621623145</v>
      </c>
      <c r="Q42" s="165">
        <f t="shared" si="26"/>
        <v>1.0079462979808294</v>
      </c>
      <c r="R42" s="165">
        <f t="shared" si="26"/>
        <v>1.0356153117800995</v>
      </c>
      <c r="S42" s="165">
        <f t="shared" si="26"/>
        <v>1.0609416014969273</v>
      </c>
    </row>
    <row r="43" spans="1:19" x14ac:dyDescent="0.25">
      <c r="A43" s="155" t="s">
        <v>138</v>
      </c>
      <c r="B43" s="164">
        <f>monthly_data!W53/1000</f>
        <v>0.88866999999999996</v>
      </c>
      <c r="C43" s="164">
        <f>monthly_data!W65/1000</f>
        <v>0.85721000000000003</v>
      </c>
      <c r="D43" s="164">
        <f>monthly_data!W77/1000</f>
        <v>0.20923</v>
      </c>
      <c r="E43" s="164">
        <f>monthly_data!W89/1000</f>
        <v>0.42619000000000001</v>
      </c>
      <c r="F43" s="164">
        <f>monthly_data!W101/1000</f>
        <v>0.83030999999999999</v>
      </c>
      <c r="G43" s="164">
        <f>monthly_data!W113/1000</f>
        <v>0.89249999999999996</v>
      </c>
      <c r="H43" s="164">
        <f>monthly_data!W125/1000</f>
        <v>0.89112999999999998</v>
      </c>
      <c r="I43" s="165">
        <f t="shared" si="24"/>
        <v>0.93541036865842841</v>
      </c>
      <c r="J43" s="165">
        <f t="shared" si="25"/>
        <v>1.0283825421017305</v>
      </c>
      <c r="K43" s="165">
        <f t="shared" si="26"/>
        <v>1.0508357724194473</v>
      </c>
      <c r="L43" s="165">
        <f t="shared" si="26"/>
        <v>1.0504612137156328</v>
      </c>
      <c r="M43" s="165">
        <f t="shared" si="26"/>
        <v>1.0729603705662178</v>
      </c>
      <c r="N43" s="165">
        <f t="shared" si="26"/>
        <v>1.1123243991689715</v>
      </c>
      <c r="O43" s="165">
        <f t="shared" si="26"/>
        <v>1.1506241008940437</v>
      </c>
      <c r="P43" s="165">
        <f t="shared" si="26"/>
        <v>1.1770878880037632</v>
      </c>
      <c r="Q43" s="165">
        <f t="shared" si="26"/>
        <v>1.2044199111060829</v>
      </c>
      <c r="R43" s="165">
        <f t="shared" si="26"/>
        <v>1.237750066837759</v>
      </c>
      <c r="S43" s="165">
        <f t="shared" si="26"/>
        <v>1.2734250000036118</v>
      </c>
    </row>
    <row r="44" spans="1:19" x14ac:dyDescent="0.25">
      <c r="A44" s="155" t="s">
        <v>139</v>
      </c>
      <c r="B44" s="164">
        <f>monthly_data!W54/1000</f>
        <v>0.85696000000000006</v>
      </c>
      <c r="C44" s="164">
        <f>monthly_data!W66/1000</f>
        <v>0.61554999999999993</v>
      </c>
      <c r="D44" s="164">
        <f>monthly_data!W78/1000</f>
        <v>0.28455999999999998</v>
      </c>
      <c r="E44" s="164">
        <f>monthly_data!W90/1000</f>
        <v>0.13115000000000002</v>
      </c>
      <c r="F44" s="164">
        <f>monthly_data!W102/1000</f>
        <v>0.71528999999999998</v>
      </c>
      <c r="G44" s="164">
        <f>monthly_data!W114/1000</f>
        <v>1.0340499999999999</v>
      </c>
      <c r="H44" s="164">
        <f>monthly_data!W126/1000</f>
        <v>0.96089000000000002</v>
      </c>
      <c r="I44" s="165">
        <f t="shared" si="24"/>
        <v>0.89988080354412192</v>
      </c>
      <c r="J44" s="165">
        <f t="shared" si="25"/>
        <v>0.96777970767093802</v>
      </c>
      <c r="K44" s="165">
        <f t="shared" si="26"/>
        <v>1.0508719501954311</v>
      </c>
      <c r="L44" s="165">
        <f t="shared" si="26"/>
        <v>1.075684448499002</v>
      </c>
      <c r="M44" s="165">
        <f t="shared" si="26"/>
        <v>1.0727194226354351</v>
      </c>
      <c r="N44" s="165">
        <f t="shared" si="26"/>
        <v>1.0969291109154662</v>
      </c>
      <c r="O44" s="165">
        <f t="shared" si="26"/>
        <v>1.1395876348096636</v>
      </c>
      <c r="P44" s="165">
        <f t="shared" si="26"/>
        <v>1.1767819282437504</v>
      </c>
      <c r="Q44" s="165">
        <f t="shared" si="26"/>
        <v>1.2040398827968444</v>
      </c>
      <c r="R44" s="165">
        <f t="shared" si="26"/>
        <v>1.2318272484128605</v>
      </c>
      <c r="S44" s="165">
        <f t="shared" si="26"/>
        <v>1.266272126819703</v>
      </c>
    </row>
    <row r="45" spans="1:19" x14ac:dyDescent="0.25">
      <c r="A45" s="155" t="s">
        <v>140</v>
      </c>
      <c r="B45" s="164">
        <f>monthly_data!W55/1000</f>
        <v>0.75378999999999996</v>
      </c>
      <c r="C45" s="164">
        <f>monthly_data!W67/1000</f>
        <v>0.84265999999999996</v>
      </c>
      <c r="D45" s="164">
        <f>monthly_data!W79/1000</f>
        <v>0.35375000000000001</v>
      </c>
      <c r="E45" s="164">
        <f>monthly_data!W91/1000</f>
        <v>0.33665</v>
      </c>
      <c r="F45" s="164">
        <f>monthly_data!W103/1000</f>
        <v>0.75919000000000003</v>
      </c>
      <c r="G45" s="164">
        <f>monthly_data!W115/1000</f>
        <v>0.98048000000000002</v>
      </c>
      <c r="H45" s="164">
        <f>monthly_data!W127/1000</f>
        <v>1.1117300000000001</v>
      </c>
      <c r="I45" s="165">
        <f t="shared" si="24"/>
        <v>1.0195966109370529</v>
      </c>
      <c r="J45" s="165">
        <f t="shared" si="25"/>
        <v>1.0884231869795788</v>
      </c>
      <c r="K45" s="165">
        <f t="shared" si="26"/>
        <v>1.1384534300474549</v>
      </c>
      <c r="L45" s="165">
        <f t="shared" si="26"/>
        <v>1.168773931040793</v>
      </c>
      <c r="M45" s="165">
        <f t="shared" si="26"/>
        <v>1.1965222657598005</v>
      </c>
      <c r="N45" s="165">
        <f t="shared" si="26"/>
        <v>1.2148787436367763</v>
      </c>
      <c r="O45" s="165">
        <f t="shared" si="26"/>
        <v>1.2571549125367303</v>
      </c>
      <c r="P45" s="165">
        <f t="shared" si="26"/>
        <v>1.293683246336748</v>
      </c>
      <c r="Q45" s="165">
        <f t="shared" si="26"/>
        <v>1.3272885836045765</v>
      </c>
      <c r="R45" s="165">
        <f t="shared" si="26"/>
        <v>1.3616050473396821</v>
      </c>
      <c r="S45" s="165">
        <f t="shared" si="26"/>
        <v>1.397343429853543</v>
      </c>
    </row>
    <row r="46" spans="1:19" x14ac:dyDescent="0.25">
      <c r="A46" s="155" t="s">
        <v>141</v>
      </c>
      <c r="B46" s="164">
        <f>monthly_data!W56/1000</f>
        <v>0.75596000000000008</v>
      </c>
      <c r="C46" s="164">
        <f>monthly_data!W68/1000</f>
        <v>0.79889999999999994</v>
      </c>
      <c r="D46" s="164">
        <f>monthly_data!W80/1000</f>
        <v>0.6545700000000001</v>
      </c>
      <c r="E46" s="164">
        <f>monthly_data!W92/1000</f>
        <v>0.58340999999999998</v>
      </c>
      <c r="F46" s="164">
        <f>monthly_data!W104/1000</f>
        <v>0.76875000000000004</v>
      </c>
      <c r="G46" s="164">
        <f>monthly_data!W116/1000</f>
        <v>0.80188999999999999</v>
      </c>
      <c r="H46" s="164">
        <f>monthly_data!W128/1000</f>
        <v>1.1474200000000001</v>
      </c>
      <c r="I46" s="165">
        <f t="shared" si="24"/>
        <v>1.1388460604018915</v>
      </c>
      <c r="J46" s="165">
        <f t="shared" si="25"/>
        <v>1.1486095208416107</v>
      </c>
      <c r="K46" s="165">
        <f t="shared" si="26"/>
        <v>1.1490348901330167</v>
      </c>
      <c r="L46" s="165">
        <f t="shared" si="26"/>
        <v>1.1790890974313555</v>
      </c>
      <c r="M46" s="165">
        <f t="shared" si="26"/>
        <v>1.2476182012817081</v>
      </c>
      <c r="N46" s="165">
        <f t="shared" si="26"/>
        <v>1.2693098738494721</v>
      </c>
      <c r="O46" s="165">
        <f t="shared" si="26"/>
        <v>1.2975536775010994</v>
      </c>
      <c r="P46" s="165">
        <f t="shared" si="26"/>
        <v>1.3297982471222232</v>
      </c>
      <c r="Q46" s="165">
        <f t="shared" si="26"/>
        <v>1.368931280469156</v>
      </c>
      <c r="R46" s="165">
        <f t="shared" si="26"/>
        <v>1.4100297674811912</v>
      </c>
      <c r="S46" s="165">
        <f t="shared" si="26"/>
        <v>1.4451898648696868</v>
      </c>
    </row>
    <row r="47" spans="1:19" x14ac:dyDescent="0.25">
      <c r="A47" s="155" t="s">
        <v>142</v>
      </c>
      <c r="B47" s="164">
        <f>monthly_data!W57/1000</f>
        <v>0.91830000000000001</v>
      </c>
      <c r="C47" s="164">
        <f>monthly_data!W69/1000</f>
        <v>1.02111</v>
      </c>
      <c r="D47" s="164">
        <f>monthly_data!W81/1000</f>
        <v>0.28761000000000003</v>
      </c>
      <c r="E47" s="164">
        <f>monthly_data!W93/1000</f>
        <v>0.37207999999999997</v>
      </c>
      <c r="F47" s="164">
        <f>monthly_data!W105/1000</f>
        <v>0.80325000000000002</v>
      </c>
      <c r="G47" s="164">
        <f>monthly_data!W117/1000</f>
        <v>0.91288000000000002</v>
      </c>
      <c r="H47" s="164">
        <f>monthly_data!W129/1000</f>
        <v>0.79500000000000004</v>
      </c>
      <c r="I47" s="165">
        <f t="shared" si="24"/>
        <v>0.91280064540386974</v>
      </c>
      <c r="J47" s="165">
        <f t="shared" si="25"/>
        <v>0.98194225573491223</v>
      </c>
      <c r="K47" s="165">
        <f t="shared" si="26"/>
        <v>1.01138466212553</v>
      </c>
      <c r="L47" s="165">
        <f t="shared" si="26"/>
        <v>1.010123943919577</v>
      </c>
      <c r="M47" s="165">
        <f t="shared" si="26"/>
        <v>1.0199277409271752</v>
      </c>
      <c r="N47" s="165">
        <f t="shared" si="26"/>
        <v>1.06862181771885</v>
      </c>
      <c r="O47" s="165">
        <f t="shared" si="26"/>
        <v>1.1023551762596759</v>
      </c>
      <c r="P47" s="165">
        <f t="shared" si="26"/>
        <v>1.1284230857784094</v>
      </c>
      <c r="Q47" s="165">
        <f t="shared" si="26"/>
        <v>1.1537604584183414</v>
      </c>
      <c r="R47" s="165">
        <f t="shared" si="26"/>
        <v>1.1848559890908161</v>
      </c>
      <c r="S47" s="165">
        <f t="shared" si="26"/>
        <v>1.2205609170294152</v>
      </c>
    </row>
    <row r="48" spans="1:19" x14ac:dyDescent="0.25">
      <c r="A48" s="155" t="s">
        <v>143</v>
      </c>
      <c r="B48" s="164">
        <f>monthly_data!W58/1000</f>
        <v>0.58116999999999996</v>
      </c>
      <c r="C48" s="164">
        <f>monthly_data!W70/1000</f>
        <v>0.50690999999999997</v>
      </c>
      <c r="D48" s="164">
        <f>monthly_data!W82/1000</f>
        <v>0.38563999999999998</v>
      </c>
      <c r="E48" s="164">
        <f>monthly_data!W94/1000</f>
        <v>0.49145</v>
      </c>
      <c r="F48" s="164">
        <f>monthly_data!W106/1000</f>
        <v>0.60658000000000001</v>
      </c>
      <c r="G48" s="164">
        <f>monthly_data!W118/1000</f>
        <v>0.93874000000000002</v>
      </c>
      <c r="H48" s="164">
        <f>monthly_data!W130/1000</f>
        <v>0.71799999999999997</v>
      </c>
      <c r="I48" s="165">
        <f t="shared" ref="I48:Q48" si="27">I49-SUM(I37:I47)</f>
        <v>0.90404635861788663</v>
      </c>
      <c r="J48" s="165">
        <f t="shared" si="27"/>
        <v>0.9464531910233358</v>
      </c>
      <c r="K48" s="165">
        <f t="shared" si="27"/>
        <v>0.94434271905208256</v>
      </c>
      <c r="L48" s="165">
        <f t="shared" si="27"/>
        <v>0.97456490399717843</v>
      </c>
      <c r="M48" s="165">
        <f t="shared" si="27"/>
        <v>0.9714682082422641</v>
      </c>
      <c r="N48" s="165">
        <f t="shared" si="27"/>
        <v>1.0263409435728246</v>
      </c>
      <c r="O48" s="165">
        <f t="shared" si="27"/>
        <v>1.0528162101915797</v>
      </c>
      <c r="P48" s="165">
        <f t="shared" si="27"/>
        <v>1.0758424896617065</v>
      </c>
      <c r="Q48" s="165">
        <f t="shared" si="27"/>
        <v>1.1043105652390324</v>
      </c>
      <c r="R48" s="165">
        <f t="shared" ref="R48:S48" si="28">R49-SUM(R37:R47)</f>
        <v>1.1323988978113277</v>
      </c>
      <c r="S48" s="165">
        <f t="shared" si="28"/>
        <v>1.167238403706472</v>
      </c>
    </row>
    <row r="49" spans="1:19" ht="15.75" thickBot="1" x14ac:dyDescent="0.3">
      <c r="A49" s="155" t="s">
        <v>174</v>
      </c>
      <c r="B49" s="166">
        <f t="shared" ref="B49:H49" si="29">SUM(B37:B48)</f>
        <v>9.3951400000000014</v>
      </c>
      <c r="C49" s="166">
        <f t="shared" si="29"/>
        <v>9.0784500000000001</v>
      </c>
      <c r="D49" s="166">
        <f t="shared" si="29"/>
        <v>5.5608199999999997</v>
      </c>
      <c r="E49" s="166">
        <f t="shared" si="29"/>
        <v>4.4451000000000001</v>
      </c>
      <c r="F49" s="166">
        <f t="shared" si="29"/>
        <v>7.7481100000000005</v>
      </c>
      <c r="G49" s="166">
        <f t="shared" si="29"/>
        <v>9.8552799999999987</v>
      </c>
      <c r="H49" s="166">
        <f t="shared" si="29"/>
        <v>10.753310000000001</v>
      </c>
      <c r="I49" s="165">
        <f t="shared" ref="I49:S49" si="30">I7</f>
        <v>11.043649370000001</v>
      </c>
      <c r="J49" s="165">
        <f t="shared" si="30"/>
        <v>11.34182790299</v>
      </c>
      <c r="K49" s="165">
        <f t="shared" si="30"/>
        <v>11.648057256370729</v>
      </c>
      <c r="L49" s="165">
        <f t="shared" si="30"/>
        <v>11.962554802292738</v>
      </c>
      <c r="M49" s="165">
        <f t="shared" si="30"/>
        <v>12.28554378195464</v>
      </c>
      <c r="N49" s="165">
        <f t="shared" si="30"/>
        <v>12.617253464067414</v>
      </c>
      <c r="O49" s="165">
        <f t="shared" si="30"/>
        <v>12.957919307597233</v>
      </c>
      <c r="P49" s="165">
        <f t="shared" si="30"/>
        <v>13.307783128902358</v>
      </c>
      <c r="Q49" s="165">
        <f t="shared" si="30"/>
        <v>13.66709327338272</v>
      </c>
      <c r="R49" s="165">
        <f t="shared" si="30"/>
        <v>14.036104791764053</v>
      </c>
      <c r="S49" s="165">
        <f t="shared" si="30"/>
        <v>14.415079621141681</v>
      </c>
    </row>
    <row r="50" spans="1:19" x14ac:dyDescent="0.25">
      <c r="A50" s="167"/>
      <c r="B50" s="167"/>
      <c r="C50" s="167"/>
      <c r="D50" s="167"/>
      <c r="E50" s="167"/>
      <c r="F50" s="167"/>
      <c r="G50" s="167"/>
      <c r="H50" s="167"/>
      <c r="I50" s="167"/>
      <c r="J50" s="167"/>
      <c r="K50" s="167"/>
      <c r="L50" s="167"/>
      <c r="M50" s="167"/>
      <c r="N50" s="167"/>
      <c r="O50" s="167"/>
      <c r="P50" s="167"/>
      <c r="Q50" s="167"/>
      <c r="R50" s="167"/>
      <c r="S50" s="167"/>
    </row>
    <row r="51" spans="1:19" ht="15.75" thickBot="1" x14ac:dyDescent="0.3">
      <c r="A51" s="155" t="s">
        <v>183</v>
      </c>
    </row>
    <row r="52" spans="1:19" ht="16.5" thickTop="1" thickBot="1" x14ac:dyDescent="0.3">
      <c r="A52" s="55" t="s">
        <v>38</v>
      </c>
      <c r="B52" s="163">
        <f t="shared" ref="B52:S52" si="31">B4</f>
        <v>2018</v>
      </c>
      <c r="C52" s="163">
        <f t="shared" si="31"/>
        <v>2019</v>
      </c>
      <c r="D52" s="163">
        <f t="shared" si="31"/>
        <v>2020</v>
      </c>
      <c r="E52" s="163">
        <f t="shared" si="31"/>
        <v>2021</v>
      </c>
      <c r="F52" s="163">
        <f t="shared" si="31"/>
        <v>2022</v>
      </c>
      <c r="G52" s="163">
        <f t="shared" si="31"/>
        <v>2023</v>
      </c>
      <c r="H52" s="163">
        <f t="shared" si="31"/>
        <v>2024</v>
      </c>
      <c r="I52" s="163">
        <f t="shared" si="31"/>
        <v>2025</v>
      </c>
      <c r="J52" s="163">
        <f t="shared" si="31"/>
        <v>2026</v>
      </c>
      <c r="K52" s="163">
        <f t="shared" si="31"/>
        <v>2027</v>
      </c>
      <c r="L52" s="163">
        <f t="shared" si="31"/>
        <v>2028</v>
      </c>
      <c r="M52" s="163">
        <f t="shared" si="31"/>
        <v>2029</v>
      </c>
      <c r="N52" s="163">
        <f t="shared" si="31"/>
        <v>2030</v>
      </c>
      <c r="O52" s="163">
        <f t="shared" si="31"/>
        <v>2031</v>
      </c>
      <c r="P52" s="163">
        <f t="shared" si="31"/>
        <v>2032</v>
      </c>
      <c r="Q52" s="163">
        <f t="shared" si="31"/>
        <v>2033</v>
      </c>
      <c r="R52" s="163">
        <f t="shared" si="31"/>
        <v>2034</v>
      </c>
      <c r="S52" s="163">
        <f t="shared" si="31"/>
        <v>2035</v>
      </c>
    </row>
    <row r="53" spans="1:19" x14ac:dyDescent="0.25">
      <c r="A53" s="155" t="s">
        <v>133</v>
      </c>
      <c r="B53" s="164">
        <f>monthly_data!X47/1000</f>
        <v>0.12662999999999999</v>
      </c>
      <c r="C53" s="164">
        <f>monthly_data!X59/1000</f>
        <v>0.13015000000000002</v>
      </c>
      <c r="D53" s="164">
        <f>monthly_data!X71/1000</f>
        <v>0.14269000000000001</v>
      </c>
      <c r="E53" s="164">
        <f>monthly_data!X83/1000</f>
        <v>0.10994</v>
      </c>
      <c r="F53" s="164">
        <f>monthly_data!X95/1000</f>
        <v>5.9139999999999998E-2</v>
      </c>
      <c r="G53" s="164">
        <f>monthly_data!X107/1000</f>
        <v>0.13858999999999999</v>
      </c>
      <c r="H53" s="164">
        <f>monthly_data!X119/1000</f>
        <v>0.11315</v>
      </c>
      <c r="I53" s="151">
        <f t="shared" ref="I53:I63" si="32">I$65*(SUM(D53:H53)/SUM(D$65:H$65))</f>
        <v>0.13177379051989405</v>
      </c>
      <c r="J53" s="151">
        <f t="shared" ref="J53:J63" si="33">J$65*(SUM(E53:I53)/SUM(E$65:I$65))</f>
        <v>0.12672645905048438</v>
      </c>
      <c r="K53" s="151">
        <f t="shared" ref="K53:S63" si="34">K$65*(SUM(F53:J53)/SUM(F$65:J$65))</f>
        <v>0.12720136270388258</v>
      </c>
      <c r="L53" s="151">
        <f t="shared" si="34"/>
        <v>0.13744641020544007</v>
      </c>
      <c r="M53" s="151">
        <f t="shared" si="34"/>
        <v>0.13775066001773939</v>
      </c>
      <c r="N53" s="151">
        <f t="shared" si="34"/>
        <v>0.14307639895546134</v>
      </c>
      <c r="O53" s="151">
        <f t="shared" si="34"/>
        <v>0.14552327403115928</v>
      </c>
      <c r="P53" s="151">
        <f t="shared" si="34"/>
        <v>0.14959255222839257</v>
      </c>
      <c r="Q53" s="151">
        <f t="shared" si="34"/>
        <v>0.15443996810368227</v>
      </c>
      <c r="R53" s="151">
        <f t="shared" si="34"/>
        <v>0.15811886342290704</v>
      </c>
      <c r="S53" s="151">
        <f t="shared" si="34"/>
        <v>0.16252832779858317</v>
      </c>
    </row>
    <row r="54" spans="1:19" x14ac:dyDescent="0.25">
      <c r="A54" s="155" t="s">
        <v>134</v>
      </c>
      <c r="B54" s="164">
        <f>monthly_data!X48/1000</f>
        <v>0.10341</v>
      </c>
      <c r="C54" s="164">
        <f>monthly_data!X60/1000</f>
        <v>0.10385</v>
      </c>
      <c r="D54" s="164">
        <f>monthly_data!X72/1000</f>
        <v>0.13875000000000001</v>
      </c>
      <c r="E54" s="164">
        <f>monthly_data!X84/1000</f>
        <v>9.0120000000000006E-2</v>
      </c>
      <c r="F54" s="164">
        <f>monthly_data!X96/1000</f>
        <v>9.6950000000000008E-2</v>
      </c>
      <c r="G54" s="164">
        <f>monthly_data!X108/1000</f>
        <v>0.10934000000000001</v>
      </c>
      <c r="H54" s="164">
        <f>monthly_data!X120/1000</f>
        <v>9.7879999999999995E-2</v>
      </c>
      <c r="I54" s="151">
        <f t="shared" si="32"/>
        <v>0.12464854447786965</v>
      </c>
      <c r="J54" s="151">
        <f t="shared" si="33"/>
        <v>0.11900829385835304</v>
      </c>
      <c r="K54" s="151">
        <f t="shared" si="34"/>
        <v>0.12238626193076929</v>
      </c>
      <c r="L54" s="151">
        <f t="shared" si="34"/>
        <v>0.12360811361815899</v>
      </c>
      <c r="M54" s="151">
        <f t="shared" si="34"/>
        <v>0.12719324850060343</v>
      </c>
      <c r="N54" s="151">
        <f t="shared" si="34"/>
        <v>0.13353920461796814</v>
      </c>
      <c r="O54" s="151">
        <f t="shared" si="34"/>
        <v>0.13546392268878543</v>
      </c>
      <c r="P54" s="151">
        <f t="shared" si="34"/>
        <v>0.13902636301127019</v>
      </c>
      <c r="Q54" s="151">
        <f t="shared" si="34"/>
        <v>0.14262873929662795</v>
      </c>
      <c r="R54" s="151">
        <f t="shared" si="34"/>
        <v>0.14674646974461633</v>
      </c>
      <c r="S54" s="151">
        <f t="shared" si="34"/>
        <v>0.15097950055200282</v>
      </c>
    </row>
    <row r="55" spans="1:19" x14ac:dyDescent="0.25">
      <c r="A55" s="155" t="s">
        <v>135</v>
      </c>
      <c r="B55" s="164">
        <f>monthly_data!X49/1000</f>
        <v>0.11711000000000001</v>
      </c>
      <c r="C55" s="164">
        <f>monthly_data!X61/1000</f>
        <v>7.8469999999999998E-2</v>
      </c>
      <c r="D55" s="164">
        <f>monthly_data!X73/1000</f>
        <v>0.21118000000000001</v>
      </c>
      <c r="E55" s="164">
        <f>monthly_data!X85/1000</f>
        <v>0.15322</v>
      </c>
      <c r="F55" s="164">
        <f>monthly_data!X97/1000</f>
        <v>7.0809999999999998E-2</v>
      </c>
      <c r="G55" s="164">
        <f>monthly_data!X109/1000</f>
        <v>0.12262999999999999</v>
      </c>
      <c r="H55" s="164">
        <f>monthly_data!X121/1000</f>
        <v>0.12307999999999999</v>
      </c>
      <c r="I55" s="151">
        <f t="shared" si="32"/>
        <v>0.15922948916755028</v>
      </c>
      <c r="J55" s="151">
        <f t="shared" si="33"/>
        <v>0.14424171530774033</v>
      </c>
      <c r="K55" s="151">
        <f t="shared" si="34"/>
        <v>0.1385080113565311</v>
      </c>
      <c r="L55" s="151">
        <f t="shared" si="34"/>
        <v>0.14828089699988134</v>
      </c>
      <c r="M55" s="151">
        <f t="shared" si="34"/>
        <v>0.15442932067705825</v>
      </c>
      <c r="N55" s="151">
        <f t="shared" si="34"/>
        <v>0.16121606126371524</v>
      </c>
      <c r="O55" s="151">
        <f t="shared" si="34"/>
        <v>0.16164612957722829</v>
      </c>
      <c r="P55" s="151">
        <f t="shared" si="34"/>
        <v>0.1654139702244474</v>
      </c>
      <c r="Q55" s="151">
        <f t="shared" si="34"/>
        <v>0.17123877787986305</v>
      </c>
      <c r="R55" s="151">
        <f t="shared" si="34"/>
        <v>0.176208875431796</v>
      </c>
      <c r="S55" s="151">
        <f t="shared" si="34"/>
        <v>0.18092387993654965</v>
      </c>
    </row>
    <row r="56" spans="1:19" x14ac:dyDescent="0.25">
      <c r="A56" s="155" t="s">
        <v>136</v>
      </c>
      <c r="B56" s="164">
        <f>monthly_data!X50/1000</f>
        <v>0.12079999999999999</v>
      </c>
      <c r="C56" s="164">
        <f>monthly_data!X62/1000</f>
        <v>9.2999999999999999E-2</v>
      </c>
      <c r="D56" s="164">
        <f>monthly_data!X74/1000</f>
        <v>9.912E-2</v>
      </c>
      <c r="E56" s="164">
        <f>monthly_data!X86/1000</f>
        <v>4.6579999999999996E-2</v>
      </c>
      <c r="F56" s="164">
        <f>monthly_data!X98/1000</f>
        <v>7.1590000000000001E-2</v>
      </c>
      <c r="G56" s="164">
        <f>monthly_data!X110/1000</f>
        <v>0.10404000000000001</v>
      </c>
      <c r="H56" s="164">
        <f>monthly_data!X122/1000</f>
        <v>9.8430000000000004E-2</v>
      </c>
      <c r="I56" s="151">
        <f t="shared" si="32"/>
        <v>9.8158624174603346E-2</v>
      </c>
      <c r="J56" s="151">
        <f t="shared" si="33"/>
        <v>9.6043183270173568E-2</v>
      </c>
      <c r="K56" s="151">
        <f t="shared" si="34"/>
        <v>0.10461118040905339</v>
      </c>
      <c r="L56" s="151">
        <f t="shared" si="34"/>
        <v>0.1080876206555558</v>
      </c>
      <c r="M56" s="151">
        <f t="shared" si="34"/>
        <v>0.10939783307523081</v>
      </c>
      <c r="N56" s="151">
        <f t="shared" si="34"/>
        <v>0.11177223342176915</v>
      </c>
      <c r="O56" s="151">
        <f t="shared" si="34"/>
        <v>0.11471941161935739</v>
      </c>
      <c r="P56" s="151">
        <f t="shared" si="34"/>
        <v>0.11876258430079406</v>
      </c>
      <c r="Q56" s="151">
        <f t="shared" si="34"/>
        <v>0.12182618839415277</v>
      </c>
      <c r="R56" s="151">
        <f t="shared" si="34"/>
        <v>0.12480041856119774</v>
      </c>
      <c r="S56" s="151">
        <f t="shared" si="34"/>
        <v>0.12813488801059678</v>
      </c>
    </row>
    <row r="57" spans="1:19" x14ac:dyDescent="0.25">
      <c r="A57" s="155" t="s">
        <v>93</v>
      </c>
      <c r="B57" s="164">
        <f>monthly_data!X51/1000</f>
        <v>0.11312999999999999</v>
      </c>
      <c r="C57" s="164">
        <f>monthly_data!X63/1000</f>
        <v>6.447E-2</v>
      </c>
      <c r="D57" s="164">
        <f>monthly_data!X75/1000</f>
        <v>0.10228</v>
      </c>
      <c r="E57" s="164">
        <f>monthly_data!X87/1000</f>
        <v>0.12204999999999999</v>
      </c>
      <c r="F57" s="164">
        <f>monthly_data!X99/1000</f>
        <v>4.9739999999999999E-2</v>
      </c>
      <c r="G57" s="164">
        <f>monthly_data!X111/1000</f>
        <v>0.12568000000000001</v>
      </c>
      <c r="H57" s="164">
        <f>monthly_data!X123/1000</f>
        <v>0.12221</v>
      </c>
      <c r="I57" s="151">
        <f t="shared" si="32"/>
        <v>0.1220575459171335</v>
      </c>
      <c r="J57" s="151">
        <f t="shared" si="33"/>
        <v>0.12423679401860011</v>
      </c>
      <c r="K57" s="151">
        <f t="shared" si="34"/>
        <v>0.12151443134854151</v>
      </c>
      <c r="L57" s="151">
        <f t="shared" si="34"/>
        <v>0.1327581762022049</v>
      </c>
      <c r="M57" s="151">
        <f t="shared" si="34"/>
        <v>0.1348235143428132</v>
      </c>
      <c r="N57" s="151">
        <f t="shared" si="34"/>
        <v>0.13755418435038999</v>
      </c>
      <c r="O57" s="151">
        <f t="shared" si="34"/>
        <v>0.1409090151007959</v>
      </c>
      <c r="P57" s="151">
        <f t="shared" si="34"/>
        <v>0.1445183449696584</v>
      </c>
      <c r="Q57" s="151">
        <f t="shared" si="34"/>
        <v>0.14949840804128461</v>
      </c>
      <c r="R57" s="151">
        <f t="shared" si="34"/>
        <v>0.1531224613986982</v>
      </c>
      <c r="S57" s="151">
        <f t="shared" si="34"/>
        <v>0.15708395734167555</v>
      </c>
    </row>
    <row r="58" spans="1:19" x14ac:dyDescent="0.25">
      <c r="A58" s="155" t="s">
        <v>137</v>
      </c>
      <c r="B58" s="164">
        <f>monthly_data!X52/1000</f>
        <v>0.13362000000000002</v>
      </c>
      <c r="C58" s="164">
        <f>monthly_data!X64/1000</f>
        <v>7.3880000000000001E-2</v>
      </c>
      <c r="D58" s="164">
        <f>monthly_data!X76/1000</f>
        <v>0.13769999999999999</v>
      </c>
      <c r="E58" s="164">
        <f>monthly_data!X88/1000</f>
        <v>2.4460000000000003E-2</v>
      </c>
      <c r="F58" s="164">
        <f>monthly_data!X100/1000</f>
        <v>7.0099999999999996E-2</v>
      </c>
      <c r="G58" s="164">
        <f>monthly_data!X112/1000</f>
        <v>0.10740000000000001</v>
      </c>
      <c r="H58" s="164">
        <f>monthly_data!X124/1000</f>
        <v>0.10445</v>
      </c>
      <c r="I58" s="151">
        <f t="shared" si="32"/>
        <v>0.10385274104770129</v>
      </c>
      <c r="J58" s="151">
        <f t="shared" si="33"/>
        <v>9.4085647260723729E-2</v>
      </c>
      <c r="K58" s="151">
        <f t="shared" si="34"/>
        <v>0.10720859563474627</v>
      </c>
      <c r="L58" s="151">
        <f t="shared" si="34"/>
        <v>0.11147590330117159</v>
      </c>
      <c r="M58" s="151">
        <f t="shared" si="34"/>
        <v>0.11280584191591947</v>
      </c>
      <c r="N58" s="151">
        <f t="shared" si="34"/>
        <v>0.11461477844920646</v>
      </c>
      <c r="O58" s="151">
        <f t="shared" si="34"/>
        <v>0.11694462657511388</v>
      </c>
      <c r="P58" s="151">
        <f t="shared" si="34"/>
        <v>0.12189331316008528</v>
      </c>
      <c r="Q58" s="151">
        <f t="shared" si="34"/>
        <v>0.12507237306570371</v>
      </c>
      <c r="R58" s="151">
        <f t="shared" si="34"/>
        <v>0.12801584077707051</v>
      </c>
      <c r="S58" s="151">
        <f t="shared" si="34"/>
        <v>0.1313086176017218</v>
      </c>
    </row>
    <row r="59" spans="1:19" x14ac:dyDescent="0.25">
      <c r="A59" s="155" t="s">
        <v>138</v>
      </c>
      <c r="B59" s="164">
        <f>monthly_data!X53/1000</f>
        <v>0.11835</v>
      </c>
      <c r="C59" s="164">
        <f>monthly_data!X65/1000</f>
        <v>0.1076</v>
      </c>
      <c r="D59" s="164">
        <f>monthly_data!X77/1000</f>
        <v>3.6639999999999999E-2</v>
      </c>
      <c r="E59" s="164">
        <f>monthly_data!X89/1000</f>
        <v>0.15014</v>
      </c>
      <c r="F59" s="164">
        <f>monthly_data!X101/1000</f>
        <v>7.712999999999999E-2</v>
      </c>
      <c r="G59" s="164">
        <f>monthly_data!X113/1000</f>
        <v>0.10337</v>
      </c>
      <c r="H59" s="164">
        <f>monthly_data!X125/1000</f>
        <v>0.12676999999999999</v>
      </c>
      <c r="I59" s="151">
        <f t="shared" si="32"/>
        <v>0.11553094214184957</v>
      </c>
      <c r="J59" s="151">
        <f t="shared" si="33"/>
        <v>0.13139267593719212</v>
      </c>
      <c r="K59" s="151">
        <f t="shared" si="34"/>
        <v>0.12380862081998807</v>
      </c>
      <c r="L59" s="151">
        <f t="shared" si="34"/>
        <v>0.12956125022042589</v>
      </c>
      <c r="M59" s="151">
        <f t="shared" si="34"/>
        <v>0.13575149764352312</v>
      </c>
      <c r="N59" s="151">
        <f t="shared" si="34"/>
        <v>0.13769588091147922</v>
      </c>
      <c r="O59" s="151">
        <f t="shared" si="34"/>
        <v>0.14249431629380302</v>
      </c>
      <c r="P59" s="151">
        <f t="shared" si="34"/>
        <v>0.14489768426348981</v>
      </c>
      <c r="Q59" s="151">
        <f t="shared" si="34"/>
        <v>0.14946320593080098</v>
      </c>
      <c r="R59" s="151">
        <f t="shared" si="34"/>
        <v>0.15377173344132841</v>
      </c>
      <c r="S59" s="151">
        <f t="shared" si="34"/>
        <v>0.15767289184057864</v>
      </c>
    </row>
    <row r="60" spans="1:19" x14ac:dyDescent="0.25">
      <c r="A60" s="155" t="s">
        <v>139</v>
      </c>
      <c r="B60" s="164">
        <f>monthly_data!X54/1000</f>
        <v>0.17754</v>
      </c>
      <c r="C60" s="164">
        <f>monthly_data!X66/1000</f>
        <v>0.14961000000000002</v>
      </c>
      <c r="D60" s="164">
        <f>monthly_data!X78/1000</f>
        <v>2.5219999999999999E-2</v>
      </c>
      <c r="E60" s="164">
        <f>monthly_data!X90/1000</f>
        <v>5.9709999999999999E-2</v>
      </c>
      <c r="F60" s="164">
        <f>monthly_data!X102/1000</f>
        <v>0.13802</v>
      </c>
      <c r="G60" s="164">
        <f>monthly_data!X114/1000</f>
        <v>0.11395000000000001</v>
      </c>
      <c r="H60" s="164">
        <f>monthly_data!X126/1000</f>
        <v>0.15202000000000002</v>
      </c>
      <c r="I60" s="151">
        <f t="shared" si="32"/>
        <v>0.11433131916201417</v>
      </c>
      <c r="J60" s="151">
        <f t="shared" si="33"/>
        <v>0.13256005325134992</v>
      </c>
      <c r="K60" s="151">
        <f t="shared" si="34"/>
        <v>0.14540897333903666</v>
      </c>
      <c r="L60" s="151">
        <f t="shared" si="34"/>
        <v>0.14193754255477353</v>
      </c>
      <c r="M60" s="151">
        <f t="shared" si="34"/>
        <v>0.14856635368485538</v>
      </c>
      <c r="N60" s="151">
        <f t="shared" si="34"/>
        <v>0.1478186819295276</v>
      </c>
      <c r="O60" s="151">
        <f t="shared" si="34"/>
        <v>0.15506828221195756</v>
      </c>
      <c r="P60" s="151">
        <f t="shared" si="34"/>
        <v>0.159941035679069</v>
      </c>
      <c r="Q60" s="151">
        <f t="shared" si="34"/>
        <v>0.16308704762321621</v>
      </c>
      <c r="R60" s="151">
        <f t="shared" si="34"/>
        <v>0.16766565415553408</v>
      </c>
      <c r="S60" s="151">
        <f t="shared" si="34"/>
        <v>0.17180041672396101</v>
      </c>
    </row>
    <row r="61" spans="1:19" x14ac:dyDescent="0.25">
      <c r="A61" s="155" t="s">
        <v>140</v>
      </c>
      <c r="B61" s="164">
        <f>monthly_data!X55/1000</f>
        <v>0.12065000000000001</v>
      </c>
      <c r="C61" s="164">
        <f>monthly_data!X67/1000</f>
        <v>0.13829</v>
      </c>
      <c r="D61" s="164">
        <f>monthly_data!X79/1000</f>
        <v>5.1479999999999998E-2</v>
      </c>
      <c r="E61" s="164">
        <f>monthly_data!X91/1000</f>
        <v>0.11329</v>
      </c>
      <c r="F61" s="164">
        <f>monthly_data!X103/1000</f>
        <v>9.6530000000000005E-2</v>
      </c>
      <c r="G61" s="164">
        <f>monthly_data!X115/1000</f>
        <v>0.14868999999999999</v>
      </c>
      <c r="H61" s="164">
        <f>monthly_data!X127/1000</f>
        <v>0.13391</v>
      </c>
      <c r="I61" s="151">
        <f t="shared" si="32"/>
        <v>0.12718809721880778</v>
      </c>
      <c r="J61" s="151">
        <f t="shared" si="33"/>
        <v>0.14209486517333741</v>
      </c>
      <c r="K61" s="151">
        <f t="shared" si="34"/>
        <v>0.14485752267202126</v>
      </c>
      <c r="L61" s="151">
        <f t="shared" si="34"/>
        <v>0.15023254941766145</v>
      </c>
      <c r="M61" s="151">
        <f t="shared" si="34"/>
        <v>0.15116964925367224</v>
      </c>
      <c r="N61" s="151">
        <f t="shared" si="34"/>
        <v>0.15490615006362704</v>
      </c>
      <c r="O61" s="151">
        <f t="shared" si="34"/>
        <v>0.16090676603112716</v>
      </c>
      <c r="P61" s="151">
        <f t="shared" si="34"/>
        <v>0.16497931013436068</v>
      </c>
      <c r="Q61" s="151">
        <f t="shared" si="34"/>
        <v>0.16933542850303335</v>
      </c>
      <c r="R61" s="151">
        <f t="shared" si="34"/>
        <v>0.17347096579732532</v>
      </c>
      <c r="S61" s="151">
        <f t="shared" si="34"/>
        <v>0.17829892528269484</v>
      </c>
    </row>
    <row r="62" spans="1:19" x14ac:dyDescent="0.25">
      <c r="A62" s="155" t="s">
        <v>141</v>
      </c>
      <c r="B62" s="164">
        <f>monthly_data!X56/1000</f>
        <v>0.13552</v>
      </c>
      <c r="C62" s="164">
        <f>monthly_data!X68/1000</f>
        <v>0.17236000000000001</v>
      </c>
      <c r="D62" s="164">
        <f>monthly_data!X80/1000</f>
        <v>9.1060000000000002E-2</v>
      </c>
      <c r="E62" s="164">
        <f>monthly_data!X92/1000</f>
        <v>0.10995999999999999</v>
      </c>
      <c r="F62" s="164">
        <f>monthly_data!X104/1000</f>
        <v>0.14745</v>
      </c>
      <c r="G62" s="164">
        <f>monthly_data!X116/1000</f>
        <v>0.12157999999999999</v>
      </c>
      <c r="H62" s="164">
        <f>monthly_data!X128/1000</f>
        <v>0.13700999999999999</v>
      </c>
      <c r="I62" s="151">
        <f t="shared" si="32"/>
        <v>0.14195772439354559</v>
      </c>
      <c r="J62" s="151">
        <f t="shared" si="33"/>
        <v>0.15088959385313025</v>
      </c>
      <c r="K62" s="151">
        <f t="shared" si="34"/>
        <v>0.15613365466139301</v>
      </c>
      <c r="L62" s="151">
        <f t="shared" si="34"/>
        <v>0.15256784044079844</v>
      </c>
      <c r="M62" s="151">
        <f t="shared" si="34"/>
        <v>0.15988885774663936</v>
      </c>
      <c r="N62" s="151">
        <f t="shared" si="34"/>
        <v>0.16484184776658256</v>
      </c>
      <c r="O62" s="151">
        <f t="shared" si="34"/>
        <v>0.16979597772958077</v>
      </c>
      <c r="P62" s="151">
        <f t="shared" si="34"/>
        <v>0.17388897623895919</v>
      </c>
      <c r="Q62" s="151">
        <f t="shared" si="34"/>
        <v>0.17773278398270398</v>
      </c>
      <c r="R62" s="151">
        <f t="shared" si="34"/>
        <v>0.18318068333134166</v>
      </c>
      <c r="S62" s="151">
        <f t="shared" si="34"/>
        <v>0.18822307578575667</v>
      </c>
    </row>
    <row r="63" spans="1:19" x14ac:dyDescent="0.25">
      <c r="A63" s="155" t="s">
        <v>142</v>
      </c>
      <c r="B63" s="164">
        <f>monthly_data!X57/1000</f>
        <v>0.15015000000000001</v>
      </c>
      <c r="C63" s="164">
        <f>monthly_data!X69/1000</f>
        <v>0.15480000000000002</v>
      </c>
      <c r="D63" s="164">
        <f>monthly_data!X81/1000</f>
        <v>7.2800000000000004E-2</v>
      </c>
      <c r="E63" s="164">
        <f>monthly_data!X93/1000</f>
        <v>8.1250000000000003E-2</v>
      </c>
      <c r="F63" s="164">
        <f>monthly_data!X105/1000</f>
        <v>8.1610000000000002E-2</v>
      </c>
      <c r="G63" s="164">
        <f>monthly_data!X117/1000</f>
        <v>0.13013999999999998</v>
      </c>
      <c r="H63" s="164">
        <f>monthly_data!X129/1000</f>
        <v>0.12149</v>
      </c>
      <c r="I63" s="151">
        <f t="shared" si="32"/>
        <v>0.113950152406238</v>
      </c>
      <c r="J63" s="151">
        <f t="shared" si="33"/>
        <v>0.12118729975509915</v>
      </c>
      <c r="K63" s="151">
        <f t="shared" si="34"/>
        <v>0.12697733456619742</v>
      </c>
      <c r="L63" s="151">
        <f t="shared" si="34"/>
        <v>0.13233685422110192</v>
      </c>
      <c r="M63" s="151">
        <f t="shared" si="34"/>
        <v>0.13334375493174011</v>
      </c>
      <c r="N63" s="151">
        <f t="shared" si="34"/>
        <v>0.13590994641410928</v>
      </c>
      <c r="O63" s="151">
        <f t="shared" si="34"/>
        <v>0.14066397049020074</v>
      </c>
      <c r="P63" s="151">
        <f t="shared" si="34"/>
        <v>0.14488042905823603</v>
      </c>
      <c r="Q63" s="151">
        <f t="shared" si="34"/>
        <v>0.14875622781213982</v>
      </c>
      <c r="R63" s="151">
        <f t="shared" si="34"/>
        <v>0.15231081932325122</v>
      </c>
      <c r="S63" s="151">
        <f t="shared" si="34"/>
        <v>0.15641695441439549</v>
      </c>
    </row>
    <row r="64" spans="1:19" x14ac:dyDescent="0.25">
      <c r="A64" s="155" t="s">
        <v>143</v>
      </c>
      <c r="B64" s="164">
        <f>monthly_data!X58/1000</f>
        <v>0.15536000000000003</v>
      </c>
      <c r="C64" s="164">
        <f>monthly_data!X70/1000</f>
        <v>0.14768999999999999</v>
      </c>
      <c r="D64" s="164">
        <f>monthly_data!X82/1000</f>
        <v>8.4449999999999997E-2</v>
      </c>
      <c r="E64" s="164">
        <f>monthly_data!X94/1000</f>
        <v>0.11169</v>
      </c>
      <c r="F64" s="164">
        <f>monthly_data!X106/1000</f>
        <v>0.16581000000000001</v>
      </c>
      <c r="G64" s="164">
        <f>monthly_data!X118/1000</f>
        <v>0.12232999999999999</v>
      </c>
      <c r="H64" s="164">
        <f>monthly_data!X130/1000</f>
        <v>0.12558</v>
      </c>
      <c r="I64" s="151">
        <f t="shared" ref="I64:Q64" si="35">I65-SUM(I53:I63)</f>
        <v>0.14261248937279292</v>
      </c>
      <c r="J64" s="151">
        <f t="shared" si="35"/>
        <v>0.15319774868381608</v>
      </c>
      <c r="K64" s="151">
        <f t="shared" si="35"/>
        <v>0.15851131687217945</v>
      </c>
      <c r="L64" s="151">
        <f t="shared" si="35"/>
        <v>0.15141654466765297</v>
      </c>
      <c r="M64" s="151">
        <f t="shared" si="35"/>
        <v>0.15832133268266224</v>
      </c>
      <c r="N64" s="151">
        <f t="shared" si="35"/>
        <v>0.16540942666937708</v>
      </c>
      <c r="O64" s="151">
        <f t="shared" si="35"/>
        <v>0.17034468192406038</v>
      </c>
      <c r="P64" s="151">
        <f t="shared" si="35"/>
        <v>0.17405678110978262</v>
      </c>
      <c r="Q64" s="151">
        <f t="shared" si="35"/>
        <v>0.17742218204355709</v>
      </c>
      <c r="R64" s="151">
        <f t="shared" ref="R64:S64" si="36">R65-SUM(R53:R63)</f>
        <v>0.18305208121997207</v>
      </c>
      <c r="S64" s="151">
        <f t="shared" si="36"/>
        <v>0.18840598271485831</v>
      </c>
    </row>
    <row r="65" spans="1:19" ht="15.75" thickBot="1" x14ac:dyDescent="0.3">
      <c r="A65" s="155" t="s">
        <v>174</v>
      </c>
      <c r="B65" s="140">
        <f>SUM(B53:B64)</f>
        <v>1.5722699999999998</v>
      </c>
      <c r="C65" s="140">
        <f>SUM(C54:C64)</f>
        <v>1.2840199999999999</v>
      </c>
      <c r="D65" s="140">
        <f>SUM(D53:D64)</f>
        <v>1.1933699999999998</v>
      </c>
      <c r="E65" s="140">
        <f>SUM(E53:E64)</f>
        <v>1.1724100000000002</v>
      </c>
      <c r="F65" s="140">
        <f>SUM(F53:F64)</f>
        <v>1.1248799999999999</v>
      </c>
      <c r="G65" s="140">
        <f>SUM(G53:G64)</f>
        <v>1.44774</v>
      </c>
      <c r="H65" s="140">
        <f>SUM(H53:H64)</f>
        <v>1.4559800000000003</v>
      </c>
      <c r="I65" s="151">
        <f t="shared" ref="I65:S65" si="37">I10</f>
        <v>1.4952914600000002</v>
      </c>
      <c r="J65" s="151">
        <f t="shared" si="37"/>
        <v>1.5356643294200001</v>
      </c>
      <c r="K65" s="151">
        <f t="shared" si="37"/>
        <v>1.5771272663143399</v>
      </c>
      <c r="L65" s="151">
        <f t="shared" si="37"/>
        <v>1.6197097025048268</v>
      </c>
      <c r="M65" s="151">
        <f t="shared" si="37"/>
        <v>1.6634418644724569</v>
      </c>
      <c r="N65" s="151">
        <f t="shared" si="37"/>
        <v>1.7083547948132132</v>
      </c>
      <c r="O65" s="151">
        <f t="shared" si="37"/>
        <v>1.7544803742731698</v>
      </c>
      <c r="P65" s="151">
        <f t="shared" si="37"/>
        <v>1.8018513443785453</v>
      </c>
      <c r="Q65" s="151">
        <f t="shared" si="37"/>
        <v>1.8505013306767659</v>
      </c>
      <c r="R65" s="151">
        <f t="shared" si="37"/>
        <v>1.9004648666050385</v>
      </c>
      <c r="S65" s="151">
        <f t="shared" si="37"/>
        <v>1.9517774180033745</v>
      </c>
    </row>
    <row r="66" spans="1:19" x14ac:dyDescent="0.25">
      <c r="A66" s="167"/>
      <c r="B66" s="167"/>
      <c r="C66" s="167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67"/>
      <c r="S66" s="167"/>
    </row>
    <row r="67" spans="1:19" ht="15.75" thickBot="1" x14ac:dyDescent="0.3">
      <c r="A67" s="155" t="s">
        <v>184</v>
      </c>
    </row>
    <row r="68" spans="1:19" ht="16.5" thickTop="1" thickBot="1" x14ac:dyDescent="0.3">
      <c r="A68" s="55" t="s">
        <v>38</v>
      </c>
      <c r="B68" s="163">
        <f t="shared" ref="B68:S68" si="38">B4</f>
        <v>2018</v>
      </c>
      <c r="C68" s="163">
        <f t="shared" si="38"/>
        <v>2019</v>
      </c>
      <c r="D68" s="163">
        <f t="shared" si="38"/>
        <v>2020</v>
      </c>
      <c r="E68" s="163">
        <f t="shared" si="38"/>
        <v>2021</v>
      </c>
      <c r="F68" s="163">
        <f t="shared" si="38"/>
        <v>2022</v>
      </c>
      <c r="G68" s="163">
        <f t="shared" si="38"/>
        <v>2023</v>
      </c>
      <c r="H68" s="163">
        <f t="shared" si="38"/>
        <v>2024</v>
      </c>
      <c r="I68" s="163">
        <f t="shared" si="38"/>
        <v>2025</v>
      </c>
      <c r="J68" s="163">
        <f t="shared" si="38"/>
        <v>2026</v>
      </c>
      <c r="K68" s="163">
        <f t="shared" si="38"/>
        <v>2027</v>
      </c>
      <c r="L68" s="163">
        <f t="shared" si="38"/>
        <v>2028</v>
      </c>
      <c r="M68" s="163">
        <f t="shared" si="38"/>
        <v>2029</v>
      </c>
      <c r="N68" s="163">
        <f t="shared" si="38"/>
        <v>2030</v>
      </c>
      <c r="O68" s="163">
        <f t="shared" si="38"/>
        <v>2031</v>
      </c>
      <c r="P68" s="163">
        <f t="shared" si="38"/>
        <v>2032</v>
      </c>
      <c r="Q68" s="163">
        <f t="shared" si="38"/>
        <v>2033</v>
      </c>
      <c r="R68" s="163">
        <f t="shared" si="38"/>
        <v>2034</v>
      </c>
      <c r="S68" s="163">
        <f t="shared" si="38"/>
        <v>2035</v>
      </c>
    </row>
    <row r="69" spans="1:19" x14ac:dyDescent="0.25">
      <c r="A69" s="155" t="s">
        <v>133</v>
      </c>
      <c r="B69" s="166">
        <f>monthly_data!U47/1000</f>
        <v>0.97880999999999996</v>
      </c>
      <c r="C69" s="166">
        <f>monthly_data!U59/1000</f>
        <v>0.96311999999999998</v>
      </c>
      <c r="D69" s="166">
        <f>monthly_data!U71/1000</f>
        <v>0.92091000000000001</v>
      </c>
      <c r="E69" s="166">
        <f>monthly_data!U83/1000</f>
        <v>0.25413999999999998</v>
      </c>
      <c r="F69" s="166">
        <f>monthly_data!U95/1000</f>
        <v>0.49310999999999999</v>
      </c>
      <c r="G69" s="166">
        <f>monthly_data!U107/1000</f>
        <v>0.77176999999999996</v>
      </c>
      <c r="H69" s="166">
        <f>monthly_data!U119/1000</f>
        <v>0.85765000000000002</v>
      </c>
      <c r="I69" s="165">
        <f t="shared" ref="I69:I79" si="39">I$81*(SUM(D69:H69)/SUM(D$81:H$81))</f>
        <v>0.91356108381770362</v>
      </c>
      <c r="J69" s="165">
        <f t="shared" ref="J69:J79" si="40">J$81*(SUM(E69:I69)/SUM(E$81:I$81))</f>
        <v>0.81127762604369269</v>
      </c>
      <c r="K69" s="165">
        <f t="shared" ref="K69:S79" si="41">K$81*(SUM(F69:J69)/SUM(F$81:J$81))</f>
        <v>0.84875679152174632</v>
      </c>
      <c r="L69" s="165">
        <f t="shared" si="41"/>
        <v>0.90229960276504895</v>
      </c>
      <c r="M69" s="165">
        <f t="shared" si="41"/>
        <v>0.92982264180639218</v>
      </c>
      <c r="N69" s="165">
        <f t="shared" si="41"/>
        <v>0.95378345667650088</v>
      </c>
      <c r="O69" s="165">
        <f t="shared" si="41"/>
        <v>0.96249110342854738</v>
      </c>
      <c r="P69" s="165">
        <f t="shared" si="41"/>
        <v>0.995226952947875</v>
      </c>
      <c r="Q69" s="165">
        <f t="shared" si="41"/>
        <v>1.0269359331686922</v>
      </c>
      <c r="R69" s="165">
        <f t="shared" si="41"/>
        <v>1.053918158743405</v>
      </c>
      <c r="S69" s="165">
        <f t="shared" si="41"/>
        <v>1.0807833048846713</v>
      </c>
    </row>
    <row r="70" spans="1:19" x14ac:dyDescent="0.25">
      <c r="A70" s="155" t="s">
        <v>134</v>
      </c>
      <c r="B70" s="166">
        <f>monthly_data!U48/1000</f>
        <v>0.83082</v>
      </c>
      <c r="C70" s="166">
        <f>monthly_data!U60/1000</f>
        <v>0.85185</v>
      </c>
      <c r="D70" s="166">
        <f>monthly_data!U72/1000</f>
        <v>0.94742999999999999</v>
      </c>
      <c r="E70" s="166">
        <f>monthly_data!U84/1000</f>
        <v>0.21503</v>
      </c>
      <c r="F70" s="166">
        <f>monthly_data!U95/1000</f>
        <v>0.49310999999999999</v>
      </c>
      <c r="G70" s="166">
        <f>monthly_data!U108/1000</f>
        <v>0.74482999999999999</v>
      </c>
      <c r="H70" s="166">
        <f>monthly_data!U120/1000</f>
        <v>0.8197000000000001</v>
      </c>
      <c r="I70" s="165">
        <f t="shared" si="39"/>
        <v>0.89209603588127895</v>
      </c>
      <c r="J70" s="165">
        <f t="shared" si="40"/>
        <v>0.78034150525207469</v>
      </c>
      <c r="K70" s="165">
        <f t="shared" si="41"/>
        <v>0.82288152882901744</v>
      </c>
      <c r="L70" s="165">
        <f t="shared" si="41"/>
        <v>0.87156476151648776</v>
      </c>
      <c r="M70" s="165">
        <f t="shared" si="41"/>
        <v>0.89829004770328136</v>
      </c>
      <c r="N70" s="165">
        <f t="shared" si="41"/>
        <v>0.92335744602523095</v>
      </c>
      <c r="O70" s="165">
        <f t="shared" si="41"/>
        <v>0.93012515506765869</v>
      </c>
      <c r="P70" s="165">
        <f t="shared" si="41"/>
        <v>0.96255146458462848</v>
      </c>
      <c r="Q70" s="165">
        <f t="shared" si="41"/>
        <v>0.99278827996870356</v>
      </c>
      <c r="R70" s="165">
        <f t="shared" si="41"/>
        <v>1.0190316739232994</v>
      </c>
      <c r="S70" s="165">
        <f t="shared" si="41"/>
        <v>1.0451707441636966</v>
      </c>
    </row>
    <row r="71" spans="1:19" x14ac:dyDescent="0.25">
      <c r="A71" s="155" t="s">
        <v>135</v>
      </c>
      <c r="B71" s="166">
        <f>monthly_data!U49/1000</f>
        <v>0.94634000000000007</v>
      </c>
      <c r="C71" s="166">
        <f>monthly_data!U61/1000</f>
        <v>1.10331</v>
      </c>
      <c r="D71" s="166">
        <f>monthly_data!U73/1000</f>
        <v>0.64051999999999998</v>
      </c>
      <c r="E71" s="166">
        <f>monthly_data!U85/1000</f>
        <v>0.25924000000000003</v>
      </c>
      <c r="F71" s="166">
        <f>monthly_data!U96/1000</f>
        <v>0.49251</v>
      </c>
      <c r="G71" s="166">
        <f>monthly_data!U109/1000</f>
        <v>0.75985000000000003</v>
      </c>
      <c r="H71" s="166">
        <f>monthly_data!U121/1000</f>
        <v>0.90922999999999998</v>
      </c>
      <c r="I71" s="165">
        <f t="shared" si="39"/>
        <v>0.84811595895939662</v>
      </c>
      <c r="J71" s="165">
        <f t="shared" si="40"/>
        <v>0.80602931821205737</v>
      </c>
      <c r="K71" s="165">
        <f t="shared" si="41"/>
        <v>0.84177823218431747</v>
      </c>
      <c r="L71" s="165">
        <f t="shared" si="41"/>
        <v>0.89413922236785104</v>
      </c>
      <c r="M71" s="165">
        <f t="shared" si="41"/>
        <v>0.92247331679637612</v>
      </c>
      <c r="N71" s="165">
        <f t="shared" si="41"/>
        <v>0.93361077049846553</v>
      </c>
      <c r="O71" s="165">
        <f t="shared" si="41"/>
        <v>0.9521193408562727</v>
      </c>
      <c r="P71" s="165">
        <f t="shared" si="41"/>
        <v>0.98374602572765169</v>
      </c>
      <c r="Q71" s="165">
        <f t="shared" si="41"/>
        <v>1.014480298931338</v>
      </c>
      <c r="R71" s="165">
        <f t="shared" si="41"/>
        <v>1.0405326551201306</v>
      </c>
      <c r="S71" s="165">
        <f t="shared" si="41"/>
        <v>1.066091043172285</v>
      </c>
    </row>
    <row r="72" spans="1:19" x14ac:dyDescent="0.25">
      <c r="A72" s="155" t="s">
        <v>136</v>
      </c>
      <c r="B72" s="166">
        <f>monthly_data!U50/1000</f>
        <v>1.0473699999999999</v>
      </c>
      <c r="C72" s="166">
        <f>monthly_data!U62/1000</f>
        <v>1.0298800000000001</v>
      </c>
      <c r="D72" s="166">
        <f>monthly_data!U74/1000</f>
        <v>0.22753000000000001</v>
      </c>
      <c r="E72" s="166">
        <f>monthly_data!U86/1000</f>
        <v>0.26174000000000003</v>
      </c>
      <c r="F72" s="166">
        <f>monthly_data!U97/1000</f>
        <v>0.63587000000000005</v>
      </c>
      <c r="G72" s="166">
        <f>monthly_data!U110/1000</f>
        <v>0.87824000000000002</v>
      </c>
      <c r="H72" s="166">
        <f>monthly_data!U122/1000</f>
        <v>0.97304999999999997</v>
      </c>
      <c r="I72" s="165">
        <f t="shared" si="39"/>
        <v>0.82458973450455408</v>
      </c>
      <c r="J72" s="165">
        <f t="shared" si="40"/>
        <v>0.8811211719319425</v>
      </c>
      <c r="K72" s="165">
        <f t="shared" si="41"/>
        <v>0.92497702356687361</v>
      </c>
      <c r="L72" s="165">
        <f t="shared" si="41"/>
        <v>0.96218700704599247</v>
      </c>
      <c r="M72" s="165">
        <f t="shared" si="41"/>
        <v>0.97968298130623155</v>
      </c>
      <c r="N72" s="165">
        <f t="shared" si="41"/>
        <v>0.98990229258950369</v>
      </c>
      <c r="O72" s="165">
        <f t="shared" si="41"/>
        <v>1.0256904188776839</v>
      </c>
      <c r="P72" s="165">
        <f t="shared" si="41"/>
        <v>1.056987874600452</v>
      </c>
      <c r="Q72" s="165">
        <f t="shared" si="41"/>
        <v>1.0855665927748577</v>
      </c>
      <c r="R72" s="165">
        <f t="shared" si="41"/>
        <v>1.1122767486553258</v>
      </c>
      <c r="S72" s="165">
        <f t="shared" si="41"/>
        <v>1.1409816610097545</v>
      </c>
    </row>
    <row r="73" spans="1:19" x14ac:dyDescent="0.25">
      <c r="A73" s="155" t="s">
        <v>93</v>
      </c>
      <c r="B73" s="166">
        <f>monthly_data!U51/1000</f>
        <v>1.0395799999999999</v>
      </c>
      <c r="C73" s="166">
        <f>monthly_data!U63/1000</f>
        <v>1.0897300000000001</v>
      </c>
      <c r="D73" s="166">
        <f>monthly_data!U75/1000</f>
        <v>0.17035</v>
      </c>
      <c r="E73" s="166">
        <f>monthly_data!U87/1000</f>
        <v>0.27315</v>
      </c>
      <c r="F73" s="166">
        <f>monthly_data!U98/1000</f>
        <v>0.83426999999999996</v>
      </c>
      <c r="G73" s="166">
        <f>monthly_data!U111/1000</f>
        <v>0.98490999999999995</v>
      </c>
      <c r="H73" s="166">
        <f>monthly_data!U123/1000</f>
        <v>1.0427899999999999</v>
      </c>
      <c r="I73" s="165">
        <f t="shared" si="39"/>
        <v>0.91574692827070292</v>
      </c>
      <c r="J73" s="165">
        <f t="shared" si="40"/>
        <v>0.99882884249367931</v>
      </c>
      <c r="K73" s="165">
        <f t="shared" si="41"/>
        <v>1.0537398332942192</v>
      </c>
      <c r="L73" s="165">
        <f t="shared" si="41"/>
        <v>1.0725401544359248</v>
      </c>
      <c r="M73" s="165">
        <f t="shared" si="41"/>
        <v>1.0907672161174762</v>
      </c>
      <c r="N73" s="165">
        <f t="shared" si="41"/>
        <v>1.1109329696801773</v>
      </c>
      <c r="O73" s="165">
        <f t="shared" si="41"/>
        <v>1.153188336003059</v>
      </c>
      <c r="P73" s="165">
        <f t="shared" si="41"/>
        <v>1.1866052591424034</v>
      </c>
      <c r="Q73" s="165">
        <f t="shared" si="41"/>
        <v>1.2153689822053795</v>
      </c>
      <c r="R73" s="165">
        <f t="shared" si="41"/>
        <v>1.2462896586804191</v>
      </c>
      <c r="S73" s="165">
        <f t="shared" si="41"/>
        <v>1.2799583459209172</v>
      </c>
    </row>
    <row r="74" spans="1:19" x14ac:dyDescent="0.25">
      <c r="A74" s="155" t="s">
        <v>137</v>
      </c>
      <c r="B74" s="166">
        <f>monthly_data!U52/1000</f>
        <v>1.06409</v>
      </c>
      <c r="C74" s="166">
        <f>monthly_data!U64/1000</f>
        <v>1.1142100000000001</v>
      </c>
      <c r="D74" s="166">
        <f>monthly_data!U76/1000</f>
        <v>0.18834999999999999</v>
      </c>
      <c r="E74" s="166">
        <f>monthly_data!U88/1000</f>
        <v>0.31566000000000005</v>
      </c>
      <c r="F74" s="166">
        <f>monthly_data!U99/1000</f>
        <v>0.90773000000000004</v>
      </c>
      <c r="G74" s="166">
        <f>monthly_data!U112/1000</f>
        <v>1.0071300000000001</v>
      </c>
      <c r="H74" s="166">
        <f>monthly_data!U124/1000</f>
        <v>1.0507599999999999</v>
      </c>
      <c r="I74" s="165">
        <f t="shared" si="39"/>
        <v>0.96122579080611215</v>
      </c>
      <c r="J74" s="165">
        <f t="shared" si="40"/>
        <v>1.0460815483051644</v>
      </c>
      <c r="K74" s="165">
        <f t="shared" si="41"/>
        <v>1.0970629984062326</v>
      </c>
      <c r="L74" s="165">
        <f t="shared" si="41"/>
        <v>1.1082294248924318</v>
      </c>
      <c r="M74" s="165">
        <f t="shared" si="41"/>
        <v>1.1293273662657417</v>
      </c>
      <c r="N74" s="165">
        <f t="shared" si="41"/>
        <v>1.1564612205992166</v>
      </c>
      <c r="O74" s="165">
        <f t="shared" si="41"/>
        <v>1.1987272788969305</v>
      </c>
      <c r="P74" s="165">
        <f t="shared" si="41"/>
        <v>1.2317731935391951</v>
      </c>
      <c r="Q74" s="165">
        <f t="shared" si="41"/>
        <v>1.2609362863590787</v>
      </c>
      <c r="R74" s="165">
        <f t="shared" si="41"/>
        <v>1.2939954350804457</v>
      </c>
      <c r="S74" s="165">
        <f t="shared" si="41"/>
        <v>1.3296440374046743</v>
      </c>
    </row>
    <row r="75" spans="1:19" x14ac:dyDescent="0.25">
      <c r="A75" s="155" t="s">
        <v>138</v>
      </c>
      <c r="B75" s="166">
        <f>monthly_data!U53/1000</f>
        <v>1.1796600000000002</v>
      </c>
      <c r="C75" s="166">
        <f>monthly_data!U65/1000</f>
        <v>1.05549</v>
      </c>
      <c r="D75" s="166">
        <f>monthly_data!U77/1000</f>
        <v>0.2949</v>
      </c>
      <c r="E75" s="166">
        <f>monthly_data!U89/1000</f>
        <v>0.39230000000000004</v>
      </c>
      <c r="F75" s="166">
        <f>monthly_data!U100/1000</f>
        <v>0.87253000000000003</v>
      </c>
      <c r="G75" s="166">
        <f>monthly_data!U113/1000</f>
        <v>1.0722</v>
      </c>
      <c r="H75" s="166">
        <f>monthly_data!U125/1000</f>
        <v>1.198</v>
      </c>
      <c r="I75" s="165">
        <f t="shared" si="39"/>
        <v>1.0610432504278706</v>
      </c>
      <c r="J75" s="165">
        <f t="shared" si="40"/>
        <v>1.1332612514874141</v>
      </c>
      <c r="K75" s="165">
        <f t="shared" si="41"/>
        <v>1.1773876177959737</v>
      </c>
      <c r="L75" s="165">
        <f t="shared" si="41"/>
        <v>1.2111963462384259</v>
      </c>
      <c r="M75" s="165">
        <f t="shared" si="41"/>
        <v>1.2403703794964875</v>
      </c>
      <c r="N75" s="165">
        <f t="shared" si="41"/>
        <v>1.2606635901338816</v>
      </c>
      <c r="O75" s="165">
        <f t="shared" si="41"/>
        <v>1.3038789272495108</v>
      </c>
      <c r="P75" s="165">
        <f t="shared" si="41"/>
        <v>1.3408155459668374</v>
      </c>
      <c r="Q75" s="165">
        <f t="shared" si="41"/>
        <v>1.3761956731643665</v>
      </c>
      <c r="R75" s="165">
        <f t="shared" si="41"/>
        <v>1.4119159887767825</v>
      </c>
      <c r="S75" s="165">
        <f t="shared" si="41"/>
        <v>1.4490534936356154</v>
      </c>
    </row>
    <row r="76" spans="1:19" x14ac:dyDescent="0.25">
      <c r="A76" s="155" t="s">
        <v>139</v>
      </c>
      <c r="B76" s="166">
        <f>monthly_data!U54/1000</f>
        <v>1.1644400000000001</v>
      </c>
      <c r="C76" s="166">
        <f>monthly_data!U66/1000</f>
        <v>0.88828999999999991</v>
      </c>
      <c r="D76" s="166">
        <f>monthly_data!U78/1000</f>
        <v>0.40720999999999996</v>
      </c>
      <c r="E76" s="166">
        <f>monthly_data!U90/1000</f>
        <v>0.54555999999999993</v>
      </c>
      <c r="F76" s="166">
        <f>monthly_data!U101/1000</f>
        <v>0.97914000000000001</v>
      </c>
      <c r="G76" s="166">
        <f>monthly_data!U114/1000</f>
        <v>1.0781500000000002</v>
      </c>
      <c r="H76" s="166">
        <f>monthly_data!U126/1000</f>
        <v>1.163</v>
      </c>
      <c r="I76" s="165">
        <f t="shared" si="39"/>
        <v>1.1561039357457004</v>
      </c>
      <c r="J76" s="165">
        <f t="shared" si="40"/>
        <v>1.2136141817294375</v>
      </c>
      <c r="K76" s="165">
        <f t="shared" si="41"/>
        <v>1.2331953894119081</v>
      </c>
      <c r="L76" s="165">
        <f t="shared" si="41"/>
        <v>1.2545983185316858</v>
      </c>
      <c r="M76" s="165">
        <f t="shared" si="41"/>
        <v>1.2917849188136752</v>
      </c>
      <c r="N76" s="165">
        <f t="shared" si="41"/>
        <v>1.3312467668245394</v>
      </c>
      <c r="O76" s="165">
        <f t="shared" si="41"/>
        <v>1.3691630257568941</v>
      </c>
      <c r="P76" s="165">
        <f t="shared" si="41"/>
        <v>1.402837428588253</v>
      </c>
      <c r="Q76" s="165">
        <f t="shared" si="41"/>
        <v>1.4395628340393476</v>
      </c>
      <c r="R76" s="165">
        <f t="shared" si="41"/>
        <v>1.4796053662976567</v>
      </c>
      <c r="S76" s="165">
        <f t="shared" si="41"/>
        <v>1.5202661725420623</v>
      </c>
    </row>
    <row r="77" spans="1:19" x14ac:dyDescent="0.25">
      <c r="A77" s="155" t="s">
        <v>140</v>
      </c>
      <c r="B77" s="166">
        <f>monthly_data!U55/1000</f>
        <v>1.0726099999999998</v>
      </c>
      <c r="C77" s="166">
        <f>monthly_data!U67/1000</f>
        <v>1.15832</v>
      </c>
      <c r="D77" s="166">
        <f>monthly_data!U79/1000</f>
        <v>0.39509</v>
      </c>
      <c r="E77" s="166">
        <f>monthly_data!U91/1000</f>
        <v>0.48763999999999996</v>
      </c>
      <c r="F77" s="166">
        <f>monthly_data!U102/1000</f>
        <v>1.0072999999999999</v>
      </c>
      <c r="G77" s="166">
        <f>monthly_data!U115/1000</f>
        <v>1.0255699999999999</v>
      </c>
      <c r="H77" s="166">
        <f>monthly_data!U127/1000</f>
        <v>1.024</v>
      </c>
      <c r="I77" s="165">
        <f t="shared" si="39"/>
        <v>1.0914262112847073</v>
      </c>
      <c r="J77" s="165">
        <f t="shared" si="40"/>
        <v>1.1430903265362955</v>
      </c>
      <c r="K77" s="165">
        <f t="shared" si="41"/>
        <v>1.1673173535541153</v>
      </c>
      <c r="L77" s="165">
        <f t="shared" si="41"/>
        <v>1.1703025040190587</v>
      </c>
      <c r="M77" s="165">
        <f t="shared" si="41"/>
        <v>1.200729241768699</v>
      </c>
      <c r="N77" s="165">
        <f t="shared" si="41"/>
        <v>1.2497540831792899</v>
      </c>
      <c r="O77" s="165">
        <f t="shared" si="41"/>
        <v>1.2840301112073016</v>
      </c>
      <c r="P77" s="165">
        <f t="shared" si="41"/>
        <v>1.3145418331918037</v>
      </c>
      <c r="Q77" s="165">
        <f t="shared" si="41"/>
        <v>1.3464141139853638</v>
      </c>
      <c r="R77" s="165">
        <f t="shared" si="41"/>
        <v>1.3845401015770022</v>
      </c>
      <c r="S77" s="165">
        <f t="shared" si="41"/>
        <v>1.4243328816305181</v>
      </c>
    </row>
    <row r="78" spans="1:19" x14ac:dyDescent="0.25">
      <c r="A78" s="155" t="s">
        <v>141</v>
      </c>
      <c r="B78" s="166">
        <f>monthly_data!U56/1000</f>
        <v>1.0273599999999998</v>
      </c>
      <c r="C78" s="166">
        <f>monthly_data!U68/1000</f>
        <v>1.0192300000000001</v>
      </c>
      <c r="D78" s="166">
        <f>monthly_data!U80/1000</f>
        <v>0.37326999999999999</v>
      </c>
      <c r="E78" s="166">
        <f>monthly_data!U92/1000</f>
        <v>0.57223000000000002</v>
      </c>
      <c r="F78" s="166">
        <f>monthly_data!U103/1000</f>
        <v>0.91436000000000006</v>
      </c>
      <c r="G78" s="166">
        <f>monthly_data!U116/1000</f>
        <v>1.0288900000000001</v>
      </c>
      <c r="H78" s="166">
        <f>monthly_data!U128/1000</f>
        <v>1.119</v>
      </c>
      <c r="I78" s="165">
        <f t="shared" si="39"/>
        <v>1.1103064773774711</v>
      </c>
      <c r="J78" s="165">
        <f t="shared" si="40"/>
        <v>1.1699297135642415</v>
      </c>
      <c r="K78" s="165">
        <f t="shared" si="41"/>
        <v>1.1785902990140709</v>
      </c>
      <c r="L78" s="165">
        <f t="shared" si="41"/>
        <v>1.2036448735529384</v>
      </c>
      <c r="M78" s="165">
        <f t="shared" si="41"/>
        <v>1.2404954483108697</v>
      </c>
      <c r="N78" s="165">
        <f t="shared" si="41"/>
        <v>1.2779193800133175</v>
      </c>
      <c r="O78" s="165">
        <f t="shared" si="41"/>
        <v>1.3142055024746107</v>
      </c>
      <c r="P78" s="165">
        <f t="shared" si="41"/>
        <v>1.3454394281585733</v>
      </c>
      <c r="Q78" s="165">
        <f t="shared" si="41"/>
        <v>1.3815602030958765</v>
      </c>
      <c r="R78" s="165">
        <f t="shared" si="41"/>
        <v>1.4200766736898032</v>
      </c>
      <c r="S78" s="165">
        <f t="shared" si="41"/>
        <v>1.458953790149067</v>
      </c>
    </row>
    <row r="79" spans="1:19" x14ac:dyDescent="0.25">
      <c r="A79" s="155" t="s">
        <v>142</v>
      </c>
      <c r="B79" s="166">
        <f>monthly_data!U57/1000</f>
        <v>0.83299000000000001</v>
      </c>
      <c r="C79" s="166">
        <f>monthly_data!U69/1000</f>
        <v>0.76551000000000002</v>
      </c>
      <c r="D79" s="166">
        <f>monthly_data!U81/1000</f>
        <v>0.34427999999999997</v>
      </c>
      <c r="E79" s="166">
        <f>monthly_data!U93/1000</f>
        <v>0.53051999999999999</v>
      </c>
      <c r="F79" s="166">
        <f>monthly_data!U104/1000</f>
        <v>0.89613999999999994</v>
      </c>
      <c r="G79" s="166">
        <f>monthly_data!U117/1000</f>
        <v>0.87811000000000006</v>
      </c>
      <c r="H79" s="166">
        <f>monthly_data!U129/1000</f>
        <v>0.879</v>
      </c>
      <c r="I79" s="165">
        <f t="shared" si="39"/>
        <v>0.97741045911336477</v>
      </c>
      <c r="J79" s="165">
        <f t="shared" si="40"/>
        <v>1.0260290290892942</v>
      </c>
      <c r="K79" s="165">
        <f t="shared" si="41"/>
        <v>1.0272986883189363</v>
      </c>
      <c r="L79" s="165">
        <f t="shared" si="41"/>
        <v>1.0278509575691868</v>
      </c>
      <c r="M79" s="165">
        <f t="shared" si="41"/>
        <v>1.0594287269377016</v>
      </c>
      <c r="N79" s="165">
        <f t="shared" si="41"/>
        <v>1.1079876306887995</v>
      </c>
      <c r="O79" s="165">
        <f t="shared" si="41"/>
        <v>1.1362559749744989</v>
      </c>
      <c r="P79" s="165">
        <f t="shared" si="41"/>
        <v>1.1601187468376801</v>
      </c>
      <c r="Q79" s="165">
        <f t="shared" si="41"/>
        <v>1.1888726484343735</v>
      </c>
      <c r="R79" s="165">
        <f t="shared" si="41"/>
        <v>1.2237318549857492</v>
      </c>
      <c r="S79" s="165">
        <f t="shared" si="41"/>
        <v>1.2593014521430619</v>
      </c>
    </row>
    <row r="80" spans="1:19" x14ac:dyDescent="0.25">
      <c r="A80" s="155" t="s">
        <v>143</v>
      </c>
      <c r="B80" s="166">
        <f>monthly_data!U58/1000</f>
        <v>1.0930899999999999</v>
      </c>
      <c r="C80" s="166">
        <f>monthly_data!U70/1000</f>
        <v>1.0326900000000001</v>
      </c>
      <c r="D80" s="166">
        <f>monthly_data!U82/1000</f>
        <v>0.30474000000000001</v>
      </c>
      <c r="E80" s="166">
        <f>monthly_data!U94/1000</f>
        <v>0.71572999999999998</v>
      </c>
      <c r="F80" s="166">
        <f>monthly_data!U105/1000</f>
        <v>0.74297000000000002</v>
      </c>
      <c r="G80" s="166">
        <f>monthly_data!U118/1000</f>
        <v>0.84772000000000003</v>
      </c>
      <c r="H80" s="166">
        <f>monthly_data!U130/1000</f>
        <v>0.92800000000000005</v>
      </c>
      <c r="I80" s="165">
        <f t="shared" ref="I80:Q80" si="42">I81-SUM(I69:I79)</f>
        <v>0.9804883718982591</v>
      </c>
      <c r="J80" s="165">
        <f t="shared" si="42"/>
        <v>1.0392768078701806</v>
      </c>
      <c r="K80" s="165">
        <f t="shared" si="42"/>
        <v>1.0012153623259792</v>
      </c>
      <c r="L80" s="165">
        <f t="shared" si="42"/>
        <v>1.0297513754803873</v>
      </c>
      <c r="M80" s="165">
        <f t="shared" si="42"/>
        <v>1.0682564858997026</v>
      </c>
      <c r="N80" s="165">
        <f t="shared" si="42"/>
        <v>1.1081977411367241</v>
      </c>
      <c r="O80" s="165">
        <f t="shared" si="42"/>
        <v>1.1358452416499087</v>
      </c>
      <c r="P80" s="165">
        <f t="shared" si="42"/>
        <v>1.1567511144014784</v>
      </c>
      <c r="Q80" s="165">
        <f t="shared" si="42"/>
        <v>1.1904226829869966</v>
      </c>
      <c r="R80" s="165">
        <f t="shared" ref="R80:S80" si="43">R81-SUM(R69:R79)</f>
        <v>1.2252060358704462</v>
      </c>
      <c r="S80" s="165">
        <f t="shared" si="43"/>
        <v>1.2591836742319504</v>
      </c>
    </row>
    <row r="81" spans="1:19" ht="15.75" thickBot="1" x14ac:dyDescent="0.3">
      <c r="A81" s="155" t="s">
        <v>174</v>
      </c>
      <c r="B81" s="166">
        <f t="shared" ref="B81:H81" si="44">SUM(B69:B80)</f>
        <v>12.27716</v>
      </c>
      <c r="C81" s="166">
        <f t="shared" si="44"/>
        <v>12.071630000000003</v>
      </c>
      <c r="D81" s="166">
        <f t="shared" si="44"/>
        <v>5.2145799999999998</v>
      </c>
      <c r="E81" s="166">
        <f t="shared" si="44"/>
        <v>4.82294</v>
      </c>
      <c r="F81" s="166">
        <f t="shared" si="44"/>
        <v>9.2690400000000004</v>
      </c>
      <c r="G81" s="166">
        <f t="shared" si="44"/>
        <v>11.07737</v>
      </c>
      <c r="H81" s="166">
        <f t="shared" si="44"/>
        <v>11.964180000000001</v>
      </c>
      <c r="I81" s="165">
        <f t="shared" ref="I81:S81" si="45">I9</f>
        <v>11.732114238087123</v>
      </c>
      <c r="J81" s="165">
        <f t="shared" si="45"/>
        <v>12.048881322515474</v>
      </c>
      <c r="K81" s="165">
        <f t="shared" si="45"/>
        <v>12.37420111822339</v>
      </c>
      <c r="L81" s="165">
        <f t="shared" si="45"/>
        <v>12.70830454841542</v>
      </c>
      <c r="M81" s="165">
        <f t="shared" si="45"/>
        <v>13.051428771222636</v>
      </c>
      <c r="N81" s="165">
        <f t="shared" si="45"/>
        <v>13.403817348045646</v>
      </c>
      <c r="O81" s="165">
        <f t="shared" si="45"/>
        <v>13.765720416442877</v>
      </c>
      <c r="P81" s="165">
        <f t="shared" si="45"/>
        <v>14.137394867686833</v>
      </c>
      <c r="Q81" s="165">
        <f t="shared" si="45"/>
        <v>14.519104529114376</v>
      </c>
      <c r="R81" s="165">
        <f t="shared" si="45"/>
        <v>14.911120351400463</v>
      </c>
      <c r="S81" s="165">
        <f t="shared" si="45"/>
        <v>15.313720600888274</v>
      </c>
    </row>
    <row r="82" spans="1:19" x14ac:dyDescent="0.25">
      <c r="A82" s="167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</row>
    <row r="83" spans="1:19" ht="15.75" thickBot="1" x14ac:dyDescent="0.3">
      <c r="A83" s="155" t="s">
        <v>185</v>
      </c>
    </row>
    <row r="84" spans="1:19" ht="16.5" thickTop="1" thickBot="1" x14ac:dyDescent="0.3">
      <c r="A84" s="55" t="s">
        <v>38</v>
      </c>
      <c r="B84" s="163">
        <f t="shared" ref="B84:S84" si="46">B4</f>
        <v>2018</v>
      </c>
      <c r="C84" s="163">
        <f t="shared" si="46"/>
        <v>2019</v>
      </c>
      <c r="D84" s="163">
        <f t="shared" si="46"/>
        <v>2020</v>
      </c>
      <c r="E84" s="163">
        <f t="shared" si="46"/>
        <v>2021</v>
      </c>
      <c r="F84" s="163">
        <f t="shared" si="46"/>
        <v>2022</v>
      </c>
      <c r="G84" s="163">
        <f t="shared" si="46"/>
        <v>2023</v>
      </c>
      <c r="H84" s="163">
        <f t="shared" si="46"/>
        <v>2024</v>
      </c>
      <c r="I84" s="163">
        <f t="shared" si="46"/>
        <v>2025</v>
      </c>
      <c r="J84" s="163">
        <f t="shared" si="46"/>
        <v>2026</v>
      </c>
      <c r="K84" s="163">
        <f t="shared" si="46"/>
        <v>2027</v>
      </c>
      <c r="L84" s="163">
        <f t="shared" si="46"/>
        <v>2028</v>
      </c>
      <c r="M84" s="163">
        <f t="shared" si="46"/>
        <v>2029</v>
      </c>
      <c r="N84" s="163">
        <f t="shared" si="46"/>
        <v>2030</v>
      </c>
      <c r="O84" s="163">
        <f t="shared" si="46"/>
        <v>2031</v>
      </c>
      <c r="P84" s="163">
        <f t="shared" si="46"/>
        <v>2032</v>
      </c>
      <c r="Q84" s="163">
        <f t="shared" si="46"/>
        <v>2033</v>
      </c>
      <c r="R84" s="163">
        <f t="shared" si="46"/>
        <v>2034</v>
      </c>
      <c r="S84" s="163">
        <f t="shared" si="46"/>
        <v>2035</v>
      </c>
    </row>
    <row r="85" spans="1:19" x14ac:dyDescent="0.25">
      <c r="A85" s="155" t="s">
        <v>133</v>
      </c>
      <c r="B85" s="164">
        <f>monthly_data!V47/1000</f>
        <v>1.1398299999999999</v>
      </c>
      <c r="C85" s="164">
        <f>monthly_data!V59/1000</f>
        <v>0.85675999999999997</v>
      </c>
      <c r="D85" s="164">
        <f>monthly_data!$V71/1000</f>
        <v>1.2141300000000002</v>
      </c>
      <c r="E85" s="164">
        <f>monthly_data!$V83/1000</f>
        <v>1.3516700000000001</v>
      </c>
      <c r="F85" s="164">
        <f>monthly_data!$V95/1000</f>
        <v>0.8468</v>
      </c>
      <c r="G85" s="164">
        <f>monthly_data!$V107/1000</f>
        <v>0.84123000000000003</v>
      </c>
      <c r="H85" s="164">
        <f>monthly_data!$V119/1000</f>
        <v>0.87609000000000004</v>
      </c>
      <c r="I85" s="165">
        <f t="shared" ref="I85:S85" si="47">H96+I21+I37-I53-I69</f>
        <v>1.4405564782711613</v>
      </c>
      <c r="J85" s="165">
        <f t="shared" si="47"/>
        <v>2.7680693271664873</v>
      </c>
      <c r="K85" s="165">
        <f t="shared" si="47"/>
        <v>4.1246914118400237</v>
      </c>
      <c r="L85" s="165">
        <f t="shared" si="47"/>
        <v>5.5514519092744532</v>
      </c>
      <c r="M85" s="165">
        <f t="shared" si="47"/>
        <v>7.0166188269172096</v>
      </c>
      <c r="N85" s="165">
        <f t="shared" si="47"/>
        <v>8.5515955964576609</v>
      </c>
      <c r="O85" s="165">
        <f t="shared" si="47"/>
        <v>10.091047704331213</v>
      </c>
      <c r="P85" s="165">
        <f t="shared" si="47"/>
        <v>11.676382043135099</v>
      </c>
      <c r="Q85" s="165">
        <f t="shared" si="47"/>
        <v>13.311229759079184</v>
      </c>
      <c r="R85" s="165">
        <f t="shared" si="47"/>
        <v>14.991125786786453</v>
      </c>
      <c r="S85" s="165">
        <f t="shared" si="47"/>
        <v>16.717508013713907</v>
      </c>
    </row>
    <row r="86" spans="1:19" x14ac:dyDescent="0.25">
      <c r="A86" s="155" t="s">
        <v>134</v>
      </c>
      <c r="B86" s="164">
        <f>monthly_data!V48/1000</f>
        <v>1.08229</v>
      </c>
      <c r="C86" s="164">
        <f>monthly_data!V60/1000</f>
        <v>0.92927999999999999</v>
      </c>
      <c r="D86" s="164">
        <f>monthly_data!$V72/1000</f>
        <v>1.0757999999999999</v>
      </c>
      <c r="E86" s="164">
        <f>monthly_data!$V84/1000</f>
        <v>1.2626199999999999</v>
      </c>
      <c r="F86" s="164">
        <f>monthly_data!$V96/1000</f>
        <v>0.78289999999999993</v>
      </c>
      <c r="G86" s="164">
        <f>monthly_data!$V108/1000</f>
        <v>0.83999000000000001</v>
      </c>
      <c r="H86" s="164">
        <f>monthly_data!$V120/1000</f>
        <v>0.97504999999999997</v>
      </c>
      <c r="I86" s="165">
        <f t="shared" ref="I86:S96" si="48">I85+I22+I38-I54-I70</f>
        <v>1.528975741661541</v>
      </c>
      <c r="J86" s="165">
        <f t="shared" si="48"/>
        <v>2.9033012418207771</v>
      </c>
      <c r="K86" s="165">
        <f t="shared" si="48"/>
        <v>4.2515753229065991</v>
      </c>
      <c r="L86" s="165">
        <f t="shared" si="48"/>
        <v>5.6904889692622644</v>
      </c>
      <c r="M86" s="165">
        <f t="shared" si="48"/>
        <v>7.1650045370402351</v>
      </c>
      <c r="N86" s="165">
        <f t="shared" si="48"/>
        <v>8.6897055906218341</v>
      </c>
      <c r="O86" s="165">
        <f t="shared" si="48"/>
        <v>10.239915127748707</v>
      </c>
      <c r="P86" s="165">
        <f t="shared" si="48"/>
        <v>11.828201385724823</v>
      </c>
      <c r="Q86" s="165">
        <f t="shared" si="48"/>
        <v>13.468447314501244</v>
      </c>
      <c r="R86" s="165">
        <f t="shared" si="48"/>
        <v>15.152279194838945</v>
      </c>
      <c r="S86" s="165">
        <f t="shared" si="48"/>
        <v>16.881425470615454</v>
      </c>
    </row>
    <row r="87" spans="1:19" x14ac:dyDescent="0.25">
      <c r="A87" s="155" t="s">
        <v>135</v>
      </c>
      <c r="B87" s="164">
        <f>monthly_data!V49/1000</f>
        <v>0.95395000000000008</v>
      </c>
      <c r="C87" s="164">
        <f>monthly_data!V61/1000</f>
        <v>0.98168</v>
      </c>
      <c r="D87" s="164">
        <f>monthly_data!$V73/1000</f>
        <v>1.0145900000000001</v>
      </c>
      <c r="E87" s="164">
        <f>monthly_data!$V85/1000</f>
        <v>1.16475</v>
      </c>
      <c r="F87" s="164">
        <f>monthly_data!$V97/1000</f>
        <v>0.58487</v>
      </c>
      <c r="G87" s="164">
        <f>monthly_data!$V109/1000</f>
        <v>0.88634000000000002</v>
      </c>
      <c r="H87" s="164">
        <f>monthly_data!$V121/1000</f>
        <v>0.98715999999999993</v>
      </c>
      <c r="I87" s="165">
        <f t="shared" si="48"/>
        <v>1.6437531795605711</v>
      </c>
      <c r="J87" s="165">
        <f t="shared" si="48"/>
        <v>3.0240159177998311</v>
      </c>
      <c r="K87" s="165">
        <f t="shared" si="48"/>
        <v>4.3651492822950155</v>
      </c>
      <c r="L87" s="165">
        <f t="shared" si="48"/>
        <v>5.8182132828394577</v>
      </c>
      <c r="M87" s="165">
        <f t="shared" si="48"/>
        <v>7.286534900948439</v>
      </c>
      <c r="N87" s="165">
        <f t="shared" si="48"/>
        <v>8.819234640542799</v>
      </c>
      <c r="O87" s="165">
        <f t="shared" si="48"/>
        <v>10.37263771940728</v>
      </c>
      <c r="P87" s="165">
        <f t="shared" si="48"/>
        <v>11.963523542762907</v>
      </c>
      <c r="Q87" s="165">
        <f t="shared" si="48"/>
        <v>13.608477687618272</v>
      </c>
      <c r="R87" s="165">
        <f t="shared" si="48"/>
        <v>15.294973677797493</v>
      </c>
      <c r="S87" s="165">
        <f t="shared" si="48"/>
        <v>17.028701723852837</v>
      </c>
    </row>
    <row r="88" spans="1:19" x14ac:dyDescent="0.25">
      <c r="A88" s="155" t="s">
        <v>136</v>
      </c>
      <c r="B88" s="164">
        <f>monthly_data!V50/1000</f>
        <v>1.0326900000000001</v>
      </c>
      <c r="C88" s="164">
        <f>monthly_data!V62/1000</f>
        <v>0.89545000000000008</v>
      </c>
      <c r="D88" s="164">
        <f>monthly_data!$V74/1000</f>
        <v>1.1609700000000001</v>
      </c>
      <c r="E88" s="164">
        <f>monthly_data!$V86/1000</f>
        <v>1.2301099999999998</v>
      </c>
      <c r="F88" s="164">
        <f>monthly_data!$V98/1000</f>
        <v>0.72336</v>
      </c>
      <c r="G88" s="164">
        <f>monthly_data!$V110/1000</f>
        <v>1.00099</v>
      </c>
      <c r="H88" s="164">
        <f>monthly_data!$V122/1000</f>
        <v>0.98736999999999997</v>
      </c>
      <c r="I88" s="165">
        <f t="shared" si="48"/>
        <v>1.9309504448754864</v>
      </c>
      <c r="J88" s="165">
        <f t="shared" si="48"/>
        <v>3.3224601329417114</v>
      </c>
      <c r="K88" s="165">
        <f t="shared" si="48"/>
        <v>4.6540465667908997</v>
      </c>
      <c r="L88" s="165">
        <f t="shared" si="48"/>
        <v>6.0739086372803159</v>
      </c>
      <c r="M88" s="165">
        <f t="shared" si="48"/>
        <v>7.5488564853841513</v>
      </c>
      <c r="N88" s="165">
        <f t="shared" si="48"/>
        <v>9.1207057445490456</v>
      </c>
      <c r="O88" s="165">
        <f t="shared" si="48"/>
        <v>10.677198933128238</v>
      </c>
      <c r="P88" s="165">
        <f t="shared" si="48"/>
        <v>12.269409011096998</v>
      </c>
      <c r="Q88" s="165">
        <f t="shared" si="48"/>
        <v>13.918040887853994</v>
      </c>
      <c r="R88" s="165">
        <f t="shared" si="48"/>
        <v>15.616198601077802</v>
      </c>
      <c r="S88" s="165">
        <f t="shared" si="48"/>
        <v>17.36267849220642</v>
      </c>
    </row>
    <row r="89" spans="1:19" x14ac:dyDescent="0.25">
      <c r="A89" s="155" t="s">
        <v>93</v>
      </c>
      <c r="B89" s="164">
        <f>monthly_data!V51/1000</f>
        <v>1.0251199999999998</v>
      </c>
      <c r="C89" s="164">
        <f>monthly_data!V63/1000</f>
        <v>0.90410999999999997</v>
      </c>
      <c r="D89" s="164">
        <f>monthly_data!$V75/1000</f>
        <v>1.2785599999999999</v>
      </c>
      <c r="E89" s="164">
        <f>monthly_data!$V87/1000</f>
        <v>1.1767000000000001</v>
      </c>
      <c r="F89" s="164">
        <f>monthly_data!$V99/1000</f>
        <v>0.72347000000000006</v>
      </c>
      <c r="G89" s="164">
        <f>monthly_data!$V111/1000</f>
        <v>0.83428000000000002</v>
      </c>
      <c r="H89" s="164">
        <f>monthly_data!$V123/1000</f>
        <v>0.9651900000000001</v>
      </c>
      <c r="I89" s="165">
        <f t="shared" si="48"/>
        <v>2.0308281713589103</v>
      </c>
      <c r="J89" s="165">
        <f t="shared" si="48"/>
        <v>3.3817752428145647</v>
      </c>
      <c r="K89" s="165">
        <f t="shared" si="48"/>
        <v>4.7046831517448489</v>
      </c>
      <c r="L89" s="165">
        <f t="shared" si="48"/>
        <v>6.1073349007986737</v>
      </c>
      <c r="M89" s="165">
        <f t="shared" si="48"/>
        <v>7.6124363396480428</v>
      </c>
      <c r="N89" s="165">
        <f t="shared" si="48"/>
        <v>9.1871318476228367</v>
      </c>
      <c r="O89" s="165">
        <f t="shared" si="48"/>
        <v>10.736383173049003</v>
      </c>
      <c r="P89" s="165">
        <f t="shared" si="48"/>
        <v>12.328564919290113</v>
      </c>
      <c r="Q89" s="165">
        <f t="shared" si="48"/>
        <v>13.979041124266965</v>
      </c>
      <c r="R89" s="165">
        <f t="shared" si="48"/>
        <v>15.683168261929248</v>
      </c>
      <c r="S89" s="165">
        <f t="shared" si="48"/>
        <v>17.430382004300952</v>
      </c>
    </row>
    <row r="90" spans="1:19" x14ac:dyDescent="0.25">
      <c r="A90" s="155" t="s">
        <v>137</v>
      </c>
      <c r="B90" s="164">
        <f>monthly_data!V52/1000</f>
        <v>0.94042999999999999</v>
      </c>
      <c r="C90" s="164">
        <f>monthly_data!V64/1000</f>
        <v>0.76003999999999994</v>
      </c>
      <c r="D90" s="164">
        <f>monthly_data!$V76/1000</f>
        <v>1.4023299999999999</v>
      </c>
      <c r="E90" s="164">
        <f>monthly_data!$V88/1000</f>
        <v>1.0714600000000001</v>
      </c>
      <c r="F90" s="164">
        <f>monthly_data!$V100/1000</f>
        <v>0.68250999999999995</v>
      </c>
      <c r="G90" s="164">
        <f>monthly_data!$V112/1000</f>
        <v>0.66204999999999992</v>
      </c>
      <c r="H90" s="164">
        <f>monthly_data!$V124/1000</f>
        <v>1.0429999999999999</v>
      </c>
      <c r="I90" s="165">
        <f t="shared" si="48"/>
        <v>2.0450825015990723</v>
      </c>
      <c r="J90" s="165">
        <f t="shared" si="48"/>
        <v>3.3632329975607482</v>
      </c>
      <c r="K90" s="165">
        <f t="shared" si="48"/>
        <v>4.7020215498504312</v>
      </c>
      <c r="L90" s="165">
        <f t="shared" si="48"/>
        <v>6.109559088901702</v>
      </c>
      <c r="M90" s="165">
        <f t="shared" si="48"/>
        <v>7.6364868264758545</v>
      </c>
      <c r="N90" s="165">
        <f t="shared" si="48"/>
        <v>9.1913155055606808</v>
      </c>
      <c r="O90" s="165">
        <f t="shared" si="48"/>
        <v>10.73838665486268</v>
      </c>
      <c r="P90" s="165">
        <f t="shared" si="48"/>
        <v>12.335016297158946</v>
      </c>
      <c r="Q90" s="165">
        <f t="shared" si="48"/>
        <v>13.987465349658134</v>
      </c>
      <c r="R90" s="165">
        <f t="shared" si="48"/>
        <v>15.692934718788068</v>
      </c>
      <c r="S90" s="165">
        <f t="shared" si="48"/>
        <v>17.437056145159367</v>
      </c>
    </row>
    <row r="91" spans="1:19" x14ac:dyDescent="0.25">
      <c r="A91" s="155" t="s">
        <v>138</v>
      </c>
      <c r="B91" s="164">
        <f>monthly_data!V53/1000</f>
        <v>1.0459499999999999</v>
      </c>
      <c r="C91" s="164">
        <f>monthly_data!V65/1000</f>
        <v>0.94940999999999998</v>
      </c>
      <c r="D91" s="164">
        <f>monthly_data!$V77/1000</f>
        <v>1.3533599999999999</v>
      </c>
      <c r="E91" s="164">
        <f>monthly_data!$V89/1000</f>
        <v>1.1463599999999998</v>
      </c>
      <c r="F91" s="164">
        <f>monthly_data!$V101/1000</f>
        <v>0.80622000000000005</v>
      </c>
      <c r="G91" s="164">
        <f>monthly_data!$V113/1000</f>
        <v>0.76014999999999999</v>
      </c>
      <c r="H91" s="164">
        <f>monthly_data!$V125/1000</f>
        <v>0.93700000000000006</v>
      </c>
      <c r="I91" s="165">
        <f t="shared" si="48"/>
        <v>2.1442075018098401</v>
      </c>
      <c r="J91" s="165">
        <f t="shared" si="48"/>
        <v>3.4943960893441846</v>
      </c>
      <c r="K91" s="165">
        <f t="shared" si="48"/>
        <v>4.8321931427249591</v>
      </c>
      <c r="L91" s="165">
        <f t="shared" si="48"/>
        <v>6.2102232458646478</v>
      </c>
      <c r="M91" s="165">
        <f t="shared" si="48"/>
        <v>7.7235867088488774</v>
      </c>
      <c r="N91" s="165">
        <f t="shared" si="48"/>
        <v>9.3099991682134107</v>
      </c>
      <c r="O91" s="165">
        <f t="shared" si="48"/>
        <v>10.861304526274925</v>
      </c>
      <c r="P91" s="165">
        <f t="shared" si="48"/>
        <v>12.45614918023554</v>
      </c>
      <c r="Q91" s="165">
        <f t="shared" si="48"/>
        <v>14.106641463742234</v>
      </c>
      <c r="R91" s="165">
        <f t="shared" si="48"/>
        <v>15.816118442862409</v>
      </c>
      <c r="S91" s="165">
        <f t="shared" si="48"/>
        <v>17.568051575124226</v>
      </c>
    </row>
    <row r="92" spans="1:19" x14ac:dyDescent="0.25">
      <c r="A92" s="155" t="s">
        <v>139</v>
      </c>
      <c r="B92" s="164">
        <f>monthly_data!V54/1000</f>
        <v>1.1293800000000001</v>
      </c>
      <c r="C92" s="164">
        <f>monthly_data!V66/1000</f>
        <v>0.95889000000000002</v>
      </c>
      <c r="D92" s="164">
        <f>monthly_data!$V78/1000</f>
        <v>1.28705</v>
      </c>
      <c r="E92" s="164">
        <f>monthly_data!$V90/1000</f>
        <v>0.96434000000000009</v>
      </c>
      <c r="F92" s="164">
        <f>monthly_data!$V102/1000</f>
        <v>0.74019000000000001</v>
      </c>
      <c r="G92" s="164">
        <f>monthly_data!$V114/1000</f>
        <v>0.91519000000000006</v>
      </c>
      <c r="H92" s="164">
        <f>monthly_data!$V126/1000</f>
        <v>0.90700000000000003</v>
      </c>
      <c r="I92" s="165">
        <f t="shared" si="48"/>
        <v>2.1135461898890955</v>
      </c>
      <c r="J92" s="165">
        <f t="shared" si="48"/>
        <v>3.4911336295207098</v>
      </c>
      <c r="K92" s="165">
        <f t="shared" si="48"/>
        <v>4.8847298448789314</v>
      </c>
      <c r="L92" s="165">
        <f t="shared" si="48"/>
        <v>6.2773971051549964</v>
      </c>
      <c r="M92" s="165">
        <f t="shared" si="48"/>
        <v>7.7539932837186321</v>
      </c>
      <c r="N92" s="165">
        <f t="shared" si="48"/>
        <v>9.3351535960030869</v>
      </c>
      <c r="O92" s="165">
        <f t="shared" si="48"/>
        <v>10.898542372074491</v>
      </c>
      <c r="P92" s="165">
        <f t="shared" si="48"/>
        <v>12.502154841796584</v>
      </c>
      <c r="Q92" s="165">
        <f t="shared" si="48"/>
        <v>14.151233235709885</v>
      </c>
      <c r="R92" s="165">
        <f t="shared" si="48"/>
        <v>15.855821471940123</v>
      </c>
      <c r="S92" s="165">
        <f t="shared" si="48"/>
        <v>17.609767171674619</v>
      </c>
    </row>
    <row r="93" spans="1:19" x14ac:dyDescent="0.25">
      <c r="A93" s="155" t="s">
        <v>140</v>
      </c>
      <c r="B93" s="164">
        <f>monthly_data!V55/1000</f>
        <v>1.05304</v>
      </c>
      <c r="C93" s="164">
        <f>monthly_data!V67/1000</f>
        <v>0.92279</v>
      </c>
      <c r="D93" s="164">
        <f>monthly_data!$V79/1000</f>
        <v>1.2698800000000001</v>
      </c>
      <c r="E93" s="164">
        <f>monthly_data!$V91/1000</f>
        <v>0.82696999999999998</v>
      </c>
      <c r="F93" s="164">
        <f>monthly_data!$V103/1000</f>
        <v>0.80385000000000006</v>
      </c>
      <c r="G93" s="164">
        <f>monthly_data!$V115/1000</f>
        <v>0.95638000000000001</v>
      </c>
      <c r="H93" s="164">
        <f>monthly_data!$V127/1000</f>
        <v>1.0620000000000001</v>
      </c>
      <c r="I93" s="165">
        <f t="shared" si="48"/>
        <v>2.2200424297965204</v>
      </c>
      <c r="J93" s="165">
        <f t="shared" si="48"/>
        <v>3.6220597986486904</v>
      </c>
      <c r="K93" s="165">
        <f t="shared" si="48"/>
        <v>5.0431946998299315</v>
      </c>
      <c r="L93" s="165">
        <f t="shared" si="48"/>
        <v>6.4629312446286544</v>
      </c>
      <c r="M93" s="165">
        <f t="shared" si="48"/>
        <v>7.9475977015392596</v>
      </c>
      <c r="N93" s="165">
        <f t="shared" si="48"/>
        <v>9.5029371103948996</v>
      </c>
      <c r="O93" s="165">
        <f t="shared" si="48"/>
        <v>11.079593824150621</v>
      </c>
      <c r="P93" s="165">
        <f t="shared" si="48"/>
        <v>12.694057798302625</v>
      </c>
      <c r="Q93" s="165">
        <f t="shared" si="48"/>
        <v>14.350375128054507</v>
      </c>
      <c r="R93" s="165">
        <f t="shared" si="48"/>
        <v>16.057909274649248</v>
      </c>
      <c r="S93" s="165">
        <f t="shared" si="48"/>
        <v>17.813691522394716</v>
      </c>
    </row>
    <row r="94" spans="1:19" x14ac:dyDescent="0.25">
      <c r="A94" s="155" t="s">
        <v>141</v>
      </c>
      <c r="B94" s="164">
        <f>monthly_data!V56/1000</f>
        <v>0.9868300000000001</v>
      </c>
      <c r="C94" s="164">
        <f>monthly_data!V68/1000</f>
        <v>0.93779999999999997</v>
      </c>
      <c r="D94" s="164">
        <f>monthly_data!$V80/1000</f>
        <v>1.4661600000000001</v>
      </c>
      <c r="E94" s="164">
        <f>monthly_data!$V92/1000</f>
        <v>0.88102999999999998</v>
      </c>
      <c r="F94" s="164">
        <f>monthly_data!$V104/1000</f>
        <v>0.7273099999999999</v>
      </c>
      <c r="G94" s="164">
        <f>monthly_data!$V116/1000</f>
        <v>0.78048000000000006</v>
      </c>
      <c r="H94" s="164">
        <f>monthly_data!$V128/1000</f>
        <v>1.111</v>
      </c>
      <c r="I94" s="165">
        <f t="shared" si="48"/>
        <v>2.3751480091064412</v>
      </c>
      <c r="J94" s="165">
        <f t="shared" si="48"/>
        <v>3.7333182081777778</v>
      </c>
      <c r="K94" s="165">
        <f t="shared" si="48"/>
        <v>5.1328977054515237</v>
      </c>
      <c r="L94" s="165">
        <f t="shared" si="48"/>
        <v>6.5669282963797802</v>
      </c>
      <c r="M94" s="165">
        <f t="shared" si="48"/>
        <v>8.0988895009017234</v>
      </c>
      <c r="N94" s="165">
        <f t="shared" si="48"/>
        <v>9.6352880972883632</v>
      </c>
      <c r="O94" s="165">
        <f t="shared" si="48"/>
        <v>11.207018722932752</v>
      </c>
      <c r="P94" s="165">
        <f t="shared" si="48"/>
        <v>12.824982542261232</v>
      </c>
      <c r="Q94" s="165">
        <f t="shared" si="48"/>
        <v>14.490223869043428</v>
      </c>
      <c r="R94" s="165">
        <f t="shared" si="48"/>
        <v>16.205519463388722</v>
      </c>
      <c r="S94" s="165">
        <f t="shared" si="48"/>
        <v>17.96050468792285</v>
      </c>
    </row>
    <row r="95" spans="1:19" x14ac:dyDescent="0.25">
      <c r="A95" s="155" t="s">
        <v>142</v>
      </c>
      <c r="B95" s="164">
        <f>monthly_data!V57/1000</f>
        <v>1.18123</v>
      </c>
      <c r="C95" s="164">
        <f>monthly_data!V69/1000</f>
        <v>1.3623599999999998</v>
      </c>
      <c r="D95" s="164">
        <f>monthly_data!$V81/1000</f>
        <v>1.3456300000000001</v>
      </c>
      <c r="E95" s="164">
        <f>monthly_data!$V93/1000</f>
        <v>0.82652000000000003</v>
      </c>
      <c r="F95" s="164">
        <f>monthly_data!$V105/1000</f>
        <v>0.87761</v>
      </c>
      <c r="G95" s="164">
        <f>monthly_data!$V117/1000</f>
        <v>0.79403000000000001</v>
      </c>
      <c r="H95" s="164">
        <f>monthly_data!$V129/1000</f>
        <v>1.194</v>
      </c>
      <c r="I95" s="165">
        <f t="shared" si="48"/>
        <v>2.4568880750820616</v>
      </c>
      <c r="J95" s="165">
        <f t="shared" si="48"/>
        <v>3.8512999396314553</v>
      </c>
      <c r="K95" s="165">
        <f t="shared" si="48"/>
        <v>5.2552034477217822</v>
      </c>
      <c r="L95" s="165">
        <f t="shared" si="48"/>
        <v>6.6930844551963729</v>
      </c>
      <c r="M95" s="165">
        <f t="shared" si="48"/>
        <v>8.2260907826398633</v>
      </c>
      <c r="N95" s="165">
        <f t="shared" si="48"/>
        <v>9.7598518362819888</v>
      </c>
      <c r="O95" s="165">
        <f t="shared" si="48"/>
        <v>11.340853258022248</v>
      </c>
      <c r="P95" s="165">
        <f t="shared" si="48"/>
        <v>12.962249013466851</v>
      </c>
      <c r="Q95" s="165">
        <f t="shared" si="48"/>
        <v>14.630729153214647</v>
      </c>
      <c r="R95" s="165">
        <f t="shared" si="48"/>
        <v>16.349131155907045</v>
      </c>
      <c r="S95" s="165">
        <f t="shared" si="48"/>
        <v>18.107669031614474</v>
      </c>
    </row>
    <row r="96" spans="1:19" ht="15.75" thickBot="1" x14ac:dyDescent="0.3">
      <c r="A96" s="155" t="s">
        <v>143</v>
      </c>
      <c r="B96" s="164">
        <f>monthly_data!V58/1000</f>
        <v>0.91173000000000004</v>
      </c>
      <c r="C96" s="164">
        <f>monthly_data!V70/1000</f>
        <v>1.0335799999999999</v>
      </c>
      <c r="D96" s="164">
        <f>monthly_data!$V82/1000</f>
        <v>1.2672699999999999</v>
      </c>
      <c r="E96" s="164">
        <f>monthly_data!$V94/1000</f>
        <v>0.71816000000000002</v>
      </c>
      <c r="F96" s="164">
        <f>monthly_data!$V106/1000</f>
        <v>0.71960000000000002</v>
      </c>
      <c r="G96" s="164">
        <f>monthly_data!$V118/1000</f>
        <v>0.89757000000000009</v>
      </c>
      <c r="H96" s="164">
        <f>monthly_data!$V130/1000</f>
        <v>1.1619999999999999</v>
      </c>
      <c r="I96" s="165">
        <f t="shared" si="48"/>
        <v>2.5121917519128791</v>
      </c>
      <c r="J96" s="165">
        <f t="shared" si="48"/>
        <v>3.8988386811274047</v>
      </c>
      <c r="K96" s="165">
        <f t="shared" si="48"/>
        <v>5.3229250774307211</v>
      </c>
      <c r="L96" s="165">
        <f t="shared" si="48"/>
        <v>6.7854618064342329</v>
      </c>
      <c r="M96" s="165">
        <f t="shared" si="48"/>
        <v>8.2874870271208341</v>
      </c>
      <c r="N96" s="165">
        <f t="shared" si="48"/>
        <v>9.8300669287659677</v>
      </c>
      <c r="O96" s="165">
        <f t="shared" si="48"/>
        <v>11.414296487755527</v>
      </c>
      <c r="P96" s="165">
        <f t="shared" si="48"/>
        <v>13.041300244837805</v>
      </c>
      <c r="Q96" s="165">
        <f t="shared" si="48"/>
        <v>14.712233103361308</v>
      </c>
      <c r="R96" s="165">
        <f t="shared" si="48"/>
        <v>16.428281149064937</v>
      </c>
      <c r="S96" s="165">
        <f t="shared" si="48"/>
        <v>18.190662492002559</v>
      </c>
    </row>
    <row r="97" spans="1:19" x14ac:dyDescent="0.25">
      <c r="A97" s="167"/>
      <c r="B97" s="167"/>
      <c r="C97" s="167"/>
      <c r="D97" s="167"/>
      <c r="E97" s="167"/>
      <c r="F97" s="167"/>
      <c r="G97" s="167"/>
      <c r="H97" s="167"/>
      <c r="I97" s="167"/>
      <c r="J97" s="167"/>
      <c r="K97" s="167"/>
      <c r="L97" s="167"/>
      <c r="M97" s="167"/>
      <c r="N97" s="167"/>
      <c r="O97" s="167"/>
      <c r="P97" s="167"/>
      <c r="Q97" s="167"/>
      <c r="R97" s="167"/>
      <c r="S97" s="167"/>
    </row>
  </sheetData>
  <mergeCells count="1">
    <mergeCell ref="A3:Q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D8718-E205-46DB-8B6D-A59FA129B4D9}">
  <dimension ref="A1:S427"/>
  <sheetViews>
    <sheetView zoomScaleNormal="100" workbookViewId="0">
      <pane xSplit="1" ySplit="3" topLeftCell="B4" activePane="bottomRight" state="frozen"/>
      <selection activeCell="A3" sqref="A3"/>
      <selection pane="topRight" activeCell="A3" sqref="A3"/>
      <selection pane="bottomLeft" activeCell="A3" sqref="A3"/>
      <selection pane="bottomRight" activeCell="A3" sqref="A3"/>
    </sheetView>
  </sheetViews>
  <sheetFormatPr defaultColWidth="8.85546875" defaultRowHeight="15" x14ac:dyDescent="0.25"/>
  <cols>
    <col min="1" max="1" width="57.85546875" customWidth="1"/>
    <col min="2" max="6" width="9.5703125" style="189" bestFit="1" customWidth="1"/>
    <col min="7" max="7" width="11" style="192" bestFit="1" customWidth="1"/>
    <col min="8" max="9" width="9.5703125" style="192" bestFit="1" customWidth="1"/>
    <col min="10" max="19" width="9.5703125" style="192" customWidth="1"/>
  </cols>
  <sheetData>
    <row r="1" spans="1:19" ht="15.75" thickBot="1" x14ac:dyDescent="0.3">
      <c r="A1" s="168" t="s">
        <v>186</v>
      </c>
      <c r="B1" s="169"/>
      <c r="C1" s="169"/>
      <c r="D1" s="169"/>
      <c r="E1" s="169"/>
      <c r="F1" s="169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</row>
    <row r="2" spans="1:19" s="172" customFormat="1" ht="17.25" thickTop="1" x14ac:dyDescent="0.3">
      <c r="A2" s="55" t="s">
        <v>38</v>
      </c>
      <c r="B2" s="171">
        <v>2018</v>
      </c>
      <c r="C2" s="171">
        <v>2019</v>
      </c>
      <c r="D2" s="171">
        <v>2020</v>
      </c>
      <c r="E2" s="171">
        <v>2021</v>
      </c>
      <c r="F2" s="171">
        <v>2022</v>
      </c>
      <c r="G2" s="171">
        <v>2023</v>
      </c>
      <c r="H2" s="171">
        <v>2024</v>
      </c>
      <c r="I2" s="171">
        <v>2025</v>
      </c>
      <c r="J2" s="171">
        <v>2026</v>
      </c>
      <c r="K2" s="171">
        <v>2027</v>
      </c>
      <c r="L2" s="171">
        <v>2028</v>
      </c>
      <c r="M2" s="171">
        <v>2029</v>
      </c>
      <c r="N2" s="171">
        <v>2030</v>
      </c>
      <c r="O2" s="171">
        <v>2031</v>
      </c>
      <c r="P2" s="171">
        <v>2032</v>
      </c>
      <c r="Q2" s="171">
        <v>2033</v>
      </c>
      <c r="R2" s="171">
        <v>2034</v>
      </c>
      <c r="S2" s="171">
        <v>2035</v>
      </c>
    </row>
    <row r="3" spans="1:19" ht="16.5" hidden="1" x14ac:dyDescent="0.3">
      <c r="A3" s="168" t="s">
        <v>187</v>
      </c>
      <c r="B3" s="173"/>
      <c r="C3" s="173"/>
      <c r="D3" s="173"/>
      <c r="E3" s="173"/>
      <c r="F3" s="173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</row>
    <row r="4" spans="1:19" ht="16.5" x14ac:dyDescent="0.3">
      <c r="A4" s="175" t="s">
        <v>122</v>
      </c>
      <c r="B4" s="176">
        <f>B83</f>
        <v>1.98763</v>
      </c>
      <c r="C4" s="176">
        <f t="shared" ref="C4:S4" si="0">B11</f>
        <v>2.0164599999999999</v>
      </c>
      <c r="D4" s="176">
        <f t="shared" si="0"/>
        <v>1.9922</v>
      </c>
      <c r="E4" s="176">
        <f t="shared" si="0"/>
        <v>2.1253600000000001</v>
      </c>
      <c r="F4" s="176">
        <f t="shared" si="0"/>
        <v>1.6102300000000001</v>
      </c>
      <c r="G4" s="176">
        <f t="shared" si="0"/>
        <v>1.5785100000000001</v>
      </c>
      <c r="H4" s="176">
        <f t="shared" si="0"/>
        <v>1.4522999999999999</v>
      </c>
      <c r="I4" s="177">
        <f t="shared" si="0"/>
        <v>1.6220000000000001</v>
      </c>
      <c r="J4" s="177">
        <f t="shared" si="0"/>
        <v>0</v>
      </c>
      <c r="K4" s="177">
        <f t="shared" si="0"/>
        <v>0</v>
      </c>
      <c r="L4" s="177">
        <f t="shared" si="0"/>
        <v>0</v>
      </c>
      <c r="M4" s="177">
        <f t="shared" si="0"/>
        <v>0</v>
      </c>
      <c r="N4" s="177">
        <f t="shared" si="0"/>
        <v>0</v>
      </c>
      <c r="O4" s="177">
        <f t="shared" si="0"/>
        <v>0</v>
      </c>
      <c r="P4" s="177">
        <f t="shared" si="0"/>
        <v>0</v>
      </c>
      <c r="Q4" s="177">
        <f t="shared" si="0"/>
        <v>0</v>
      </c>
      <c r="R4" s="177">
        <f t="shared" si="0"/>
        <v>0</v>
      </c>
      <c r="S4" s="177">
        <f t="shared" si="0"/>
        <v>0</v>
      </c>
    </row>
    <row r="5" spans="1:19" ht="16.5" x14ac:dyDescent="0.3">
      <c r="A5" s="175" t="s">
        <v>123</v>
      </c>
      <c r="B5" s="176">
        <f t="shared" ref="B5:H5" si="1">B31</f>
        <v>20.042950000000001</v>
      </c>
      <c r="C5" s="176">
        <f t="shared" si="1"/>
        <v>20.528040000000001</v>
      </c>
      <c r="D5" s="176">
        <f t="shared" si="1"/>
        <v>18.306409999999996</v>
      </c>
      <c r="E5" s="176">
        <f t="shared" si="1"/>
        <v>17.868340000000003</v>
      </c>
      <c r="F5" s="176">
        <f t="shared" si="1"/>
        <v>19.628</v>
      </c>
      <c r="G5" s="176">
        <f t="shared" si="1"/>
        <v>17.121479999999998</v>
      </c>
      <c r="H5" s="176">
        <f t="shared" si="1"/>
        <v>17.45898</v>
      </c>
      <c r="I5" s="177">
        <f t="shared" ref="I5:S6" si="2">MROUND(H5*1.025,1)</f>
        <v>18</v>
      </c>
      <c r="J5" s="177">
        <f t="shared" si="2"/>
        <v>18</v>
      </c>
      <c r="K5" s="177">
        <f t="shared" si="2"/>
        <v>18</v>
      </c>
      <c r="L5" s="177">
        <f t="shared" si="2"/>
        <v>18</v>
      </c>
      <c r="M5" s="177">
        <f t="shared" si="2"/>
        <v>18</v>
      </c>
      <c r="N5" s="177">
        <f t="shared" si="2"/>
        <v>18</v>
      </c>
      <c r="O5" s="177">
        <f t="shared" si="2"/>
        <v>18</v>
      </c>
      <c r="P5" s="177">
        <f t="shared" si="2"/>
        <v>18</v>
      </c>
      <c r="Q5" s="177">
        <f t="shared" si="2"/>
        <v>18</v>
      </c>
      <c r="R5" s="177">
        <f t="shared" si="2"/>
        <v>18</v>
      </c>
      <c r="S5" s="177">
        <f t="shared" si="2"/>
        <v>18</v>
      </c>
    </row>
    <row r="6" spans="1:19" ht="16.5" x14ac:dyDescent="0.3">
      <c r="A6" s="178" t="s">
        <v>124</v>
      </c>
      <c r="B6" s="179">
        <f t="shared" ref="B6:H6" si="3">B47</f>
        <v>14.109400000000001</v>
      </c>
      <c r="C6" s="179">
        <f t="shared" si="3"/>
        <v>12.31508</v>
      </c>
      <c r="D6" s="179">
        <f t="shared" si="3"/>
        <v>11.34013</v>
      </c>
      <c r="E6" s="179">
        <f t="shared" si="3"/>
        <v>12.734170000000001</v>
      </c>
      <c r="F6" s="179">
        <f t="shared" si="3"/>
        <v>12.946260000000002</v>
      </c>
      <c r="G6" s="179">
        <f t="shared" si="3"/>
        <v>12.618639999999999</v>
      </c>
      <c r="H6" s="179">
        <f t="shared" si="3"/>
        <v>11.856310000000001</v>
      </c>
      <c r="I6" s="177">
        <f t="shared" si="2"/>
        <v>12</v>
      </c>
      <c r="J6" s="177">
        <f t="shared" si="2"/>
        <v>12</v>
      </c>
      <c r="K6" s="177">
        <f t="shared" si="2"/>
        <v>12</v>
      </c>
      <c r="L6" s="177">
        <f t="shared" si="2"/>
        <v>12</v>
      </c>
      <c r="M6" s="177">
        <f t="shared" si="2"/>
        <v>12</v>
      </c>
      <c r="N6" s="177">
        <f t="shared" si="2"/>
        <v>12</v>
      </c>
      <c r="O6" s="177">
        <f t="shared" si="2"/>
        <v>12</v>
      </c>
      <c r="P6" s="177">
        <f t="shared" si="2"/>
        <v>12</v>
      </c>
      <c r="Q6" s="177">
        <f t="shared" si="2"/>
        <v>12</v>
      </c>
      <c r="R6" s="177">
        <f t="shared" si="2"/>
        <v>12</v>
      </c>
      <c r="S6" s="177">
        <f t="shared" si="2"/>
        <v>12</v>
      </c>
    </row>
    <row r="7" spans="1:19" ht="16.5" x14ac:dyDescent="0.3">
      <c r="A7" s="180" t="s">
        <v>164</v>
      </c>
      <c r="B7" s="181">
        <f>B4+B5+B6</f>
        <v>36.139980000000001</v>
      </c>
      <c r="C7" s="181">
        <f>C4+C5+C6</f>
        <v>34.859580000000001</v>
      </c>
      <c r="D7" s="181">
        <f t="shared" ref="D7:S7" si="4">D4+D5+D6</f>
        <v>31.638739999999999</v>
      </c>
      <c r="E7" s="181">
        <f t="shared" si="4"/>
        <v>32.727870000000003</v>
      </c>
      <c r="F7" s="181">
        <f t="shared" si="4"/>
        <v>34.184490000000004</v>
      </c>
      <c r="G7" s="181">
        <f t="shared" si="4"/>
        <v>31.318629999999999</v>
      </c>
      <c r="H7" s="181">
        <f t="shared" si="4"/>
        <v>30.767590000000002</v>
      </c>
      <c r="I7" s="182">
        <f t="shared" si="4"/>
        <v>31.622</v>
      </c>
      <c r="J7" s="182">
        <f t="shared" si="4"/>
        <v>30</v>
      </c>
      <c r="K7" s="182">
        <f t="shared" si="4"/>
        <v>30</v>
      </c>
      <c r="L7" s="182">
        <f t="shared" si="4"/>
        <v>30</v>
      </c>
      <c r="M7" s="182">
        <f t="shared" si="4"/>
        <v>30</v>
      </c>
      <c r="N7" s="182">
        <f t="shared" si="4"/>
        <v>30</v>
      </c>
      <c r="O7" s="182">
        <f t="shared" si="4"/>
        <v>30</v>
      </c>
      <c r="P7" s="182">
        <f t="shared" si="4"/>
        <v>30</v>
      </c>
      <c r="Q7" s="182">
        <f t="shared" si="4"/>
        <v>30</v>
      </c>
      <c r="R7" s="182">
        <f t="shared" si="4"/>
        <v>30</v>
      </c>
      <c r="S7" s="182">
        <f t="shared" si="4"/>
        <v>30</v>
      </c>
    </row>
    <row r="8" spans="1:19" ht="16.5" x14ac:dyDescent="0.3">
      <c r="A8" s="175" t="s">
        <v>188</v>
      </c>
      <c r="B8" s="176">
        <f>B79</f>
        <v>29.873469999999998</v>
      </c>
      <c r="C8" s="176">
        <f t="shared" ref="C8:H8" si="5">C79</f>
        <v>28.661259999999999</v>
      </c>
      <c r="D8" s="176">
        <f t="shared" si="5"/>
        <v>24.814689999999999</v>
      </c>
      <c r="E8" s="176">
        <f t="shared" si="5"/>
        <v>26.568330000000003</v>
      </c>
      <c r="F8" s="176">
        <f t="shared" si="5"/>
        <v>25.923419999999997</v>
      </c>
      <c r="G8" s="176">
        <f t="shared" si="5"/>
        <v>25.122819999999997</v>
      </c>
      <c r="H8" s="176">
        <f t="shared" si="5"/>
        <v>24.034210000000005</v>
      </c>
      <c r="I8" s="177">
        <f t="shared" ref="I8:S9" si="6">MROUND(H8*1.025,1)</f>
        <v>25</v>
      </c>
      <c r="J8" s="177">
        <f t="shared" si="6"/>
        <v>26</v>
      </c>
      <c r="K8" s="177">
        <f t="shared" si="6"/>
        <v>27</v>
      </c>
      <c r="L8" s="177">
        <f t="shared" si="6"/>
        <v>28</v>
      </c>
      <c r="M8" s="177">
        <f t="shared" si="6"/>
        <v>29</v>
      </c>
      <c r="N8" s="177">
        <f t="shared" si="6"/>
        <v>30</v>
      </c>
      <c r="O8" s="177">
        <f t="shared" si="6"/>
        <v>31</v>
      </c>
      <c r="P8" s="177">
        <f t="shared" si="6"/>
        <v>32</v>
      </c>
      <c r="Q8" s="177">
        <f t="shared" si="6"/>
        <v>33</v>
      </c>
      <c r="R8" s="177">
        <f t="shared" si="6"/>
        <v>34</v>
      </c>
      <c r="S8" s="177">
        <f t="shared" si="6"/>
        <v>35</v>
      </c>
    </row>
    <row r="9" spans="1:19" ht="16.5" x14ac:dyDescent="0.3">
      <c r="A9" s="175" t="s">
        <v>127</v>
      </c>
      <c r="B9" s="176">
        <f>B63</f>
        <v>1.5875600000000001</v>
      </c>
      <c r="C9" s="176">
        <f t="shared" ref="C9:H9" si="7">C63</f>
        <v>1.5655800000000002</v>
      </c>
      <c r="D9" s="176">
        <f t="shared" si="7"/>
        <v>2.2490600000000001</v>
      </c>
      <c r="E9" s="176">
        <f t="shared" si="7"/>
        <v>1.5752999999999999</v>
      </c>
      <c r="F9" s="176">
        <f t="shared" si="7"/>
        <v>2.4824600000000006</v>
      </c>
      <c r="G9" s="176">
        <f t="shared" si="7"/>
        <v>1.1699899999999999</v>
      </c>
      <c r="H9" s="176">
        <f t="shared" si="7"/>
        <v>1.09432</v>
      </c>
      <c r="I9" s="177">
        <f t="shared" si="6"/>
        <v>1</v>
      </c>
      <c r="J9" s="177">
        <f t="shared" si="6"/>
        <v>1</v>
      </c>
      <c r="K9" s="177">
        <f t="shared" si="6"/>
        <v>1</v>
      </c>
      <c r="L9" s="177">
        <f t="shared" si="6"/>
        <v>1</v>
      </c>
      <c r="M9" s="177">
        <f t="shared" si="6"/>
        <v>1</v>
      </c>
      <c r="N9" s="177">
        <f t="shared" si="6"/>
        <v>1</v>
      </c>
      <c r="O9" s="177">
        <f t="shared" si="6"/>
        <v>1</v>
      </c>
      <c r="P9" s="177">
        <f t="shared" si="6"/>
        <v>1</v>
      </c>
      <c r="Q9" s="177">
        <f t="shared" si="6"/>
        <v>1</v>
      </c>
      <c r="R9" s="177">
        <f t="shared" si="6"/>
        <v>1</v>
      </c>
      <c r="S9" s="177">
        <f t="shared" si="6"/>
        <v>1</v>
      </c>
    </row>
    <row r="10" spans="1:19" ht="16.5" x14ac:dyDescent="0.3">
      <c r="A10" s="180" t="s">
        <v>167</v>
      </c>
      <c r="B10" s="181">
        <f>B9+B8</f>
        <v>31.461029999999997</v>
      </c>
      <c r="C10" s="181">
        <f>C9+C8</f>
        <v>30.226839999999999</v>
      </c>
      <c r="D10" s="181">
        <f t="shared" ref="D10:H10" si="8">D9+D8</f>
        <v>27.063749999999999</v>
      </c>
      <c r="E10" s="181">
        <f t="shared" si="8"/>
        <v>28.143630000000002</v>
      </c>
      <c r="F10" s="181">
        <f t="shared" si="8"/>
        <v>28.405879999999996</v>
      </c>
      <c r="G10" s="181">
        <f t="shared" si="8"/>
        <v>26.292809999999996</v>
      </c>
      <c r="H10" s="181">
        <f t="shared" si="8"/>
        <v>25.128530000000005</v>
      </c>
      <c r="I10" s="182">
        <f t="shared" ref="I10:Q10" si="9">SUM(I8:I9)</f>
        <v>26</v>
      </c>
      <c r="J10" s="182">
        <f t="shared" si="9"/>
        <v>27</v>
      </c>
      <c r="K10" s="182">
        <f t="shared" si="9"/>
        <v>28</v>
      </c>
      <c r="L10" s="182">
        <f t="shared" si="9"/>
        <v>29</v>
      </c>
      <c r="M10" s="182">
        <f t="shared" si="9"/>
        <v>30</v>
      </c>
      <c r="N10" s="182">
        <f t="shared" si="9"/>
        <v>31</v>
      </c>
      <c r="O10" s="182">
        <f t="shared" si="9"/>
        <v>32</v>
      </c>
      <c r="P10" s="182">
        <f t="shared" si="9"/>
        <v>33</v>
      </c>
      <c r="Q10" s="182">
        <f t="shared" si="9"/>
        <v>34</v>
      </c>
      <c r="R10" s="182">
        <f t="shared" ref="R10:S10" si="10">SUM(R8:R9)</f>
        <v>35</v>
      </c>
      <c r="S10" s="182">
        <f t="shared" si="10"/>
        <v>36</v>
      </c>
    </row>
    <row r="11" spans="1:19" ht="16.5" x14ac:dyDescent="0.3">
      <c r="A11" s="183" t="s">
        <v>154</v>
      </c>
      <c r="B11" s="181">
        <f t="shared" ref="B11:H11" si="11">B94</f>
        <v>2.0164599999999999</v>
      </c>
      <c r="C11" s="181">
        <f t="shared" si="11"/>
        <v>1.9922</v>
      </c>
      <c r="D11" s="181">
        <f t="shared" si="11"/>
        <v>2.1253600000000001</v>
      </c>
      <c r="E11" s="181">
        <f t="shared" si="11"/>
        <v>1.6102300000000001</v>
      </c>
      <c r="F11" s="181">
        <f t="shared" si="11"/>
        <v>1.5785100000000001</v>
      </c>
      <c r="G11" s="181">
        <f t="shared" si="11"/>
        <v>1.4522999999999999</v>
      </c>
      <c r="H11" s="181">
        <f t="shared" si="11"/>
        <v>1.6220000000000001</v>
      </c>
      <c r="I11" s="182">
        <f>MROUND(FORECAST(I7,B11:H11,B7:H7),50)</f>
        <v>0</v>
      </c>
      <c r="J11" s="182">
        <f>MROUND(FORECAST(J7,B11:I11,B7:I7),50)</f>
        <v>0</v>
      </c>
      <c r="K11" s="182">
        <f>MROUND(FORECAST(K7,B11:J11,B7:J7),50)</f>
        <v>0</v>
      </c>
      <c r="L11" s="182">
        <f>MROUND(FORECAST(L7,B11:K11,B7:K7),50)</f>
        <v>0</v>
      </c>
      <c r="M11" s="182">
        <f>MROUND(FORECAST(M7,B11:L11,B7:L7),50)</f>
        <v>0</v>
      </c>
      <c r="N11" s="182">
        <f>MROUND(FORECAST(N7,B11:M11,B7:M7),50)</f>
        <v>0</v>
      </c>
      <c r="O11" s="182">
        <f>MROUND(FORECAST(O7,B11:N11,B7:N7),50)</f>
        <v>0</v>
      </c>
      <c r="P11" s="182">
        <f>MROUND(FORECAST(P7,B11:O11,B7:O7),50)</f>
        <v>0</v>
      </c>
      <c r="Q11" s="182">
        <f>MROUND(FORECAST(Q7,B11:P11,B7:P7),50)</f>
        <v>0</v>
      </c>
      <c r="R11" s="182">
        <f>MROUND(FORECAST(R7,C11:Q11,C7:Q7),50)</f>
        <v>0</v>
      </c>
      <c r="S11" s="182">
        <f>MROUND(FORECAST(S7,D11:R11,D7:R7),50)</f>
        <v>0</v>
      </c>
    </row>
    <row r="12" spans="1:19" ht="16.5" x14ac:dyDescent="0.3">
      <c r="A12" s="184" t="s">
        <v>189</v>
      </c>
      <c r="B12" s="176">
        <v>0</v>
      </c>
      <c r="C12" s="176">
        <f t="shared" ref="C12:G12" si="12">C11-B11</f>
        <v>-2.4259999999999948E-2</v>
      </c>
      <c r="D12" s="176">
        <f t="shared" si="12"/>
        <v>0.13316000000000017</v>
      </c>
      <c r="E12" s="176">
        <f t="shared" si="12"/>
        <v>-0.51513000000000009</v>
      </c>
      <c r="F12" s="176">
        <f t="shared" si="12"/>
        <v>-3.171999999999997E-2</v>
      </c>
      <c r="G12" s="176">
        <f t="shared" si="12"/>
        <v>-0.12621000000000016</v>
      </c>
      <c r="H12" s="177">
        <f>H11-G11</f>
        <v>0.16970000000000018</v>
      </c>
      <c r="I12" s="177">
        <f t="shared" ref="I12:S12" si="13">I11-H11</f>
        <v>-1.6220000000000001</v>
      </c>
      <c r="J12" s="177">
        <f t="shared" si="13"/>
        <v>0</v>
      </c>
      <c r="K12" s="177">
        <f t="shared" si="13"/>
        <v>0</v>
      </c>
      <c r="L12" s="177">
        <f t="shared" si="13"/>
        <v>0</v>
      </c>
      <c r="M12" s="177">
        <f t="shared" si="13"/>
        <v>0</v>
      </c>
      <c r="N12" s="177">
        <f t="shared" si="13"/>
        <v>0</v>
      </c>
      <c r="O12" s="177">
        <f t="shared" si="13"/>
        <v>0</v>
      </c>
      <c r="P12" s="177">
        <f t="shared" si="13"/>
        <v>0</v>
      </c>
      <c r="Q12" s="177">
        <f t="shared" si="13"/>
        <v>0</v>
      </c>
      <c r="R12" s="177">
        <f t="shared" si="13"/>
        <v>0</v>
      </c>
      <c r="S12" s="177">
        <f t="shared" si="13"/>
        <v>0</v>
      </c>
    </row>
    <row r="13" spans="1:19" ht="16.5" x14ac:dyDescent="0.3">
      <c r="A13" s="178" t="s">
        <v>131</v>
      </c>
      <c r="B13" s="185"/>
      <c r="C13" s="185"/>
      <c r="D13" s="185"/>
      <c r="E13" s="185"/>
      <c r="F13" s="185"/>
      <c r="G13" s="185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</row>
    <row r="15" spans="1:19" ht="16.5" x14ac:dyDescent="0.3">
      <c r="A15" s="184" t="s">
        <v>190</v>
      </c>
      <c r="B15" s="187"/>
      <c r="C15" s="187"/>
      <c r="D15" s="187"/>
      <c r="E15" s="188">
        <f t="shared" ref="E15:S15" si="14">E5/D5-1</f>
        <v>-2.3929869373623402E-2</v>
      </c>
      <c r="F15" s="188">
        <f t="shared" si="14"/>
        <v>9.847920959641443E-2</v>
      </c>
      <c r="G15" s="188">
        <f t="shared" si="14"/>
        <v>-0.12770124312207065</v>
      </c>
      <c r="H15" s="188">
        <f t="shared" si="14"/>
        <v>1.9712080964963352E-2</v>
      </c>
      <c r="I15" s="188">
        <f t="shared" si="14"/>
        <v>3.0988064594838827E-2</v>
      </c>
      <c r="J15" s="188">
        <f t="shared" si="14"/>
        <v>0</v>
      </c>
      <c r="K15" s="188">
        <f t="shared" si="14"/>
        <v>0</v>
      </c>
      <c r="L15" s="188">
        <f t="shared" si="14"/>
        <v>0</v>
      </c>
      <c r="M15" s="188">
        <f t="shared" si="14"/>
        <v>0</v>
      </c>
      <c r="N15" s="188">
        <f t="shared" si="14"/>
        <v>0</v>
      </c>
      <c r="O15" s="188">
        <f t="shared" si="14"/>
        <v>0</v>
      </c>
      <c r="P15" s="188">
        <f t="shared" si="14"/>
        <v>0</v>
      </c>
      <c r="Q15" s="188">
        <f t="shared" si="14"/>
        <v>0</v>
      </c>
      <c r="R15" s="188">
        <f t="shared" si="14"/>
        <v>0</v>
      </c>
      <c r="S15" s="188">
        <f t="shared" si="14"/>
        <v>0</v>
      </c>
    </row>
    <row r="16" spans="1:19" ht="16.5" x14ac:dyDescent="0.3">
      <c r="A16" s="184" t="s">
        <v>191</v>
      </c>
      <c r="E16" s="188">
        <f>E8/D8-1</f>
        <v>7.0669430083551532E-2</v>
      </c>
      <c r="F16" s="188">
        <f t="shared" ref="F16:S16" si="15">F8/E8-1</f>
        <v>-2.4273637070903797E-2</v>
      </c>
      <c r="G16" s="188">
        <f t="shared" si="15"/>
        <v>-3.0883270803003571E-2</v>
      </c>
      <c r="H16" s="188">
        <f t="shared" si="15"/>
        <v>-4.3331520904101972E-2</v>
      </c>
      <c r="I16" s="188">
        <f t="shared" si="15"/>
        <v>4.018397109786398E-2</v>
      </c>
      <c r="J16" s="188">
        <f t="shared" si="15"/>
        <v>4.0000000000000036E-2</v>
      </c>
      <c r="K16" s="188">
        <f t="shared" si="15"/>
        <v>3.8461538461538547E-2</v>
      </c>
      <c r="L16" s="188">
        <f t="shared" si="15"/>
        <v>3.7037037037036979E-2</v>
      </c>
      <c r="M16" s="188">
        <f t="shared" si="15"/>
        <v>3.5714285714285809E-2</v>
      </c>
      <c r="N16" s="188">
        <f t="shared" si="15"/>
        <v>3.4482758620689724E-2</v>
      </c>
      <c r="O16" s="188">
        <f t="shared" si="15"/>
        <v>3.3333333333333437E-2</v>
      </c>
      <c r="P16" s="188">
        <f t="shared" si="15"/>
        <v>3.2258064516129004E-2</v>
      </c>
      <c r="Q16" s="188">
        <f t="shared" si="15"/>
        <v>3.125E-2</v>
      </c>
      <c r="R16" s="188">
        <f t="shared" si="15"/>
        <v>3.0303030303030276E-2</v>
      </c>
      <c r="S16" s="188">
        <f t="shared" si="15"/>
        <v>2.9411764705882248E-2</v>
      </c>
    </row>
    <row r="17" spans="1:19" s="172" customFormat="1" ht="15.75" thickBot="1" x14ac:dyDescent="0.3">
      <c r="A17" s="190" t="s">
        <v>192</v>
      </c>
      <c r="B17" s="191"/>
      <c r="C17" s="189"/>
      <c r="D17" s="189"/>
      <c r="E17" s="189"/>
      <c r="F17" s="189"/>
      <c r="G17" s="192"/>
      <c r="H17" s="192"/>
      <c r="I17" s="192"/>
      <c r="J17" s="192"/>
      <c r="K17" s="192"/>
      <c r="L17" s="192"/>
      <c r="M17" s="193"/>
      <c r="N17" s="193"/>
      <c r="O17" s="193"/>
      <c r="P17" s="193"/>
      <c r="Q17" s="193"/>
      <c r="R17" s="193"/>
      <c r="S17" s="193"/>
    </row>
    <row r="18" spans="1:19" s="190" customFormat="1" ht="16.5" thickTop="1" thickBot="1" x14ac:dyDescent="0.3">
      <c r="A18" s="55" t="s">
        <v>38</v>
      </c>
      <c r="B18" s="194">
        <f t="shared" ref="B18:S18" si="16">B2</f>
        <v>2018</v>
      </c>
      <c r="C18" s="194">
        <f t="shared" si="16"/>
        <v>2019</v>
      </c>
      <c r="D18" s="194">
        <f t="shared" si="16"/>
        <v>2020</v>
      </c>
      <c r="E18" s="194">
        <f t="shared" si="16"/>
        <v>2021</v>
      </c>
      <c r="F18" s="194">
        <f t="shared" si="16"/>
        <v>2022</v>
      </c>
      <c r="G18" s="194">
        <f t="shared" si="16"/>
        <v>2023</v>
      </c>
      <c r="H18" s="194">
        <f t="shared" si="16"/>
        <v>2024</v>
      </c>
      <c r="I18" s="194">
        <f t="shared" si="16"/>
        <v>2025</v>
      </c>
      <c r="J18" s="194">
        <f t="shared" si="16"/>
        <v>2026</v>
      </c>
      <c r="K18" s="194">
        <f t="shared" si="16"/>
        <v>2027</v>
      </c>
      <c r="L18" s="194">
        <f t="shared" si="16"/>
        <v>2028</v>
      </c>
      <c r="M18" s="194">
        <f t="shared" si="16"/>
        <v>2029</v>
      </c>
      <c r="N18" s="194">
        <f t="shared" si="16"/>
        <v>2030</v>
      </c>
      <c r="O18" s="194">
        <f t="shared" si="16"/>
        <v>2031</v>
      </c>
      <c r="P18" s="194">
        <f t="shared" si="16"/>
        <v>2032</v>
      </c>
      <c r="Q18" s="194">
        <f t="shared" si="16"/>
        <v>2033</v>
      </c>
      <c r="R18" s="194">
        <f t="shared" si="16"/>
        <v>2034</v>
      </c>
      <c r="S18" s="194">
        <f t="shared" si="16"/>
        <v>2035</v>
      </c>
    </row>
    <row r="19" spans="1:19" x14ac:dyDescent="0.25">
      <c r="A19" s="172" t="s">
        <v>133</v>
      </c>
      <c r="B19" s="195">
        <f>monthly_data!$AA47/1000</f>
        <v>1.6992499999999999</v>
      </c>
      <c r="C19" s="195">
        <f>monthly_data!$AA59/1000</f>
        <v>1.74177</v>
      </c>
      <c r="D19" s="195">
        <f>monthly_data!$AA71/1000</f>
        <v>1.6134500000000001</v>
      </c>
      <c r="E19" s="195">
        <f>monthly_data!$AA83/1000</f>
        <v>1.4217299999999999</v>
      </c>
      <c r="F19" s="195">
        <f>monthly_data!$AA95/1000</f>
        <v>1.58392</v>
      </c>
      <c r="G19" s="195">
        <f>monthly_data!$AA107/1000</f>
        <v>1.5669899999999999</v>
      </c>
      <c r="H19" s="195">
        <f>monthly_data!$AA119/1000</f>
        <v>1.3963400000000001</v>
      </c>
      <c r="I19" s="196">
        <f t="shared" ref="I19:I29" si="17">I$31*(SUM(D19:H19)/SUM(D$31:H$31))</f>
        <v>1.5100563478548725</v>
      </c>
      <c r="J19" s="196">
        <f t="shared" ref="J19:J29" si="18">J$31*(SUM(E19:I19)/SUM(E$31:I$31))</f>
        <v>1.494531935652551</v>
      </c>
      <c r="K19" s="196">
        <f t="shared" ref="K19:S29" si="19">K$31*(SUM(F19:J19)/SUM(F$31:J$31))</f>
        <v>1.5068773937958106</v>
      </c>
      <c r="L19" s="196">
        <f t="shared" si="19"/>
        <v>1.5189164990953785</v>
      </c>
      <c r="M19" s="196">
        <f t="shared" si="19"/>
        <v>1.4943273349995165</v>
      </c>
      <c r="N19" s="196">
        <f t="shared" si="19"/>
        <v>1.5049419022796258</v>
      </c>
      <c r="O19" s="196">
        <f t="shared" si="19"/>
        <v>1.5039190131645765</v>
      </c>
      <c r="P19" s="196">
        <f t="shared" si="19"/>
        <v>1.5057964286669816</v>
      </c>
      <c r="Q19" s="196">
        <f t="shared" si="19"/>
        <v>1.5055802356412158</v>
      </c>
      <c r="R19" s="196">
        <f t="shared" si="19"/>
        <v>1.5029129829503831</v>
      </c>
      <c r="S19" s="196">
        <f t="shared" si="19"/>
        <v>1.5046301125405566</v>
      </c>
    </row>
    <row r="20" spans="1:19" x14ac:dyDescent="0.25">
      <c r="A20" s="172" t="s">
        <v>134</v>
      </c>
      <c r="B20" s="195">
        <f>monthly_data!$AA48/1000</f>
        <v>1.2842199999999999</v>
      </c>
      <c r="C20" s="195">
        <f>monthly_data!$AA60/1000</f>
        <v>1.5196700000000001</v>
      </c>
      <c r="D20" s="195">
        <f>monthly_data!$AA72/1000</f>
        <v>1.46611</v>
      </c>
      <c r="E20" s="195">
        <f>monthly_data!$AA84/1000</f>
        <v>1.0435500000000002</v>
      </c>
      <c r="F20" s="195">
        <f>monthly_data!$AA96/1000</f>
        <v>1.43431</v>
      </c>
      <c r="G20" s="195">
        <f>monthly_data!$AA108/1000</f>
        <v>1.3835700000000002</v>
      </c>
      <c r="H20" s="195">
        <f>monthly_data!$AA120/1000</f>
        <v>1.4023400000000001</v>
      </c>
      <c r="I20" s="196">
        <f t="shared" si="17"/>
        <v>1.3402692823147135</v>
      </c>
      <c r="J20" s="196">
        <f t="shared" si="18"/>
        <v>1.3196817280550026</v>
      </c>
      <c r="K20" s="196">
        <f t="shared" si="19"/>
        <v>1.372854366282884</v>
      </c>
      <c r="L20" s="196">
        <f t="shared" si="19"/>
        <v>1.385597645121134</v>
      </c>
      <c r="M20" s="196">
        <f t="shared" si="19"/>
        <v>1.3723985495019864</v>
      </c>
      <c r="N20" s="196">
        <f t="shared" si="19"/>
        <v>1.3581603142551442</v>
      </c>
      <c r="O20" s="196">
        <f t="shared" si="19"/>
        <v>1.3617385206432304</v>
      </c>
      <c r="P20" s="196">
        <f t="shared" si="19"/>
        <v>1.3701498791608762</v>
      </c>
      <c r="Q20" s="196">
        <f t="shared" si="19"/>
        <v>1.3696089817364743</v>
      </c>
      <c r="R20" s="196">
        <f t="shared" si="19"/>
        <v>1.3664112490595421</v>
      </c>
      <c r="S20" s="196">
        <f t="shared" si="19"/>
        <v>1.3652137889710534</v>
      </c>
    </row>
    <row r="21" spans="1:19" x14ac:dyDescent="0.25">
      <c r="A21" s="172" t="s">
        <v>135</v>
      </c>
      <c r="B21" s="195">
        <f>monthly_data!$AA49/1000</f>
        <v>1.5797600000000001</v>
      </c>
      <c r="C21" s="195">
        <f>monthly_data!$AA61/1000</f>
        <v>1.6475599999999999</v>
      </c>
      <c r="D21" s="195">
        <f>monthly_data!$AA73/1000</f>
        <v>1.67581</v>
      </c>
      <c r="E21" s="195">
        <f>monthly_data!$AA85/1000</f>
        <v>1.19513</v>
      </c>
      <c r="F21" s="195">
        <f>monthly_data!$AA97/1000</f>
        <v>1.6276299999999999</v>
      </c>
      <c r="G21" s="195">
        <f>monthly_data!$AA109/1000</f>
        <v>1.6512899999999999</v>
      </c>
      <c r="H21" s="195">
        <f>monthly_data!$AA121/1000</f>
        <v>1.4990999999999999</v>
      </c>
      <c r="I21" s="196">
        <f t="shared" si="17"/>
        <v>1.5233059325952245</v>
      </c>
      <c r="J21" s="196">
        <f t="shared" si="18"/>
        <v>1.4980128821929068</v>
      </c>
      <c r="K21" s="196">
        <f t="shared" si="19"/>
        <v>1.5562631117545556</v>
      </c>
      <c r="L21" s="196">
        <f t="shared" si="19"/>
        <v>1.5703632006174766</v>
      </c>
      <c r="M21" s="196">
        <f t="shared" si="19"/>
        <v>1.5386584140449953</v>
      </c>
      <c r="N21" s="196">
        <f t="shared" si="19"/>
        <v>1.5373207082410316</v>
      </c>
      <c r="O21" s="196">
        <f t="shared" si="19"/>
        <v>1.5401236633701931</v>
      </c>
      <c r="P21" s="196">
        <f t="shared" si="19"/>
        <v>1.5485458196056503</v>
      </c>
      <c r="Q21" s="196">
        <f t="shared" si="19"/>
        <v>1.5470023611758694</v>
      </c>
      <c r="R21" s="196">
        <f t="shared" si="19"/>
        <v>1.5423301932875479</v>
      </c>
      <c r="S21" s="196">
        <f t="shared" si="19"/>
        <v>1.5430645491360586</v>
      </c>
    </row>
    <row r="22" spans="1:19" x14ac:dyDescent="0.25">
      <c r="A22" s="172" t="s">
        <v>136</v>
      </c>
      <c r="B22" s="195">
        <f>monthly_data!$AA50/1000</f>
        <v>1.69722</v>
      </c>
      <c r="C22" s="195">
        <f>monthly_data!$AA62/1000</f>
        <v>1.7234200000000002</v>
      </c>
      <c r="D22" s="195">
        <f>monthly_data!$AA74/1000</f>
        <v>1.3387200000000001</v>
      </c>
      <c r="E22" s="195">
        <f>monthly_data!$AA86/1000</f>
        <v>1.4778900000000001</v>
      </c>
      <c r="F22" s="195">
        <f>monthly_data!$AA98/1000</f>
        <v>1.7526599999999999</v>
      </c>
      <c r="G22" s="195">
        <f>monthly_data!$AA110/1000</f>
        <v>1.4458599999999999</v>
      </c>
      <c r="H22" s="195">
        <f>monthly_data!$AA122/1000</f>
        <v>1.46133</v>
      </c>
      <c r="I22" s="196">
        <f t="shared" si="17"/>
        <v>1.4889522069419754</v>
      </c>
      <c r="J22" s="196">
        <f t="shared" si="18"/>
        <v>1.5240379290222958</v>
      </c>
      <c r="K22" s="196">
        <f t="shared" si="19"/>
        <v>1.5310218403834501</v>
      </c>
      <c r="L22" s="196">
        <f t="shared" si="19"/>
        <v>1.5141221390615829</v>
      </c>
      <c r="M22" s="196">
        <f t="shared" si="19"/>
        <v>1.5129878976640185</v>
      </c>
      <c r="N22" s="196">
        <f t="shared" si="19"/>
        <v>1.5142244026146645</v>
      </c>
      <c r="O22" s="196">
        <f t="shared" si="19"/>
        <v>1.5192788417492025</v>
      </c>
      <c r="P22" s="196">
        <f t="shared" si="19"/>
        <v>1.5183270242945839</v>
      </c>
      <c r="Q22" s="196">
        <f t="shared" si="19"/>
        <v>1.5157880610768106</v>
      </c>
      <c r="R22" s="196">
        <f t="shared" si="19"/>
        <v>1.5161212454798561</v>
      </c>
      <c r="S22" s="196">
        <f t="shared" si="19"/>
        <v>1.5167479150430236</v>
      </c>
    </row>
    <row r="23" spans="1:19" x14ac:dyDescent="0.25">
      <c r="A23" s="172" t="s">
        <v>93</v>
      </c>
      <c r="B23" s="195">
        <f>monthly_data!$AA51/1000</f>
        <v>1.4790000000000001</v>
      </c>
      <c r="C23" s="195">
        <f>monthly_data!$AA63/1000</f>
        <v>1.6792199999999997</v>
      </c>
      <c r="D23" s="195">
        <f>monthly_data!$AA75/1000</f>
        <v>1.3866399999999999</v>
      </c>
      <c r="E23" s="195">
        <f>monthly_data!$AA87/1000</f>
        <v>1.6145900000000002</v>
      </c>
      <c r="F23" s="195">
        <f>monthly_data!$AA99/1000</f>
        <v>1.7204999999999999</v>
      </c>
      <c r="G23" s="195">
        <f>monthly_data!$AA111/1000</f>
        <v>1.53952</v>
      </c>
      <c r="H23" s="195">
        <f>monthly_data!$AA123/1000</f>
        <v>1.4780499999999999</v>
      </c>
      <c r="I23" s="196">
        <f t="shared" si="17"/>
        <v>1.5412973272358883</v>
      </c>
      <c r="J23" s="196">
        <f t="shared" si="18"/>
        <v>1.5774453787239999</v>
      </c>
      <c r="K23" s="196">
        <f t="shared" si="19"/>
        <v>1.5677313270537816</v>
      </c>
      <c r="L23" s="196">
        <f t="shared" si="19"/>
        <v>1.5655009309530121</v>
      </c>
      <c r="M23" s="196">
        <f t="shared" si="19"/>
        <v>1.555354748638988</v>
      </c>
      <c r="N23" s="196">
        <f t="shared" si="19"/>
        <v>1.5614659425211341</v>
      </c>
      <c r="O23" s="196">
        <f t="shared" si="19"/>
        <v>1.5654996655781832</v>
      </c>
      <c r="P23" s="196">
        <f t="shared" si="19"/>
        <v>1.5631105229490201</v>
      </c>
      <c r="Q23" s="196">
        <f t="shared" si="19"/>
        <v>1.5621863621280676</v>
      </c>
      <c r="R23" s="196">
        <f t="shared" si="19"/>
        <v>1.5615234483630787</v>
      </c>
      <c r="S23" s="196">
        <f t="shared" si="19"/>
        <v>1.5627571883078968</v>
      </c>
    </row>
    <row r="24" spans="1:19" x14ac:dyDescent="0.25">
      <c r="A24" s="172" t="s">
        <v>137</v>
      </c>
      <c r="B24" s="195">
        <f>monthly_data!$AA52/1000</f>
        <v>1.5805199999999999</v>
      </c>
      <c r="C24" s="195">
        <f>monthly_data!$AA64/1000</f>
        <v>1.5529999999999999</v>
      </c>
      <c r="D24" s="195">
        <f>monthly_data!$AA76/1000</f>
        <v>1.27935</v>
      </c>
      <c r="E24" s="195">
        <f>monthly_data!$AA88/1000</f>
        <v>1.7474799999999999</v>
      </c>
      <c r="F24" s="195">
        <f>monthly_data!$AA100/1000</f>
        <v>1.49779</v>
      </c>
      <c r="G24" s="195">
        <f>monthly_data!$AA112/1000</f>
        <v>1.2972699999999999</v>
      </c>
      <c r="H24" s="195">
        <f>monthly_data!$AA124/1000</f>
        <v>1.45757</v>
      </c>
      <c r="I24" s="196">
        <f t="shared" si="17"/>
        <v>1.449719256485801</v>
      </c>
      <c r="J24" s="196">
        <f t="shared" si="18"/>
        <v>1.4886954978056992</v>
      </c>
      <c r="K24" s="196">
        <f t="shared" si="19"/>
        <v>1.4348854373220317</v>
      </c>
      <c r="L24" s="196">
        <f t="shared" si="19"/>
        <v>1.4484743412829824</v>
      </c>
      <c r="M24" s="196">
        <f t="shared" si="19"/>
        <v>1.4646735474978283</v>
      </c>
      <c r="N24" s="196">
        <f t="shared" si="19"/>
        <v>1.4572896160788682</v>
      </c>
      <c r="O24" s="196">
        <f t="shared" si="19"/>
        <v>1.4588036879974822</v>
      </c>
      <c r="P24" s="196">
        <f t="shared" si="19"/>
        <v>1.4528253260358381</v>
      </c>
      <c r="Q24" s="196">
        <f t="shared" si="19"/>
        <v>1.4564133037785998</v>
      </c>
      <c r="R24" s="196">
        <f t="shared" si="19"/>
        <v>1.4580010962777235</v>
      </c>
      <c r="S24" s="196">
        <f t="shared" si="19"/>
        <v>1.4566666060337023</v>
      </c>
    </row>
    <row r="25" spans="1:19" x14ac:dyDescent="0.25">
      <c r="A25" s="172" t="s">
        <v>138</v>
      </c>
      <c r="B25" s="195">
        <f>monthly_data!$AA53/1000</f>
        <v>1.6725300000000001</v>
      </c>
      <c r="C25" s="195">
        <f>monthly_data!$AA65/1000</f>
        <v>1.71983</v>
      </c>
      <c r="D25" s="195">
        <f>monthly_data!$AA77/1000</f>
        <v>1.5947499999999999</v>
      </c>
      <c r="E25" s="195">
        <f>monthly_data!$AA89/1000</f>
        <v>1.7581000000000002</v>
      </c>
      <c r="F25" s="195">
        <f>monthly_data!$AA101/1000</f>
        <v>1.5793900000000001</v>
      </c>
      <c r="G25" s="195">
        <f>monthly_data!$AA113/1000</f>
        <v>1.4210399999999999</v>
      </c>
      <c r="H25" s="195">
        <f>monthly_data!$AA125/1000</f>
        <v>1.4418200000000001</v>
      </c>
      <c r="I25" s="196">
        <f t="shared" si="17"/>
        <v>1.5524100106645915</v>
      </c>
      <c r="J25" s="196">
        <f t="shared" si="18"/>
        <v>1.5492299925392847</v>
      </c>
      <c r="K25" s="196">
        <f t="shared" si="19"/>
        <v>1.5052914112231797</v>
      </c>
      <c r="L25" s="196">
        <f t="shared" si="19"/>
        <v>1.5178996074268185</v>
      </c>
      <c r="M25" s="196">
        <f t="shared" si="19"/>
        <v>1.5224823532905223</v>
      </c>
      <c r="N25" s="196">
        <f t="shared" si="19"/>
        <v>1.5294626750288791</v>
      </c>
      <c r="O25" s="196">
        <f t="shared" si="19"/>
        <v>1.5248732079017371</v>
      </c>
      <c r="P25" s="196">
        <f t="shared" si="19"/>
        <v>1.5200018509742275</v>
      </c>
      <c r="Q25" s="196">
        <f t="shared" si="19"/>
        <v>1.522943938924437</v>
      </c>
      <c r="R25" s="196">
        <f t="shared" si="19"/>
        <v>1.5239528052239606</v>
      </c>
      <c r="S25" s="196">
        <f t="shared" si="19"/>
        <v>1.5242468956106483</v>
      </c>
    </row>
    <row r="26" spans="1:19" x14ac:dyDescent="0.25">
      <c r="A26" s="172" t="s">
        <v>139</v>
      </c>
      <c r="B26" s="195">
        <f>monthly_data!$AA54/1000</f>
        <v>1.8471200000000001</v>
      </c>
      <c r="C26" s="195">
        <f>monthly_data!$AA66/1000</f>
        <v>1.7224299999999999</v>
      </c>
      <c r="D26" s="195">
        <f>monthly_data!$AA78/1000</f>
        <v>1.5740099999999999</v>
      </c>
      <c r="E26" s="195">
        <f>monthly_data!$AA90/1000</f>
        <v>1.63076</v>
      </c>
      <c r="F26" s="195">
        <f>monthly_data!$AA102/1000</f>
        <v>1.65994</v>
      </c>
      <c r="G26" s="195">
        <f>monthly_data!$AA114/1000</f>
        <v>1.4637500000000001</v>
      </c>
      <c r="H26" s="195">
        <f>monthly_data!$AA126/1000</f>
        <v>1.5403600000000002</v>
      </c>
      <c r="I26" s="196">
        <f t="shared" si="17"/>
        <v>1.5670914985205773</v>
      </c>
      <c r="J26" s="196">
        <f t="shared" si="18"/>
        <v>1.5710396791778836</v>
      </c>
      <c r="K26" s="196">
        <f t="shared" si="19"/>
        <v>1.5568302706705368</v>
      </c>
      <c r="L26" s="196">
        <f t="shared" si="19"/>
        <v>1.5644904764622127</v>
      </c>
      <c r="M26" s="196">
        <f t="shared" si="19"/>
        <v>1.5693965507650747</v>
      </c>
      <c r="N26" s="196">
        <f t="shared" si="19"/>
        <v>1.5657696951192572</v>
      </c>
      <c r="O26" s="196">
        <f t="shared" si="19"/>
        <v>1.5655053344389931</v>
      </c>
      <c r="P26" s="196">
        <f t="shared" si="19"/>
        <v>1.5643984654912146</v>
      </c>
      <c r="Q26" s="196">
        <f t="shared" si="19"/>
        <v>1.5659121044553506</v>
      </c>
      <c r="R26" s="196">
        <f t="shared" si="19"/>
        <v>1.5661964300539779</v>
      </c>
      <c r="S26" s="196">
        <f t="shared" si="19"/>
        <v>1.5655564059117588</v>
      </c>
    </row>
    <row r="27" spans="1:19" x14ac:dyDescent="0.25">
      <c r="A27" s="172" t="s">
        <v>140</v>
      </c>
      <c r="B27" s="195">
        <f>monthly_data!$AA55/1000</f>
        <v>1.8228600000000001</v>
      </c>
      <c r="C27" s="195">
        <f>monthly_data!$AA67/1000</f>
        <v>1.80047</v>
      </c>
      <c r="D27" s="195">
        <f>monthly_data!$AA79/1000</f>
        <v>1.6438699999999999</v>
      </c>
      <c r="E27" s="195">
        <f>monthly_data!$AA91/1000</f>
        <v>1.4488000000000001</v>
      </c>
      <c r="F27" s="195">
        <f>monthly_data!$AA103/1000</f>
        <v>1.52277</v>
      </c>
      <c r="G27" s="195">
        <f>monthly_data!$AA115/1000</f>
        <v>1.37083</v>
      </c>
      <c r="H27" s="195">
        <f>monthly_data!$AA127/1000</f>
        <v>1.3020699999999998</v>
      </c>
      <c r="I27" s="196">
        <f t="shared" si="17"/>
        <v>1.4514877265368202</v>
      </c>
      <c r="J27" s="196">
        <f t="shared" si="18"/>
        <v>1.4179815343980109</v>
      </c>
      <c r="K27" s="196">
        <f t="shared" si="19"/>
        <v>1.4097625288894962</v>
      </c>
      <c r="L27" s="196">
        <f t="shared" si="19"/>
        <v>1.4127085388452252</v>
      </c>
      <c r="M27" s="196">
        <f t="shared" si="19"/>
        <v>1.4072615842037539</v>
      </c>
      <c r="N27" s="196">
        <f t="shared" si="19"/>
        <v>1.4198403825746613</v>
      </c>
      <c r="O27" s="196">
        <f t="shared" si="19"/>
        <v>1.4135109137822295</v>
      </c>
      <c r="P27" s="196">
        <f t="shared" si="19"/>
        <v>1.4126167896590731</v>
      </c>
      <c r="Q27" s="196">
        <f t="shared" si="19"/>
        <v>1.4131876418129885</v>
      </c>
      <c r="R27" s="196">
        <f t="shared" si="19"/>
        <v>1.4132834624065413</v>
      </c>
      <c r="S27" s="196">
        <f t="shared" si="19"/>
        <v>1.4144878380470987</v>
      </c>
    </row>
    <row r="28" spans="1:19" x14ac:dyDescent="0.25">
      <c r="A28" s="172" t="s">
        <v>141</v>
      </c>
      <c r="B28" s="195">
        <f>monthly_data!$AA56/1000</f>
        <v>1.7901500000000001</v>
      </c>
      <c r="C28" s="195">
        <f>monthly_data!$AA68/1000</f>
        <v>1.8817400000000002</v>
      </c>
      <c r="D28" s="195">
        <f>monthly_data!$AA80/1000</f>
        <v>1.6330499999999999</v>
      </c>
      <c r="E28" s="195">
        <f>monthly_data!$AA92/1000</f>
        <v>1.4562200000000001</v>
      </c>
      <c r="F28" s="195">
        <f>monthly_data!$AA104/1000</f>
        <v>1.8117300000000001</v>
      </c>
      <c r="G28" s="195">
        <f>monthly_data!$AA116/1000</f>
        <v>1.2088699999999999</v>
      </c>
      <c r="H28" s="195">
        <f>monthly_data!$AA128/1000</f>
        <v>1.323</v>
      </c>
      <c r="I28" s="196">
        <f t="shared" si="17"/>
        <v>1.4802711698334237</v>
      </c>
      <c r="J28" s="196">
        <f t="shared" si="18"/>
        <v>1.4547768244098551</v>
      </c>
      <c r="K28" s="196">
        <f t="shared" si="19"/>
        <v>1.4523655973772196</v>
      </c>
      <c r="L28" s="196">
        <f t="shared" si="19"/>
        <v>1.4060336179013855</v>
      </c>
      <c r="M28" s="196">
        <f t="shared" si="19"/>
        <v>1.4318970523852821</v>
      </c>
      <c r="N28" s="196">
        <f t="shared" si="19"/>
        <v>1.4450688523814335</v>
      </c>
      <c r="O28" s="196">
        <f t="shared" si="19"/>
        <v>1.438028388891035</v>
      </c>
      <c r="P28" s="196">
        <f t="shared" si="19"/>
        <v>1.4346787017872713</v>
      </c>
      <c r="Q28" s="196">
        <f t="shared" si="19"/>
        <v>1.4311413226692813</v>
      </c>
      <c r="R28" s="196">
        <f t="shared" si="19"/>
        <v>1.4361628636228609</v>
      </c>
      <c r="S28" s="196">
        <f t="shared" si="19"/>
        <v>1.4370160258703764</v>
      </c>
    </row>
    <row r="29" spans="1:19" x14ac:dyDescent="0.25">
      <c r="A29" s="172" t="s">
        <v>142</v>
      </c>
      <c r="B29" s="195">
        <f>monthly_data!$AA57/1000</f>
        <v>1.7288600000000001</v>
      </c>
      <c r="C29" s="195">
        <f>monthly_data!$AA69/1000</f>
        <v>1.7150000000000001</v>
      </c>
      <c r="D29" s="195">
        <f>monthly_data!$AA81/1000</f>
        <v>1.47583</v>
      </c>
      <c r="E29" s="195">
        <f>monthly_data!$AA93/1000</f>
        <v>1.52251</v>
      </c>
      <c r="F29" s="195">
        <f>monthly_data!$AA105/1000</f>
        <v>1.68252</v>
      </c>
      <c r="G29" s="195">
        <f>monthly_data!$AA117/1000</f>
        <v>1.2576700000000001</v>
      </c>
      <c r="H29" s="195">
        <f>monthly_data!$AA129/1000</f>
        <v>1.552</v>
      </c>
      <c r="I29" s="196">
        <f t="shared" si="17"/>
        <v>1.4917542760430837</v>
      </c>
      <c r="J29" s="196">
        <f t="shared" si="18"/>
        <v>1.5000108459534029</v>
      </c>
      <c r="K29" s="196">
        <f t="shared" si="19"/>
        <v>1.4933321353223055</v>
      </c>
      <c r="L29" s="196">
        <f t="shared" si="19"/>
        <v>1.4823338085141831</v>
      </c>
      <c r="M29" s="196">
        <f t="shared" si="19"/>
        <v>1.5129812477740474</v>
      </c>
      <c r="N29" s="196">
        <f t="shared" si="19"/>
        <v>1.4960824627214044</v>
      </c>
      <c r="O29" s="196">
        <f t="shared" si="19"/>
        <v>1.4969481000570686</v>
      </c>
      <c r="P29" s="196">
        <f t="shared" si="19"/>
        <v>1.4963355508778018</v>
      </c>
      <c r="Q29" s="196">
        <f t="shared" si="19"/>
        <v>1.4969362339889014</v>
      </c>
      <c r="R29" s="196">
        <f t="shared" si="19"/>
        <v>1.4998567190838448</v>
      </c>
      <c r="S29" s="196">
        <f t="shared" si="19"/>
        <v>1.4972318133458038</v>
      </c>
    </row>
    <row r="30" spans="1:19" x14ac:dyDescent="0.25">
      <c r="A30" s="172" t="s">
        <v>143</v>
      </c>
      <c r="B30" s="195">
        <f>monthly_data!$AA58/1000</f>
        <v>1.8614600000000001</v>
      </c>
      <c r="C30" s="195">
        <f>monthly_data!$AA70/1000</f>
        <v>1.8239299999999998</v>
      </c>
      <c r="D30" s="195">
        <f>monthly_data!$AA82/1000</f>
        <v>1.6248199999999999</v>
      </c>
      <c r="E30" s="195">
        <f>monthly_data!$AA94/1000</f>
        <v>1.55158</v>
      </c>
      <c r="F30" s="195">
        <f>monthly_data!$AA106/1000</f>
        <v>1.75484</v>
      </c>
      <c r="G30" s="195">
        <f>monthly_data!$AA118/1000</f>
        <v>1.5148200000000001</v>
      </c>
      <c r="H30" s="195">
        <f>monthly_data!$AA130/1000</f>
        <v>1.605</v>
      </c>
      <c r="I30" s="196">
        <f t="shared" ref="I30:Q30" si="20">I31-SUM(I19:I29)</f>
        <v>1.6033849649730278</v>
      </c>
      <c r="J30" s="196">
        <f t="shared" si="20"/>
        <v>1.6045557720691086</v>
      </c>
      <c r="K30" s="196">
        <f t="shared" si="20"/>
        <v>1.6127845799247496</v>
      </c>
      <c r="L30" s="196">
        <f t="shared" si="20"/>
        <v>1.6135591947186079</v>
      </c>
      <c r="M30" s="196">
        <f t="shared" si="20"/>
        <v>1.6175807192339882</v>
      </c>
      <c r="N30" s="196">
        <f t="shared" si="20"/>
        <v>1.610373046183895</v>
      </c>
      <c r="O30" s="196">
        <f t="shared" si="20"/>
        <v>1.6117706624260677</v>
      </c>
      <c r="P30" s="196">
        <f t="shared" si="20"/>
        <v>1.6132136404974631</v>
      </c>
      <c r="Q30" s="196">
        <f t="shared" si="20"/>
        <v>1.6132994526120044</v>
      </c>
      <c r="R30" s="196">
        <f t="shared" ref="R30:S30" si="21">R31-SUM(R19:R29)</f>
        <v>1.6132475041906815</v>
      </c>
      <c r="S30" s="196">
        <f t="shared" si="21"/>
        <v>1.6123808611820252</v>
      </c>
    </row>
    <row r="31" spans="1:19" x14ac:dyDescent="0.25">
      <c r="A31" s="197" t="s">
        <v>144</v>
      </c>
      <c r="B31" s="198">
        <f t="shared" ref="B31:H31" si="22">SUM(B19:B30)</f>
        <v>20.042950000000001</v>
      </c>
      <c r="C31" s="198">
        <f t="shared" si="22"/>
        <v>20.528040000000001</v>
      </c>
      <c r="D31" s="198">
        <f t="shared" si="22"/>
        <v>18.306409999999996</v>
      </c>
      <c r="E31" s="198">
        <f t="shared" si="22"/>
        <v>17.868340000000003</v>
      </c>
      <c r="F31" s="198">
        <f t="shared" si="22"/>
        <v>19.628</v>
      </c>
      <c r="G31" s="198">
        <f t="shared" si="22"/>
        <v>17.121479999999998</v>
      </c>
      <c r="H31" s="198">
        <f t="shared" si="22"/>
        <v>17.45898</v>
      </c>
      <c r="I31" s="199">
        <f t="shared" ref="I31:S31" si="23">I5</f>
        <v>18</v>
      </c>
      <c r="J31" s="199">
        <f t="shared" si="23"/>
        <v>18</v>
      </c>
      <c r="K31" s="199">
        <f t="shared" si="23"/>
        <v>18</v>
      </c>
      <c r="L31" s="199">
        <f t="shared" si="23"/>
        <v>18</v>
      </c>
      <c r="M31" s="199">
        <f t="shared" si="23"/>
        <v>18</v>
      </c>
      <c r="N31" s="199">
        <f t="shared" si="23"/>
        <v>18</v>
      </c>
      <c r="O31" s="199">
        <f t="shared" si="23"/>
        <v>18</v>
      </c>
      <c r="P31" s="199">
        <f t="shared" si="23"/>
        <v>18</v>
      </c>
      <c r="Q31" s="199">
        <f t="shared" si="23"/>
        <v>18</v>
      </c>
      <c r="R31" s="199">
        <f t="shared" si="23"/>
        <v>18</v>
      </c>
      <c r="S31" s="199">
        <f t="shared" si="23"/>
        <v>18</v>
      </c>
    </row>
    <row r="32" spans="1:19" x14ac:dyDescent="0.25">
      <c r="G32" s="200"/>
      <c r="H32" s="200"/>
      <c r="I32" s="200"/>
    </row>
    <row r="33" spans="1:19" s="172" customFormat="1" ht="15.75" thickBot="1" x14ac:dyDescent="0.3">
      <c r="A33" s="190" t="s">
        <v>193</v>
      </c>
      <c r="B33" s="189"/>
      <c r="C33" s="189"/>
      <c r="D33" s="189"/>
      <c r="E33" s="189"/>
      <c r="F33" s="189"/>
      <c r="G33" s="192"/>
      <c r="H33" s="192"/>
      <c r="I33" s="192"/>
      <c r="J33" s="192"/>
      <c r="K33" s="192"/>
      <c r="L33" s="192"/>
      <c r="M33" s="193"/>
      <c r="N33" s="193"/>
      <c r="O33" s="193"/>
      <c r="P33" s="193"/>
      <c r="Q33" s="193"/>
      <c r="R33" s="193"/>
      <c r="S33" s="193"/>
    </row>
    <row r="34" spans="1:19" s="190" customFormat="1" ht="16.5" thickTop="1" thickBot="1" x14ac:dyDescent="0.3">
      <c r="A34" s="55" t="s">
        <v>38</v>
      </c>
      <c r="B34" s="194">
        <f t="shared" ref="B34:S34" si="24">B2</f>
        <v>2018</v>
      </c>
      <c r="C34" s="194">
        <f t="shared" si="24"/>
        <v>2019</v>
      </c>
      <c r="D34" s="194">
        <f t="shared" si="24"/>
        <v>2020</v>
      </c>
      <c r="E34" s="194">
        <f t="shared" si="24"/>
        <v>2021</v>
      </c>
      <c r="F34" s="194">
        <f t="shared" si="24"/>
        <v>2022</v>
      </c>
      <c r="G34" s="194">
        <f t="shared" si="24"/>
        <v>2023</v>
      </c>
      <c r="H34" s="194">
        <f t="shared" si="24"/>
        <v>2024</v>
      </c>
      <c r="I34" s="194">
        <f t="shared" si="24"/>
        <v>2025</v>
      </c>
      <c r="J34" s="194">
        <f t="shared" si="24"/>
        <v>2026</v>
      </c>
      <c r="K34" s="194">
        <f t="shared" si="24"/>
        <v>2027</v>
      </c>
      <c r="L34" s="194">
        <f t="shared" si="24"/>
        <v>2028</v>
      </c>
      <c r="M34" s="194">
        <f t="shared" si="24"/>
        <v>2029</v>
      </c>
      <c r="N34" s="194">
        <f t="shared" si="24"/>
        <v>2030</v>
      </c>
      <c r="O34" s="194">
        <f t="shared" si="24"/>
        <v>2031</v>
      </c>
      <c r="P34" s="194">
        <f t="shared" si="24"/>
        <v>2032</v>
      </c>
      <c r="Q34" s="194">
        <f t="shared" si="24"/>
        <v>2033</v>
      </c>
      <c r="R34" s="194">
        <f t="shared" si="24"/>
        <v>2034</v>
      </c>
      <c r="S34" s="194">
        <f t="shared" si="24"/>
        <v>2035</v>
      </c>
    </row>
    <row r="35" spans="1:19" x14ac:dyDescent="0.25">
      <c r="A35" s="172" t="s">
        <v>133</v>
      </c>
      <c r="B35" s="201">
        <f>monthly_data!$AF47/1000</f>
        <v>1.0742799999999999</v>
      </c>
      <c r="C35" s="201">
        <f>monthly_data!$AF59/1000</f>
        <v>0.91852999999999996</v>
      </c>
      <c r="D35" s="201">
        <f>monthly_data!$AF71/1000</f>
        <v>0.96802999999999995</v>
      </c>
      <c r="E35" s="201">
        <f>monthly_data!$AF83/1000</f>
        <v>0.74159000000000008</v>
      </c>
      <c r="F35" s="201">
        <f>monthly_data!$AF95/1000</f>
        <v>0.64994000000000007</v>
      </c>
      <c r="G35" s="201">
        <f>monthly_data!$AF107/1000</f>
        <v>0.92737999999999998</v>
      </c>
      <c r="H35" s="201">
        <f>monthly_data!$AF119/1000</f>
        <v>1.17432</v>
      </c>
      <c r="I35" s="202">
        <f t="shared" ref="I35:I45" si="25">I$47*(SUM(D35:H35)/SUM(D$47:H$47))</f>
        <v>0.87055331356712062</v>
      </c>
      <c r="J35" s="202">
        <f t="shared" ref="J35:J45" si="26">J$47*(SUM(E35:I35)/SUM(E$47:I$47))</f>
        <v>0.84249182874926443</v>
      </c>
      <c r="K35" s="202">
        <f t="shared" ref="K35:S45" si="27">K$47*(SUM(F35:J35)/SUM(F$47:J$47))</f>
        <v>0.8722755821286593</v>
      </c>
      <c r="L35" s="202">
        <f t="shared" si="27"/>
        <v>0.93004208673741018</v>
      </c>
      <c r="M35" s="202">
        <f t="shared" si="27"/>
        <v>0.94018815617249807</v>
      </c>
      <c r="N35" s="202">
        <f t="shared" si="27"/>
        <v>0.89111019347099041</v>
      </c>
      <c r="O35" s="202">
        <f t="shared" si="27"/>
        <v>0.89522156945176445</v>
      </c>
      <c r="P35" s="202">
        <f t="shared" si="27"/>
        <v>0.90576751759226437</v>
      </c>
      <c r="Q35" s="202">
        <f t="shared" si="27"/>
        <v>0.91246590468498545</v>
      </c>
      <c r="R35" s="202">
        <f t="shared" si="27"/>
        <v>0.90895066827450055</v>
      </c>
      <c r="S35" s="202">
        <f t="shared" si="27"/>
        <v>0.90270317069490091</v>
      </c>
    </row>
    <row r="36" spans="1:19" x14ac:dyDescent="0.25">
      <c r="A36" s="172" t="s">
        <v>134</v>
      </c>
      <c r="B36" s="201">
        <f>monthly_data!$AF48/1000</f>
        <v>1.48441</v>
      </c>
      <c r="C36" s="201">
        <f>monthly_data!$AF60/1000</f>
        <v>1.0364599999999999</v>
      </c>
      <c r="D36" s="201">
        <f>monthly_data!$AF72/1000</f>
        <v>1.0630500000000001</v>
      </c>
      <c r="E36" s="201">
        <f>monthly_data!$AF84/1000</f>
        <v>0.99270000000000003</v>
      </c>
      <c r="F36" s="201">
        <f>monthly_data!$AF96/1000</f>
        <v>1.1406099999999999</v>
      </c>
      <c r="G36" s="201">
        <f>monthly_data!$AF108/1000</f>
        <v>0.96667999999999998</v>
      </c>
      <c r="H36" s="201">
        <f>monthly_data!$AF120/1000</f>
        <v>0.96626999999999996</v>
      </c>
      <c r="I36" s="202">
        <f t="shared" si="25"/>
        <v>1.0009140504729532</v>
      </c>
      <c r="J36" s="202">
        <f t="shared" si="26"/>
        <v>0.97829163952783227</v>
      </c>
      <c r="K36" s="202">
        <f t="shared" si="27"/>
        <v>0.98717020195482008</v>
      </c>
      <c r="L36" s="202">
        <f t="shared" si="27"/>
        <v>0.97216964550557317</v>
      </c>
      <c r="M36" s="202">
        <f t="shared" si="27"/>
        <v>0.98331799019241495</v>
      </c>
      <c r="N36" s="202">
        <f t="shared" si="27"/>
        <v>0.98437270553071876</v>
      </c>
      <c r="O36" s="202">
        <f t="shared" si="27"/>
        <v>0.98106443654227182</v>
      </c>
      <c r="P36" s="202">
        <f t="shared" si="27"/>
        <v>0.98161899594515967</v>
      </c>
      <c r="Q36" s="202">
        <f t="shared" si="27"/>
        <v>0.98050875474322763</v>
      </c>
      <c r="R36" s="202">
        <f t="shared" si="27"/>
        <v>0.98217657659075852</v>
      </c>
      <c r="S36" s="202">
        <f t="shared" si="27"/>
        <v>0.98194829387042737</v>
      </c>
    </row>
    <row r="37" spans="1:19" x14ac:dyDescent="0.25">
      <c r="A37" s="172" t="s">
        <v>135</v>
      </c>
      <c r="B37" s="201">
        <f>monthly_data!$AF49/1000</f>
        <v>1.0035800000000001</v>
      </c>
      <c r="C37" s="201">
        <f>monthly_data!$AF61/1000</f>
        <v>0.65971000000000002</v>
      </c>
      <c r="D37" s="201">
        <f>monthly_data!$AF73/1000</f>
        <v>1.3701700000000001</v>
      </c>
      <c r="E37" s="201">
        <f>monthly_data!$AF85/1000</f>
        <v>0.79422000000000004</v>
      </c>
      <c r="F37" s="201">
        <f>monthly_data!$AF97/1000</f>
        <v>0.99645000000000006</v>
      </c>
      <c r="G37" s="201">
        <f>monthly_data!$AF109/1000</f>
        <v>0.96355999999999997</v>
      </c>
      <c r="H37" s="201">
        <f>monthly_data!$AF121/1000</f>
        <v>0.86687000000000003</v>
      </c>
      <c r="I37" s="202">
        <f t="shared" si="25"/>
        <v>0.97397744973576117</v>
      </c>
      <c r="J37" s="202">
        <f t="shared" si="26"/>
        <v>0.88714652531814853</v>
      </c>
      <c r="K37" s="202">
        <f t="shared" si="27"/>
        <v>0.91590588496460623</v>
      </c>
      <c r="L37" s="202">
        <f t="shared" si="27"/>
        <v>0.91425488272784328</v>
      </c>
      <c r="M37" s="202">
        <f t="shared" si="27"/>
        <v>0.9138193936939365</v>
      </c>
      <c r="N37" s="202">
        <f t="shared" si="27"/>
        <v>0.92102082728805901</v>
      </c>
      <c r="O37" s="202">
        <f t="shared" si="27"/>
        <v>0.91042950279851875</v>
      </c>
      <c r="P37" s="202">
        <f t="shared" si="27"/>
        <v>0.91508609829459264</v>
      </c>
      <c r="Q37" s="202">
        <f t="shared" si="27"/>
        <v>0.91492214096058988</v>
      </c>
      <c r="R37" s="202">
        <f t="shared" si="27"/>
        <v>0.9150555926071392</v>
      </c>
      <c r="S37" s="202">
        <f t="shared" si="27"/>
        <v>0.91530283238977983</v>
      </c>
    </row>
    <row r="38" spans="1:19" x14ac:dyDescent="0.25">
      <c r="A38" s="172" t="s">
        <v>136</v>
      </c>
      <c r="B38" s="201">
        <f>monthly_data!$AF50/1000</f>
        <v>1.2678</v>
      </c>
      <c r="C38" s="201">
        <f>monthly_data!$AF62/1000</f>
        <v>1.2216900000000002</v>
      </c>
      <c r="D38" s="201">
        <f>monthly_data!$AF74/1000</f>
        <v>0.98535000000000006</v>
      </c>
      <c r="E38" s="201">
        <f>monthly_data!$AF86/1000</f>
        <v>0.97654999999999992</v>
      </c>
      <c r="F38" s="201">
        <f>monthly_data!$AF98/1000</f>
        <v>1.0363800000000001</v>
      </c>
      <c r="G38" s="201">
        <f>monthly_data!$AF110/1000</f>
        <v>1.13337</v>
      </c>
      <c r="H38" s="201">
        <f>monthly_data!$AF122/1000</f>
        <v>1.20096</v>
      </c>
      <c r="I38" s="202">
        <f t="shared" si="25"/>
        <v>1.0405852394752073</v>
      </c>
      <c r="J38" s="202">
        <f t="shared" si="26"/>
        <v>1.0402018759068401</v>
      </c>
      <c r="K38" s="202">
        <f t="shared" si="27"/>
        <v>1.0650712577069803</v>
      </c>
      <c r="L38" s="202">
        <f t="shared" si="27"/>
        <v>1.0874297618612059</v>
      </c>
      <c r="M38" s="202">
        <f t="shared" si="27"/>
        <v>1.0894586989976962</v>
      </c>
      <c r="N38" s="202">
        <f t="shared" si="27"/>
        <v>1.0645493667895858</v>
      </c>
      <c r="O38" s="202">
        <f t="shared" si="27"/>
        <v>1.0693421922524617</v>
      </c>
      <c r="P38" s="202">
        <f t="shared" si="27"/>
        <v>1.0751702555215861</v>
      </c>
      <c r="Q38" s="202">
        <f t="shared" si="27"/>
        <v>1.077190055084507</v>
      </c>
      <c r="R38" s="202">
        <f t="shared" si="27"/>
        <v>1.0751421137291677</v>
      </c>
      <c r="S38" s="202">
        <f t="shared" si="27"/>
        <v>1.0722787966754617</v>
      </c>
    </row>
    <row r="39" spans="1:19" x14ac:dyDescent="0.25">
      <c r="A39" s="172" t="s">
        <v>93</v>
      </c>
      <c r="B39" s="201">
        <f>monthly_data!$AF51/1000</f>
        <v>1.3931600000000002</v>
      </c>
      <c r="C39" s="201">
        <f>monthly_data!$AF63/1000</f>
        <v>1.0385199999999999</v>
      </c>
      <c r="D39" s="201">
        <f>monthly_data!$AF75/1000</f>
        <v>0.25439000000000001</v>
      </c>
      <c r="E39" s="201">
        <f>monthly_data!$AF87/1000</f>
        <v>1.12486</v>
      </c>
      <c r="F39" s="201">
        <f>monthly_data!$AF99/1000</f>
        <v>1.0346199999999999</v>
      </c>
      <c r="G39" s="201">
        <f>monthly_data!$AF111/1000</f>
        <v>0.90295000000000003</v>
      </c>
      <c r="H39" s="201">
        <f>monthly_data!$AF123/1000</f>
        <v>1.07589</v>
      </c>
      <c r="I39" s="202">
        <f t="shared" si="25"/>
        <v>0.85717672721146632</v>
      </c>
      <c r="J39" s="202">
        <f t="shared" si="26"/>
        <v>0.96445328990889601</v>
      </c>
      <c r="K39" s="202">
        <f t="shared" si="27"/>
        <v>0.94464241595768539</v>
      </c>
      <c r="L39" s="202">
        <f t="shared" si="27"/>
        <v>0.94156918189988681</v>
      </c>
      <c r="M39" s="202">
        <f t="shared" si="27"/>
        <v>0.95904307131086441</v>
      </c>
      <c r="N39" s="202">
        <f t="shared" si="27"/>
        <v>0.93337693725775961</v>
      </c>
      <c r="O39" s="202">
        <f t="shared" si="27"/>
        <v>0.94861697926701827</v>
      </c>
      <c r="P39" s="202">
        <f t="shared" si="27"/>
        <v>0.94544971713864279</v>
      </c>
      <c r="Q39" s="202">
        <f t="shared" si="27"/>
        <v>0.94561117737483436</v>
      </c>
      <c r="R39" s="202">
        <f t="shared" si="27"/>
        <v>0.94641957646982389</v>
      </c>
      <c r="S39" s="202">
        <f t="shared" si="27"/>
        <v>0.94389487750161583</v>
      </c>
    </row>
    <row r="40" spans="1:19" x14ac:dyDescent="0.25">
      <c r="A40" s="172" t="s">
        <v>137</v>
      </c>
      <c r="B40" s="201">
        <f>monthly_data!$AF52/1000</f>
        <v>1.2945199999999999</v>
      </c>
      <c r="C40" s="201">
        <f>monthly_data!$AF64/1000</f>
        <v>1.07473</v>
      </c>
      <c r="D40" s="201">
        <f>monthly_data!$AF76/1000</f>
        <v>0.77461000000000002</v>
      </c>
      <c r="E40" s="201">
        <f>monthly_data!$AF88/1000</f>
        <v>1.0517400000000001</v>
      </c>
      <c r="F40" s="201">
        <f>monthly_data!$AF100/1000</f>
        <v>1.14147</v>
      </c>
      <c r="G40" s="201">
        <f>monthly_data!$AF112/1000</f>
        <v>1.18106</v>
      </c>
      <c r="H40" s="201">
        <f>monthly_data!$AF124/1000</f>
        <v>1.0940000000000001</v>
      </c>
      <c r="I40" s="202">
        <f t="shared" si="25"/>
        <v>1.0230756684512414</v>
      </c>
      <c r="J40" s="202">
        <f t="shared" si="26"/>
        <v>1.0601841388696345</v>
      </c>
      <c r="K40" s="202">
        <f t="shared" si="27"/>
        <v>1.0745063095932252</v>
      </c>
      <c r="L40" s="202">
        <f t="shared" si="27"/>
        <v>1.0780317040852321</v>
      </c>
      <c r="M40" s="202">
        <f t="shared" si="27"/>
        <v>1.0685184878919531</v>
      </c>
      <c r="N40" s="202">
        <f t="shared" si="27"/>
        <v>1.0608632617782572</v>
      </c>
      <c r="O40" s="202">
        <f t="shared" si="27"/>
        <v>1.0684207804436605</v>
      </c>
      <c r="P40" s="202">
        <f t="shared" si="27"/>
        <v>1.0700681087584656</v>
      </c>
      <c r="Q40" s="202">
        <f t="shared" si="27"/>
        <v>1.0691804685915136</v>
      </c>
      <c r="R40" s="202">
        <f t="shared" si="27"/>
        <v>1.0674102214927701</v>
      </c>
      <c r="S40" s="202">
        <f t="shared" si="27"/>
        <v>1.0671885682129332</v>
      </c>
    </row>
    <row r="41" spans="1:19" x14ac:dyDescent="0.25">
      <c r="A41" s="172" t="s">
        <v>138</v>
      </c>
      <c r="B41" s="201">
        <f>monthly_data!$AF53/1000</f>
        <v>1.52576</v>
      </c>
      <c r="C41" s="201">
        <f>monthly_data!$AF65/1000</f>
        <v>1.1480899999999998</v>
      </c>
      <c r="D41" s="201">
        <f>monthly_data!$AF77/1000</f>
        <v>1.1463299999999998</v>
      </c>
      <c r="E41" s="201">
        <f>monthly_data!$AF89/1000</f>
        <v>1.0025500000000001</v>
      </c>
      <c r="F41" s="201">
        <f>monthly_data!$AF101/1000</f>
        <v>1.14662</v>
      </c>
      <c r="G41" s="201">
        <f>monthly_data!$AF113/1000</f>
        <v>1.15351</v>
      </c>
      <c r="H41" s="201">
        <f>monthly_data!$AF125/1000</f>
        <v>0.98199999999999998</v>
      </c>
      <c r="I41" s="202">
        <f t="shared" si="25"/>
        <v>1.0597866413336519</v>
      </c>
      <c r="J41" s="202">
        <f t="shared" si="26"/>
        <v>1.0318270067048712</v>
      </c>
      <c r="K41" s="202">
        <f t="shared" si="27"/>
        <v>1.0498803878409799</v>
      </c>
      <c r="L41" s="202">
        <f t="shared" si="27"/>
        <v>1.0471120427640541</v>
      </c>
      <c r="M41" s="202">
        <f t="shared" si="27"/>
        <v>1.0366037088441082</v>
      </c>
      <c r="N41" s="202">
        <f t="shared" si="27"/>
        <v>1.0450419574975329</v>
      </c>
      <c r="O41" s="202">
        <f t="shared" si="27"/>
        <v>1.0420930207303094</v>
      </c>
      <c r="P41" s="202">
        <f t="shared" si="27"/>
        <v>1.0441462235353969</v>
      </c>
      <c r="Q41" s="202">
        <f t="shared" si="27"/>
        <v>1.0429993906742803</v>
      </c>
      <c r="R41" s="202">
        <f t="shared" si="27"/>
        <v>1.0421768602563257</v>
      </c>
      <c r="S41" s="202">
        <f t="shared" si="27"/>
        <v>1.0432914905387691</v>
      </c>
    </row>
    <row r="42" spans="1:19" x14ac:dyDescent="0.25">
      <c r="A42" s="172" t="s">
        <v>139</v>
      </c>
      <c r="B42" s="201">
        <f>monthly_data!$AF54/1000</f>
        <v>1.06233</v>
      </c>
      <c r="C42" s="201">
        <f>monthly_data!$AF66/1000</f>
        <v>1.1182000000000001</v>
      </c>
      <c r="D42" s="201">
        <f>monthly_data!$AF78/1000</f>
        <v>0.99745000000000006</v>
      </c>
      <c r="E42" s="201">
        <f>monthly_data!$AF90/1000</f>
        <v>1.1936199999999999</v>
      </c>
      <c r="F42" s="201">
        <f>monthly_data!$AF102/1000</f>
        <v>1.2161500000000001</v>
      </c>
      <c r="G42" s="201">
        <f>monthly_data!$AF114/1000</f>
        <v>0.98287999999999998</v>
      </c>
      <c r="H42" s="201">
        <f>monthly_data!$AF126/1000</f>
        <v>0.80700000000000005</v>
      </c>
      <c r="I42" s="202">
        <f t="shared" si="25"/>
        <v>1.0141423333183186</v>
      </c>
      <c r="J42" s="202">
        <f t="shared" si="26"/>
        <v>1.0065984312189842</v>
      </c>
      <c r="K42" s="202">
        <f t="shared" si="27"/>
        <v>0.98209151487649993</v>
      </c>
      <c r="L42" s="202">
        <f t="shared" si="27"/>
        <v>0.9510143845173189</v>
      </c>
      <c r="M42" s="202">
        <f t="shared" si="27"/>
        <v>0.9544550936596905</v>
      </c>
      <c r="N42" s="202">
        <f t="shared" si="27"/>
        <v>0.98166035151816255</v>
      </c>
      <c r="O42" s="202">
        <f t="shared" si="27"/>
        <v>0.97516395515813104</v>
      </c>
      <c r="P42" s="202">
        <f t="shared" si="27"/>
        <v>0.96887705994596052</v>
      </c>
      <c r="Q42" s="202">
        <f t="shared" si="27"/>
        <v>0.9662341689598527</v>
      </c>
      <c r="R42" s="202">
        <f t="shared" si="27"/>
        <v>0.96927812584835948</v>
      </c>
      <c r="S42" s="202">
        <f t="shared" si="27"/>
        <v>0.97224273228609337</v>
      </c>
    </row>
    <row r="43" spans="1:19" x14ac:dyDescent="0.25">
      <c r="A43" s="172" t="s">
        <v>140</v>
      </c>
      <c r="B43" s="201">
        <f>monthly_data!$AF55/1000</f>
        <v>0.93532000000000004</v>
      </c>
      <c r="C43" s="201">
        <f>monthly_data!$AF67/1000</f>
        <v>0.89787000000000006</v>
      </c>
      <c r="D43" s="201">
        <f>monthly_data!$AF79/1000</f>
        <v>0.89075000000000004</v>
      </c>
      <c r="E43" s="201">
        <f>monthly_data!$AF91/1000</f>
        <v>1.2717499999999999</v>
      </c>
      <c r="F43" s="201">
        <f>monthly_data!$AF103/1000</f>
        <v>1.23573</v>
      </c>
      <c r="G43" s="201">
        <f>monthly_data!$AF115/1000</f>
        <v>1.0165599999999999</v>
      </c>
      <c r="H43" s="201">
        <f>monthly_data!$AF127/1000</f>
        <v>1.0429999999999999</v>
      </c>
      <c r="I43" s="202">
        <f t="shared" si="25"/>
        <v>1.0650123887093546</v>
      </c>
      <c r="J43" s="202">
        <f t="shared" si="26"/>
        <v>1.0873496174347621</v>
      </c>
      <c r="K43" s="202">
        <f t="shared" si="27"/>
        <v>1.0643200300633835</v>
      </c>
      <c r="L43" s="202">
        <f t="shared" si="27"/>
        <v>1.0469608397276886</v>
      </c>
      <c r="M43" s="202">
        <f t="shared" si="27"/>
        <v>1.0638763818087393</v>
      </c>
      <c r="N43" s="202">
        <f t="shared" si="27"/>
        <v>1.0655038515487856</v>
      </c>
      <c r="O43" s="202">
        <f t="shared" si="27"/>
        <v>1.0656021441166719</v>
      </c>
      <c r="P43" s="202">
        <f t="shared" si="27"/>
        <v>1.0612526494530536</v>
      </c>
      <c r="Q43" s="202">
        <f t="shared" si="27"/>
        <v>1.0606391733309879</v>
      </c>
      <c r="R43" s="202">
        <f t="shared" si="27"/>
        <v>1.0633748400516476</v>
      </c>
      <c r="S43" s="202">
        <f t="shared" si="27"/>
        <v>1.0632745317002295</v>
      </c>
    </row>
    <row r="44" spans="1:19" x14ac:dyDescent="0.25">
      <c r="A44" s="172" t="s">
        <v>141</v>
      </c>
      <c r="B44" s="201">
        <f>monthly_data!$AF56/1000</f>
        <v>0.97963999999999996</v>
      </c>
      <c r="C44" s="201">
        <f>monthly_data!$AF68/1000</f>
        <v>1.2692099999999999</v>
      </c>
      <c r="D44" s="201">
        <f>monthly_data!$AF80/1000</f>
        <v>0.98938999999999999</v>
      </c>
      <c r="E44" s="201">
        <f>monthly_data!$AF92/1000</f>
        <v>1.1995</v>
      </c>
      <c r="F44" s="201">
        <f>monthly_data!$AF104/1000</f>
        <v>0.91276000000000002</v>
      </c>
      <c r="G44" s="201">
        <f>monthly_data!$AF116/1000</f>
        <v>1.33541</v>
      </c>
      <c r="H44" s="201">
        <f>monthly_data!$AF128/1000</f>
        <v>1.2470000000000001</v>
      </c>
      <c r="I44" s="202">
        <f t="shared" si="25"/>
        <v>1.1091658561738895</v>
      </c>
      <c r="J44" s="202">
        <f t="shared" si="26"/>
        <v>1.1205149139798789</v>
      </c>
      <c r="K44" s="202">
        <f t="shared" si="27"/>
        <v>1.1184769763058269</v>
      </c>
      <c r="L44" s="202">
        <f t="shared" si="27"/>
        <v>1.1767982107883537</v>
      </c>
      <c r="M44" s="202">
        <f t="shared" si="27"/>
        <v>1.1571624025432807</v>
      </c>
      <c r="N44" s="202">
        <f t="shared" si="27"/>
        <v>1.1364236719582461</v>
      </c>
      <c r="O44" s="202">
        <f t="shared" si="27"/>
        <v>1.1418752351151173</v>
      </c>
      <c r="P44" s="202">
        <f t="shared" si="27"/>
        <v>1.1461472993421649</v>
      </c>
      <c r="Q44" s="202">
        <f t="shared" si="27"/>
        <v>1.1516813639494328</v>
      </c>
      <c r="R44" s="202">
        <f t="shared" si="27"/>
        <v>1.1466579945816484</v>
      </c>
      <c r="S44" s="202">
        <f t="shared" si="27"/>
        <v>1.1445571129893219</v>
      </c>
    </row>
    <row r="45" spans="1:19" x14ac:dyDescent="0.25">
      <c r="A45" s="172" t="s">
        <v>142</v>
      </c>
      <c r="B45" s="201">
        <f>monthly_data!$AF57/1000</f>
        <v>0.88769000000000009</v>
      </c>
      <c r="C45" s="201">
        <f>monthly_data!$AF69/1000</f>
        <v>0.99707000000000001</v>
      </c>
      <c r="D45" s="201">
        <f>monthly_data!$AF81/1000</f>
        <v>0.94316</v>
      </c>
      <c r="E45" s="201">
        <f>monthly_data!$AF93/1000</f>
        <v>1.1710499999999999</v>
      </c>
      <c r="F45" s="201">
        <f>monthly_data!$AF105/1000</f>
        <v>1.06091</v>
      </c>
      <c r="G45" s="201">
        <f>monthly_data!$AF117/1000</f>
        <v>1.0279800000000001</v>
      </c>
      <c r="H45" s="201">
        <f>monthly_data!$AF129/1000</f>
        <v>0.67600000000000005</v>
      </c>
      <c r="I45" s="202">
        <f t="shared" si="25"/>
        <v>0.95208902243432081</v>
      </c>
      <c r="J45" s="202">
        <f t="shared" si="26"/>
        <v>0.94370508665881947</v>
      </c>
      <c r="K45" s="202">
        <f t="shared" si="27"/>
        <v>0.91056834128011621</v>
      </c>
      <c r="L45" s="202">
        <f t="shared" si="27"/>
        <v>0.89498394631957667</v>
      </c>
      <c r="M45" s="202">
        <f t="shared" si="27"/>
        <v>0.87757091541917642</v>
      </c>
      <c r="N45" s="202">
        <f t="shared" si="27"/>
        <v>0.91578346242240194</v>
      </c>
      <c r="O45" s="202">
        <f t="shared" si="27"/>
        <v>0.90852235042001817</v>
      </c>
      <c r="P45" s="202">
        <f t="shared" si="27"/>
        <v>0.9014858031722579</v>
      </c>
      <c r="Q45" s="202">
        <f t="shared" si="27"/>
        <v>0.8996692955506862</v>
      </c>
      <c r="R45" s="202">
        <f t="shared" si="27"/>
        <v>0.90060636539690808</v>
      </c>
      <c r="S45" s="202">
        <f t="shared" si="27"/>
        <v>0.90521345539245446</v>
      </c>
    </row>
    <row r="46" spans="1:19" x14ac:dyDescent="0.25">
      <c r="A46" s="172" t="s">
        <v>143</v>
      </c>
      <c r="B46" s="201">
        <f>monthly_data!$AF58/1000</f>
        <v>1.2009100000000001</v>
      </c>
      <c r="C46" s="201">
        <f>monthly_data!$AF70/1000</f>
        <v>0.93500000000000005</v>
      </c>
      <c r="D46" s="201">
        <f>monthly_data!$AF82/1000</f>
        <v>0.95745000000000002</v>
      </c>
      <c r="E46" s="201">
        <f>monthly_data!$AF94/1000</f>
        <v>1.21404</v>
      </c>
      <c r="F46" s="201">
        <f>monthly_data!$AF106/1000</f>
        <v>1.37462</v>
      </c>
      <c r="G46" s="201">
        <f>monthly_data!$AF118/1000</f>
        <v>1.0272999999999999</v>
      </c>
      <c r="H46" s="201">
        <f>monthly_data!$AF130/1000</f>
        <v>0.72299999999999998</v>
      </c>
      <c r="I46" s="202">
        <f t="shared" ref="I46:N46" si="28">I47-SUM(I35:I45)</f>
        <v>1.0335213091167148</v>
      </c>
      <c r="J46" s="202">
        <f t="shared" si="28"/>
        <v>1.0372356457220686</v>
      </c>
      <c r="K46" s="202">
        <f t="shared" si="28"/>
        <v>1.0150910973272165</v>
      </c>
      <c r="L46" s="202">
        <f t="shared" si="28"/>
        <v>0.95963331306585609</v>
      </c>
      <c r="M46" s="202">
        <f t="shared" si="28"/>
        <v>0.95598569946564282</v>
      </c>
      <c r="N46" s="202">
        <f t="shared" si="28"/>
        <v>1.0002934129395005</v>
      </c>
      <c r="O46" s="202">
        <f>O$47*(SUM(J46:N46)/SUM(J$47:N$47))</f>
        <v>0.99364783370405685</v>
      </c>
      <c r="P46" s="202">
        <f>P$47*(SUM(K46:O46)/SUM(K$47:O$47))</f>
        <v>0.98493027130045463</v>
      </c>
      <c r="Q46" s="202">
        <f>Q$47*(SUM(L46:P46)/SUM(L$47:P$47))</f>
        <v>0.97889810609510219</v>
      </c>
      <c r="R46" s="202">
        <f>R$47*(SUM(M46:Q46)/SUM(M$47:Q$47))</f>
        <v>0.98275106470095142</v>
      </c>
      <c r="S46" s="202">
        <f>S$47*(SUM(N46:R46)/SUM(N$47:R$47))</f>
        <v>0.98810413774801298</v>
      </c>
    </row>
    <row r="47" spans="1:19" x14ac:dyDescent="0.25">
      <c r="A47" s="197" t="s">
        <v>144</v>
      </c>
      <c r="B47" s="203">
        <f t="shared" ref="B47:H47" si="29">SUM(B35:B46)</f>
        <v>14.109400000000001</v>
      </c>
      <c r="C47" s="203">
        <f t="shared" si="29"/>
        <v>12.31508</v>
      </c>
      <c r="D47" s="203">
        <f t="shared" si="29"/>
        <v>11.34013</v>
      </c>
      <c r="E47" s="203">
        <f t="shared" si="29"/>
        <v>12.734170000000001</v>
      </c>
      <c r="F47" s="203">
        <f t="shared" si="29"/>
        <v>12.946260000000002</v>
      </c>
      <c r="G47" s="203">
        <f t="shared" si="29"/>
        <v>12.618639999999999</v>
      </c>
      <c r="H47" s="203">
        <f t="shared" si="29"/>
        <v>11.856310000000001</v>
      </c>
      <c r="I47" s="204">
        <f t="shared" ref="I47:S47" si="30">I6</f>
        <v>12</v>
      </c>
      <c r="J47" s="204">
        <f t="shared" si="30"/>
        <v>12</v>
      </c>
      <c r="K47" s="204">
        <f t="shared" si="30"/>
        <v>12</v>
      </c>
      <c r="L47" s="204">
        <f t="shared" si="30"/>
        <v>12</v>
      </c>
      <c r="M47" s="204">
        <f t="shared" si="30"/>
        <v>12</v>
      </c>
      <c r="N47" s="204">
        <f t="shared" si="30"/>
        <v>12</v>
      </c>
      <c r="O47" s="204">
        <f t="shared" si="30"/>
        <v>12</v>
      </c>
      <c r="P47" s="204">
        <f t="shared" si="30"/>
        <v>12</v>
      </c>
      <c r="Q47" s="204">
        <f t="shared" si="30"/>
        <v>12</v>
      </c>
      <c r="R47" s="204">
        <f t="shared" si="30"/>
        <v>12</v>
      </c>
      <c r="S47" s="204">
        <f t="shared" si="30"/>
        <v>12</v>
      </c>
    </row>
    <row r="49" spans="1:19" ht="24" customHeight="1" thickBot="1" x14ac:dyDescent="0.3">
      <c r="A49" s="190" t="s">
        <v>194</v>
      </c>
    </row>
    <row r="50" spans="1:19" ht="16.5" thickTop="1" thickBot="1" x14ac:dyDescent="0.3">
      <c r="A50" s="55" t="s">
        <v>38</v>
      </c>
      <c r="B50" s="194">
        <f t="shared" ref="B50:S50" si="31">B34</f>
        <v>2018</v>
      </c>
      <c r="C50" s="194">
        <f t="shared" si="31"/>
        <v>2019</v>
      </c>
      <c r="D50" s="194">
        <f t="shared" si="31"/>
        <v>2020</v>
      </c>
      <c r="E50" s="194">
        <f t="shared" si="31"/>
        <v>2021</v>
      </c>
      <c r="F50" s="194">
        <f t="shared" si="31"/>
        <v>2022</v>
      </c>
      <c r="G50" s="194">
        <f t="shared" si="31"/>
        <v>2023</v>
      </c>
      <c r="H50" s="194">
        <f t="shared" si="31"/>
        <v>2024</v>
      </c>
      <c r="I50" s="194">
        <f t="shared" si="31"/>
        <v>2025</v>
      </c>
      <c r="J50" s="194">
        <f t="shared" si="31"/>
        <v>2026</v>
      </c>
      <c r="K50" s="194">
        <f t="shared" si="31"/>
        <v>2027</v>
      </c>
      <c r="L50" s="194">
        <f t="shared" si="31"/>
        <v>2028</v>
      </c>
      <c r="M50" s="194">
        <f t="shared" si="31"/>
        <v>2029</v>
      </c>
      <c r="N50" s="194">
        <f t="shared" si="31"/>
        <v>2030</v>
      </c>
      <c r="O50" s="194">
        <f t="shared" si="31"/>
        <v>2031</v>
      </c>
      <c r="P50" s="194">
        <f t="shared" si="31"/>
        <v>2032</v>
      </c>
      <c r="Q50" s="194">
        <f t="shared" si="31"/>
        <v>2033</v>
      </c>
      <c r="R50" s="194">
        <f t="shared" si="31"/>
        <v>2034</v>
      </c>
      <c r="S50" s="194">
        <f t="shared" si="31"/>
        <v>2035</v>
      </c>
    </row>
    <row r="51" spans="1:19" x14ac:dyDescent="0.25">
      <c r="A51" s="205" t="s">
        <v>133</v>
      </c>
      <c r="B51" s="206">
        <f>monthly_data!$AG47/1000</f>
        <v>0.35494999999999999</v>
      </c>
      <c r="C51" s="206">
        <f>monthly_data!$AG59/1000</f>
        <v>0.10319</v>
      </c>
      <c r="D51" s="206">
        <f>monthly_data!$AG71/1000</f>
        <v>0.15928</v>
      </c>
      <c r="E51" s="206">
        <f>monthly_data!$AG83/1000</f>
        <v>9.5739999999999992E-2</v>
      </c>
      <c r="F51" s="206">
        <f>monthly_data!$AG95/1000</f>
        <v>0.15887999999999999</v>
      </c>
      <c r="G51" s="206">
        <f>monthly_data!$AG107/1000</f>
        <v>0.14635000000000001</v>
      </c>
      <c r="H51" s="206">
        <f>monthly_data!$AG119/1000</f>
        <v>3.2320000000000002E-2</v>
      </c>
      <c r="I51" s="202">
        <f t="shared" ref="I51:S51" si="32">I$63*(SUM(D51:H51)/SUM(D$47:H$47))</f>
        <v>9.6359880583151512E-3</v>
      </c>
      <c r="J51" s="202">
        <f t="shared" si="32"/>
        <v>7.126108601673984E-3</v>
      </c>
      <c r="K51" s="202">
        <f t="shared" si="32"/>
        <v>5.7685626294237636E-3</v>
      </c>
      <c r="L51" s="202">
        <f t="shared" si="32"/>
        <v>3.3270082784593105E-3</v>
      </c>
      <c r="M51" s="202">
        <f t="shared" si="32"/>
        <v>9.7195546414191266E-4</v>
      </c>
      <c r="N51" s="202">
        <f t="shared" si="32"/>
        <v>4.4716038386690207E-4</v>
      </c>
      <c r="O51" s="202">
        <f t="shared" si="32"/>
        <v>2.940132559594312E-4</v>
      </c>
      <c r="P51" s="202">
        <f t="shared" si="32"/>
        <v>1.8014500019752203E-4</v>
      </c>
      <c r="Q51" s="202">
        <f t="shared" si="32"/>
        <v>8.7004706377084628E-5</v>
      </c>
      <c r="R51" s="202">
        <f t="shared" si="32"/>
        <v>3.3004646842380878E-5</v>
      </c>
      <c r="S51" s="202">
        <f t="shared" si="32"/>
        <v>1.7355466554055351E-5</v>
      </c>
    </row>
    <row r="52" spans="1:19" x14ac:dyDescent="0.25">
      <c r="A52" s="205" t="s">
        <v>134</v>
      </c>
      <c r="B52" s="206">
        <f>monthly_data!$AG48/1000</f>
        <v>0.13153999999999999</v>
      </c>
      <c r="C52" s="206">
        <f>monthly_data!$AG60/1000</f>
        <v>0.12615999999999999</v>
      </c>
      <c r="D52" s="206">
        <f>monthly_data!$AG72/1000</f>
        <v>0.12755</v>
      </c>
      <c r="E52" s="206">
        <f>monthly_data!$AG84/1000</f>
        <v>0.10527</v>
      </c>
      <c r="F52" s="206">
        <f>monthly_data!$AG96/1000</f>
        <v>0.10958</v>
      </c>
      <c r="G52" s="206">
        <f>monthly_data!$AG108/1000</f>
        <v>0.12659000000000001</v>
      </c>
      <c r="H52" s="206">
        <f>monthly_data!$AG120/1000</f>
        <v>5.636E-2</v>
      </c>
      <c r="I52" s="202">
        <f t="shared" ref="I52:S62" si="33">I$63*(SUM(D52:H52)/SUM(D$47:H$47))</f>
        <v>8.5429001239277456E-3</v>
      </c>
      <c r="J52" s="202">
        <f t="shared" si="33"/>
        <v>6.5375338405770783E-3</v>
      </c>
      <c r="K52" s="202">
        <f t="shared" si="33"/>
        <v>5.0082118858372346E-3</v>
      </c>
      <c r="L52" s="202">
        <f t="shared" si="33"/>
        <v>3.3574008056284797E-3</v>
      </c>
      <c r="M52" s="202">
        <f t="shared" si="33"/>
        <v>1.3332937940205558E-3</v>
      </c>
      <c r="N52" s="202">
        <f t="shared" si="33"/>
        <v>4.129890074998516E-4</v>
      </c>
      <c r="O52" s="202">
        <f t="shared" si="33"/>
        <v>2.7749048889272001E-4</v>
      </c>
      <c r="P52" s="202">
        <f t="shared" si="33"/>
        <v>1.7315643303131403E-4</v>
      </c>
      <c r="Q52" s="202">
        <f t="shared" si="33"/>
        <v>9.257217548454868E-5</v>
      </c>
      <c r="R52" s="202">
        <f t="shared" si="33"/>
        <v>3.8158364982149839E-5</v>
      </c>
      <c r="S52" s="202">
        <f t="shared" si="33"/>
        <v>1.6572774498176404E-5</v>
      </c>
    </row>
    <row r="53" spans="1:19" x14ac:dyDescent="0.25">
      <c r="A53" s="205" t="s">
        <v>135</v>
      </c>
      <c r="B53" s="206">
        <f>monthly_data!$AG49/1000</f>
        <v>8.4330000000000002E-2</v>
      </c>
      <c r="C53" s="206">
        <f>monthly_data!$AG61/1000</f>
        <v>7.1510000000000004E-2</v>
      </c>
      <c r="D53" s="206">
        <f>monthly_data!$AG73/1000</f>
        <v>0.11342000000000001</v>
      </c>
      <c r="E53" s="206">
        <f>monthly_data!$AG85/1000</f>
        <v>9.9260000000000001E-2</v>
      </c>
      <c r="F53" s="206">
        <f>monthly_data!$AG97/1000</f>
        <v>0.15862999999999999</v>
      </c>
      <c r="G53" s="206">
        <f>monthly_data!$AG109/1000</f>
        <v>7.8689999999999996E-2</v>
      </c>
      <c r="H53" s="206">
        <f>monthly_data!$AG121/1000</f>
        <v>7.2760000000000005E-2</v>
      </c>
      <c r="I53" s="202">
        <f t="shared" si="33"/>
        <v>8.5007832279137118E-3</v>
      </c>
      <c r="J53" s="202">
        <f t="shared" si="33"/>
        <v>6.7225199689538327E-3</v>
      </c>
      <c r="K53" s="202">
        <f t="shared" si="33"/>
        <v>5.2962698585206558E-3</v>
      </c>
      <c r="L53" s="202">
        <f t="shared" si="33"/>
        <v>2.8436496938879356E-3</v>
      </c>
      <c r="M53" s="202">
        <f t="shared" si="33"/>
        <v>1.6058995743184993E-3</v>
      </c>
      <c r="N53" s="202">
        <f t="shared" si="33"/>
        <v>4.1615203872657727E-4</v>
      </c>
      <c r="O53" s="202">
        <f t="shared" si="33"/>
        <v>2.8140818557345832E-4</v>
      </c>
      <c r="P53" s="202">
        <f t="shared" si="33"/>
        <v>1.7405632251711877E-4</v>
      </c>
      <c r="Q53" s="202">
        <f t="shared" si="33"/>
        <v>8.8686096917059811E-5</v>
      </c>
      <c r="R53" s="202">
        <f t="shared" si="33"/>
        <v>4.2770036967545221E-5</v>
      </c>
      <c r="S53" s="202">
        <f t="shared" si="33"/>
        <v>1.6717878011695991E-5</v>
      </c>
    </row>
    <row r="54" spans="1:19" x14ac:dyDescent="0.25">
      <c r="A54" s="205" t="s">
        <v>136</v>
      </c>
      <c r="B54" s="206">
        <f>monthly_data!$AG50/1000</f>
        <v>6.2960000000000002E-2</v>
      </c>
      <c r="C54" s="206">
        <f>monthly_data!$AG62/1000</f>
        <v>6.9629999999999997E-2</v>
      </c>
      <c r="D54" s="206">
        <f>monthly_data!$AG74/1000</f>
        <v>0.29052999999999995</v>
      </c>
      <c r="E54" s="206">
        <f>monthly_data!$AG86/1000</f>
        <v>0.11226999999999999</v>
      </c>
      <c r="F54" s="206">
        <f>monthly_data!$AG98/1000</f>
        <v>0.17899999999999999</v>
      </c>
      <c r="G54" s="206">
        <f>monthly_data!$AG110/1000</f>
        <v>8.1459999999999991E-2</v>
      </c>
      <c r="H54" s="206">
        <f>monthly_data!$AG122/1000</f>
        <v>9.9519999999999997E-2</v>
      </c>
      <c r="I54" s="202">
        <f t="shared" si="33"/>
        <v>1.2403832409878376E-2</v>
      </c>
      <c r="J54" s="202">
        <f t="shared" si="33"/>
        <v>7.7974558664089628E-3</v>
      </c>
      <c r="K54" s="202">
        <f t="shared" si="33"/>
        <v>6.1897394772308665E-3</v>
      </c>
      <c r="L54" s="202">
        <f t="shared" si="33"/>
        <v>3.4290400860772629E-3</v>
      </c>
      <c r="M54" s="202">
        <f t="shared" si="33"/>
        <v>2.1608426553457014E-3</v>
      </c>
      <c r="N54" s="202">
        <f t="shared" si="33"/>
        <v>5.3301517491568617E-4</v>
      </c>
      <c r="O54" s="202">
        <f t="shared" si="33"/>
        <v>3.3516822099964133E-4</v>
      </c>
      <c r="P54" s="202">
        <f t="shared" si="33"/>
        <v>2.1079676024281929E-4</v>
      </c>
      <c r="Q54" s="202">
        <f t="shared" si="33"/>
        <v>1.1114771495968519E-4</v>
      </c>
      <c r="R54" s="202">
        <f t="shared" si="33"/>
        <v>5.5849508774392218E-5</v>
      </c>
      <c r="S54" s="202">
        <f t="shared" si="33"/>
        <v>2.0766289664870402E-5</v>
      </c>
    </row>
    <row r="55" spans="1:19" x14ac:dyDescent="0.25">
      <c r="A55" s="205" t="s">
        <v>93</v>
      </c>
      <c r="B55" s="206">
        <f>monthly_data!$AG51/1000</f>
        <v>7.9250000000000001E-2</v>
      </c>
      <c r="C55" s="206">
        <f>monthly_data!$AG63/1000</f>
        <v>0.11155</v>
      </c>
      <c r="D55" s="206">
        <f>monthly_data!$AG75/1000</f>
        <v>0.30768000000000001</v>
      </c>
      <c r="E55" s="206">
        <f>monthly_data!$AG87/1000</f>
        <v>0.16458</v>
      </c>
      <c r="F55" s="206">
        <f>monthly_data!$AG99/1000</f>
        <v>0.23734</v>
      </c>
      <c r="G55" s="206">
        <f>monthly_data!$AG111/1000</f>
        <v>0.12927000000000002</v>
      </c>
      <c r="H55" s="206">
        <f>monthly_data!$AG123/1000</f>
        <v>0.19671</v>
      </c>
      <c r="I55" s="202">
        <f t="shared" si="33"/>
        <v>1.6839928638692481E-2</v>
      </c>
      <c r="J55" s="202">
        <f t="shared" si="33"/>
        <v>1.1981906130067782E-2</v>
      </c>
      <c r="K55" s="202">
        <f t="shared" si="33"/>
        <v>9.6406735518359248E-3</v>
      </c>
      <c r="L55" s="202">
        <f t="shared" si="33"/>
        <v>6.0263383156264902E-3</v>
      </c>
      <c r="M55" s="202">
        <f t="shared" si="33"/>
        <v>4.0296310720828376E-3</v>
      </c>
      <c r="N55" s="202">
        <f t="shared" si="33"/>
        <v>8.0864129513842523E-4</v>
      </c>
      <c r="O55" s="202">
        <f t="shared" si="33"/>
        <v>5.4145317274585767E-4</v>
      </c>
      <c r="P55" s="202">
        <f t="shared" si="33"/>
        <v>3.5077895679049232E-4</v>
      </c>
      <c r="Q55" s="202">
        <f t="shared" si="33"/>
        <v>1.9594738020640171E-4</v>
      </c>
      <c r="R55" s="202">
        <f t="shared" si="33"/>
        <v>9.8774197949400252E-5</v>
      </c>
      <c r="S55" s="202">
        <f t="shared" si="33"/>
        <v>3.3259916713842953E-5</v>
      </c>
    </row>
    <row r="56" spans="1:19" x14ac:dyDescent="0.25">
      <c r="A56" s="205" t="s">
        <v>137</v>
      </c>
      <c r="B56" s="206">
        <f>monthly_data!$AG52/1000</f>
        <v>6.83E-2</v>
      </c>
      <c r="C56" s="206">
        <f>monthly_data!$AG64/1000</f>
        <v>6.9870000000000002E-2</v>
      </c>
      <c r="D56" s="206">
        <f>monthly_data!$AG76/1000</f>
        <v>0.19338999999999998</v>
      </c>
      <c r="E56" s="206">
        <f>monthly_data!$AG88/1000</f>
        <v>0.15214</v>
      </c>
      <c r="F56" s="206">
        <f>monthly_data!$AG100/1000</f>
        <v>0.16933000000000001</v>
      </c>
      <c r="G56" s="206">
        <f>monthly_data!$AG112/1000</f>
        <v>0.10178</v>
      </c>
      <c r="H56" s="206">
        <f>monthly_data!$AG124/1000</f>
        <v>6.1189999999999994E-2</v>
      </c>
      <c r="I56" s="202">
        <f t="shared" si="33"/>
        <v>1.1022430743317681E-2</v>
      </c>
      <c r="J56" s="202">
        <f t="shared" si="33"/>
        <v>7.9713522907159072E-3</v>
      </c>
      <c r="K56" s="202">
        <f t="shared" si="33"/>
        <v>5.7194214023793015E-3</v>
      </c>
      <c r="L56" s="202">
        <f t="shared" si="33"/>
        <v>3.1034867236171822E-3</v>
      </c>
      <c r="M56" s="202">
        <f t="shared" si="33"/>
        <v>1.4870059841649121E-3</v>
      </c>
      <c r="N56" s="202">
        <f t="shared" si="33"/>
        <v>4.8839495240324976E-4</v>
      </c>
      <c r="O56" s="202">
        <f t="shared" si="33"/>
        <v>3.1282768922134255E-4</v>
      </c>
      <c r="P56" s="202">
        <f t="shared" si="33"/>
        <v>1.8518561252976647E-4</v>
      </c>
      <c r="Q56" s="202">
        <f t="shared" si="33"/>
        <v>9.2948349365607535E-5</v>
      </c>
      <c r="R56" s="202">
        <f t="shared" si="33"/>
        <v>4.2772709794747978E-5</v>
      </c>
      <c r="S56" s="202">
        <f t="shared" si="33"/>
        <v>1.8702155221911904E-5</v>
      </c>
    </row>
    <row r="57" spans="1:19" x14ac:dyDescent="0.25">
      <c r="A57" s="205" t="s">
        <v>138</v>
      </c>
      <c r="B57" s="206">
        <f>monthly_data!$AG53/1000</f>
        <v>0.10812999999999999</v>
      </c>
      <c r="C57" s="206">
        <f>monthly_data!$AG65/1000</f>
        <v>9.7619999999999998E-2</v>
      </c>
      <c r="D57" s="206">
        <f>monthly_data!$AG77/1000</f>
        <v>0.25938</v>
      </c>
      <c r="E57" s="206">
        <f>monthly_data!$AG89/1000</f>
        <v>0.17088999999999999</v>
      </c>
      <c r="F57" s="206">
        <f>monthly_data!$AG101/1000</f>
        <v>0.18581</v>
      </c>
      <c r="G57" s="206">
        <f>monthly_data!$AG113/1000</f>
        <v>0.13900999999999999</v>
      </c>
      <c r="H57" s="206">
        <f>monthly_data!$AG125/1000</f>
        <v>0.10881</v>
      </c>
      <c r="I57" s="202">
        <f t="shared" si="33"/>
        <v>1.4048180102905072E-2</v>
      </c>
      <c r="J57" s="202">
        <f t="shared" si="33"/>
        <v>9.9519652217218372E-3</v>
      </c>
      <c r="K57" s="202">
        <f t="shared" si="33"/>
        <v>7.4506859328337376E-3</v>
      </c>
      <c r="L57" s="202">
        <f t="shared" si="33"/>
        <v>4.6179588616023764E-3</v>
      </c>
      <c r="M57" s="202">
        <f t="shared" si="33"/>
        <v>2.4204430597052008E-3</v>
      </c>
      <c r="N57" s="202">
        <f t="shared" si="33"/>
        <v>6.4148721964613715E-4</v>
      </c>
      <c r="O57" s="202">
        <f t="shared" si="33"/>
        <v>4.180423382584882E-4</v>
      </c>
      <c r="P57" s="202">
        <f t="shared" si="33"/>
        <v>2.5914362353409901E-4</v>
      </c>
      <c r="Q57" s="202">
        <f t="shared" si="33"/>
        <v>1.3928458504577169E-4</v>
      </c>
      <c r="R57" s="202">
        <f t="shared" si="33"/>
        <v>6.4640013769828273E-5</v>
      </c>
      <c r="S57" s="202">
        <f t="shared" si="33"/>
        <v>2.5376629670905405E-5</v>
      </c>
    </row>
    <row r="58" spans="1:19" x14ac:dyDescent="0.25">
      <c r="A58" s="205" t="s">
        <v>139</v>
      </c>
      <c r="B58" s="206">
        <f>monthly_data!$AG54/1000</f>
        <v>0.15339</v>
      </c>
      <c r="C58" s="206">
        <f>monthly_data!$AG66/1000</f>
        <v>0.13697000000000001</v>
      </c>
      <c r="D58" s="206">
        <f>monthly_data!$AG78/1000</f>
        <v>0.17979000000000001</v>
      </c>
      <c r="E58" s="206">
        <f>monthly_data!$AG90/1000</f>
        <v>0.14724000000000001</v>
      </c>
      <c r="F58" s="206">
        <f>monthly_data!$AG102/1000</f>
        <v>0.22794</v>
      </c>
      <c r="G58" s="206">
        <f>monthly_data!$AG114/1000</f>
        <v>7.9810000000000006E-2</v>
      </c>
      <c r="H58" s="206">
        <f>monthly_data!$AG126/1000</f>
        <v>7.3150000000000007E-2</v>
      </c>
      <c r="I58" s="202">
        <f t="shared" si="33"/>
        <v>1.1511897372669975E-2</v>
      </c>
      <c r="J58" s="202">
        <f t="shared" si="33"/>
        <v>8.6823038870113903E-3</v>
      </c>
      <c r="K58" s="202">
        <f t="shared" si="33"/>
        <v>6.5302230493290737E-3</v>
      </c>
      <c r="L58" s="202">
        <f t="shared" si="33"/>
        <v>2.971220717156615E-3</v>
      </c>
      <c r="M58" s="202">
        <f t="shared" si="33"/>
        <v>1.7182089077353256E-3</v>
      </c>
      <c r="N58" s="202">
        <f t="shared" si="33"/>
        <v>5.2356423223170632E-4</v>
      </c>
      <c r="O58" s="202">
        <f t="shared" si="33"/>
        <v>3.4042534655773519E-4</v>
      </c>
      <c r="P58" s="202">
        <f t="shared" si="33"/>
        <v>2.0139403755017429E-4</v>
      </c>
      <c r="Q58" s="202">
        <f t="shared" si="33"/>
        <v>9.5913554020525936E-5</v>
      </c>
      <c r="R58" s="202">
        <f t="shared" si="33"/>
        <v>4.7991767968257795E-5</v>
      </c>
      <c r="S58" s="202">
        <f t="shared" si="33"/>
        <v>2.0154815638806658E-5</v>
      </c>
    </row>
    <row r="59" spans="1:19" x14ac:dyDescent="0.25">
      <c r="A59" s="205" t="s">
        <v>140</v>
      </c>
      <c r="B59" s="206">
        <f>monthly_data!$AG55/1000</f>
        <v>0.10836</v>
      </c>
      <c r="C59" s="206">
        <f>monthly_data!$AG67/1000</f>
        <v>0.17951</v>
      </c>
      <c r="D59" s="206">
        <f>monthly_data!$AG79/1000</f>
        <v>0.11556999999999999</v>
      </c>
      <c r="E59" s="206">
        <f>monthly_data!$AG91/1000</f>
        <v>9.784000000000001E-2</v>
      </c>
      <c r="F59" s="206">
        <f>monthly_data!$AG103/1000</f>
        <v>0.22518000000000002</v>
      </c>
      <c r="G59" s="206">
        <f>monthly_data!$AG115/1000</f>
        <v>7.2520000000000001E-2</v>
      </c>
      <c r="H59" s="206">
        <f>monthly_data!$AG127/1000</f>
        <v>8.1769999999999995E-2</v>
      </c>
      <c r="I59" s="202">
        <f t="shared" si="33"/>
        <v>9.6410290767569868E-3</v>
      </c>
      <c r="J59" s="202">
        <f t="shared" si="33"/>
        <v>7.8344148016914542E-3</v>
      </c>
      <c r="K59" s="202">
        <f t="shared" si="33"/>
        <v>6.4626770439470092E-3</v>
      </c>
      <c r="L59" s="202">
        <f t="shared" si="33"/>
        <v>2.9471396160293713E-3</v>
      </c>
      <c r="M59" s="202">
        <f t="shared" si="33"/>
        <v>1.8152682739451334E-3</v>
      </c>
      <c r="N59" s="202">
        <f t="shared" si="33"/>
        <v>4.7834214687283251E-4</v>
      </c>
      <c r="O59" s="202">
        <f t="shared" si="33"/>
        <v>3.2563069804142998E-4</v>
      </c>
      <c r="P59" s="202">
        <f t="shared" si="33"/>
        <v>2.0048429631392962E-4</v>
      </c>
      <c r="Q59" s="202">
        <f t="shared" si="33"/>
        <v>9.6114417186711604E-5</v>
      </c>
      <c r="R59" s="202">
        <f t="shared" si="33"/>
        <v>4.8597330539333943E-5</v>
      </c>
      <c r="S59" s="202">
        <f t="shared" si="33"/>
        <v>1.9152814815903964E-5</v>
      </c>
    </row>
    <row r="60" spans="1:19" x14ac:dyDescent="0.25">
      <c r="A60" s="205" t="s">
        <v>141</v>
      </c>
      <c r="B60" s="206">
        <f>monthly_data!$AG56/1000</f>
        <v>0.12806000000000001</v>
      </c>
      <c r="C60" s="206">
        <f>monthly_data!$AG68/1000</f>
        <v>0.23066</v>
      </c>
      <c r="D60" s="206">
        <f>monthly_data!$AG80/1000</f>
        <v>0.1331</v>
      </c>
      <c r="E60" s="206">
        <f>monthly_data!$AG92/1000</f>
        <v>0.10052999999999999</v>
      </c>
      <c r="F60" s="206">
        <f>monthly_data!$AG104/1000</f>
        <v>0.23601</v>
      </c>
      <c r="G60" s="206">
        <f>monthly_data!$AG116/1000</f>
        <v>6.8159999999999998E-2</v>
      </c>
      <c r="H60" s="206">
        <f>monthly_data!$AG128/1000</f>
        <v>5.9270000000000003E-2</v>
      </c>
      <c r="I60" s="202">
        <f t="shared" si="33"/>
        <v>9.7091641324708114E-3</v>
      </c>
      <c r="J60" s="202">
        <f t="shared" si="33"/>
        <v>7.620887590623222E-3</v>
      </c>
      <c r="K60" s="202">
        <f t="shared" si="33"/>
        <v>6.1993251471778891E-3</v>
      </c>
      <c r="L60" s="202">
        <f t="shared" si="33"/>
        <v>2.4962298748535034E-3</v>
      </c>
      <c r="M60" s="202">
        <f t="shared" si="33"/>
        <v>1.4250060978554379E-3</v>
      </c>
      <c r="N60" s="202">
        <f t="shared" si="33"/>
        <v>4.5751021404968114E-4</v>
      </c>
      <c r="O60" s="202">
        <f t="shared" si="33"/>
        <v>3.0331598207599558E-4</v>
      </c>
      <c r="P60" s="202">
        <f t="shared" si="33"/>
        <v>1.8135645526687512E-4</v>
      </c>
      <c r="Q60" s="202">
        <f t="shared" si="33"/>
        <v>8.1056977068358219E-5</v>
      </c>
      <c r="R60" s="202">
        <f t="shared" si="33"/>
        <v>4.0804095438605801E-5</v>
      </c>
      <c r="S60" s="202">
        <f t="shared" si="33"/>
        <v>1.773406206499193E-5</v>
      </c>
    </row>
    <row r="61" spans="1:19" x14ac:dyDescent="0.25">
      <c r="A61" s="205" t="s">
        <v>142</v>
      </c>
      <c r="B61" s="206">
        <f>monthly_data!$AG57/1000</f>
        <v>0.18453999999999998</v>
      </c>
      <c r="C61" s="206">
        <f>monthly_data!$AG69/1000</f>
        <v>0.18533000000000002</v>
      </c>
      <c r="D61" s="206">
        <f>monthly_data!$AG81/1000</f>
        <v>0.20096</v>
      </c>
      <c r="E61" s="206">
        <f>monthly_data!$AG93/1000</f>
        <v>0.16224</v>
      </c>
      <c r="F61" s="206">
        <f>monthly_data!$AG105/1000</f>
        <v>0.27111000000000002</v>
      </c>
      <c r="G61" s="206">
        <f>monthly_data!$AG117/1000</f>
        <v>0.11813</v>
      </c>
      <c r="H61" s="206">
        <f>monthly_data!$AG129/1000</f>
        <v>6.7239999999999994E-2</v>
      </c>
      <c r="I61" s="202">
        <f t="shared" si="33"/>
        <v>1.3329103214202139E-2</v>
      </c>
      <c r="J61" s="202">
        <f t="shared" si="33"/>
        <v>1.016885590940321E-2</v>
      </c>
      <c r="K61" s="202">
        <f t="shared" si="33"/>
        <v>7.8145311550131512E-3</v>
      </c>
      <c r="L61" s="202">
        <f t="shared" si="33"/>
        <v>3.5830123097020917E-3</v>
      </c>
      <c r="M61" s="202">
        <f t="shared" si="33"/>
        <v>1.706344787848108E-3</v>
      </c>
      <c r="N61" s="202">
        <f t="shared" si="33"/>
        <v>6.1003078960281164E-4</v>
      </c>
      <c r="O61" s="202">
        <f t="shared" si="33"/>
        <v>3.9804624919282283E-4</v>
      </c>
      <c r="P61" s="202">
        <f t="shared" si="33"/>
        <v>2.3519942152264977E-4</v>
      </c>
      <c r="Q61" s="202">
        <f t="shared" si="33"/>
        <v>1.0887722596447472E-4</v>
      </c>
      <c r="R61" s="202">
        <f t="shared" si="33"/>
        <v>5.0974974568847779E-5</v>
      </c>
      <c r="S61" s="202">
        <f t="shared" si="33"/>
        <v>2.3385477680860111E-5</v>
      </c>
    </row>
    <row r="62" spans="1:19" x14ac:dyDescent="0.25">
      <c r="A62" s="205" t="s">
        <v>143</v>
      </c>
      <c r="B62" s="206">
        <f>monthly_data!$AG58/1000</f>
        <v>0.12375</v>
      </c>
      <c r="C62" s="206">
        <f>monthly_data!$AG70/1000</f>
        <v>0.18358000000000002</v>
      </c>
      <c r="D62" s="206">
        <f>monthly_data!$AG82/1000</f>
        <v>0.16841</v>
      </c>
      <c r="E62" s="206">
        <f>monthly_data!$AG94/1000</f>
        <v>0.1673</v>
      </c>
      <c r="F62" s="206">
        <f>monthly_data!$AG106/1000</f>
        <v>0.32364999999999999</v>
      </c>
      <c r="G62" s="206">
        <f>monthly_data!$AG118/1000</f>
        <v>2.8219999999999999E-2</v>
      </c>
      <c r="H62" s="206">
        <f>monthly_data!$AG130/1000</f>
        <v>0.18522</v>
      </c>
      <c r="I62" s="202">
        <f t="shared" si="33"/>
        <v>1.4192906116235152E-2</v>
      </c>
      <c r="J62" s="202">
        <f t="shared" si="33"/>
        <v>1.1561073331322811E-2</v>
      </c>
      <c r="K62" s="202">
        <f t="shared" si="33"/>
        <v>9.163674558797491E-3</v>
      </c>
      <c r="L62" s="202">
        <f t="shared" si="33"/>
        <v>4.1067856030696254E-3</v>
      </c>
      <c r="M62" s="202">
        <f t="shared" si="33"/>
        <v>3.7463792808047312E-3</v>
      </c>
      <c r="N62" s="202">
        <f t="shared" si="33"/>
        <v>7.1284698150383019E-4</v>
      </c>
      <c r="O62" s="202">
        <f t="shared" si="33"/>
        <v>4.8817932925830816E-4</v>
      </c>
      <c r="P62" s="202">
        <f t="shared" si="33"/>
        <v>3.0363109589056649E-4</v>
      </c>
      <c r="Q62" s="202">
        <f t="shared" si="33"/>
        <v>1.5596370484211771E-4</v>
      </c>
      <c r="R62" s="202">
        <f t="shared" si="33"/>
        <v>9.0116673204992568E-5</v>
      </c>
      <c r="S62" s="202">
        <f t="shared" si="33"/>
        <v>2.9178963078330248E-5</v>
      </c>
    </row>
    <row r="63" spans="1:19" x14ac:dyDescent="0.25">
      <c r="A63" s="205" t="s">
        <v>144</v>
      </c>
      <c r="B63" s="123">
        <f t="shared" ref="B63:H63" si="34">SUM(B51:B62)</f>
        <v>1.5875600000000001</v>
      </c>
      <c r="C63" s="123">
        <f t="shared" si="34"/>
        <v>1.5655800000000002</v>
      </c>
      <c r="D63" s="123">
        <f t="shared" si="34"/>
        <v>2.2490600000000001</v>
      </c>
      <c r="E63" s="123">
        <f t="shared" si="34"/>
        <v>1.5752999999999999</v>
      </c>
      <c r="F63" s="123">
        <f t="shared" si="34"/>
        <v>2.4824600000000006</v>
      </c>
      <c r="G63" s="123">
        <f t="shared" si="34"/>
        <v>1.1699899999999999</v>
      </c>
      <c r="H63" s="123">
        <f t="shared" si="34"/>
        <v>1.09432</v>
      </c>
      <c r="I63" s="207">
        <f t="shared" ref="I63:S63" si="35">I9</f>
        <v>1</v>
      </c>
      <c r="J63" s="207">
        <f t="shared" si="35"/>
        <v>1</v>
      </c>
      <c r="K63" s="207">
        <f t="shared" si="35"/>
        <v>1</v>
      </c>
      <c r="L63" s="207">
        <f t="shared" si="35"/>
        <v>1</v>
      </c>
      <c r="M63" s="207">
        <f t="shared" si="35"/>
        <v>1</v>
      </c>
      <c r="N63" s="207">
        <f t="shared" si="35"/>
        <v>1</v>
      </c>
      <c r="O63" s="207">
        <f t="shared" si="35"/>
        <v>1</v>
      </c>
      <c r="P63" s="207">
        <f t="shared" si="35"/>
        <v>1</v>
      </c>
      <c r="Q63" s="207">
        <f t="shared" si="35"/>
        <v>1</v>
      </c>
      <c r="R63" s="207">
        <f t="shared" si="35"/>
        <v>1</v>
      </c>
      <c r="S63" s="207">
        <f t="shared" si="35"/>
        <v>1</v>
      </c>
    </row>
    <row r="64" spans="1:19" x14ac:dyDescent="0.25">
      <c r="A64" s="205"/>
      <c r="B64" s="123"/>
      <c r="C64" s="123"/>
      <c r="D64" s="123"/>
      <c r="E64" s="123"/>
      <c r="F64" s="123"/>
      <c r="G64" s="123"/>
      <c r="H64" s="207"/>
      <c r="I64" s="207"/>
      <c r="J64" s="207"/>
      <c r="K64" s="207"/>
      <c r="L64" s="207"/>
      <c r="M64" s="207"/>
      <c r="N64" s="207"/>
      <c r="O64" s="207"/>
      <c r="P64" s="207"/>
      <c r="Q64" s="207"/>
      <c r="R64" s="207"/>
      <c r="S64" s="207"/>
    </row>
    <row r="65" spans="1:19" s="172" customFormat="1" ht="15.75" thickBot="1" x14ac:dyDescent="0.3">
      <c r="A65" s="190" t="s">
        <v>195</v>
      </c>
      <c r="B65" s="189"/>
      <c r="C65" s="189"/>
      <c r="D65" s="189"/>
      <c r="E65" s="189"/>
      <c r="F65" s="189"/>
      <c r="G65" s="192"/>
      <c r="H65" s="192"/>
      <c r="I65" s="192"/>
      <c r="J65" s="192"/>
      <c r="K65" s="192"/>
      <c r="L65" s="192"/>
      <c r="M65" s="193"/>
      <c r="N65" s="193"/>
      <c r="O65" s="193"/>
      <c r="P65" s="193"/>
      <c r="Q65" s="193"/>
      <c r="R65" s="193"/>
      <c r="S65" s="193"/>
    </row>
    <row r="66" spans="1:19" s="190" customFormat="1" ht="16.5" thickTop="1" thickBot="1" x14ac:dyDescent="0.3">
      <c r="A66" s="55" t="s">
        <v>38</v>
      </c>
      <c r="B66" s="194">
        <f t="shared" ref="B66:S66" si="36">B$2</f>
        <v>2018</v>
      </c>
      <c r="C66" s="194">
        <f t="shared" si="36"/>
        <v>2019</v>
      </c>
      <c r="D66" s="194">
        <f t="shared" si="36"/>
        <v>2020</v>
      </c>
      <c r="E66" s="194">
        <f t="shared" si="36"/>
        <v>2021</v>
      </c>
      <c r="F66" s="194">
        <f t="shared" si="36"/>
        <v>2022</v>
      </c>
      <c r="G66" s="194">
        <f t="shared" si="36"/>
        <v>2023</v>
      </c>
      <c r="H66" s="194">
        <f t="shared" si="36"/>
        <v>2024</v>
      </c>
      <c r="I66" s="194">
        <f t="shared" si="36"/>
        <v>2025</v>
      </c>
      <c r="J66" s="194">
        <f t="shared" si="36"/>
        <v>2026</v>
      </c>
      <c r="K66" s="194">
        <f t="shared" si="36"/>
        <v>2027</v>
      </c>
      <c r="L66" s="194">
        <f t="shared" si="36"/>
        <v>2028</v>
      </c>
      <c r="M66" s="194">
        <f t="shared" si="36"/>
        <v>2029</v>
      </c>
      <c r="N66" s="194">
        <f t="shared" si="36"/>
        <v>2030</v>
      </c>
      <c r="O66" s="194">
        <f t="shared" si="36"/>
        <v>2031</v>
      </c>
      <c r="P66" s="194">
        <f t="shared" si="36"/>
        <v>2032</v>
      </c>
      <c r="Q66" s="194">
        <f t="shared" si="36"/>
        <v>2033</v>
      </c>
      <c r="R66" s="194">
        <f t="shared" si="36"/>
        <v>2034</v>
      </c>
      <c r="S66" s="194">
        <f t="shared" si="36"/>
        <v>2035</v>
      </c>
    </row>
    <row r="67" spans="1:19" x14ac:dyDescent="0.25">
      <c r="A67" s="172" t="s">
        <v>133</v>
      </c>
      <c r="B67" s="208">
        <f>monthly_data!$AD47/1000</f>
        <v>2.1435900000000001</v>
      </c>
      <c r="C67" s="208">
        <f>monthly_data!$AD59/1000</f>
        <v>2.3081399999999999</v>
      </c>
      <c r="D67" s="208">
        <f>monthly_data!$AD71/1000</f>
        <v>2.1923300000000001</v>
      </c>
      <c r="E67" s="208">
        <f>monthly_data!$AD83/1000</f>
        <v>1.75928</v>
      </c>
      <c r="F67" s="208">
        <f>monthly_data!$AD95/1000</f>
        <v>1.9149400000000001</v>
      </c>
      <c r="G67" s="208">
        <f>monthly_data!$AD107/1000</f>
        <v>1.96593</v>
      </c>
      <c r="H67" s="208">
        <f>monthly_data!$AD119/1000</f>
        <v>1.93624</v>
      </c>
      <c r="I67" s="202">
        <f t="shared" ref="I67:S78" si="37">I$79*(SUM(D67:H67)/SUM(D$79:H$79))</f>
        <v>1.9311347379602981</v>
      </c>
      <c r="J67" s="202">
        <f t="shared" si="37"/>
        <v>1.9518201690294037</v>
      </c>
      <c r="K67" s="202">
        <f t="shared" si="37"/>
        <v>2.0772590238115578</v>
      </c>
      <c r="L67" s="202">
        <f t="shared" si="37"/>
        <v>2.1716986474317248</v>
      </c>
      <c r="M67" s="202">
        <f t="shared" si="37"/>
        <v>2.245381617412499</v>
      </c>
      <c r="N67" s="202">
        <f t="shared" si="37"/>
        <v>2.3060653768101074</v>
      </c>
      <c r="O67" s="202">
        <f t="shared" si="37"/>
        <v>2.3808497847811001</v>
      </c>
      <c r="P67" s="202">
        <f t="shared" si="37"/>
        <v>2.4675871890200254</v>
      </c>
      <c r="Q67" s="202">
        <f t="shared" si="37"/>
        <v>2.5457481754002003</v>
      </c>
      <c r="R67" s="202">
        <f t="shared" si="37"/>
        <v>2.6203322121058954</v>
      </c>
      <c r="S67" s="202">
        <f t="shared" si="37"/>
        <v>2.6951274739631654</v>
      </c>
    </row>
    <row r="68" spans="1:19" x14ac:dyDescent="0.25">
      <c r="A68" s="172" t="s">
        <v>134</v>
      </c>
      <c r="B68" s="208">
        <f>monthly_data!$AD48/1000</f>
        <v>2.3984299999999998</v>
      </c>
      <c r="C68" s="208">
        <f>monthly_data!$AD60/1000</f>
        <v>2.2933699999999999</v>
      </c>
      <c r="D68" s="208">
        <f>monthly_data!$AD72/1000</f>
        <v>2.19177</v>
      </c>
      <c r="E68" s="208">
        <f>monthly_data!$AD84/1000</f>
        <v>1.84076</v>
      </c>
      <c r="F68" s="208">
        <f>monthly_data!$AD96/1000</f>
        <v>2.1716599999999997</v>
      </c>
      <c r="G68" s="208">
        <f>monthly_data!$AD108/1000</f>
        <v>1.9439600000000001</v>
      </c>
      <c r="H68" s="208">
        <f>monthly_data!$AD120/1000</f>
        <v>2.0740700000000003</v>
      </c>
      <c r="I68" s="202">
        <f t="shared" si="37"/>
        <v>2.0207851326553037</v>
      </c>
      <c r="J68" s="202">
        <f t="shared" si="37"/>
        <v>2.0634396434694273</v>
      </c>
      <c r="K68" s="202">
        <f t="shared" si="37"/>
        <v>2.2001483890275435</v>
      </c>
      <c r="L68" s="202">
        <f t="shared" si="37"/>
        <v>2.2685909589447286</v>
      </c>
      <c r="M68" s="202">
        <f t="shared" si="37"/>
        <v>2.3700223933287488</v>
      </c>
      <c r="N68" s="202">
        <f t="shared" si="37"/>
        <v>2.4273303372057229</v>
      </c>
      <c r="O68" s="202">
        <f t="shared" si="37"/>
        <v>2.5086820241518661</v>
      </c>
      <c r="P68" s="202">
        <f t="shared" si="37"/>
        <v>2.5985708364487969</v>
      </c>
      <c r="Q68" s="202">
        <f t="shared" si="37"/>
        <v>2.67810324101757</v>
      </c>
      <c r="R68" s="202">
        <f t="shared" si="37"/>
        <v>2.7600780664076905</v>
      </c>
      <c r="S68" s="202">
        <f t="shared" si="37"/>
        <v>2.8377922355194225</v>
      </c>
    </row>
    <row r="69" spans="1:19" x14ac:dyDescent="0.25">
      <c r="A69" s="172" t="s">
        <v>135</v>
      </c>
      <c r="B69" s="208">
        <f>monthly_data!$AD49/1000</f>
        <v>2.1887500000000002</v>
      </c>
      <c r="C69" s="208">
        <f>monthly_data!$AD61/1000</f>
        <v>2.1831700000000001</v>
      </c>
      <c r="D69" s="208">
        <f>monthly_data!$AD73/1000</f>
        <v>2.38348</v>
      </c>
      <c r="E69" s="208">
        <f>monthly_data!$AD85/1000</f>
        <v>1.94736</v>
      </c>
      <c r="F69" s="208">
        <f>monthly_data!$AD97/1000</f>
        <v>2.2391099999999997</v>
      </c>
      <c r="G69" s="208">
        <f>monthly_data!$AD109/1000</f>
        <v>2.2217000000000002</v>
      </c>
      <c r="H69" s="208">
        <f>monthly_data!$AD121/1000</f>
        <v>1.90107</v>
      </c>
      <c r="I69" s="202">
        <f t="shared" si="37"/>
        <v>2.1137961816167157</v>
      </c>
      <c r="J69" s="202">
        <f t="shared" si="37"/>
        <v>2.1397674791816756</v>
      </c>
      <c r="K69" s="202">
        <f t="shared" si="37"/>
        <v>2.2732864519563227</v>
      </c>
      <c r="L69" s="202">
        <f t="shared" si="37"/>
        <v>2.3450481908639418</v>
      </c>
      <c r="M69" s="202">
        <f t="shared" si="37"/>
        <v>2.4025683764675545</v>
      </c>
      <c r="N69" s="202">
        <f t="shared" si="37"/>
        <v>2.5054370400191583</v>
      </c>
      <c r="O69" s="202">
        <f t="shared" si="37"/>
        <v>2.5832095263796302</v>
      </c>
      <c r="P69" s="202">
        <f t="shared" si="37"/>
        <v>2.6724523223584238</v>
      </c>
      <c r="Q69" s="202">
        <f t="shared" si="37"/>
        <v>2.7519174003395159</v>
      </c>
      <c r="R69" s="202">
        <f t="shared" si="37"/>
        <v>2.8330959911560361</v>
      </c>
      <c r="S69" s="202">
        <f t="shared" si="37"/>
        <v>2.9194620613052922</v>
      </c>
    </row>
    <row r="70" spans="1:19" x14ac:dyDescent="0.25">
      <c r="A70" s="172" t="s">
        <v>136</v>
      </c>
      <c r="B70" s="208">
        <f>monthly_data!$AD50/1000</f>
        <v>2.6354699999999998</v>
      </c>
      <c r="C70" s="208">
        <f>monthly_data!$AD62/1000</f>
        <v>2.6672099999999999</v>
      </c>
      <c r="D70" s="208">
        <f>monthly_data!$AD74/1000</f>
        <v>1.4755199999999999</v>
      </c>
      <c r="E70" s="208">
        <f>monthly_data!$AD86/1000</f>
        <v>2.2018499999999999</v>
      </c>
      <c r="F70" s="208">
        <f>monthly_data!$AD98/1000</f>
        <v>2.2198600000000002</v>
      </c>
      <c r="G70" s="208">
        <f>monthly_data!$AD110/1000</f>
        <v>1.9685899999999998</v>
      </c>
      <c r="H70" s="208">
        <f>monthly_data!$AD122/1000</f>
        <v>2.1050200000000001</v>
      </c>
      <c r="I70" s="202">
        <f t="shared" si="37"/>
        <v>1.9710909403324139</v>
      </c>
      <c r="J70" s="202">
        <f t="shared" si="37"/>
        <v>2.1486719765373401</v>
      </c>
      <c r="K70" s="202">
        <f t="shared" si="37"/>
        <v>2.2299832270227724</v>
      </c>
      <c r="L70" s="202">
        <f t="shared" si="37"/>
        <v>2.2952248257842349</v>
      </c>
      <c r="M70" s="202">
        <f t="shared" si="37"/>
        <v>2.3974440120075027</v>
      </c>
      <c r="N70" s="202">
        <f t="shared" si="37"/>
        <v>2.4538699959298365</v>
      </c>
      <c r="O70" s="202">
        <f t="shared" si="37"/>
        <v>2.5520072511123733</v>
      </c>
      <c r="P70" s="202">
        <f t="shared" si="37"/>
        <v>2.6325030205476896</v>
      </c>
      <c r="Q70" s="202">
        <f t="shared" si="37"/>
        <v>2.7128308031839596</v>
      </c>
      <c r="R70" s="202">
        <f t="shared" si="37"/>
        <v>2.7964791794488146</v>
      </c>
      <c r="S70" s="202">
        <f t="shared" si="37"/>
        <v>2.8760572422362101</v>
      </c>
    </row>
    <row r="71" spans="1:19" x14ac:dyDescent="0.25">
      <c r="A71" s="172" t="s">
        <v>93</v>
      </c>
      <c r="B71" s="208">
        <f>monthly_data!$AD51/1000</f>
        <v>2.5987100000000001</v>
      </c>
      <c r="C71" s="208">
        <f>monthly_data!$AD63/1000</f>
        <v>2.4635599999999998</v>
      </c>
      <c r="D71" s="208">
        <f>monthly_data!$AD75/1000</f>
        <v>1.30036</v>
      </c>
      <c r="E71" s="208">
        <f>monthly_data!$AD87/1000</f>
        <v>2.2827599999999997</v>
      </c>
      <c r="F71" s="208">
        <f>monthly_data!$AD99/1000</f>
        <v>2.1736599999999999</v>
      </c>
      <c r="G71" s="208">
        <f>monthly_data!$AD111/1000</f>
        <v>2.1503400000000004</v>
      </c>
      <c r="H71" s="208">
        <f>monthly_data!$AD123/1000</f>
        <v>2.1688100000000001</v>
      </c>
      <c r="I71" s="202">
        <f t="shared" si="37"/>
        <v>1.991865714265155</v>
      </c>
      <c r="J71" s="202">
        <f t="shared" si="37"/>
        <v>2.2104699987705687</v>
      </c>
      <c r="K71" s="202">
        <f t="shared" si="37"/>
        <v>2.2903545652951314</v>
      </c>
      <c r="L71" s="202">
        <f t="shared" si="37"/>
        <v>2.3807690993825821</v>
      </c>
      <c r="M71" s="202">
        <f t="shared" si="37"/>
        <v>2.4626274266878667</v>
      </c>
      <c r="N71" s="202">
        <f t="shared" si="37"/>
        <v>2.5191304009780677</v>
      </c>
      <c r="O71" s="202">
        <f t="shared" si="37"/>
        <v>2.6268849730324337</v>
      </c>
      <c r="P71" s="202">
        <f t="shared" si="37"/>
        <v>2.7100174268416177</v>
      </c>
      <c r="Q71" s="202">
        <f t="shared" si="37"/>
        <v>2.793874451922965</v>
      </c>
      <c r="R71" s="202">
        <f t="shared" si="37"/>
        <v>2.8762979296886475</v>
      </c>
      <c r="S71" s="202">
        <f t="shared" si="37"/>
        <v>2.9588573836639411</v>
      </c>
    </row>
    <row r="72" spans="1:19" x14ac:dyDescent="0.25">
      <c r="A72" s="172" t="s">
        <v>137</v>
      </c>
      <c r="B72" s="208">
        <f>monthly_data!$AD52/1000</f>
        <v>2.5828899999999999</v>
      </c>
      <c r="C72" s="208">
        <f>monthly_data!$AD64/1000</f>
        <v>2.3801900000000002</v>
      </c>
      <c r="D72" s="208">
        <f>monthly_data!$AD76/1000</f>
        <v>1.73889</v>
      </c>
      <c r="E72" s="208">
        <f>monthly_data!$AD88/1000</f>
        <v>2.3448500000000001</v>
      </c>
      <c r="F72" s="208">
        <f>monthly_data!$AD100/1000</f>
        <v>2.1060400000000001</v>
      </c>
      <c r="G72" s="208">
        <f>monthly_data!$AD112/1000</f>
        <v>2.3038999999999996</v>
      </c>
      <c r="H72" s="208">
        <f>monthly_data!$AD124/1000</f>
        <v>2.0699999999999998</v>
      </c>
      <c r="I72" s="202">
        <f t="shared" si="37"/>
        <v>2.0882868388792435</v>
      </c>
      <c r="J72" s="202">
        <f t="shared" si="37"/>
        <v>2.2403689779787883</v>
      </c>
      <c r="K72" s="202">
        <f t="shared" si="37"/>
        <v>2.3146497895206344</v>
      </c>
      <c r="L72" s="202">
        <f t="shared" si="37"/>
        <v>2.4259905801401827</v>
      </c>
      <c r="M72" s="202">
        <f t="shared" si="37"/>
        <v>2.4842661743324821</v>
      </c>
      <c r="N72" s="202">
        <f t="shared" si="37"/>
        <v>2.5674583024114068</v>
      </c>
      <c r="O72" s="202">
        <f t="shared" si="37"/>
        <v>2.6643910611134878</v>
      </c>
      <c r="P72" s="202">
        <f t="shared" si="37"/>
        <v>2.7490771657971185</v>
      </c>
      <c r="Q72" s="202">
        <f t="shared" si="37"/>
        <v>2.8360603224348289</v>
      </c>
      <c r="R72" s="202">
        <f t="shared" si="37"/>
        <v>2.9176942121744323</v>
      </c>
      <c r="S72" s="202">
        <f t="shared" si="37"/>
        <v>3.0044614827349658</v>
      </c>
    </row>
    <row r="73" spans="1:19" x14ac:dyDescent="0.25">
      <c r="A73" s="172" t="s">
        <v>138</v>
      </c>
      <c r="B73" s="208">
        <f>monthly_data!$AD53/1000</f>
        <v>2.6021300000000003</v>
      </c>
      <c r="C73" s="208">
        <f>monthly_data!$AD65/1000</f>
        <v>2.3901999999999997</v>
      </c>
      <c r="D73" s="208">
        <f>monthly_data!$AD77/1000</f>
        <v>2.30254</v>
      </c>
      <c r="E73" s="208">
        <f>monthly_data!$AD89/1000</f>
        <v>2.3553500000000001</v>
      </c>
      <c r="F73" s="208">
        <f>monthly_data!$AD101/1000</f>
        <v>2.08229</v>
      </c>
      <c r="G73" s="208">
        <f>monthly_data!$AD113/1000</f>
        <v>2.0566399999999998</v>
      </c>
      <c r="H73" s="208">
        <f>monthly_data!$AD125/1000</f>
        <v>2.0529999999999999</v>
      </c>
      <c r="I73" s="202">
        <f t="shared" si="37"/>
        <v>2.144852580749208</v>
      </c>
      <c r="J73" s="202">
        <f t="shared" si="37"/>
        <v>2.1950108567921416</v>
      </c>
      <c r="K73" s="202">
        <f t="shared" si="37"/>
        <v>2.2553728418134331</v>
      </c>
      <c r="L73" s="202">
        <f t="shared" si="37"/>
        <v>2.3572156083067828</v>
      </c>
      <c r="M73" s="202">
        <f t="shared" si="37"/>
        <v>2.4544164550404495</v>
      </c>
      <c r="N73" s="202">
        <f t="shared" si="37"/>
        <v>2.534859631711559</v>
      </c>
      <c r="O73" s="202">
        <f t="shared" si="37"/>
        <v>2.6121652657399665</v>
      </c>
      <c r="P73" s="202">
        <f t="shared" si="37"/>
        <v>2.6955100254040696</v>
      </c>
      <c r="Q73" s="202">
        <f t="shared" si="37"/>
        <v>2.7839167369646223</v>
      </c>
      <c r="R73" s="202">
        <f t="shared" si="37"/>
        <v>2.8693517155178232</v>
      </c>
      <c r="S73" s="202">
        <f t="shared" si="37"/>
        <v>2.9522069883551962</v>
      </c>
    </row>
    <row r="74" spans="1:19" x14ac:dyDescent="0.25">
      <c r="A74" s="172" t="s">
        <v>139</v>
      </c>
      <c r="B74" s="208">
        <f>monthly_data!$AD54/1000</f>
        <v>2.5613200000000003</v>
      </c>
      <c r="C74" s="208">
        <f>monthly_data!$AD66/1000</f>
        <v>2.4452799999999999</v>
      </c>
      <c r="D74" s="208">
        <f>monthly_data!$AD78/1000</f>
        <v>2.2846599999999997</v>
      </c>
      <c r="E74" s="208">
        <f>monthly_data!$AD90/1000</f>
        <v>2.26709</v>
      </c>
      <c r="F74" s="208">
        <f>monthly_data!$AD102/1000</f>
        <v>2.3011800000000004</v>
      </c>
      <c r="G74" s="208">
        <f>monthly_data!$AD114/1000</f>
        <v>2.0989100000000001</v>
      </c>
      <c r="H74" s="208">
        <f>monthly_data!$AD126/1000</f>
        <v>1.8979999999999999</v>
      </c>
      <c r="I74" s="202">
        <f t="shared" si="37"/>
        <v>2.1448565344601094</v>
      </c>
      <c r="J74" s="202">
        <f t="shared" si="37"/>
        <v>2.1986863978947357</v>
      </c>
      <c r="K74" s="202">
        <f t="shared" si="37"/>
        <v>2.2788948577958026</v>
      </c>
      <c r="L74" s="202">
        <f t="shared" si="37"/>
        <v>2.3383822201904065</v>
      </c>
      <c r="M74" s="202">
        <f t="shared" si="37"/>
        <v>2.42171487257</v>
      </c>
      <c r="N74" s="202">
        <f t="shared" si="37"/>
        <v>2.5294521962024565</v>
      </c>
      <c r="O74" s="202">
        <f t="shared" si="37"/>
        <v>2.6055789063161106</v>
      </c>
      <c r="P74" s="202">
        <f t="shared" si="37"/>
        <v>2.6866809496440887</v>
      </c>
      <c r="Q74" s="202">
        <f t="shared" si="37"/>
        <v>2.767998011883074</v>
      </c>
      <c r="R74" s="202">
        <f t="shared" si="37"/>
        <v>2.8541190183544183</v>
      </c>
      <c r="S74" s="202">
        <f t="shared" si="37"/>
        <v>2.9408376117750326</v>
      </c>
    </row>
    <row r="75" spans="1:19" x14ac:dyDescent="0.25">
      <c r="A75" s="172" t="s">
        <v>140</v>
      </c>
      <c r="B75" s="208">
        <f>monthly_data!$AD55/1000</f>
        <v>2.6326999999999998</v>
      </c>
      <c r="C75" s="208">
        <f>monthly_data!$AD67/1000</f>
        <v>2.5021300000000002</v>
      </c>
      <c r="D75" s="208">
        <f>monthly_data!$AD79/1000</f>
        <v>2.42727</v>
      </c>
      <c r="E75" s="208">
        <f>monthly_data!$AD91/1000</f>
        <v>2.5153499999999998</v>
      </c>
      <c r="F75" s="208">
        <f>monthly_data!$AD103/1000</f>
        <v>2.2680299999999995</v>
      </c>
      <c r="G75" s="208">
        <f>monthly_data!$AD115/1000</f>
        <v>2.08914</v>
      </c>
      <c r="H75" s="208">
        <f>monthly_data!$AD127/1000</f>
        <v>1.9390000000000001</v>
      </c>
      <c r="I75" s="202">
        <f t="shared" si="37"/>
        <v>2.2217463272200266</v>
      </c>
      <c r="J75" s="202">
        <f t="shared" si="37"/>
        <v>2.2650429361239857</v>
      </c>
      <c r="K75" s="202">
        <f t="shared" si="37"/>
        <v>2.3091597476871972</v>
      </c>
      <c r="L75" s="202">
        <f t="shared" si="37"/>
        <v>2.3834662724418294</v>
      </c>
      <c r="M75" s="202">
        <f t="shared" si="37"/>
        <v>2.4796093521906131</v>
      </c>
      <c r="N75" s="202">
        <f t="shared" si="37"/>
        <v>2.5908943634808117</v>
      </c>
      <c r="O75" s="202">
        <f t="shared" si="37"/>
        <v>2.6633810916404115</v>
      </c>
      <c r="P75" s="202">
        <f t="shared" si="37"/>
        <v>2.7424023895041905</v>
      </c>
      <c r="Q75" s="202">
        <f t="shared" si="37"/>
        <v>2.8291457632367285</v>
      </c>
      <c r="R75" s="202">
        <f t="shared" si="37"/>
        <v>2.9186111009147981</v>
      </c>
      <c r="S75" s="202">
        <f t="shared" si="37"/>
        <v>3.0065950925449556</v>
      </c>
    </row>
    <row r="76" spans="1:19" x14ac:dyDescent="0.25">
      <c r="A76" s="172" t="s">
        <v>141</v>
      </c>
      <c r="B76" s="208">
        <f>monthly_data!$AD56/1000</f>
        <v>2.6000100000000002</v>
      </c>
      <c r="C76" s="208">
        <f>monthly_data!$AD68/1000</f>
        <v>2.5364599999999999</v>
      </c>
      <c r="D76" s="208">
        <f>monthly_data!$AD80/1000</f>
        <v>2.2943600000000002</v>
      </c>
      <c r="E76" s="208">
        <f>monthly_data!$AD92/1000</f>
        <v>2.3743499999999997</v>
      </c>
      <c r="F76" s="208">
        <f>monthly_data!$AD104/1000</f>
        <v>2.2104299999999997</v>
      </c>
      <c r="G76" s="208">
        <f>monthly_data!$AD116/1000</f>
        <v>2.0945399999999998</v>
      </c>
      <c r="H76" s="208">
        <f>monthly_data!$AD128/1000</f>
        <v>2.198</v>
      </c>
      <c r="I76" s="202">
        <f t="shared" si="37"/>
        <v>2.2084796502895263</v>
      </c>
      <c r="J76" s="202">
        <f t="shared" si="37"/>
        <v>2.2758276148220902</v>
      </c>
      <c r="K76" s="202">
        <f t="shared" si="37"/>
        <v>2.3529142397414793</v>
      </c>
      <c r="L76" s="202">
        <f t="shared" si="37"/>
        <v>2.4507754084527349</v>
      </c>
      <c r="M76" s="202">
        <f t="shared" si="37"/>
        <v>2.5615867584835486</v>
      </c>
      <c r="N76" s="202">
        <f t="shared" si="37"/>
        <v>2.6332408159531955</v>
      </c>
      <c r="O76" s="202">
        <f t="shared" si="37"/>
        <v>2.7178906425788893</v>
      </c>
      <c r="P76" s="202">
        <f t="shared" si="37"/>
        <v>2.8063796668049323</v>
      </c>
      <c r="Q76" s="202">
        <f t="shared" si="37"/>
        <v>2.8973721243001265</v>
      </c>
      <c r="R76" s="202">
        <f t="shared" si="37"/>
        <v>2.9868385824264743</v>
      </c>
      <c r="S76" s="202">
        <f t="shared" si="37"/>
        <v>3.0716266507639158</v>
      </c>
    </row>
    <row r="77" spans="1:19" x14ac:dyDescent="0.25">
      <c r="A77" s="172" t="s">
        <v>142</v>
      </c>
      <c r="B77" s="208">
        <f>monthly_data!$AD57/1000</f>
        <v>2.50244</v>
      </c>
      <c r="C77" s="208">
        <f>monthly_data!$AD69/1000</f>
        <v>2.05457</v>
      </c>
      <c r="D77" s="208">
        <f>monthly_data!$AD81/1000</f>
        <v>2.2074099999999999</v>
      </c>
      <c r="E77" s="208">
        <f>monthly_data!$AD93/1000</f>
        <v>2.3484300000000005</v>
      </c>
      <c r="F77" s="208">
        <f>monthly_data!$AD105/1000</f>
        <v>2.1343899999999998</v>
      </c>
      <c r="G77" s="208">
        <f>monthly_data!$AD117/1000</f>
        <v>2.1487200000000004</v>
      </c>
      <c r="H77" s="208">
        <f>monthly_data!$AD129/1000</f>
        <v>1.911</v>
      </c>
      <c r="I77" s="202">
        <f t="shared" si="37"/>
        <v>2.1251097253617979</v>
      </c>
      <c r="J77" s="202">
        <f t="shared" si="37"/>
        <v>2.1899847188374557</v>
      </c>
      <c r="K77" s="202">
        <f t="shared" si="37"/>
        <v>2.2505354318879718</v>
      </c>
      <c r="L77" s="202">
        <f t="shared" si="37"/>
        <v>2.3397038805518049</v>
      </c>
      <c r="M77" s="202">
        <f t="shared" si="37"/>
        <v>2.4122396632588594</v>
      </c>
      <c r="N77" s="202">
        <f t="shared" si="37"/>
        <v>2.5150163155328644</v>
      </c>
      <c r="O77" s="202">
        <f t="shared" si="37"/>
        <v>2.5923705736581262</v>
      </c>
      <c r="P77" s="202">
        <f t="shared" si="37"/>
        <v>2.6725221219066766</v>
      </c>
      <c r="Q77" s="202">
        <f t="shared" si="37"/>
        <v>2.7570075620798336</v>
      </c>
      <c r="R77" s="202">
        <f t="shared" si="37"/>
        <v>2.8404600776699112</v>
      </c>
      <c r="S77" s="202">
        <f t="shared" si="37"/>
        <v>2.9263011423728713</v>
      </c>
    </row>
    <row r="78" spans="1:19" x14ac:dyDescent="0.25">
      <c r="A78" s="172" t="s">
        <v>143</v>
      </c>
      <c r="B78" s="208">
        <f>monthly_data!$AD58/1000</f>
        <v>2.4270300000000002</v>
      </c>
      <c r="C78" s="208">
        <f>monthly_data!$AD70/1000</f>
        <v>2.4369800000000001</v>
      </c>
      <c r="D78" s="208">
        <f>monthly_data!$AD82/1000</f>
        <v>2.0160999999999998</v>
      </c>
      <c r="E78" s="208">
        <f>monthly_data!$AD94/1000</f>
        <v>2.3309000000000002</v>
      </c>
      <c r="F78" s="208">
        <f>monthly_data!$AD106/1000</f>
        <v>2.1018300000000001</v>
      </c>
      <c r="G78" s="208">
        <f>monthly_data!$AD118/1000</f>
        <v>2.0804499999999999</v>
      </c>
      <c r="H78" s="208">
        <f>monthly_data!$AD130/1000</f>
        <v>1.78</v>
      </c>
      <c r="I78" s="202">
        <f t="shared" si="37"/>
        <v>2.0379956362102032</v>
      </c>
      <c r="J78" s="202">
        <f t="shared" si="37"/>
        <v>2.1209092305623889</v>
      </c>
      <c r="K78" s="202">
        <f t="shared" si="37"/>
        <v>2.1674414344401538</v>
      </c>
      <c r="L78" s="202">
        <f t="shared" si="37"/>
        <v>2.2431343075090444</v>
      </c>
      <c r="M78" s="202">
        <f t="shared" si="37"/>
        <v>2.3081228982198758</v>
      </c>
      <c r="N78" s="202">
        <f t="shared" si="37"/>
        <v>2.4172452237648145</v>
      </c>
      <c r="O78" s="202">
        <f t="shared" si="37"/>
        <v>2.4925888994956042</v>
      </c>
      <c r="P78" s="202">
        <f t="shared" si="37"/>
        <v>2.5662968857223709</v>
      </c>
      <c r="Q78" s="202">
        <f t="shared" si="37"/>
        <v>2.6460254072365763</v>
      </c>
      <c r="R78" s="202">
        <f t="shared" si="37"/>
        <v>2.72664191413506</v>
      </c>
      <c r="S78" s="202">
        <f t="shared" si="37"/>
        <v>2.8106746347650309</v>
      </c>
    </row>
    <row r="79" spans="1:19" x14ac:dyDescent="0.25">
      <c r="A79" s="197" t="s">
        <v>144</v>
      </c>
      <c r="B79" s="198">
        <f t="shared" ref="B79:H79" si="38">SUM(B67:B78)</f>
        <v>29.873469999999998</v>
      </c>
      <c r="C79" s="198">
        <f t="shared" si="38"/>
        <v>28.661259999999999</v>
      </c>
      <c r="D79" s="198">
        <f t="shared" si="38"/>
        <v>24.814689999999999</v>
      </c>
      <c r="E79" s="198">
        <f t="shared" si="38"/>
        <v>26.568330000000003</v>
      </c>
      <c r="F79" s="198">
        <f t="shared" si="38"/>
        <v>25.923419999999997</v>
      </c>
      <c r="G79" s="198">
        <f t="shared" si="38"/>
        <v>25.122819999999997</v>
      </c>
      <c r="H79" s="198">
        <f t="shared" si="38"/>
        <v>24.034210000000005</v>
      </c>
      <c r="I79" s="204">
        <f t="shared" ref="I79:S79" si="39">I8</f>
        <v>25</v>
      </c>
      <c r="J79" s="204">
        <f t="shared" si="39"/>
        <v>26</v>
      </c>
      <c r="K79" s="204">
        <f t="shared" si="39"/>
        <v>27</v>
      </c>
      <c r="L79" s="204">
        <f t="shared" si="39"/>
        <v>28</v>
      </c>
      <c r="M79" s="204">
        <f t="shared" si="39"/>
        <v>29</v>
      </c>
      <c r="N79" s="204">
        <f t="shared" si="39"/>
        <v>30</v>
      </c>
      <c r="O79" s="204">
        <f t="shared" si="39"/>
        <v>31</v>
      </c>
      <c r="P79" s="204">
        <f t="shared" si="39"/>
        <v>32</v>
      </c>
      <c r="Q79" s="204">
        <f t="shared" si="39"/>
        <v>33</v>
      </c>
      <c r="R79" s="204">
        <f t="shared" si="39"/>
        <v>34</v>
      </c>
      <c r="S79" s="204">
        <f t="shared" si="39"/>
        <v>35</v>
      </c>
    </row>
    <row r="80" spans="1:19" s="172" customFormat="1" x14ac:dyDescent="0.25">
      <c r="B80" s="209"/>
      <c r="C80" s="209"/>
      <c r="D80" s="209"/>
      <c r="E80" s="209"/>
      <c r="F80" s="209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</row>
    <row r="81" spans="1:19" s="172" customFormat="1" ht="15.75" thickBot="1" x14ac:dyDescent="0.3">
      <c r="A81" s="190" t="s">
        <v>196</v>
      </c>
      <c r="B81" s="189"/>
      <c r="C81" s="189"/>
      <c r="D81" s="189"/>
      <c r="E81" s="189"/>
      <c r="F81" s="189"/>
      <c r="G81" s="192"/>
      <c r="H81" s="192"/>
      <c r="I81" s="192"/>
      <c r="J81" s="192"/>
      <c r="K81" s="192"/>
      <c r="L81" s="192"/>
      <c r="M81" s="193"/>
      <c r="N81" s="193"/>
      <c r="O81" s="193"/>
      <c r="P81" s="193"/>
      <c r="Q81" s="193"/>
      <c r="R81" s="193"/>
      <c r="S81" s="193"/>
    </row>
    <row r="82" spans="1:19" s="190" customFormat="1" ht="16.5" thickTop="1" thickBot="1" x14ac:dyDescent="0.3">
      <c r="A82" s="55" t="s">
        <v>38</v>
      </c>
      <c r="B82" s="194">
        <f t="shared" ref="B82:S82" si="40">B2</f>
        <v>2018</v>
      </c>
      <c r="C82" s="194">
        <f t="shared" si="40"/>
        <v>2019</v>
      </c>
      <c r="D82" s="194">
        <f t="shared" si="40"/>
        <v>2020</v>
      </c>
      <c r="E82" s="194">
        <f t="shared" si="40"/>
        <v>2021</v>
      </c>
      <c r="F82" s="194">
        <f t="shared" si="40"/>
        <v>2022</v>
      </c>
      <c r="G82" s="194">
        <f t="shared" si="40"/>
        <v>2023</v>
      </c>
      <c r="H82" s="194">
        <f t="shared" si="40"/>
        <v>2024</v>
      </c>
      <c r="I82" s="194">
        <f t="shared" si="40"/>
        <v>2025</v>
      </c>
      <c r="J82" s="194">
        <f t="shared" si="40"/>
        <v>2026</v>
      </c>
      <c r="K82" s="194">
        <f t="shared" si="40"/>
        <v>2027</v>
      </c>
      <c r="L82" s="194">
        <f t="shared" si="40"/>
        <v>2028</v>
      </c>
      <c r="M82" s="194">
        <f t="shared" si="40"/>
        <v>2029</v>
      </c>
      <c r="N82" s="194">
        <f t="shared" si="40"/>
        <v>2030</v>
      </c>
      <c r="O82" s="194">
        <f t="shared" si="40"/>
        <v>2031</v>
      </c>
      <c r="P82" s="194">
        <f t="shared" si="40"/>
        <v>2032</v>
      </c>
      <c r="Q82" s="194">
        <f t="shared" si="40"/>
        <v>2033</v>
      </c>
      <c r="R82" s="194">
        <f t="shared" si="40"/>
        <v>2034</v>
      </c>
      <c r="S82" s="194">
        <f t="shared" si="40"/>
        <v>2035</v>
      </c>
    </row>
    <row r="83" spans="1:19" x14ac:dyDescent="0.25">
      <c r="A83" s="172" t="s">
        <v>133</v>
      </c>
      <c r="B83" s="195">
        <f>monthly_data!$AE47/1000</f>
        <v>1.98763</v>
      </c>
      <c r="C83" s="195">
        <f>monthly_data!$AE59/1000</f>
        <v>1.88401</v>
      </c>
      <c r="D83" s="195">
        <f>monthly_data!$AE71/1000</f>
        <v>1.93496</v>
      </c>
      <c r="E83" s="195">
        <f>monthly_data!$AE83/1000</f>
        <v>2.1677499999999998</v>
      </c>
      <c r="F83" s="195">
        <f>monthly_data!$AE95/1000</f>
        <v>1.4011400000000001</v>
      </c>
      <c r="G83" s="195">
        <f>monthly_data!$AE107/1000</f>
        <v>1.6300699999999999</v>
      </c>
      <c r="H83" s="195">
        <f>monthly_data!$AE119/1000</f>
        <v>1.6247100000000001</v>
      </c>
      <c r="I83" s="210">
        <f t="shared" ref="I83:S94" si="41">I19+I35-I51-I67</f>
        <v>0.43983893540338026</v>
      </c>
      <c r="J83" s="210">
        <f t="shared" si="41"/>
        <v>0.37807748677073794</v>
      </c>
      <c r="K83" s="210">
        <f t="shared" si="41"/>
        <v>0.29612538948348854</v>
      </c>
      <c r="L83" s="210">
        <f t="shared" si="41"/>
        <v>0.27393293012260456</v>
      </c>
      <c r="M83" s="210">
        <f t="shared" si="41"/>
        <v>0.18816191829537354</v>
      </c>
      <c r="N83" s="210">
        <f t="shared" si="41"/>
        <v>8.9539558556642085E-2</v>
      </c>
      <c r="O83" s="210">
        <f t="shared" si="41"/>
        <v>1.7996784579281666E-2</v>
      </c>
      <c r="P83" s="210">
        <f t="shared" si="41"/>
        <v>-5.6203387760976664E-2</v>
      </c>
      <c r="Q83" s="210">
        <f t="shared" si="41"/>
        <v>-0.12778903978037626</v>
      </c>
      <c r="R83" s="210">
        <f t="shared" si="41"/>
        <v>-0.20850156552785393</v>
      </c>
      <c r="S83" s="210">
        <f t="shared" si="41"/>
        <v>-0.28781154619426186</v>
      </c>
    </row>
    <row r="84" spans="1:19" x14ac:dyDescent="0.25">
      <c r="A84" s="172" t="s">
        <v>134</v>
      </c>
      <c r="B84" s="195">
        <f>monthly_data!$AE48/1000</f>
        <v>2.0152000000000001</v>
      </c>
      <c r="C84" s="195">
        <f>monthly_data!$AE60/1000</f>
        <v>1.7786</v>
      </c>
      <c r="D84" s="195">
        <f>monthly_data!$AE72/1000</f>
        <v>1.9452</v>
      </c>
      <c r="E84" s="195">
        <f>monthly_data!$AE84/1000</f>
        <v>1.9970399999999999</v>
      </c>
      <c r="F84" s="195">
        <f>monthly_data!$AE96/1000</f>
        <v>1.44221</v>
      </c>
      <c r="G84" s="195">
        <f>monthly_data!$AE108/1000</f>
        <v>1.6641600000000001</v>
      </c>
      <c r="H84" s="195">
        <f>monthly_data!$AE120/1000</f>
        <v>1.4681900000000001</v>
      </c>
      <c r="I84" s="210">
        <f t="shared" si="41"/>
        <v>0.31185530000843542</v>
      </c>
      <c r="J84" s="210">
        <f t="shared" si="41"/>
        <v>0.22799619027283091</v>
      </c>
      <c r="K84" s="210">
        <f t="shared" si="41"/>
        <v>0.15486796732432317</v>
      </c>
      <c r="L84" s="210">
        <f t="shared" si="41"/>
        <v>8.5818930876349953E-2</v>
      </c>
      <c r="M84" s="210">
        <f t="shared" si="41"/>
        <v>-1.5639147428367917E-2</v>
      </c>
      <c r="N84" s="210">
        <f t="shared" si="41"/>
        <v>-8.5210306427359495E-2</v>
      </c>
      <c r="O84" s="210">
        <f t="shared" si="41"/>
        <v>-0.16615655745525659</v>
      </c>
      <c r="P84" s="210">
        <f t="shared" si="41"/>
        <v>-0.24697511777579217</v>
      </c>
      <c r="Q84" s="210">
        <f t="shared" si="41"/>
        <v>-0.32807807671335265</v>
      </c>
      <c r="R84" s="210">
        <f t="shared" si="41"/>
        <v>-0.41152839912237171</v>
      </c>
      <c r="S84" s="210">
        <f t="shared" si="41"/>
        <v>-0.49064672545243981</v>
      </c>
    </row>
    <row r="85" spans="1:19" x14ac:dyDescent="0.25">
      <c r="A85" s="172" t="s">
        <v>135</v>
      </c>
      <c r="B85" s="195">
        <f>monthly_data!$AE49/1000</f>
        <v>1.9804999999999999</v>
      </c>
      <c r="C85" s="195">
        <f>monthly_data!$AE61/1000</f>
        <v>1.6639300000000001</v>
      </c>
      <c r="D85" s="195">
        <f>monthly_data!$AE73/1000</f>
        <v>1.97624</v>
      </c>
      <c r="E85" s="195">
        <f>monthly_data!$AE85/1000</f>
        <v>1.6734899999999999</v>
      </c>
      <c r="F85" s="195">
        <f>monthly_data!$AE97/1000</f>
        <v>1.4007499999999999</v>
      </c>
      <c r="G85" s="195">
        <f>monthly_data!$AE109/1000</f>
        <v>1.53199</v>
      </c>
      <c r="H85" s="195">
        <f>monthly_data!$AE121/1000</f>
        <v>1.48827</v>
      </c>
      <c r="I85" s="210">
        <f t="shared" si="41"/>
        <v>0.37498641748635642</v>
      </c>
      <c r="J85" s="210">
        <f t="shared" si="41"/>
        <v>0.23866940836042572</v>
      </c>
      <c r="K85" s="210">
        <f t="shared" si="41"/>
        <v>0.19358627490431823</v>
      </c>
      <c r="L85" s="210">
        <f t="shared" si="41"/>
        <v>0.13672624278749002</v>
      </c>
      <c r="M85" s="210">
        <f t="shared" si="41"/>
        <v>4.8303531697058588E-2</v>
      </c>
      <c r="N85" s="210">
        <f t="shared" si="41"/>
        <v>-4.7511656528794077E-2</v>
      </c>
      <c r="O85" s="210">
        <f t="shared" si="41"/>
        <v>-0.13293776839649185</v>
      </c>
      <c r="P85" s="210">
        <f t="shared" si="41"/>
        <v>-0.20899446078069817</v>
      </c>
      <c r="Q85" s="210">
        <f t="shared" si="41"/>
        <v>-0.29008158429997355</v>
      </c>
      <c r="R85" s="210">
        <f t="shared" si="41"/>
        <v>-0.37575297529831664</v>
      </c>
      <c r="S85" s="210">
        <f t="shared" si="41"/>
        <v>-0.46111139765746545</v>
      </c>
    </row>
    <row r="86" spans="1:19" x14ac:dyDescent="0.25">
      <c r="A86" s="172" t="s">
        <v>136</v>
      </c>
      <c r="B86" s="195">
        <f>monthly_data!$AE50/1000</f>
        <v>1.88256</v>
      </c>
      <c r="C86" s="195">
        <f>monthly_data!$AE62/1000</f>
        <v>1.9678900000000001</v>
      </c>
      <c r="D86" s="195">
        <f>monthly_data!$AE74/1000</f>
        <v>2.3200799999999999</v>
      </c>
      <c r="E86" s="195">
        <f>monthly_data!$AE86/1000</f>
        <v>1.5828900000000001</v>
      </c>
      <c r="F86" s="195">
        <f>monthly_data!$AE98/1000</f>
        <v>1.4722899999999999</v>
      </c>
      <c r="G86" s="195">
        <f>monthly_data!$AE110/1000</f>
        <v>1.80202</v>
      </c>
      <c r="H86" s="195">
        <f>monthly_data!$AE122/1000</f>
        <v>1.60819</v>
      </c>
      <c r="I86" s="210">
        <f t="shared" si="41"/>
        <v>0.54604267367489046</v>
      </c>
      <c r="J86" s="210">
        <f t="shared" si="41"/>
        <v>0.40777037252538673</v>
      </c>
      <c r="K86" s="210">
        <f t="shared" si="41"/>
        <v>0.35992013159042724</v>
      </c>
      <c r="L86" s="210">
        <f t="shared" si="41"/>
        <v>0.30289803505247637</v>
      </c>
      <c r="M86" s="210">
        <f t="shared" si="41"/>
        <v>0.20284174199886618</v>
      </c>
      <c r="N86" s="210">
        <f t="shared" si="41"/>
        <v>0.12437075829949817</v>
      </c>
      <c r="O86" s="210">
        <f t="shared" si="41"/>
        <v>3.6278614668291631E-2</v>
      </c>
      <c r="P86" s="210">
        <f t="shared" si="41"/>
        <v>-3.9216537491762349E-2</v>
      </c>
      <c r="Q86" s="210">
        <f t="shared" si="41"/>
        <v>-0.11996383473760197</v>
      </c>
      <c r="R86" s="210">
        <f t="shared" si="41"/>
        <v>-0.20527166974856526</v>
      </c>
      <c r="S86" s="210">
        <f t="shared" si="41"/>
        <v>-0.28705129680738928</v>
      </c>
    </row>
    <row r="87" spans="1:19" x14ac:dyDescent="0.25">
      <c r="A87" s="172" t="s">
        <v>93</v>
      </c>
      <c r="B87" s="195">
        <f>monthly_data!$AE51/1000</f>
        <v>1.8489500000000001</v>
      </c>
      <c r="C87" s="195">
        <f>monthly_data!$AE63/1000</f>
        <v>1.8134100000000002</v>
      </c>
      <c r="D87" s="195">
        <f>monthly_data!$AE75/1000</f>
        <v>2.1875800000000001</v>
      </c>
      <c r="E87" s="195">
        <f>monthly_data!$AE87/1000</f>
        <v>1.58074</v>
      </c>
      <c r="F87" s="195">
        <f>monthly_data!$AE99/1000</f>
        <v>1.4374</v>
      </c>
      <c r="G87" s="195">
        <f>monthly_data!$AE111/1000</f>
        <v>1.6737599999999999</v>
      </c>
      <c r="H87" s="195">
        <f>monthly_data!$AE123/1000</f>
        <v>1.51193</v>
      </c>
      <c r="I87" s="210">
        <f t="shared" si="41"/>
        <v>0.38976841154350672</v>
      </c>
      <c r="J87" s="210">
        <f t="shared" si="41"/>
        <v>0.31944676373225933</v>
      </c>
      <c r="K87" s="210">
        <f t="shared" si="41"/>
        <v>0.21237850416449966</v>
      </c>
      <c r="L87" s="210">
        <f t="shared" si="41"/>
        <v>0.12027467515469059</v>
      </c>
      <c r="M87" s="210">
        <f t="shared" si="41"/>
        <v>4.7740762189903307E-2</v>
      </c>
      <c r="N87" s="210">
        <f t="shared" si="41"/>
        <v>-2.5096162494312679E-2</v>
      </c>
      <c r="O87" s="210">
        <f t="shared" si="41"/>
        <v>-0.11330978135997771</v>
      </c>
      <c r="P87" s="210">
        <f t="shared" si="41"/>
        <v>-0.20180796571074566</v>
      </c>
      <c r="Q87" s="210">
        <f t="shared" si="41"/>
        <v>-0.28627285980026951</v>
      </c>
      <c r="R87" s="210">
        <f t="shared" si="41"/>
        <v>-0.36845367905369431</v>
      </c>
      <c r="S87" s="210">
        <f t="shared" si="41"/>
        <v>-0.4522385777711424</v>
      </c>
    </row>
    <row r="88" spans="1:19" x14ac:dyDescent="0.25">
      <c r="A88" s="172" t="s">
        <v>137</v>
      </c>
      <c r="B88" s="195">
        <f>monthly_data!$AE52/1000</f>
        <v>1.8665699999999998</v>
      </c>
      <c r="C88" s="195">
        <f>monthly_data!$AE64/1000</f>
        <v>1.9243399999999999</v>
      </c>
      <c r="D88" s="195">
        <f>monthly_data!$AE76/1000</f>
        <v>2.0919899999999996</v>
      </c>
      <c r="E88" s="195">
        <f>monthly_data!$AE88/1000</f>
        <v>1.5198</v>
      </c>
      <c r="F88" s="195">
        <f>monthly_data!$AE100/1000</f>
        <v>1.4658499999999999</v>
      </c>
      <c r="G88" s="195">
        <f>monthly_data!$AE112/1000</f>
        <v>1.5051099999999999</v>
      </c>
      <c r="H88" s="195">
        <f>monthly_data!$AE124/1000</f>
        <v>1.5960000000000001</v>
      </c>
      <c r="I88" s="210">
        <f t="shared" si="41"/>
        <v>0.37348565531448141</v>
      </c>
      <c r="J88" s="210">
        <f t="shared" si="41"/>
        <v>0.30053930640582927</v>
      </c>
      <c r="K88" s="210">
        <f t="shared" si="41"/>
        <v>0.18902253599224306</v>
      </c>
      <c r="L88" s="210">
        <f t="shared" si="41"/>
        <v>9.741197850441452E-2</v>
      </c>
      <c r="M88" s="210">
        <f t="shared" si="41"/>
        <v>4.7438855073134611E-2</v>
      </c>
      <c r="N88" s="210">
        <f t="shared" si="41"/>
        <v>-4.9793819506684489E-2</v>
      </c>
      <c r="O88" s="210">
        <f t="shared" si="41"/>
        <v>-0.13747942036156635</v>
      </c>
      <c r="P88" s="210">
        <f t="shared" si="41"/>
        <v>-0.22636891661534486</v>
      </c>
      <c r="Q88" s="210">
        <f t="shared" si="41"/>
        <v>-0.31055949841408115</v>
      </c>
      <c r="R88" s="210">
        <f t="shared" si="41"/>
        <v>-0.39232566711373362</v>
      </c>
      <c r="S88" s="210">
        <f t="shared" si="41"/>
        <v>-0.48062501064355212</v>
      </c>
    </row>
    <row r="89" spans="1:19" x14ac:dyDescent="0.25">
      <c r="A89" s="172" t="s">
        <v>138</v>
      </c>
      <c r="B89" s="195">
        <f>monthly_data!$AE53/1000</f>
        <v>1.98593</v>
      </c>
      <c r="C89" s="195">
        <f>monthly_data!$AE65/1000</f>
        <v>1.9552400000000001</v>
      </c>
      <c r="D89" s="195">
        <f>monthly_data!$AE77/1000</f>
        <v>2.1839</v>
      </c>
      <c r="E89" s="195">
        <f>monthly_data!$AE89/1000</f>
        <v>1.4970599999999998</v>
      </c>
      <c r="F89" s="195">
        <f>monthly_data!$AE101/1000</f>
        <v>1.4825999999999999</v>
      </c>
      <c r="G89" s="195">
        <f>monthly_data!$AE113/1000</f>
        <v>1.5871900000000001</v>
      </c>
      <c r="H89" s="195">
        <f>monthly_data!$AE125/1000</f>
        <v>1.5229999999999999</v>
      </c>
      <c r="I89" s="210">
        <f t="shared" si="41"/>
        <v>0.45329589114613045</v>
      </c>
      <c r="J89" s="210">
        <f t="shared" si="41"/>
        <v>0.37609417723029281</v>
      </c>
      <c r="K89" s="210">
        <f t="shared" si="41"/>
        <v>0.29234827131789265</v>
      </c>
      <c r="L89" s="210">
        <f t="shared" si="41"/>
        <v>0.20317808302248785</v>
      </c>
      <c r="M89" s="210">
        <f t="shared" si="41"/>
        <v>0.10224916403447581</v>
      </c>
      <c r="N89" s="210">
        <f t="shared" si="41"/>
        <v>3.9003513595206485E-2</v>
      </c>
      <c r="O89" s="210">
        <f t="shared" si="41"/>
        <v>-4.5617079446178543E-2</v>
      </c>
      <c r="P89" s="210">
        <f t="shared" si="41"/>
        <v>-0.13162109451797921</v>
      </c>
      <c r="Q89" s="210">
        <f t="shared" si="41"/>
        <v>-0.21811269195095084</v>
      </c>
      <c r="R89" s="210">
        <f t="shared" si="41"/>
        <v>-0.30328669005130715</v>
      </c>
      <c r="S89" s="210">
        <f t="shared" si="41"/>
        <v>-0.38469397883544998</v>
      </c>
    </row>
    <row r="90" spans="1:19" x14ac:dyDescent="0.25">
      <c r="A90" s="172" t="s">
        <v>139</v>
      </c>
      <c r="B90" s="195">
        <f>monthly_data!$AE54/1000</f>
        <v>1.9859</v>
      </c>
      <c r="C90" s="195">
        <f>monthly_data!$AE66/1000</f>
        <v>2.0318700000000001</v>
      </c>
      <c r="D90" s="195">
        <f>monthly_data!$AE78/1000</f>
        <v>2.2720500000000001</v>
      </c>
      <c r="E90" s="195">
        <f>monthly_data!$AE90/1000</f>
        <v>1.61521</v>
      </c>
      <c r="F90" s="195">
        <f>monthly_data!$AE102/1000</f>
        <v>1.4371400000000001</v>
      </c>
      <c r="G90" s="195">
        <f>monthly_data!$AE114/1000</f>
        <v>1.5341600000000002</v>
      </c>
      <c r="H90" s="195">
        <f>monthly_data!$AE126/1000</f>
        <v>1.6040000000000001</v>
      </c>
      <c r="I90" s="210">
        <f t="shared" si="41"/>
        <v>0.42486540000611628</v>
      </c>
      <c r="J90" s="210">
        <f t="shared" si="41"/>
        <v>0.37026940861512081</v>
      </c>
      <c r="K90" s="210">
        <f t="shared" si="41"/>
        <v>0.253496704701905</v>
      </c>
      <c r="L90" s="210">
        <f t="shared" si="41"/>
        <v>0.17415142007196849</v>
      </c>
      <c r="M90" s="210">
        <f t="shared" si="41"/>
        <v>0.10041856294702978</v>
      </c>
      <c r="N90" s="210">
        <f t="shared" si="41"/>
        <v>1.7454286202731151E-2</v>
      </c>
      <c r="O90" s="210">
        <f t="shared" si="41"/>
        <v>-6.5250042065543745E-2</v>
      </c>
      <c r="P90" s="210">
        <f t="shared" si="41"/>
        <v>-0.15360681824446365</v>
      </c>
      <c r="Q90" s="210">
        <f t="shared" si="41"/>
        <v>-0.23594765202189105</v>
      </c>
      <c r="R90" s="210">
        <f t="shared" si="41"/>
        <v>-0.3186924542200491</v>
      </c>
      <c r="S90" s="210">
        <f t="shared" si="41"/>
        <v>-0.40305862839281925</v>
      </c>
    </row>
    <row r="91" spans="1:19" x14ac:dyDescent="0.25">
      <c r="A91" s="172" t="s">
        <v>140</v>
      </c>
      <c r="B91" s="195">
        <f>monthly_data!$AE55/1000</f>
        <v>2.0361899999999999</v>
      </c>
      <c r="C91" s="195">
        <f>monthly_data!$AE67/1000</f>
        <v>1.8642400000000001</v>
      </c>
      <c r="D91" s="195">
        <f>monthly_data!$AE79/1000</f>
        <v>2.1163799999999999</v>
      </c>
      <c r="E91" s="195">
        <f>monthly_data!$AE91/1000</f>
        <v>1.5592000000000001</v>
      </c>
      <c r="F91" s="195">
        <f>monthly_data!$AE103/1000</f>
        <v>1.4338900000000001</v>
      </c>
      <c r="G91" s="195">
        <f>monthly_data!$AE115/1000</f>
        <v>1.4409700000000001</v>
      </c>
      <c r="H91" s="195">
        <f>monthly_data!$AE127/1000</f>
        <v>1.587</v>
      </c>
      <c r="I91" s="210">
        <f t="shared" si="41"/>
        <v>0.28511275894939159</v>
      </c>
      <c r="J91" s="210">
        <f t="shared" si="41"/>
        <v>0.23245380090709578</v>
      </c>
      <c r="K91" s="210">
        <f t="shared" si="41"/>
        <v>0.15846013422173533</v>
      </c>
      <c r="L91" s="210">
        <f t="shared" si="41"/>
        <v>7.3255966515055171E-2</v>
      </c>
      <c r="M91" s="210">
        <f t="shared" si="41"/>
        <v>-1.0286654452064781E-2</v>
      </c>
      <c r="N91" s="210">
        <f t="shared" si="41"/>
        <v>-0.10602847150423766</v>
      </c>
      <c r="O91" s="210">
        <f t="shared" si="41"/>
        <v>-0.18459366443955139</v>
      </c>
      <c r="P91" s="210">
        <f t="shared" si="41"/>
        <v>-0.26873343468837785</v>
      </c>
      <c r="Q91" s="210">
        <f t="shared" si="41"/>
        <v>-0.35541506250993926</v>
      </c>
      <c r="R91" s="210">
        <f t="shared" si="41"/>
        <v>-0.4420013957871487</v>
      </c>
      <c r="S91" s="210">
        <f t="shared" si="41"/>
        <v>-0.5288518756124434</v>
      </c>
    </row>
    <row r="92" spans="1:19" x14ac:dyDescent="0.25">
      <c r="A92" s="172" t="s">
        <v>141</v>
      </c>
      <c r="B92" s="195">
        <f>monthly_data!$AE56/1000</f>
        <v>1.9035799999999998</v>
      </c>
      <c r="C92" s="195">
        <f>monthly_data!$AE68/1000</f>
        <v>1.9063299999999999</v>
      </c>
      <c r="D92" s="195">
        <f>monthly_data!$AE80/1000</f>
        <v>2.17991</v>
      </c>
      <c r="E92" s="195">
        <f>monthly_data!$AE92/1000</f>
        <v>1.47712</v>
      </c>
      <c r="F92" s="195">
        <f>monthly_data!$AE104/1000</f>
        <v>1.3380999999999998</v>
      </c>
      <c r="G92" s="195">
        <f>monthly_data!$AE116/1000</f>
        <v>1.5301800000000001</v>
      </c>
      <c r="H92" s="195">
        <f>monthly_data!$AE128/1000</f>
        <v>1.605</v>
      </c>
      <c r="I92" s="210">
        <f t="shared" si="41"/>
        <v>0.37124821158531596</v>
      </c>
      <c r="J92" s="210">
        <f t="shared" si="41"/>
        <v>0.29184323597702067</v>
      </c>
      <c r="K92" s="210">
        <f t="shared" si="41"/>
        <v>0.21172900879438972</v>
      </c>
      <c r="L92" s="210">
        <f t="shared" si="41"/>
        <v>0.12956019036215061</v>
      </c>
      <c r="M92" s="210">
        <f t="shared" si="41"/>
        <v>2.6047690347159147E-2</v>
      </c>
      <c r="N92" s="210">
        <f t="shared" si="41"/>
        <v>-5.2205801827565512E-2</v>
      </c>
      <c r="O92" s="210">
        <f t="shared" si="41"/>
        <v>-0.13829033455481277</v>
      </c>
      <c r="P92" s="210">
        <f t="shared" si="41"/>
        <v>-0.22573502213076324</v>
      </c>
      <c r="Q92" s="210">
        <f t="shared" si="41"/>
        <v>-0.31463049465848059</v>
      </c>
      <c r="R92" s="210">
        <f t="shared" si="41"/>
        <v>-0.40405852831740363</v>
      </c>
      <c r="S92" s="210">
        <f t="shared" si="41"/>
        <v>-0.49007124596628238</v>
      </c>
    </row>
    <row r="93" spans="1:19" x14ac:dyDescent="0.25">
      <c r="A93" s="172" t="s">
        <v>142</v>
      </c>
      <c r="B93" s="195">
        <f>monthly_data!$AE57/1000</f>
        <v>1.6089</v>
      </c>
      <c r="C93" s="195">
        <f>monthly_data!$AE69/1000</f>
        <v>2.1089499999999997</v>
      </c>
      <c r="D93" s="195">
        <f>monthly_data!$AE81/1000</f>
        <v>2.03362</v>
      </c>
      <c r="E93" s="195">
        <f>monthly_data!$AE93/1000</f>
        <v>1.6349100000000001</v>
      </c>
      <c r="F93" s="195">
        <f>monthly_data!$AE105/1000</f>
        <v>1.2731300000000001</v>
      </c>
      <c r="G93" s="195">
        <f>monthly_data!$AE117/1000</f>
        <v>1.33789</v>
      </c>
      <c r="H93" s="195">
        <f>monthly_data!$AE129/1000</f>
        <v>1.5409999999999999</v>
      </c>
      <c r="I93" s="210">
        <f t="shared" si="41"/>
        <v>0.30540446990140468</v>
      </c>
      <c r="J93" s="210">
        <f t="shared" si="41"/>
        <v>0.2435623578653634</v>
      </c>
      <c r="K93" s="210">
        <f t="shared" si="41"/>
        <v>0.14555051355943682</v>
      </c>
      <c r="L93" s="210">
        <f t="shared" si="41"/>
        <v>3.4030861972252691E-2</v>
      </c>
      <c r="M93" s="210">
        <f t="shared" si="41"/>
        <v>-2.3393844853483614E-2</v>
      </c>
      <c r="N93" s="210">
        <f t="shared" si="41"/>
        <v>-0.10376042117866069</v>
      </c>
      <c r="O93" s="210">
        <f t="shared" si="41"/>
        <v>-0.18729816943023225</v>
      </c>
      <c r="P93" s="210">
        <f t="shared" si="41"/>
        <v>-0.27493596727813951</v>
      </c>
      <c r="Q93" s="210">
        <f t="shared" si="41"/>
        <v>-0.36051090976621047</v>
      </c>
      <c r="R93" s="210">
        <f t="shared" si="41"/>
        <v>-0.44004796816372727</v>
      </c>
      <c r="S93" s="210">
        <f t="shared" si="41"/>
        <v>-0.52387925911229383</v>
      </c>
    </row>
    <row r="94" spans="1:19" x14ac:dyDescent="0.25">
      <c r="A94" s="172" t="s">
        <v>143</v>
      </c>
      <c r="B94" s="195">
        <f>monthly_data!$AE58/1000</f>
        <v>2.0164599999999999</v>
      </c>
      <c r="C94" s="195">
        <f>monthly_data!$AE70/1000</f>
        <v>1.9922</v>
      </c>
      <c r="D94" s="195">
        <f>monthly_data!$AE82/1000</f>
        <v>2.1253600000000001</v>
      </c>
      <c r="E94" s="195">
        <f>monthly_data!$AE94/1000</f>
        <v>1.6102300000000001</v>
      </c>
      <c r="F94" s="195">
        <f>monthly_data!$AE106/1000</f>
        <v>1.5785100000000001</v>
      </c>
      <c r="G94" s="195">
        <f>monthly_data!$AE118/1000</f>
        <v>1.4522999999999999</v>
      </c>
      <c r="H94" s="195">
        <f>monthly_data!$AE130/1000</f>
        <v>1.6220000000000001</v>
      </c>
      <c r="I94" s="210">
        <f t="shared" si="41"/>
        <v>0.5847177317633041</v>
      </c>
      <c r="J94" s="210">
        <f t="shared" si="41"/>
        <v>0.50932111389746559</v>
      </c>
      <c r="K94" s="210">
        <f t="shared" si="41"/>
        <v>0.45127056825301493</v>
      </c>
      <c r="L94" s="210">
        <f t="shared" si="41"/>
        <v>0.32595141467235011</v>
      </c>
      <c r="M94" s="210">
        <f t="shared" si="41"/>
        <v>0.2616971411989506</v>
      </c>
      <c r="N94" s="210">
        <f t="shared" si="41"/>
        <v>0.19270838837707727</v>
      </c>
      <c r="O94" s="210">
        <f t="shared" si="41"/>
        <v>0.11234141730526215</v>
      </c>
      <c r="P94" s="210">
        <f t="shared" si="41"/>
        <v>3.1543394979656192E-2</v>
      </c>
      <c r="Q94" s="210">
        <f t="shared" si="41"/>
        <v>-5.3983812234311923E-2</v>
      </c>
      <c r="R94" s="210">
        <f t="shared" si="41"/>
        <v>-0.13073346191663182</v>
      </c>
      <c r="S94" s="210">
        <f t="shared" si="41"/>
        <v>-0.21021881479807103</v>
      </c>
    </row>
    <row r="95" spans="1:19" x14ac:dyDescent="0.25">
      <c r="A95" s="211"/>
      <c r="B95" s="212"/>
      <c r="C95" s="212"/>
      <c r="D95" s="212"/>
      <c r="E95" s="212"/>
      <c r="F95" s="212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</row>
    <row r="96" spans="1:19" x14ac:dyDescent="0.25">
      <c r="A96" s="172"/>
    </row>
    <row r="97" spans="1:13" x14ac:dyDescent="0.25">
      <c r="A97" s="172"/>
    </row>
    <row r="98" spans="1:13" x14ac:dyDescent="0.25">
      <c r="A98" s="172"/>
    </row>
    <row r="112" spans="1:13" x14ac:dyDescent="0.25">
      <c r="A112" s="172"/>
      <c r="M112" s="214"/>
    </row>
    <row r="113" spans="1:19" s="172" customFormat="1" x14ac:dyDescent="0.25">
      <c r="A113" s="190"/>
      <c r="B113" s="189"/>
      <c r="C113" s="189"/>
      <c r="D113" s="189"/>
      <c r="E113" s="189"/>
      <c r="F113" s="189"/>
      <c r="G113" s="192"/>
      <c r="H113" s="192"/>
      <c r="I113" s="192"/>
      <c r="J113" s="192"/>
      <c r="K113" s="192"/>
      <c r="L113" s="192"/>
      <c r="M113" s="193"/>
      <c r="N113" s="193"/>
      <c r="O113" s="193"/>
      <c r="P113" s="193"/>
      <c r="Q113" s="193"/>
      <c r="R113" s="193"/>
      <c r="S113" s="193"/>
    </row>
    <row r="160" spans="2:19" s="172" customFormat="1" x14ac:dyDescent="0.25">
      <c r="B160" s="209"/>
      <c r="C160" s="209"/>
      <c r="D160" s="209"/>
      <c r="E160" s="209"/>
      <c r="F160" s="209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</row>
    <row r="161" spans="2:19" s="172" customFormat="1" x14ac:dyDescent="0.25">
      <c r="B161" s="209"/>
      <c r="C161" s="209"/>
      <c r="D161" s="209"/>
      <c r="E161" s="209"/>
      <c r="F161" s="209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</row>
    <row r="162" spans="2:19" s="172" customFormat="1" x14ac:dyDescent="0.25">
      <c r="B162" s="209"/>
      <c r="C162" s="209"/>
      <c r="D162" s="209"/>
      <c r="E162" s="209"/>
      <c r="F162" s="209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</row>
    <row r="163" spans="2:19" s="172" customFormat="1" x14ac:dyDescent="0.25">
      <c r="B163" s="209"/>
      <c r="C163" s="209"/>
      <c r="D163" s="209"/>
      <c r="E163" s="209"/>
      <c r="F163" s="209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</row>
    <row r="164" spans="2:19" s="172" customFormat="1" x14ac:dyDescent="0.25">
      <c r="B164" s="209"/>
      <c r="C164" s="209"/>
      <c r="D164" s="209"/>
      <c r="E164" s="209"/>
      <c r="F164" s="209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</row>
    <row r="165" spans="2:19" s="172" customFormat="1" x14ac:dyDescent="0.25">
      <c r="B165" s="209"/>
      <c r="C165" s="209"/>
      <c r="D165" s="209"/>
      <c r="E165" s="209"/>
      <c r="F165" s="209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</row>
    <row r="166" spans="2:19" s="172" customFormat="1" x14ac:dyDescent="0.25">
      <c r="B166" s="209"/>
      <c r="C166" s="209"/>
      <c r="D166" s="209"/>
      <c r="E166" s="209"/>
      <c r="F166" s="209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</row>
    <row r="167" spans="2:19" s="172" customFormat="1" x14ac:dyDescent="0.25">
      <c r="B167" s="209"/>
      <c r="C167" s="209"/>
      <c r="D167" s="209"/>
      <c r="E167" s="209"/>
      <c r="F167" s="209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</row>
    <row r="168" spans="2:19" s="172" customFormat="1" x14ac:dyDescent="0.25">
      <c r="B168" s="209"/>
      <c r="C168" s="209"/>
      <c r="D168" s="209"/>
      <c r="E168" s="209"/>
      <c r="F168" s="209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</row>
    <row r="169" spans="2:19" s="172" customFormat="1" x14ac:dyDescent="0.25">
      <c r="B169" s="209"/>
      <c r="C169" s="209"/>
      <c r="D169" s="209"/>
      <c r="E169" s="209"/>
      <c r="F169" s="209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</row>
    <row r="170" spans="2:19" s="172" customFormat="1" x14ac:dyDescent="0.25">
      <c r="B170" s="209"/>
      <c r="C170" s="209"/>
      <c r="D170" s="209"/>
      <c r="E170" s="209"/>
      <c r="F170" s="209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</row>
    <row r="171" spans="2:19" s="172" customFormat="1" x14ac:dyDescent="0.25">
      <c r="B171" s="209"/>
      <c r="C171" s="209"/>
      <c r="D171" s="209"/>
      <c r="E171" s="209"/>
      <c r="F171" s="209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</row>
    <row r="172" spans="2:19" s="172" customFormat="1" x14ac:dyDescent="0.25">
      <c r="B172" s="209"/>
      <c r="C172" s="209"/>
      <c r="D172" s="209"/>
      <c r="E172" s="209"/>
      <c r="F172" s="209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</row>
    <row r="173" spans="2:19" s="172" customFormat="1" x14ac:dyDescent="0.25">
      <c r="B173" s="209"/>
      <c r="C173" s="209"/>
      <c r="D173" s="209"/>
      <c r="E173" s="209"/>
      <c r="F173" s="209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</row>
    <row r="174" spans="2:19" s="172" customFormat="1" x14ac:dyDescent="0.25">
      <c r="B174" s="209"/>
      <c r="C174" s="209"/>
      <c r="D174" s="209"/>
      <c r="E174" s="209"/>
      <c r="F174" s="209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</row>
    <row r="175" spans="2:19" s="172" customFormat="1" x14ac:dyDescent="0.25">
      <c r="B175" s="209"/>
      <c r="C175" s="209"/>
      <c r="D175" s="209"/>
      <c r="E175" s="209"/>
      <c r="F175" s="209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</row>
    <row r="176" spans="2:19" s="172" customFormat="1" x14ac:dyDescent="0.25">
      <c r="B176" s="209"/>
      <c r="C176" s="209"/>
      <c r="D176" s="209"/>
      <c r="E176" s="209"/>
      <c r="F176" s="209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</row>
    <row r="177" spans="2:19" s="172" customFormat="1" x14ac:dyDescent="0.25">
      <c r="B177" s="209"/>
      <c r="C177" s="209"/>
      <c r="D177" s="209"/>
      <c r="E177" s="209"/>
      <c r="F177" s="209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</row>
    <row r="178" spans="2:19" s="172" customFormat="1" x14ac:dyDescent="0.25">
      <c r="B178" s="209"/>
      <c r="C178" s="209"/>
      <c r="D178" s="209"/>
      <c r="E178" s="209"/>
      <c r="F178" s="209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</row>
    <row r="179" spans="2:19" s="172" customFormat="1" x14ac:dyDescent="0.25">
      <c r="B179" s="209"/>
      <c r="C179" s="209"/>
      <c r="D179" s="209"/>
      <c r="E179" s="209"/>
      <c r="F179" s="209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</row>
    <row r="180" spans="2:19" s="172" customFormat="1" x14ac:dyDescent="0.25">
      <c r="B180" s="209"/>
      <c r="C180" s="209"/>
      <c r="D180" s="209"/>
      <c r="E180" s="209"/>
      <c r="F180" s="209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</row>
    <row r="181" spans="2:19" s="172" customFormat="1" x14ac:dyDescent="0.25">
      <c r="B181" s="209"/>
      <c r="C181" s="209"/>
      <c r="D181" s="209"/>
      <c r="E181" s="209"/>
      <c r="F181" s="209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</row>
    <row r="182" spans="2:19" s="172" customFormat="1" x14ac:dyDescent="0.25">
      <c r="B182" s="209"/>
      <c r="C182" s="209"/>
      <c r="D182" s="209"/>
      <c r="E182" s="209"/>
      <c r="F182" s="209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</row>
    <row r="183" spans="2:19" s="172" customFormat="1" x14ac:dyDescent="0.25">
      <c r="B183" s="209"/>
      <c r="C183" s="209"/>
      <c r="D183" s="209"/>
      <c r="E183" s="209"/>
      <c r="F183" s="209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</row>
    <row r="184" spans="2:19" s="172" customFormat="1" x14ac:dyDescent="0.25">
      <c r="B184" s="209"/>
      <c r="C184" s="209"/>
      <c r="D184" s="209"/>
      <c r="E184" s="209"/>
      <c r="F184" s="209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</row>
    <row r="185" spans="2:19" s="172" customFormat="1" x14ac:dyDescent="0.25">
      <c r="B185" s="209"/>
      <c r="C185" s="209"/>
      <c r="D185" s="209"/>
      <c r="E185" s="209"/>
      <c r="F185" s="209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</row>
    <row r="186" spans="2:19" s="172" customFormat="1" x14ac:dyDescent="0.25">
      <c r="B186" s="209"/>
      <c r="C186" s="209"/>
      <c r="D186" s="209"/>
      <c r="E186" s="209"/>
      <c r="F186" s="209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</row>
    <row r="187" spans="2:19" s="172" customFormat="1" x14ac:dyDescent="0.25">
      <c r="B187" s="209"/>
      <c r="C187" s="209"/>
      <c r="D187" s="209"/>
      <c r="E187" s="209"/>
      <c r="F187" s="209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</row>
    <row r="188" spans="2:19" s="172" customFormat="1" x14ac:dyDescent="0.25">
      <c r="B188" s="209"/>
      <c r="C188" s="209"/>
      <c r="D188" s="209"/>
      <c r="E188" s="209"/>
      <c r="F188" s="209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</row>
    <row r="189" spans="2:19" s="172" customFormat="1" x14ac:dyDescent="0.25">
      <c r="B189" s="209"/>
      <c r="C189" s="209"/>
      <c r="D189" s="209"/>
      <c r="E189" s="209"/>
      <c r="F189" s="209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</row>
    <row r="190" spans="2:19" s="172" customFormat="1" x14ac:dyDescent="0.25">
      <c r="B190" s="209"/>
      <c r="C190" s="209"/>
      <c r="D190" s="209"/>
      <c r="E190" s="209"/>
      <c r="F190" s="209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</row>
    <row r="191" spans="2:19" s="172" customFormat="1" x14ac:dyDescent="0.25">
      <c r="B191" s="209"/>
      <c r="C191" s="209"/>
      <c r="D191" s="209"/>
      <c r="E191" s="209"/>
      <c r="F191" s="209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</row>
    <row r="192" spans="2:19" s="172" customFormat="1" x14ac:dyDescent="0.25">
      <c r="B192" s="209"/>
      <c r="C192" s="209"/>
      <c r="D192" s="209"/>
      <c r="E192" s="209"/>
      <c r="F192" s="209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</row>
    <row r="193" spans="2:19" s="172" customFormat="1" x14ac:dyDescent="0.25">
      <c r="B193" s="209"/>
      <c r="C193" s="209"/>
      <c r="D193" s="209"/>
      <c r="E193" s="209"/>
      <c r="F193" s="209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</row>
    <row r="194" spans="2:19" s="172" customFormat="1" x14ac:dyDescent="0.25">
      <c r="B194" s="209"/>
      <c r="C194" s="209"/>
      <c r="D194" s="209"/>
      <c r="E194" s="209"/>
      <c r="F194" s="209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</row>
    <row r="195" spans="2:19" s="172" customFormat="1" x14ac:dyDescent="0.25">
      <c r="B195" s="209"/>
      <c r="C195" s="209"/>
      <c r="D195" s="209"/>
      <c r="E195" s="209"/>
      <c r="F195" s="209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</row>
    <row r="196" spans="2:19" s="172" customFormat="1" x14ac:dyDescent="0.25">
      <c r="B196" s="209"/>
      <c r="C196" s="209"/>
      <c r="D196" s="209"/>
      <c r="E196" s="209"/>
      <c r="F196" s="209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</row>
    <row r="197" spans="2:19" s="172" customFormat="1" x14ac:dyDescent="0.25">
      <c r="B197" s="209"/>
      <c r="C197" s="209"/>
      <c r="D197" s="209"/>
      <c r="E197" s="209"/>
      <c r="F197" s="209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</row>
    <row r="198" spans="2:19" s="172" customFormat="1" x14ac:dyDescent="0.25">
      <c r="B198" s="209"/>
      <c r="C198" s="209"/>
      <c r="D198" s="209"/>
      <c r="E198" s="209"/>
      <c r="F198" s="209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</row>
    <row r="199" spans="2:19" s="172" customFormat="1" x14ac:dyDescent="0.25">
      <c r="B199" s="209"/>
      <c r="C199" s="209"/>
      <c r="D199" s="209"/>
      <c r="E199" s="209"/>
      <c r="F199" s="209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</row>
    <row r="200" spans="2:19" s="172" customFormat="1" x14ac:dyDescent="0.25">
      <c r="B200" s="209"/>
      <c r="C200" s="209"/>
      <c r="D200" s="209"/>
      <c r="E200" s="209"/>
      <c r="F200" s="209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</row>
    <row r="201" spans="2:19" s="172" customFormat="1" x14ac:dyDescent="0.25">
      <c r="B201" s="209"/>
      <c r="C201" s="209"/>
      <c r="D201" s="209"/>
      <c r="E201" s="209"/>
      <c r="F201" s="209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</row>
    <row r="202" spans="2:19" s="172" customFormat="1" x14ac:dyDescent="0.25">
      <c r="B202" s="209"/>
      <c r="C202" s="209"/>
      <c r="D202" s="209"/>
      <c r="E202" s="209"/>
      <c r="F202" s="209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</row>
    <row r="203" spans="2:19" s="172" customFormat="1" x14ac:dyDescent="0.25">
      <c r="B203" s="209"/>
      <c r="C203" s="209"/>
      <c r="D203" s="209"/>
      <c r="E203" s="209"/>
      <c r="F203" s="209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</row>
    <row r="204" spans="2:19" s="172" customFormat="1" x14ac:dyDescent="0.25">
      <c r="B204" s="209"/>
      <c r="C204" s="209"/>
      <c r="D204" s="209"/>
      <c r="E204" s="209"/>
      <c r="F204" s="209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</row>
    <row r="205" spans="2:19" s="172" customFormat="1" x14ac:dyDescent="0.25">
      <c r="B205" s="209"/>
      <c r="C205" s="209"/>
      <c r="D205" s="209"/>
      <c r="E205" s="209"/>
      <c r="F205" s="209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</row>
    <row r="206" spans="2:19" s="172" customFormat="1" x14ac:dyDescent="0.25">
      <c r="B206" s="209"/>
      <c r="C206" s="209"/>
      <c r="D206" s="209"/>
      <c r="E206" s="209"/>
      <c r="F206" s="209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</row>
    <row r="207" spans="2:19" s="172" customFormat="1" x14ac:dyDescent="0.25">
      <c r="B207" s="209"/>
      <c r="C207" s="209"/>
      <c r="D207" s="209"/>
      <c r="E207" s="209"/>
      <c r="F207" s="209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</row>
    <row r="208" spans="2:19" s="172" customFormat="1" x14ac:dyDescent="0.25">
      <c r="B208" s="209"/>
      <c r="C208" s="209"/>
      <c r="D208" s="209"/>
      <c r="E208" s="209"/>
      <c r="F208" s="209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</row>
    <row r="209" spans="2:19" s="172" customFormat="1" x14ac:dyDescent="0.25">
      <c r="B209" s="209"/>
      <c r="C209" s="209"/>
      <c r="D209" s="209"/>
      <c r="E209" s="209"/>
      <c r="F209" s="209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</row>
    <row r="210" spans="2:19" s="172" customFormat="1" x14ac:dyDescent="0.25">
      <c r="B210" s="209"/>
      <c r="C210" s="209"/>
      <c r="D210" s="209"/>
      <c r="E210" s="209"/>
      <c r="F210" s="209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</row>
    <row r="211" spans="2:19" s="172" customFormat="1" x14ac:dyDescent="0.25">
      <c r="B211" s="209"/>
      <c r="C211" s="209"/>
      <c r="D211" s="209"/>
      <c r="E211" s="209"/>
      <c r="F211" s="209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</row>
    <row r="212" spans="2:19" s="172" customFormat="1" x14ac:dyDescent="0.25">
      <c r="B212" s="209"/>
      <c r="C212" s="209"/>
      <c r="D212" s="209"/>
      <c r="E212" s="209"/>
      <c r="F212" s="209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</row>
    <row r="213" spans="2:19" s="172" customFormat="1" x14ac:dyDescent="0.25">
      <c r="B213" s="209"/>
      <c r="C213" s="209"/>
      <c r="D213" s="209"/>
      <c r="E213" s="209"/>
      <c r="F213" s="209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</row>
    <row r="214" spans="2:19" s="172" customFormat="1" x14ac:dyDescent="0.25">
      <c r="B214" s="209"/>
      <c r="C214" s="209"/>
      <c r="D214" s="209"/>
      <c r="E214" s="209"/>
      <c r="F214" s="209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</row>
    <row r="215" spans="2:19" s="172" customFormat="1" x14ac:dyDescent="0.25">
      <c r="B215" s="209"/>
      <c r="C215" s="209"/>
      <c r="D215" s="209"/>
      <c r="E215" s="209"/>
      <c r="F215" s="209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</row>
    <row r="216" spans="2:19" s="172" customFormat="1" x14ac:dyDescent="0.25">
      <c r="B216" s="209"/>
      <c r="C216" s="209"/>
      <c r="D216" s="209"/>
      <c r="E216" s="209"/>
      <c r="F216" s="209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</row>
    <row r="217" spans="2:19" s="172" customFormat="1" x14ac:dyDescent="0.25">
      <c r="B217" s="209"/>
      <c r="C217" s="209"/>
      <c r="D217" s="209"/>
      <c r="E217" s="209"/>
      <c r="F217" s="209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</row>
    <row r="218" spans="2:19" s="172" customFormat="1" x14ac:dyDescent="0.25">
      <c r="B218" s="209"/>
      <c r="C218" s="209"/>
      <c r="D218" s="209"/>
      <c r="E218" s="209"/>
      <c r="F218" s="209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</row>
    <row r="219" spans="2:19" s="172" customFormat="1" x14ac:dyDescent="0.25">
      <c r="B219" s="209"/>
      <c r="C219" s="209"/>
      <c r="D219" s="209"/>
      <c r="E219" s="209"/>
      <c r="F219" s="209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</row>
    <row r="220" spans="2:19" s="172" customFormat="1" x14ac:dyDescent="0.25">
      <c r="B220" s="209"/>
      <c r="C220" s="209"/>
      <c r="D220" s="209"/>
      <c r="E220" s="209"/>
      <c r="F220" s="209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</row>
    <row r="221" spans="2:19" s="172" customFormat="1" x14ac:dyDescent="0.25">
      <c r="B221" s="209"/>
      <c r="C221" s="209"/>
      <c r="D221" s="209"/>
      <c r="E221" s="209"/>
      <c r="F221" s="209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</row>
    <row r="222" spans="2:19" s="172" customFormat="1" x14ac:dyDescent="0.25">
      <c r="B222" s="209"/>
      <c r="C222" s="209"/>
      <c r="D222" s="209"/>
      <c r="E222" s="209"/>
      <c r="F222" s="209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</row>
    <row r="223" spans="2:19" s="172" customFormat="1" x14ac:dyDescent="0.25">
      <c r="B223" s="209"/>
      <c r="C223" s="209"/>
      <c r="D223" s="209"/>
      <c r="E223" s="209"/>
      <c r="F223" s="209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</row>
    <row r="224" spans="2:19" s="172" customFormat="1" x14ac:dyDescent="0.25">
      <c r="B224" s="209"/>
      <c r="C224" s="209"/>
      <c r="D224" s="209"/>
      <c r="E224" s="209"/>
      <c r="F224" s="209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</row>
    <row r="225" spans="2:19" s="172" customFormat="1" x14ac:dyDescent="0.25">
      <c r="B225" s="209"/>
      <c r="C225" s="209"/>
      <c r="D225" s="209"/>
      <c r="E225" s="209"/>
      <c r="F225" s="209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</row>
    <row r="226" spans="2:19" s="172" customFormat="1" x14ac:dyDescent="0.25">
      <c r="B226" s="209"/>
      <c r="C226" s="209"/>
      <c r="D226" s="209"/>
      <c r="E226" s="209"/>
      <c r="F226" s="209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</row>
    <row r="227" spans="2:19" s="172" customFormat="1" x14ac:dyDescent="0.25">
      <c r="B227" s="209"/>
      <c r="C227" s="209"/>
      <c r="D227" s="209"/>
      <c r="E227" s="209"/>
      <c r="F227" s="209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</row>
    <row r="228" spans="2:19" s="172" customFormat="1" x14ac:dyDescent="0.25">
      <c r="B228" s="209"/>
      <c r="C228" s="209"/>
      <c r="D228" s="209"/>
      <c r="E228" s="209"/>
      <c r="F228" s="209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</row>
    <row r="229" spans="2:19" s="172" customFormat="1" x14ac:dyDescent="0.25">
      <c r="B229" s="209"/>
      <c r="C229" s="209"/>
      <c r="D229" s="209"/>
      <c r="E229" s="209"/>
      <c r="F229" s="209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</row>
    <row r="230" spans="2:19" s="172" customFormat="1" x14ac:dyDescent="0.25">
      <c r="B230" s="209"/>
      <c r="C230" s="209"/>
      <c r="D230" s="209"/>
      <c r="E230" s="209"/>
      <c r="F230" s="209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</row>
    <row r="231" spans="2:19" s="172" customFormat="1" x14ac:dyDescent="0.25">
      <c r="B231" s="209"/>
      <c r="C231" s="209"/>
      <c r="D231" s="209"/>
      <c r="E231" s="209"/>
      <c r="F231" s="209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</row>
    <row r="232" spans="2:19" s="172" customFormat="1" x14ac:dyDescent="0.25">
      <c r="B232" s="209"/>
      <c r="C232" s="209"/>
      <c r="D232" s="209"/>
      <c r="E232" s="209"/>
      <c r="F232" s="209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</row>
    <row r="233" spans="2:19" s="172" customFormat="1" x14ac:dyDescent="0.25">
      <c r="B233" s="209"/>
      <c r="C233" s="209"/>
      <c r="D233" s="209"/>
      <c r="E233" s="209"/>
      <c r="F233" s="209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</row>
    <row r="234" spans="2:19" s="172" customFormat="1" x14ac:dyDescent="0.25">
      <c r="B234" s="209"/>
      <c r="C234" s="209"/>
      <c r="D234" s="209"/>
      <c r="E234" s="209"/>
      <c r="F234" s="209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</row>
    <row r="235" spans="2:19" s="172" customFormat="1" x14ac:dyDescent="0.25">
      <c r="B235" s="209"/>
      <c r="C235" s="209"/>
      <c r="D235" s="209"/>
      <c r="E235" s="209"/>
      <c r="F235" s="209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</row>
    <row r="236" spans="2:19" s="172" customFormat="1" x14ac:dyDescent="0.25">
      <c r="B236" s="209"/>
      <c r="C236" s="209"/>
      <c r="D236" s="209"/>
      <c r="E236" s="209"/>
      <c r="F236" s="209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</row>
    <row r="237" spans="2:19" s="172" customFormat="1" x14ac:dyDescent="0.25">
      <c r="B237" s="209"/>
      <c r="C237" s="209"/>
      <c r="D237" s="209"/>
      <c r="E237" s="209"/>
      <c r="F237" s="209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</row>
    <row r="238" spans="2:19" s="172" customFormat="1" x14ac:dyDescent="0.25">
      <c r="B238" s="209"/>
      <c r="C238" s="209"/>
      <c r="D238" s="209"/>
      <c r="E238" s="209"/>
      <c r="F238" s="209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</row>
    <row r="239" spans="2:19" s="172" customFormat="1" x14ac:dyDescent="0.25">
      <c r="B239" s="209"/>
      <c r="C239" s="209"/>
      <c r="D239" s="209"/>
      <c r="E239" s="209"/>
      <c r="F239" s="209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</row>
    <row r="240" spans="2:19" s="172" customFormat="1" x14ac:dyDescent="0.25">
      <c r="B240" s="209"/>
      <c r="C240" s="209"/>
      <c r="D240" s="209"/>
      <c r="E240" s="209"/>
      <c r="F240" s="209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</row>
    <row r="241" spans="2:19" s="172" customFormat="1" x14ac:dyDescent="0.25">
      <c r="B241" s="209"/>
      <c r="C241" s="209"/>
      <c r="D241" s="209"/>
      <c r="E241" s="209"/>
      <c r="F241" s="209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</row>
    <row r="242" spans="2:19" s="172" customFormat="1" x14ac:dyDescent="0.25">
      <c r="B242" s="209"/>
      <c r="C242" s="209"/>
      <c r="D242" s="209"/>
      <c r="E242" s="209"/>
      <c r="F242" s="209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</row>
    <row r="243" spans="2:19" s="172" customFormat="1" x14ac:dyDescent="0.25">
      <c r="B243" s="209"/>
      <c r="C243" s="209"/>
      <c r="D243" s="209"/>
      <c r="E243" s="209"/>
      <c r="F243" s="209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</row>
    <row r="244" spans="2:19" s="172" customFormat="1" x14ac:dyDescent="0.25">
      <c r="B244" s="209"/>
      <c r="C244" s="209"/>
      <c r="D244" s="209"/>
      <c r="E244" s="209"/>
      <c r="F244" s="209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</row>
    <row r="245" spans="2:19" s="172" customFormat="1" x14ac:dyDescent="0.25">
      <c r="B245" s="209"/>
      <c r="C245" s="209"/>
      <c r="D245" s="209"/>
      <c r="E245" s="209"/>
      <c r="F245" s="209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</row>
    <row r="246" spans="2:19" s="172" customFormat="1" x14ac:dyDescent="0.25">
      <c r="B246" s="209"/>
      <c r="C246" s="209"/>
      <c r="D246" s="209"/>
      <c r="E246" s="209"/>
      <c r="F246" s="209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</row>
    <row r="247" spans="2:19" s="172" customFormat="1" x14ac:dyDescent="0.25">
      <c r="B247" s="209"/>
      <c r="C247" s="209"/>
      <c r="D247" s="209"/>
      <c r="E247" s="209"/>
      <c r="F247" s="209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</row>
    <row r="248" spans="2:19" s="172" customFormat="1" x14ac:dyDescent="0.25">
      <c r="B248" s="209"/>
      <c r="C248" s="209"/>
      <c r="D248" s="209"/>
      <c r="E248" s="209"/>
      <c r="F248" s="209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</row>
    <row r="249" spans="2:19" s="172" customFormat="1" x14ac:dyDescent="0.25">
      <c r="B249" s="209"/>
      <c r="C249" s="209"/>
      <c r="D249" s="209"/>
      <c r="E249" s="209"/>
      <c r="F249" s="209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</row>
    <row r="250" spans="2:19" s="172" customFormat="1" x14ac:dyDescent="0.25">
      <c r="B250" s="209"/>
      <c r="C250" s="209"/>
      <c r="D250" s="209"/>
      <c r="E250" s="209"/>
      <c r="F250" s="209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</row>
    <row r="251" spans="2:19" s="172" customFormat="1" x14ac:dyDescent="0.25">
      <c r="B251" s="209"/>
      <c r="C251" s="209"/>
      <c r="D251" s="209"/>
      <c r="E251" s="209"/>
      <c r="F251" s="209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</row>
    <row r="252" spans="2:19" s="172" customFormat="1" x14ac:dyDescent="0.25">
      <c r="B252" s="209"/>
      <c r="C252" s="209"/>
      <c r="D252" s="209"/>
      <c r="E252" s="209"/>
      <c r="F252" s="209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</row>
    <row r="253" spans="2:19" s="172" customFormat="1" x14ac:dyDescent="0.25">
      <c r="B253" s="209"/>
      <c r="C253" s="209"/>
      <c r="D253" s="209"/>
      <c r="E253" s="209"/>
      <c r="F253" s="209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</row>
    <row r="254" spans="2:19" s="172" customFormat="1" x14ac:dyDescent="0.25">
      <c r="B254" s="209"/>
      <c r="C254" s="209"/>
      <c r="D254" s="209"/>
      <c r="E254" s="209"/>
      <c r="F254" s="209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</row>
    <row r="255" spans="2:19" s="172" customFormat="1" x14ac:dyDescent="0.25">
      <c r="B255" s="209"/>
      <c r="C255" s="209"/>
      <c r="D255" s="209"/>
      <c r="E255" s="209"/>
      <c r="F255" s="209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</row>
    <row r="256" spans="2:19" s="172" customFormat="1" x14ac:dyDescent="0.25">
      <c r="B256" s="209"/>
      <c r="C256" s="209"/>
      <c r="D256" s="209"/>
      <c r="E256" s="209"/>
      <c r="F256" s="209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</row>
    <row r="257" spans="2:19" s="172" customFormat="1" x14ac:dyDescent="0.25">
      <c r="B257" s="209"/>
      <c r="C257" s="209"/>
      <c r="D257" s="209"/>
      <c r="E257" s="209"/>
      <c r="F257" s="209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</row>
    <row r="258" spans="2:19" s="172" customFormat="1" x14ac:dyDescent="0.25">
      <c r="B258" s="209"/>
      <c r="C258" s="209"/>
      <c r="D258" s="209"/>
      <c r="E258" s="209"/>
      <c r="F258" s="209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</row>
    <row r="259" spans="2:19" s="172" customFormat="1" x14ac:dyDescent="0.25">
      <c r="B259" s="209"/>
      <c r="C259" s="209"/>
      <c r="D259" s="209"/>
      <c r="E259" s="209"/>
      <c r="F259" s="209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</row>
    <row r="260" spans="2:19" s="172" customFormat="1" x14ac:dyDescent="0.25">
      <c r="B260" s="209"/>
      <c r="C260" s="209"/>
      <c r="D260" s="209"/>
      <c r="E260" s="209"/>
      <c r="F260" s="209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</row>
    <row r="261" spans="2:19" s="172" customFormat="1" x14ac:dyDescent="0.25">
      <c r="B261" s="209"/>
      <c r="C261" s="209"/>
      <c r="D261" s="209"/>
      <c r="E261" s="209"/>
      <c r="F261" s="209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</row>
    <row r="262" spans="2:19" s="172" customFormat="1" x14ac:dyDescent="0.25">
      <c r="B262" s="209"/>
      <c r="C262" s="209"/>
      <c r="D262" s="209"/>
      <c r="E262" s="209"/>
      <c r="F262" s="209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</row>
    <row r="263" spans="2:19" s="172" customFormat="1" x14ac:dyDescent="0.25">
      <c r="B263" s="209"/>
      <c r="C263" s="209"/>
      <c r="D263" s="209"/>
      <c r="E263" s="209"/>
      <c r="F263" s="209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</row>
    <row r="264" spans="2:19" s="172" customFormat="1" x14ac:dyDescent="0.25">
      <c r="B264" s="209"/>
      <c r="C264" s="209"/>
      <c r="D264" s="209"/>
      <c r="E264" s="209"/>
      <c r="F264" s="209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</row>
    <row r="265" spans="2:19" s="172" customFormat="1" x14ac:dyDescent="0.25">
      <c r="B265" s="209"/>
      <c r="C265" s="209"/>
      <c r="D265" s="209"/>
      <c r="E265" s="209"/>
      <c r="F265" s="209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</row>
    <row r="266" spans="2:19" s="172" customFormat="1" x14ac:dyDescent="0.25">
      <c r="B266" s="209"/>
      <c r="C266" s="209"/>
      <c r="D266" s="209"/>
      <c r="E266" s="209"/>
      <c r="F266" s="209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</row>
    <row r="267" spans="2:19" s="172" customFormat="1" x14ac:dyDescent="0.25">
      <c r="B267" s="209"/>
      <c r="C267" s="209"/>
      <c r="D267" s="209"/>
      <c r="E267" s="209"/>
      <c r="F267" s="209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</row>
    <row r="268" spans="2:19" s="172" customFormat="1" x14ac:dyDescent="0.25">
      <c r="B268" s="209"/>
      <c r="C268" s="209"/>
      <c r="D268" s="209"/>
      <c r="E268" s="209"/>
      <c r="F268" s="209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</row>
    <row r="269" spans="2:19" s="172" customFormat="1" x14ac:dyDescent="0.25">
      <c r="B269" s="209"/>
      <c r="C269" s="209"/>
      <c r="D269" s="209"/>
      <c r="E269" s="209"/>
      <c r="F269" s="209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</row>
    <row r="270" spans="2:19" s="172" customFormat="1" x14ac:dyDescent="0.25">
      <c r="B270" s="209"/>
      <c r="C270" s="209"/>
      <c r="D270" s="209"/>
      <c r="E270" s="209"/>
      <c r="F270" s="209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</row>
    <row r="271" spans="2:19" s="172" customFormat="1" x14ac:dyDescent="0.25">
      <c r="B271" s="209"/>
      <c r="C271" s="209"/>
      <c r="D271" s="209"/>
      <c r="E271" s="209"/>
      <c r="F271" s="209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</row>
    <row r="272" spans="2:19" s="172" customFormat="1" x14ac:dyDescent="0.25">
      <c r="B272" s="209"/>
      <c r="C272" s="209"/>
      <c r="D272" s="209"/>
      <c r="E272" s="209"/>
      <c r="F272" s="209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</row>
    <row r="273" spans="2:19" s="172" customFormat="1" x14ac:dyDescent="0.25">
      <c r="B273" s="209"/>
      <c r="C273" s="209"/>
      <c r="D273" s="209"/>
      <c r="E273" s="209"/>
      <c r="F273" s="209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</row>
    <row r="274" spans="2:19" s="172" customFormat="1" x14ac:dyDescent="0.25">
      <c r="B274" s="209"/>
      <c r="C274" s="209"/>
      <c r="D274" s="209"/>
      <c r="E274" s="209"/>
      <c r="F274" s="209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</row>
    <row r="275" spans="2:19" s="172" customFormat="1" x14ac:dyDescent="0.25">
      <c r="B275" s="209"/>
      <c r="C275" s="209"/>
      <c r="D275" s="209"/>
      <c r="E275" s="209"/>
      <c r="F275" s="209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</row>
    <row r="276" spans="2:19" s="172" customFormat="1" x14ac:dyDescent="0.25">
      <c r="B276" s="209"/>
      <c r="C276" s="209"/>
      <c r="D276" s="209"/>
      <c r="E276" s="209"/>
      <c r="F276" s="209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</row>
    <row r="277" spans="2:19" s="172" customFormat="1" x14ac:dyDescent="0.25">
      <c r="B277" s="209"/>
      <c r="C277" s="209"/>
      <c r="D277" s="209"/>
      <c r="E277" s="209"/>
      <c r="F277" s="209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</row>
    <row r="278" spans="2:19" s="172" customFormat="1" x14ac:dyDescent="0.25">
      <c r="B278" s="209"/>
      <c r="C278" s="209"/>
      <c r="D278" s="209"/>
      <c r="E278" s="209"/>
      <c r="F278" s="209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</row>
    <row r="279" spans="2:19" s="172" customFormat="1" x14ac:dyDescent="0.25">
      <c r="B279" s="209"/>
      <c r="C279" s="209"/>
      <c r="D279" s="209"/>
      <c r="E279" s="209"/>
      <c r="F279" s="209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</row>
    <row r="280" spans="2:19" s="172" customFormat="1" x14ac:dyDescent="0.25">
      <c r="B280" s="209"/>
      <c r="C280" s="209"/>
      <c r="D280" s="209"/>
      <c r="E280" s="209"/>
      <c r="F280" s="209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</row>
    <row r="281" spans="2:19" s="172" customFormat="1" x14ac:dyDescent="0.25">
      <c r="B281" s="209"/>
      <c r="C281" s="209"/>
      <c r="D281" s="209"/>
      <c r="E281" s="209"/>
      <c r="F281" s="209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</row>
    <row r="282" spans="2:19" s="172" customFormat="1" x14ac:dyDescent="0.25">
      <c r="B282" s="209"/>
      <c r="C282" s="209"/>
      <c r="D282" s="209"/>
      <c r="E282" s="209"/>
      <c r="F282" s="209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</row>
    <row r="283" spans="2:19" s="172" customFormat="1" x14ac:dyDescent="0.25">
      <c r="B283" s="209"/>
      <c r="C283" s="209"/>
      <c r="D283" s="209"/>
      <c r="E283" s="209"/>
      <c r="F283" s="209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</row>
    <row r="284" spans="2:19" s="172" customFormat="1" x14ac:dyDescent="0.25">
      <c r="B284" s="209"/>
      <c r="C284" s="209"/>
      <c r="D284" s="209"/>
      <c r="E284" s="209"/>
      <c r="F284" s="209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</row>
    <row r="285" spans="2:19" s="172" customFormat="1" x14ac:dyDescent="0.25">
      <c r="B285" s="209"/>
      <c r="C285" s="209"/>
      <c r="D285" s="209"/>
      <c r="E285" s="209"/>
      <c r="F285" s="209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</row>
    <row r="286" spans="2:19" s="172" customFormat="1" x14ac:dyDescent="0.25">
      <c r="B286" s="209"/>
      <c r="C286" s="209"/>
      <c r="D286" s="209"/>
      <c r="E286" s="209"/>
      <c r="F286" s="209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</row>
    <row r="287" spans="2:19" s="172" customFormat="1" x14ac:dyDescent="0.25">
      <c r="B287" s="209"/>
      <c r="C287" s="209"/>
      <c r="D287" s="209"/>
      <c r="E287" s="209"/>
      <c r="F287" s="209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</row>
    <row r="288" spans="2:19" s="172" customFormat="1" x14ac:dyDescent="0.25">
      <c r="B288" s="209"/>
      <c r="C288" s="209"/>
      <c r="D288" s="209"/>
      <c r="E288" s="209"/>
      <c r="F288" s="209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</row>
    <row r="289" spans="2:19" s="172" customFormat="1" x14ac:dyDescent="0.25">
      <c r="B289" s="209"/>
      <c r="C289" s="209"/>
      <c r="D289" s="209"/>
      <c r="E289" s="209"/>
      <c r="F289" s="209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</row>
    <row r="290" spans="2:19" s="172" customFormat="1" x14ac:dyDescent="0.25">
      <c r="B290" s="209"/>
      <c r="C290" s="209"/>
      <c r="D290" s="209"/>
      <c r="E290" s="209"/>
      <c r="F290" s="209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</row>
    <row r="291" spans="2:19" s="172" customFormat="1" x14ac:dyDescent="0.25">
      <c r="B291" s="209"/>
      <c r="C291" s="209"/>
      <c r="D291" s="209"/>
      <c r="E291" s="209"/>
      <c r="F291" s="209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</row>
    <row r="292" spans="2:19" s="172" customFormat="1" x14ac:dyDescent="0.25">
      <c r="B292" s="209"/>
      <c r="C292" s="209"/>
      <c r="D292" s="209"/>
      <c r="E292" s="209"/>
      <c r="F292" s="209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</row>
    <row r="293" spans="2:19" s="172" customFormat="1" x14ac:dyDescent="0.25">
      <c r="B293" s="209"/>
      <c r="C293" s="209"/>
      <c r="D293" s="209"/>
      <c r="E293" s="209"/>
      <c r="F293" s="209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</row>
    <row r="294" spans="2:19" s="172" customFormat="1" x14ac:dyDescent="0.25">
      <c r="B294" s="209"/>
      <c r="C294" s="209"/>
      <c r="D294" s="209"/>
      <c r="E294" s="209"/>
      <c r="F294" s="209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</row>
    <row r="295" spans="2:19" s="172" customFormat="1" x14ac:dyDescent="0.25">
      <c r="B295" s="209"/>
      <c r="C295" s="209"/>
      <c r="D295" s="209"/>
      <c r="E295" s="209"/>
      <c r="F295" s="209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</row>
    <row r="296" spans="2:19" s="172" customFormat="1" x14ac:dyDescent="0.25">
      <c r="B296" s="209"/>
      <c r="C296" s="209"/>
      <c r="D296" s="209"/>
      <c r="E296" s="209"/>
      <c r="F296" s="209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</row>
    <row r="297" spans="2:19" s="172" customFormat="1" x14ac:dyDescent="0.25">
      <c r="B297" s="209"/>
      <c r="C297" s="209"/>
      <c r="D297" s="209"/>
      <c r="E297" s="209"/>
      <c r="F297" s="209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</row>
    <row r="298" spans="2:19" s="172" customFormat="1" x14ac:dyDescent="0.25">
      <c r="B298" s="209"/>
      <c r="C298" s="209"/>
      <c r="D298" s="209"/>
      <c r="E298" s="209"/>
      <c r="F298" s="209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</row>
    <row r="299" spans="2:19" s="172" customFormat="1" x14ac:dyDescent="0.25">
      <c r="B299" s="209"/>
      <c r="C299" s="209"/>
      <c r="D299" s="209"/>
      <c r="E299" s="209"/>
      <c r="F299" s="209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</row>
    <row r="300" spans="2:19" s="172" customFormat="1" x14ac:dyDescent="0.25">
      <c r="B300" s="209"/>
      <c r="C300" s="209"/>
      <c r="D300" s="209"/>
      <c r="E300" s="209"/>
      <c r="F300" s="209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</row>
    <row r="301" spans="2:19" s="172" customFormat="1" x14ac:dyDescent="0.25">
      <c r="B301" s="209"/>
      <c r="C301" s="209"/>
      <c r="D301" s="209"/>
      <c r="E301" s="209"/>
      <c r="F301" s="209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</row>
    <row r="302" spans="2:19" s="172" customFormat="1" x14ac:dyDescent="0.25">
      <c r="B302" s="209"/>
      <c r="C302" s="209"/>
      <c r="D302" s="209"/>
      <c r="E302" s="209"/>
      <c r="F302" s="209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</row>
    <row r="303" spans="2:19" s="172" customFormat="1" x14ac:dyDescent="0.25">
      <c r="B303" s="209"/>
      <c r="C303" s="209"/>
      <c r="D303" s="209"/>
      <c r="E303" s="209"/>
      <c r="F303" s="209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</row>
    <row r="304" spans="2:19" s="172" customFormat="1" x14ac:dyDescent="0.25">
      <c r="B304" s="209"/>
      <c r="C304" s="209"/>
      <c r="D304" s="209"/>
      <c r="E304" s="209"/>
      <c r="F304" s="209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</row>
    <row r="305" spans="2:19" s="172" customFormat="1" x14ac:dyDescent="0.25">
      <c r="B305" s="209"/>
      <c r="C305" s="209"/>
      <c r="D305" s="209"/>
      <c r="E305" s="209"/>
      <c r="F305" s="209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</row>
    <row r="306" spans="2:19" s="172" customFormat="1" x14ac:dyDescent="0.25">
      <c r="B306" s="209"/>
      <c r="C306" s="209"/>
      <c r="D306" s="209"/>
      <c r="E306" s="209"/>
      <c r="F306" s="209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</row>
    <row r="307" spans="2:19" s="172" customFormat="1" x14ac:dyDescent="0.25">
      <c r="B307" s="209"/>
      <c r="C307" s="209"/>
      <c r="D307" s="209"/>
      <c r="E307" s="209"/>
      <c r="F307" s="209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</row>
    <row r="308" spans="2:19" s="172" customFormat="1" x14ac:dyDescent="0.25">
      <c r="B308" s="209"/>
      <c r="C308" s="209"/>
      <c r="D308" s="209"/>
      <c r="E308" s="209"/>
      <c r="F308" s="209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</row>
    <row r="309" spans="2:19" s="172" customFormat="1" x14ac:dyDescent="0.25">
      <c r="B309" s="209"/>
      <c r="C309" s="209"/>
      <c r="D309" s="209"/>
      <c r="E309" s="209"/>
      <c r="F309" s="209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</row>
    <row r="310" spans="2:19" s="172" customFormat="1" x14ac:dyDescent="0.25">
      <c r="B310" s="209"/>
      <c r="C310" s="209"/>
      <c r="D310" s="209"/>
      <c r="E310" s="209"/>
      <c r="F310" s="209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</row>
    <row r="311" spans="2:19" s="172" customFormat="1" x14ac:dyDescent="0.25">
      <c r="B311" s="209"/>
      <c r="C311" s="209"/>
      <c r="D311" s="209"/>
      <c r="E311" s="209"/>
      <c r="F311" s="209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</row>
    <row r="312" spans="2:19" s="172" customFormat="1" x14ac:dyDescent="0.25">
      <c r="B312" s="209"/>
      <c r="C312" s="209"/>
      <c r="D312" s="209"/>
      <c r="E312" s="209"/>
      <c r="F312" s="209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</row>
    <row r="313" spans="2:19" s="172" customFormat="1" x14ac:dyDescent="0.25">
      <c r="B313" s="209"/>
      <c r="C313" s="209"/>
      <c r="D313" s="209"/>
      <c r="E313" s="209"/>
      <c r="F313" s="209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</row>
    <row r="314" spans="2:19" s="172" customFormat="1" x14ac:dyDescent="0.25">
      <c r="B314" s="209"/>
      <c r="C314" s="209"/>
      <c r="D314" s="209"/>
      <c r="E314" s="209"/>
      <c r="F314" s="209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</row>
    <row r="315" spans="2:19" s="172" customFormat="1" x14ac:dyDescent="0.25">
      <c r="B315" s="209"/>
      <c r="C315" s="209"/>
      <c r="D315" s="209"/>
      <c r="E315" s="209"/>
      <c r="F315" s="209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</row>
    <row r="316" spans="2:19" s="172" customFormat="1" x14ac:dyDescent="0.25">
      <c r="B316" s="209"/>
      <c r="C316" s="209"/>
      <c r="D316" s="209"/>
      <c r="E316" s="209"/>
      <c r="F316" s="209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</row>
    <row r="317" spans="2:19" s="172" customFormat="1" x14ac:dyDescent="0.25">
      <c r="B317" s="209"/>
      <c r="C317" s="209"/>
      <c r="D317" s="209"/>
      <c r="E317" s="209"/>
      <c r="F317" s="209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</row>
    <row r="318" spans="2:19" s="172" customFormat="1" x14ac:dyDescent="0.25">
      <c r="B318" s="209"/>
      <c r="C318" s="209"/>
      <c r="D318" s="209"/>
      <c r="E318" s="209"/>
      <c r="F318" s="209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</row>
    <row r="319" spans="2:19" s="172" customFormat="1" x14ac:dyDescent="0.25">
      <c r="B319" s="209"/>
      <c r="C319" s="209"/>
      <c r="D319" s="209"/>
      <c r="E319" s="209"/>
      <c r="F319" s="209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</row>
    <row r="320" spans="2:19" s="172" customFormat="1" x14ac:dyDescent="0.25">
      <c r="B320" s="209"/>
      <c r="C320" s="209"/>
      <c r="D320" s="209"/>
      <c r="E320" s="209"/>
      <c r="F320" s="209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</row>
    <row r="321" spans="2:19" s="172" customFormat="1" x14ac:dyDescent="0.25">
      <c r="B321" s="209"/>
      <c r="C321" s="209"/>
      <c r="D321" s="209"/>
      <c r="E321" s="209"/>
      <c r="F321" s="209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</row>
    <row r="322" spans="2:19" s="172" customFormat="1" x14ac:dyDescent="0.25">
      <c r="B322" s="209"/>
      <c r="C322" s="209"/>
      <c r="D322" s="209"/>
      <c r="E322" s="209"/>
      <c r="F322" s="209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</row>
    <row r="323" spans="2:19" s="172" customFormat="1" x14ac:dyDescent="0.25">
      <c r="B323" s="209"/>
      <c r="C323" s="209"/>
      <c r="D323" s="209"/>
      <c r="E323" s="209"/>
      <c r="F323" s="209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</row>
    <row r="324" spans="2:19" s="172" customFormat="1" x14ac:dyDescent="0.25">
      <c r="B324" s="209"/>
      <c r="C324" s="209"/>
      <c r="D324" s="209"/>
      <c r="E324" s="209"/>
      <c r="F324" s="209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</row>
    <row r="325" spans="2:19" s="172" customFormat="1" x14ac:dyDescent="0.25">
      <c r="B325" s="209"/>
      <c r="C325" s="209"/>
      <c r="D325" s="209"/>
      <c r="E325" s="209"/>
      <c r="F325" s="209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</row>
    <row r="326" spans="2:19" s="172" customFormat="1" x14ac:dyDescent="0.25">
      <c r="B326" s="209"/>
      <c r="C326" s="209"/>
      <c r="D326" s="209"/>
      <c r="E326" s="209"/>
      <c r="F326" s="209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</row>
    <row r="327" spans="2:19" s="172" customFormat="1" x14ac:dyDescent="0.25">
      <c r="B327" s="209"/>
      <c r="C327" s="209"/>
      <c r="D327" s="209"/>
      <c r="E327" s="209"/>
      <c r="F327" s="209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</row>
    <row r="328" spans="2:19" s="172" customFormat="1" x14ac:dyDescent="0.25">
      <c r="B328" s="209"/>
      <c r="C328" s="209"/>
      <c r="D328" s="209"/>
      <c r="E328" s="209"/>
      <c r="F328" s="209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</row>
    <row r="329" spans="2:19" s="172" customFormat="1" x14ac:dyDescent="0.25">
      <c r="B329" s="209"/>
      <c r="C329" s="209"/>
      <c r="D329" s="209"/>
      <c r="E329" s="209"/>
      <c r="F329" s="209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</row>
    <row r="330" spans="2:19" s="172" customFormat="1" x14ac:dyDescent="0.25">
      <c r="B330" s="209"/>
      <c r="C330" s="209"/>
      <c r="D330" s="209"/>
      <c r="E330" s="209"/>
      <c r="F330" s="209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</row>
    <row r="331" spans="2:19" s="172" customFormat="1" x14ac:dyDescent="0.25">
      <c r="B331" s="209"/>
      <c r="C331" s="209"/>
      <c r="D331" s="209"/>
      <c r="E331" s="209"/>
      <c r="F331" s="209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</row>
    <row r="332" spans="2:19" s="172" customFormat="1" x14ac:dyDescent="0.25">
      <c r="B332" s="209"/>
      <c r="C332" s="209"/>
      <c r="D332" s="209"/>
      <c r="E332" s="209"/>
      <c r="F332" s="209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</row>
    <row r="333" spans="2:19" s="172" customFormat="1" x14ac:dyDescent="0.25">
      <c r="B333" s="209"/>
      <c r="C333" s="209"/>
      <c r="D333" s="209"/>
      <c r="E333" s="209"/>
      <c r="F333" s="209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</row>
    <row r="334" spans="2:19" s="172" customFormat="1" x14ac:dyDescent="0.25">
      <c r="B334" s="209"/>
      <c r="C334" s="209"/>
      <c r="D334" s="209"/>
      <c r="E334" s="209"/>
      <c r="F334" s="209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</row>
    <row r="335" spans="2:19" s="172" customFormat="1" x14ac:dyDescent="0.25">
      <c r="B335" s="209"/>
      <c r="C335" s="209"/>
      <c r="D335" s="209"/>
      <c r="E335" s="209"/>
      <c r="F335" s="209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</row>
    <row r="336" spans="2:19" s="172" customFormat="1" x14ac:dyDescent="0.25">
      <c r="B336" s="209"/>
      <c r="C336" s="209"/>
      <c r="D336" s="209"/>
      <c r="E336" s="209"/>
      <c r="F336" s="209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</row>
    <row r="337" spans="2:19" s="172" customFormat="1" x14ac:dyDescent="0.25">
      <c r="B337" s="209"/>
      <c r="C337" s="209"/>
      <c r="D337" s="209"/>
      <c r="E337" s="209"/>
      <c r="F337" s="209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</row>
    <row r="338" spans="2:19" s="172" customFormat="1" x14ac:dyDescent="0.25">
      <c r="B338" s="209"/>
      <c r="C338" s="209"/>
      <c r="D338" s="209"/>
      <c r="E338" s="209"/>
      <c r="F338" s="209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</row>
    <row r="339" spans="2:19" s="172" customFormat="1" x14ac:dyDescent="0.25">
      <c r="B339" s="209"/>
      <c r="C339" s="209"/>
      <c r="D339" s="209"/>
      <c r="E339" s="209"/>
      <c r="F339" s="209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</row>
    <row r="340" spans="2:19" s="172" customFormat="1" x14ac:dyDescent="0.25">
      <c r="B340" s="209"/>
      <c r="C340" s="209"/>
      <c r="D340" s="209"/>
      <c r="E340" s="209"/>
      <c r="F340" s="209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</row>
    <row r="341" spans="2:19" s="172" customFormat="1" x14ac:dyDescent="0.25">
      <c r="B341" s="209"/>
      <c r="C341" s="209"/>
      <c r="D341" s="209"/>
      <c r="E341" s="209"/>
      <c r="F341" s="209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</row>
    <row r="342" spans="2:19" s="172" customFormat="1" x14ac:dyDescent="0.25">
      <c r="B342" s="209"/>
      <c r="C342" s="209"/>
      <c r="D342" s="209"/>
      <c r="E342" s="209"/>
      <c r="F342" s="209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</row>
    <row r="343" spans="2:19" s="172" customFormat="1" x14ac:dyDescent="0.25">
      <c r="B343" s="209"/>
      <c r="C343" s="209"/>
      <c r="D343" s="209"/>
      <c r="E343" s="209"/>
      <c r="F343" s="209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</row>
    <row r="344" spans="2:19" s="172" customFormat="1" x14ac:dyDescent="0.25">
      <c r="B344" s="209"/>
      <c r="C344" s="209"/>
      <c r="D344" s="209"/>
      <c r="E344" s="209"/>
      <c r="F344" s="209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</row>
    <row r="345" spans="2:19" s="172" customFormat="1" x14ac:dyDescent="0.25">
      <c r="B345" s="209"/>
      <c r="C345" s="209"/>
      <c r="D345" s="209"/>
      <c r="E345" s="209"/>
      <c r="F345" s="209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</row>
    <row r="346" spans="2:19" s="172" customFormat="1" x14ac:dyDescent="0.25">
      <c r="B346" s="209"/>
      <c r="C346" s="209"/>
      <c r="D346" s="209"/>
      <c r="E346" s="209"/>
      <c r="F346" s="209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</row>
    <row r="347" spans="2:19" s="172" customFormat="1" x14ac:dyDescent="0.25">
      <c r="B347" s="209"/>
      <c r="C347" s="209"/>
      <c r="D347" s="209"/>
      <c r="E347" s="209"/>
      <c r="F347" s="209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</row>
    <row r="348" spans="2:19" s="172" customFormat="1" x14ac:dyDescent="0.25">
      <c r="B348" s="209"/>
      <c r="C348" s="209"/>
      <c r="D348" s="209"/>
      <c r="E348" s="209"/>
      <c r="F348" s="209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</row>
    <row r="349" spans="2:19" s="172" customFormat="1" x14ac:dyDescent="0.25">
      <c r="B349" s="209"/>
      <c r="C349" s="209"/>
      <c r="D349" s="209"/>
      <c r="E349" s="209"/>
      <c r="F349" s="209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</row>
    <row r="350" spans="2:19" s="172" customFormat="1" x14ac:dyDescent="0.25">
      <c r="B350" s="209"/>
      <c r="C350" s="209"/>
      <c r="D350" s="209"/>
      <c r="E350" s="209"/>
      <c r="F350" s="209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</row>
    <row r="351" spans="2:19" s="172" customFormat="1" x14ac:dyDescent="0.25">
      <c r="B351" s="209"/>
      <c r="C351" s="209"/>
      <c r="D351" s="209"/>
      <c r="E351" s="209"/>
      <c r="F351" s="209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</row>
    <row r="352" spans="2:19" s="172" customFormat="1" x14ac:dyDescent="0.25">
      <c r="B352" s="209"/>
      <c r="C352" s="209"/>
      <c r="D352" s="209"/>
      <c r="E352" s="209"/>
      <c r="F352" s="209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</row>
    <row r="353" spans="2:19" s="172" customFormat="1" x14ac:dyDescent="0.25">
      <c r="B353" s="209"/>
      <c r="C353" s="209"/>
      <c r="D353" s="209"/>
      <c r="E353" s="209"/>
      <c r="F353" s="209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</row>
    <row r="354" spans="2:19" s="172" customFormat="1" x14ac:dyDescent="0.25">
      <c r="B354" s="209"/>
      <c r="C354" s="209"/>
      <c r="D354" s="209"/>
      <c r="E354" s="209"/>
      <c r="F354" s="209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</row>
    <row r="355" spans="2:19" s="172" customFormat="1" x14ac:dyDescent="0.25">
      <c r="B355" s="209"/>
      <c r="C355" s="209"/>
      <c r="D355" s="209"/>
      <c r="E355" s="209"/>
      <c r="F355" s="209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</row>
    <row r="356" spans="2:19" s="172" customFormat="1" x14ac:dyDescent="0.25">
      <c r="B356" s="209"/>
      <c r="C356" s="209"/>
      <c r="D356" s="209"/>
      <c r="E356" s="209"/>
      <c r="F356" s="209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</row>
    <row r="357" spans="2:19" s="172" customFormat="1" x14ac:dyDescent="0.25">
      <c r="B357" s="209"/>
      <c r="C357" s="209"/>
      <c r="D357" s="209"/>
      <c r="E357" s="209"/>
      <c r="F357" s="209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</row>
    <row r="358" spans="2:19" s="172" customFormat="1" x14ac:dyDescent="0.25">
      <c r="B358" s="209"/>
      <c r="C358" s="209"/>
      <c r="D358" s="209"/>
      <c r="E358" s="209"/>
      <c r="F358" s="209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</row>
    <row r="359" spans="2:19" s="172" customFormat="1" x14ac:dyDescent="0.25">
      <c r="B359" s="209"/>
      <c r="C359" s="209"/>
      <c r="D359" s="209"/>
      <c r="E359" s="209"/>
      <c r="F359" s="209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</row>
    <row r="360" spans="2:19" s="172" customFormat="1" x14ac:dyDescent="0.25">
      <c r="B360" s="209"/>
      <c r="C360" s="209"/>
      <c r="D360" s="209"/>
      <c r="E360" s="209"/>
      <c r="F360" s="209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</row>
    <row r="361" spans="2:19" s="172" customFormat="1" x14ac:dyDescent="0.25">
      <c r="B361" s="209"/>
      <c r="C361" s="209"/>
      <c r="D361" s="209"/>
      <c r="E361" s="209"/>
      <c r="F361" s="209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</row>
    <row r="362" spans="2:19" s="172" customFormat="1" x14ac:dyDescent="0.25">
      <c r="B362" s="209"/>
      <c r="C362" s="209"/>
      <c r="D362" s="209"/>
      <c r="E362" s="209"/>
      <c r="F362" s="209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</row>
    <row r="363" spans="2:19" s="172" customFormat="1" x14ac:dyDescent="0.25">
      <c r="B363" s="209"/>
      <c r="C363" s="209"/>
      <c r="D363" s="209"/>
      <c r="E363" s="209"/>
      <c r="F363" s="209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</row>
    <row r="364" spans="2:19" s="172" customFormat="1" x14ac:dyDescent="0.25">
      <c r="B364" s="209"/>
      <c r="C364" s="209"/>
      <c r="D364" s="209"/>
      <c r="E364" s="209"/>
      <c r="F364" s="209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</row>
    <row r="365" spans="2:19" s="172" customFormat="1" x14ac:dyDescent="0.25">
      <c r="B365" s="209"/>
      <c r="C365" s="209"/>
      <c r="D365" s="209"/>
      <c r="E365" s="209"/>
      <c r="F365" s="209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</row>
    <row r="366" spans="2:19" s="172" customFormat="1" x14ac:dyDescent="0.25">
      <c r="B366" s="209"/>
      <c r="C366" s="209"/>
      <c r="D366" s="209"/>
      <c r="E366" s="209"/>
      <c r="F366" s="209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</row>
    <row r="367" spans="2:19" s="172" customFormat="1" x14ac:dyDescent="0.25">
      <c r="B367" s="209"/>
      <c r="C367" s="209"/>
      <c r="D367" s="209"/>
      <c r="E367" s="209"/>
      <c r="F367" s="209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</row>
    <row r="368" spans="2:19" s="172" customFormat="1" x14ac:dyDescent="0.25">
      <c r="B368" s="209"/>
      <c r="C368" s="209"/>
      <c r="D368" s="209"/>
      <c r="E368" s="209"/>
      <c r="F368" s="209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</row>
    <row r="369" spans="2:19" s="172" customFormat="1" x14ac:dyDescent="0.25">
      <c r="B369" s="209"/>
      <c r="C369" s="209"/>
      <c r="D369" s="209"/>
      <c r="E369" s="209"/>
      <c r="F369" s="209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</row>
    <row r="370" spans="2:19" s="172" customFormat="1" x14ac:dyDescent="0.25">
      <c r="B370" s="209"/>
      <c r="C370" s="209"/>
      <c r="D370" s="209"/>
      <c r="E370" s="209"/>
      <c r="F370" s="209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</row>
    <row r="371" spans="2:19" s="172" customFormat="1" x14ac:dyDescent="0.25">
      <c r="B371" s="209"/>
      <c r="C371" s="209"/>
      <c r="D371" s="209"/>
      <c r="E371" s="209"/>
      <c r="F371" s="209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</row>
    <row r="372" spans="2:19" s="172" customFormat="1" x14ac:dyDescent="0.25">
      <c r="B372" s="209"/>
      <c r="C372" s="209"/>
      <c r="D372" s="209"/>
      <c r="E372" s="209"/>
      <c r="F372" s="209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</row>
    <row r="373" spans="2:19" s="172" customFormat="1" x14ac:dyDescent="0.25">
      <c r="B373" s="209"/>
      <c r="C373" s="209"/>
      <c r="D373" s="209"/>
      <c r="E373" s="209"/>
      <c r="F373" s="209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</row>
    <row r="374" spans="2:19" s="172" customFormat="1" x14ac:dyDescent="0.25">
      <c r="B374" s="209"/>
      <c r="C374" s="209"/>
      <c r="D374" s="209"/>
      <c r="E374" s="209"/>
      <c r="F374" s="209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</row>
    <row r="375" spans="2:19" s="172" customFormat="1" x14ac:dyDescent="0.25">
      <c r="B375" s="209"/>
      <c r="C375" s="209"/>
      <c r="D375" s="209"/>
      <c r="E375" s="209"/>
      <c r="F375" s="209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</row>
    <row r="376" spans="2:19" s="172" customFormat="1" x14ac:dyDescent="0.25">
      <c r="B376" s="209"/>
      <c r="C376" s="209"/>
      <c r="D376" s="209"/>
      <c r="E376" s="209"/>
      <c r="F376" s="209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</row>
    <row r="377" spans="2:19" s="172" customFormat="1" x14ac:dyDescent="0.25">
      <c r="B377" s="209"/>
      <c r="C377" s="209"/>
      <c r="D377" s="209"/>
      <c r="E377" s="209"/>
      <c r="F377" s="209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</row>
    <row r="378" spans="2:19" s="172" customFormat="1" x14ac:dyDescent="0.25">
      <c r="B378" s="209"/>
      <c r="C378" s="209"/>
      <c r="D378" s="209"/>
      <c r="E378" s="209"/>
      <c r="F378" s="209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</row>
    <row r="379" spans="2:19" s="172" customFormat="1" x14ac:dyDescent="0.25">
      <c r="B379" s="209"/>
      <c r="C379" s="209"/>
      <c r="D379" s="209"/>
      <c r="E379" s="209"/>
      <c r="F379" s="209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</row>
    <row r="380" spans="2:19" s="172" customFormat="1" x14ac:dyDescent="0.25">
      <c r="B380" s="209"/>
      <c r="C380" s="209"/>
      <c r="D380" s="209"/>
      <c r="E380" s="209"/>
      <c r="F380" s="209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</row>
    <row r="381" spans="2:19" s="172" customFormat="1" x14ac:dyDescent="0.25">
      <c r="B381" s="209"/>
      <c r="C381" s="209"/>
      <c r="D381" s="209"/>
      <c r="E381" s="209"/>
      <c r="F381" s="209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</row>
    <row r="382" spans="2:19" s="172" customFormat="1" x14ac:dyDescent="0.25">
      <c r="B382" s="209"/>
      <c r="C382" s="209"/>
      <c r="D382" s="209"/>
      <c r="E382" s="209"/>
      <c r="F382" s="209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</row>
    <row r="383" spans="2:19" s="172" customFormat="1" x14ac:dyDescent="0.25">
      <c r="B383" s="209"/>
      <c r="C383" s="209"/>
      <c r="D383" s="209"/>
      <c r="E383" s="209"/>
      <c r="F383" s="209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</row>
    <row r="384" spans="2:19" s="172" customFormat="1" x14ac:dyDescent="0.25">
      <c r="B384" s="209"/>
      <c r="C384" s="209"/>
      <c r="D384" s="209"/>
      <c r="E384" s="209"/>
      <c r="F384" s="209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</row>
    <row r="385" spans="2:19" s="172" customFormat="1" x14ac:dyDescent="0.25">
      <c r="B385" s="209"/>
      <c r="C385" s="209"/>
      <c r="D385" s="209"/>
      <c r="E385" s="209"/>
      <c r="F385" s="209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</row>
    <row r="386" spans="2:19" s="172" customFormat="1" x14ac:dyDescent="0.25">
      <c r="B386" s="209"/>
      <c r="C386" s="209"/>
      <c r="D386" s="209"/>
      <c r="E386" s="209"/>
      <c r="F386" s="209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</row>
    <row r="387" spans="2:19" s="172" customFormat="1" x14ac:dyDescent="0.25">
      <c r="B387" s="209"/>
      <c r="C387" s="209"/>
      <c r="D387" s="209"/>
      <c r="E387" s="209"/>
      <c r="F387" s="209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</row>
    <row r="388" spans="2:19" s="172" customFormat="1" x14ac:dyDescent="0.25">
      <c r="B388" s="209"/>
      <c r="C388" s="209"/>
      <c r="D388" s="209"/>
      <c r="E388" s="209"/>
      <c r="F388" s="209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</row>
    <row r="389" spans="2:19" s="172" customFormat="1" x14ac:dyDescent="0.25">
      <c r="B389" s="209"/>
      <c r="C389" s="209"/>
      <c r="D389" s="209"/>
      <c r="E389" s="209"/>
      <c r="F389" s="209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</row>
    <row r="390" spans="2:19" s="172" customFormat="1" x14ac:dyDescent="0.25">
      <c r="B390" s="209"/>
      <c r="C390" s="209"/>
      <c r="D390" s="209"/>
      <c r="E390" s="209"/>
      <c r="F390" s="209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</row>
    <row r="391" spans="2:19" s="172" customFormat="1" x14ac:dyDescent="0.25">
      <c r="B391" s="209"/>
      <c r="C391" s="209"/>
      <c r="D391" s="209"/>
      <c r="E391" s="209"/>
      <c r="F391" s="209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</row>
    <row r="392" spans="2:19" s="172" customFormat="1" x14ac:dyDescent="0.25">
      <c r="B392" s="209"/>
      <c r="C392" s="209"/>
      <c r="D392" s="209"/>
      <c r="E392" s="209"/>
      <c r="F392" s="209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</row>
    <row r="393" spans="2:19" s="172" customFormat="1" x14ac:dyDescent="0.25">
      <c r="B393" s="209"/>
      <c r="C393" s="209"/>
      <c r="D393" s="209"/>
      <c r="E393" s="209"/>
      <c r="F393" s="209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</row>
    <row r="394" spans="2:19" s="172" customFormat="1" x14ac:dyDescent="0.25">
      <c r="B394" s="209"/>
      <c r="C394" s="209"/>
      <c r="D394" s="209"/>
      <c r="E394" s="209"/>
      <c r="F394" s="209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</row>
    <row r="395" spans="2:19" s="172" customFormat="1" x14ac:dyDescent="0.25">
      <c r="B395" s="209"/>
      <c r="C395" s="209"/>
      <c r="D395" s="209"/>
      <c r="E395" s="209"/>
      <c r="F395" s="209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</row>
    <row r="396" spans="2:19" s="172" customFormat="1" x14ac:dyDescent="0.25">
      <c r="B396" s="209"/>
      <c r="C396" s="209"/>
      <c r="D396" s="209"/>
      <c r="E396" s="209"/>
      <c r="F396" s="209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</row>
    <row r="397" spans="2:19" s="172" customFormat="1" x14ac:dyDescent="0.25">
      <c r="B397" s="209"/>
      <c r="C397" s="209"/>
      <c r="D397" s="209"/>
      <c r="E397" s="209"/>
      <c r="F397" s="209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</row>
    <row r="398" spans="2:19" s="172" customFormat="1" x14ac:dyDescent="0.25">
      <c r="B398" s="209"/>
      <c r="C398" s="209"/>
      <c r="D398" s="209"/>
      <c r="E398" s="209"/>
      <c r="F398" s="209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</row>
    <row r="399" spans="2:19" s="172" customFormat="1" x14ac:dyDescent="0.25">
      <c r="B399" s="209"/>
      <c r="C399" s="209"/>
      <c r="D399" s="209"/>
      <c r="E399" s="209"/>
      <c r="F399" s="209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</row>
    <row r="400" spans="2:19" s="172" customFormat="1" x14ac:dyDescent="0.25">
      <c r="B400" s="209"/>
      <c r="C400" s="209"/>
      <c r="D400" s="209"/>
      <c r="E400" s="209"/>
      <c r="F400" s="209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</row>
    <row r="401" spans="2:19" s="172" customFormat="1" x14ac:dyDescent="0.25">
      <c r="B401" s="209"/>
      <c r="C401" s="209"/>
      <c r="D401" s="209"/>
      <c r="E401" s="209"/>
      <c r="F401" s="209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</row>
    <row r="402" spans="2:19" s="172" customFormat="1" x14ac:dyDescent="0.25">
      <c r="B402" s="209"/>
      <c r="C402" s="209"/>
      <c r="D402" s="209"/>
      <c r="E402" s="209"/>
      <c r="F402" s="209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</row>
    <row r="403" spans="2:19" s="172" customFormat="1" x14ac:dyDescent="0.25">
      <c r="B403" s="209"/>
      <c r="C403" s="209"/>
      <c r="D403" s="209"/>
      <c r="E403" s="209"/>
      <c r="F403" s="209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</row>
    <row r="404" spans="2:19" s="172" customFormat="1" x14ac:dyDescent="0.25">
      <c r="B404" s="209"/>
      <c r="C404" s="209"/>
      <c r="D404" s="209"/>
      <c r="E404" s="209"/>
      <c r="F404" s="209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</row>
    <row r="405" spans="2:19" s="172" customFormat="1" x14ac:dyDescent="0.25">
      <c r="B405" s="209"/>
      <c r="C405" s="209"/>
      <c r="D405" s="209"/>
      <c r="E405" s="209"/>
      <c r="F405" s="209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</row>
    <row r="406" spans="2:19" s="172" customFormat="1" x14ac:dyDescent="0.25">
      <c r="B406" s="209"/>
      <c r="C406" s="209"/>
      <c r="D406" s="209"/>
      <c r="E406" s="209"/>
      <c r="F406" s="209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</row>
    <row r="407" spans="2:19" s="172" customFormat="1" x14ac:dyDescent="0.25">
      <c r="B407" s="209"/>
      <c r="C407" s="209"/>
      <c r="D407" s="209"/>
      <c r="E407" s="209"/>
      <c r="F407" s="209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</row>
    <row r="408" spans="2:19" s="172" customFormat="1" x14ac:dyDescent="0.25">
      <c r="B408" s="209"/>
      <c r="C408" s="209"/>
      <c r="D408" s="209"/>
      <c r="E408" s="209"/>
      <c r="F408" s="209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</row>
    <row r="409" spans="2:19" s="172" customFormat="1" x14ac:dyDescent="0.25">
      <c r="B409" s="209"/>
      <c r="C409" s="209"/>
      <c r="D409" s="209"/>
      <c r="E409" s="209"/>
      <c r="F409" s="209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</row>
    <row r="410" spans="2:19" s="172" customFormat="1" x14ac:dyDescent="0.25">
      <c r="B410" s="209"/>
      <c r="C410" s="209"/>
      <c r="D410" s="209"/>
      <c r="E410" s="209"/>
      <c r="F410" s="209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</row>
    <row r="411" spans="2:19" s="172" customFormat="1" x14ac:dyDescent="0.25">
      <c r="B411" s="209"/>
      <c r="C411" s="209"/>
      <c r="D411" s="209"/>
      <c r="E411" s="209"/>
      <c r="F411" s="209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</row>
    <row r="412" spans="2:19" s="172" customFormat="1" x14ac:dyDescent="0.25">
      <c r="B412" s="209"/>
      <c r="C412" s="209"/>
      <c r="D412" s="209"/>
      <c r="E412" s="209"/>
      <c r="F412" s="209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</row>
    <row r="413" spans="2:19" s="172" customFormat="1" x14ac:dyDescent="0.25">
      <c r="B413" s="209"/>
      <c r="C413" s="209"/>
      <c r="D413" s="209"/>
      <c r="E413" s="209"/>
      <c r="F413" s="209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</row>
    <row r="414" spans="2:19" s="172" customFormat="1" x14ac:dyDescent="0.25">
      <c r="B414" s="209"/>
      <c r="C414" s="209"/>
      <c r="D414" s="209"/>
      <c r="E414" s="209"/>
      <c r="F414" s="209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</row>
    <row r="415" spans="2:19" s="172" customFormat="1" x14ac:dyDescent="0.25">
      <c r="B415" s="209"/>
      <c r="C415" s="209"/>
      <c r="D415" s="209"/>
      <c r="E415" s="209"/>
      <c r="F415" s="209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</row>
    <row r="416" spans="2:19" s="172" customFormat="1" x14ac:dyDescent="0.25">
      <c r="B416" s="209"/>
      <c r="C416" s="209"/>
      <c r="D416" s="209"/>
      <c r="E416" s="209"/>
      <c r="F416" s="209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</row>
    <row r="417" spans="2:19" s="172" customFormat="1" x14ac:dyDescent="0.25">
      <c r="B417" s="209"/>
      <c r="C417" s="209"/>
      <c r="D417" s="209"/>
      <c r="E417" s="209"/>
      <c r="F417" s="209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</row>
    <row r="418" spans="2:19" s="172" customFormat="1" x14ac:dyDescent="0.25">
      <c r="B418" s="209"/>
      <c r="C418" s="209"/>
      <c r="D418" s="209"/>
      <c r="E418" s="209"/>
      <c r="F418" s="209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</row>
    <row r="419" spans="2:19" s="172" customFormat="1" x14ac:dyDescent="0.25">
      <c r="B419" s="209"/>
      <c r="C419" s="209"/>
      <c r="D419" s="209"/>
      <c r="E419" s="209"/>
      <c r="F419" s="209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</row>
    <row r="420" spans="2:19" s="172" customFormat="1" x14ac:dyDescent="0.25">
      <c r="B420" s="209"/>
      <c r="C420" s="209"/>
      <c r="D420" s="209"/>
      <c r="E420" s="209"/>
      <c r="F420" s="209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</row>
    <row r="421" spans="2:19" s="172" customFormat="1" x14ac:dyDescent="0.25">
      <c r="B421" s="209"/>
      <c r="C421" s="209"/>
      <c r="D421" s="209"/>
      <c r="E421" s="209"/>
      <c r="F421" s="209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</row>
    <row r="422" spans="2:19" s="172" customFormat="1" x14ac:dyDescent="0.25">
      <c r="B422" s="209"/>
      <c r="C422" s="209"/>
      <c r="D422" s="209"/>
      <c r="E422" s="209"/>
      <c r="F422" s="209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</row>
    <row r="423" spans="2:19" s="172" customFormat="1" x14ac:dyDescent="0.25">
      <c r="B423" s="209"/>
      <c r="C423" s="209"/>
      <c r="D423" s="209"/>
      <c r="E423" s="209"/>
      <c r="F423" s="209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</row>
    <row r="424" spans="2:19" s="172" customFormat="1" x14ac:dyDescent="0.25">
      <c r="B424" s="209"/>
      <c r="C424" s="209"/>
      <c r="D424" s="209"/>
      <c r="E424" s="209"/>
      <c r="F424" s="209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</row>
    <row r="425" spans="2:19" s="172" customFormat="1" x14ac:dyDescent="0.25">
      <c r="B425" s="209"/>
      <c r="C425" s="209"/>
      <c r="D425" s="209"/>
      <c r="E425" s="209"/>
      <c r="F425" s="209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</row>
    <row r="426" spans="2:19" s="172" customFormat="1" x14ac:dyDescent="0.25">
      <c r="B426" s="209"/>
      <c r="C426" s="209"/>
      <c r="D426" s="209"/>
      <c r="E426" s="209"/>
      <c r="F426" s="209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</row>
    <row r="427" spans="2:19" s="172" customFormat="1" x14ac:dyDescent="0.25">
      <c r="B427" s="209"/>
      <c r="C427" s="209"/>
      <c r="D427" s="209"/>
      <c r="E427" s="209"/>
      <c r="F427" s="209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Data Sources</vt:lpstr>
      <vt:lpstr>Capacity</vt:lpstr>
      <vt:lpstr>annual_data</vt:lpstr>
      <vt:lpstr>monthly_data</vt:lpstr>
      <vt:lpstr>BD</vt:lpstr>
      <vt:lpstr>RD</vt:lpstr>
      <vt:lpstr>SAF</vt:lpstr>
      <vt:lpstr>Jet Fuel</vt:lpstr>
      <vt:lpstr>Diesel</vt:lpstr>
      <vt:lpstr>BD!Print_Area</vt:lpstr>
      <vt:lpstr>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2025-07-17T09:32:25Z</dcterms:created>
  <dcterms:modified xsi:type="dcterms:W3CDTF">2025-09-07T13:42:45Z</dcterms:modified>
</cp:coreProperties>
</file>