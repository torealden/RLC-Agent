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13_ncr:1_{EBBDDC77-0B1F-43E2-B81E-4484D192D82E}" xr6:coauthVersionLast="47" xr6:coauthVersionMax="47" xr10:uidLastSave="{00000000-0000-0000-0000-000000000000}"/>
  <bookViews>
    <workbookView xWindow="2340" yWindow="1650" windowWidth="24165" windowHeight="14550" xr2:uid="{D436F888-21F3-4F2E-9873-EEC499E8E8C0}"/>
  </bookViews>
  <sheets>
    <sheet name="Chicago Fuel Prices" sheetId="4" r:id="rId1"/>
    <sheet name="California Fuel Prices" sheetId="1" r:id="rId2"/>
    <sheet name="Canada Fuel Prices" sheetId="3" r:id="rId3"/>
    <sheet name="Comparison" sheetId="6" r:id="rId4"/>
    <sheet name="CFR Example" sheetId="5" r:id="rId5"/>
    <sheet name="CI Score Assumption" sheetId="2" r:id="rId6"/>
  </sheets>
  <externalReferences>
    <externalReference r:id="rId7"/>
  </externalReferences>
  <definedNames>
    <definedName name="_xlnm._FilterDatabase" localSheetId="5" hidden="1">'CI Score Assumption'!$A$3:$A$6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4" l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H20" i="4"/>
  <c r="I9" i="4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H9" i="4"/>
  <c r="H9" i="1"/>
  <c r="H20" i="1" s="1"/>
  <c r="G20" i="1"/>
  <c r="I9" i="1"/>
  <c r="J9" i="1" s="1"/>
  <c r="D26" i="4"/>
  <c r="E26" i="4"/>
  <c r="F26" i="4"/>
  <c r="G26" i="4"/>
  <c r="C26" i="4"/>
  <c r="Z2" i="6"/>
  <c r="AA2" i="6"/>
  <c r="AB2" i="6"/>
  <c r="K9" i="1" l="1"/>
  <c r="J20" i="1"/>
  <c r="I20" i="1"/>
  <c r="L9" i="1"/>
  <c r="K20" i="1"/>
  <c r="C56" i="6"/>
  <c r="D56" i="6"/>
  <c r="C57" i="6"/>
  <c r="D57" i="6"/>
  <c r="C58" i="6"/>
  <c r="D58" i="6"/>
  <c r="C59" i="6"/>
  <c r="D59" i="6"/>
  <c r="C60" i="6"/>
  <c r="D60" i="6"/>
  <c r="C61" i="6"/>
  <c r="D61" i="6"/>
  <c r="C62" i="6"/>
  <c r="D62" i="6"/>
  <c r="C63" i="6"/>
  <c r="D63" i="6"/>
  <c r="C64" i="6"/>
  <c r="D64" i="6"/>
  <c r="C65" i="6"/>
  <c r="D65" i="6"/>
  <c r="C66" i="6"/>
  <c r="D66" i="6"/>
  <c r="C67" i="6"/>
  <c r="D67" i="6"/>
  <c r="C68" i="6"/>
  <c r="D68" i="6"/>
  <c r="C69" i="6"/>
  <c r="D69" i="6"/>
  <c r="C70" i="6"/>
  <c r="D70" i="6"/>
  <c r="C71" i="6"/>
  <c r="D71" i="6"/>
  <c r="C72" i="6"/>
  <c r="D72" i="6"/>
  <c r="C73" i="6"/>
  <c r="D73" i="6"/>
  <c r="C74" i="6"/>
  <c r="D74" i="6"/>
  <c r="C75" i="6"/>
  <c r="D75" i="6"/>
  <c r="C76" i="6"/>
  <c r="D76" i="6"/>
  <c r="C77" i="6"/>
  <c r="D77" i="6"/>
  <c r="C78" i="6"/>
  <c r="D78" i="6"/>
  <c r="C79" i="6"/>
  <c r="D79" i="6"/>
  <c r="C80" i="6"/>
  <c r="D80" i="6"/>
  <c r="C81" i="6"/>
  <c r="D81" i="6"/>
  <c r="C82" i="6"/>
  <c r="D82" i="6"/>
  <c r="C83" i="6"/>
  <c r="D83" i="6"/>
  <c r="C55" i="6"/>
  <c r="D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55" i="6"/>
  <c r="Z3" i="6"/>
  <c r="AA3" i="6"/>
  <c r="AB3" i="6"/>
  <c r="Z4" i="6"/>
  <c r="AA4" i="6"/>
  <c r="AB4" i="6"/>
  <c r="Z5" i="6"/>
  <c r="AA5" i="6"/>
  <c r="AB5" i="6"/>
  <c r="Z6" i="6"/>
  <c r="AA6" i="6"/>
  <c r="AB6" i="6"/>
  <c r="Z7" i="6"/>
  <c r="AA7" i="6"/>
  <c r="AB7" i="6"/>
  <c r="Z8" i="6"/>
  <c r="AA8" i="6"/>
  <c r="AB8" i="6"/>
  <c r="Z9" i="6"/>
  <c r="AA9" i="6"/>
  <c r="AB9" i="6"/>
  <c r="Z10" i="6"/>
  <c r="AA10" i="6"/>
  <c r="AB10" i="6"/>
  <c r="Z11" i="6"/>
  <c r="AA11" i="6"/>
  <c r="AB11" i="6"/>
  <c r="Z12" i="6"/>
  <c r="AA12" i="6"/>
  <c r="AB12" i="6"/>
  <c r="Z13" i="6"/>
  <c r="AA13" i="6"/>
  <c r="AB13" i="6"/>
  <c r="Z14" i="6"/>
  <c r="AA14" i="6"/>
  <c r="AB14" i="6"/>
  <c r="Z15" i="6"/>
  <c r="AA15" i="6"/>
  <c r="AB15" i="6"/>
  <c r="Z16" i="6"/>
  <c r="AA16" i="6"/>
  <c r="AB16" i="6"/>
  <c r="Z17" i="6"/>
  <c r="AA17" i="6"/>
  <c r="AB17" i="6"/>
  <c r="Z18" i="6"/>
  <c r="AA18" i="6"/>
  <c r="AB18" i="6"/>
  <c r="Z19" i="6"/>
  <c r="AA19" i="6"/>
  <c r="AB19" i="6"/>
  <c r="Z20" i="6"/>
  <c r="AA20" i="6"/>
  <c r="AB20" i="6"/>
  <c r="Z21" i="6"/>
  <c r="AA21" i="6"/>
  <c r="AB21" i="6"/>
  <c r="Z22" i="6"/>
  <c r="AA22" i="6"/>
  <c r="AB22" i="6"/>
  <c r="Z23" i="6"/>
  <c r="AA23" i="6"/>
  <c r="AB23" i="6"/>
  <c r="Z24" i="6"/>
  <c r="AA24" i="6"/>
  <c r="AB24" i="6"/>
  <c r="Z25" i="6"/>
  <c r="AA25" i="6"/>
  <c r="AB25" i="6"/>
  <c r="Z26" i="6"/>
  <c r="AA26" i="6"/>
  <c r="AB26" i="6"/>
  <c r="Z27" i="6"/>
  <c r="AA27" i="6"/>
  <c r="AB27" i="6"/>
  <c r="Z28" i="6"/>
  <c r="AA28" i="6"/>
  <c r="AB28" i="6"/>
  <c r="Z29" i="6"/>
  <c r="AA29" i="6"/>
  <c r="AB29" i="6"/>
  <c r="Z30" i="6"/>
  <c r="AA30" i="6"/>
  <c r="AB30" i="6"/>
  <c r="Z31" i="6"/>
  <c r="AA31" i="6"/>
  <c r="AB31" i="6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G6" i="3"/>
  <c r="E15" i="3"/>
  <c r="D15" i="3"/>
  <c r="F6" i="3"/>
  <c r="E6" i="3"/>
  <c r="D6" i="3"/>
  <c r="D29" i="5"/>
  <c r="F29" i="5"/>
  <c r="B29" i="5"/>
  <c r="F28" i="5"/>
  <c r="L20" i="1" l="1"/>
  <c r="M9" i="1"/>
  <c r="F27" i="5"/>
  <c r="I26" i="5"/>
  <c r="I24" i="5"/>
  <c r="G21" i="5"/>
  <c r="I21" i="5"/>
  <c r="G18" i="5"/>
  <c r="I18" i="5"/>
  <c r="H19" i="5"/>
  <c r="H20" i="5"/>
  <c r="H22" i="5"/>
  <c r="H23" i="5"/>
  <c r="H24" i="5"/>
  <c r="H25" i="5"/>
  <c r="H26" i="5"/>
  <c r="H27" i="5"/>
  <c r="F26" i="5"/>
  <c r="F25" i="5"/>
  <c r="F24" i="5"/>
  <c r="F23" i="5"/>
  <c r="F21" i="5"/>
  <c r="F20" i="5"/>
  <c r="G26" i="5"/>
  <c r="G24" i="5"/>
  <c r="F18" i="5"/>
  <c r="G4" i="5"/>
  <c r="G6" i="5"/>
  <c r="F10" i="5"/>
  <c r="I19" i="5" s="1"/>
  <c r="F9" i="5"/>
  <c r="G19" i="5" s="1"/>
  <c r="M20" i="1" l="1"/>
  <c r="N9" i="1"/>
  <c r="D7" i="3"/>
  <c r="F7" i="3"/>
  <c r="E7" i="3"/>
  <c r="G7" i="3"/>
  <c r="V16" i="3"/>
  <c r="AD16" i="3"/>
  <c r="J16" i="3"/>
  <c r="AF16" i="3"/>
  <c r="H16" i="3"/>
  <c r="W16" i="3"/>
  <c r="AE16" i="3"/>
  <c r="K16" i="3"/>
  <c r="X16" i="3"/>
  <c r="L16" i="3"/>
  <c r="G16" i="3"/>
  <c r="AB16" i="3"/>
  <c r="P16" i="3"/>
  <c r="I16" i="3"/>
  <c r="Q16" i="3"/>
  <c r="Y16" i="3"/>
  <c r="E16" i="3"/>
  <c r="M16" i="3"/>
  <c r="Z16" i="3"/>
  <c r="F16" i="3"/>
  <c r="N16" i="3"/>
  <c r="AA16" i="3"/>
  <c r="O16" i="3"/>
  <c r="T16" i="3"/>
  <c r="AC16" i="3"/>
  <c r="D16" i="3"/>
  <c r="R16" i="3"/>
  <c r="S16" i="3"/>
  <c r="U16" i="3"/>
  <c r="I20" i="5"/>
  <c r="I22" i="5" s="1"/>
  <c r="I23" i="5" s="1"/>
  <c r="I25" i="5" s="1"/>
  <c r="I27" i="5" s="1"/>
  <c r="I29" i="5" s="1"/>
  <c r="G20" i="5"/>
  <c r="G22" i="5" s="1"/>
  <c r="G23" i="5" s="1"/>
  <c r="G25" i="5" s="1"/>
  <c r="G27" i="5" s="1"/>
  <c r="G29" i="5" s="1"/>
  <c r="N20" i="1" l="1"/>
  <c r="O9" i="1"/>
  <c r="D21" i="5"/>
  <c r="B18" i="5"/>
  <c r="D18" i="5"/>
  <c r="D26" i="5"/>
  <c r="D24" i="5"/>
  <c r="D19" i="5"/>
  <c r="D20" i="5" s="1"/>
  <c r="D22" i="5" s="1"/>
  <c r="D23" i="5" s="1"/>
  <c r="D25" i="5" s="1"/>
  <c r="D27" i="5" s="1"/>
  <c r="B26" i="5"/>
  <c r="B24" i="5"/>
  <c r="B21" i="5"/>
  <c r="B19" i="5"/>
  <c r="H23" i="3"/>
  <c r="H7" i="3" s="1"/>
  <c r="P9" i="1" l="1"/>
  <c r="O20" i="1"/>
  <c r="I23" i="3"/>
  <c r="I7" i="3" s="1"/>
  <c r="H6" i="3"/>
  <c r="B20" i="5"/>
  <c r="B22" i="5" s="1"/>
  <c r="B23" i="5" s="1"/>
  <c r="B25" i="5" s="1"/>
  <c r="B27" i="5" s="1"/>
  <c r="Q9" i="1" l="1"/>
  <c r="P20" i="1"/>
  <c r="J23" i="3"/>
  <c r="J7" i="3" s="1"/>
  <c r="I6" i="3"/>
  <c r="Q20" i="1" l="1"/>
  <c r="R9" i="1"/>
  <c r="K23" i="3"/>
  <c r="K7" i="3" s="1"/>
  <c r="J6" i="3"/>
  <c r="R20" i="1" l="1"/>
  <c r="S9" i="1"/>
  <c r="L23" i="3"/>
  <c r="L7" i="3" s="1"/>
  <c r="K6" i="3"/>
  <c r="S20" i="1" l="1"/>
  <c r="T9" i="1"/>
  <c r="M23" i="3"/>
  <c r="M7" i="3" s="1"/>
  <c r="L6" i="3"/>
  <c r="U9" i="1" l="1"/>
  <c r="T20" i="1"/>
  <c r="N23" i="3"/>
  <c r="N7" i="3" s="1"/>
  <c r="M6" i="3"/>
  <c r="U20" i="1" l="1"/>
  <c r="V9" i="1"/>
  <c r="O23" i="3"/>
  <c r="O7" i="3" s="1"/>
  <c r="N6" i="3"/>
  <c r="W9" i="1" l="1"/>
  <c r="V20" i="1"/>
  <c r="P23" i="3"/>
  <c r="P7" i="3" s="1"/>
  <c r="O6" i="3"/>
  <c r="W20" i="1" l="1"/>
  <c r="X9" i="1"/>
  <c r="Q23" i="3"/>
  <c r="Q7" i="3" s="1"/>
  <c r="P6" i="3"/>
  <c r="X20" i="1" l="1"/>
  <c r="Y9" i="1"/>
  <c r="R23" i="3"/>
  <c r="R7" i="3" s="1"/>
  <c r="Q6" i="3"/>
  <c r="Y20" i="1" l="1"/>
  <c r="Z9" i="1"/>
  <c r="S23" i="3"/>
  <c r="S7" i="3" s="1"/>
  <c r="R6" i="3"/>
  <c r="AA9" i="1" l="1"/>
  <c r="Z20" i="1"/>
  <c r="T23" i="3"/>
  <c r="T7" i="3" s="1"/>
  <c r="S6" i="3"/>
  <c r="AA20" i="1" l="1"/>
  <c r="AB9" i="1"/>
  <c r="U23" i="3"/>
  <c r="U7" i="3" s="1"/>
  <c r="T6" i="3"/>
  <c r="AB20" i="1" l="1"/>
  <c r="AC9" i="1"/>
  <c r="V23" i="3"/>
  <c r="V7" i="3" s="1"/>
  <c r="U6" i="3"/>
  <c r="AC20" i="1" l="1"/>
  <c r="AD9" i="1"/>
  <c r="W23" i="3"/>
  <c r="W7" i="3" s="1"/>
  <c r="V6" i="3"/>
  <c r="AD20" i="1" l="1"/>
  <c r="AE9" i="1"/>
  <c r="X23" i="3"/>
  <c r="X7" i="3" s="1"/>
  <c r="W6" i="3"/>
  <c r="AF9" i="1" l="1"/>
  <c r="AF20" i="1" s="1"/>
  <c r="AE20" i="1"/>
  <c r="Y23" i="3"/>
  <c r="Y7" i="3" s="1"/>
  <c r="X6" i="3"/>
  <c r="Z23" i="3" l="1"/>
  <c r="Z7" i="3" s="1"/>
  <c r="Y6" i="3"/>
  <c r="AA23" i="3" l="1"/>
  <c r="AA7" i="3" s="1"/>
  <c r="Z6" i="3"/>
  <c r="AB23" i="3" l="1"/>
  <c r="AB7" i="3" s="1"/>
  <c r="AA6" i="3"/>
  <c r="AC23" i="3" l="1"/>
  <c r="AC7" i="3" s="1"/>
  <c r="AB6" i="3"/>
  <c r="AD23" i="3" l="1"/>
  <c r="AD7" i="3" s="1"/>
  <c r="AC6" i="3"/>
  <c r="AE23" i="3" l="1"/>
  <c r="AE7" i="3" s="1"/>
  <c r="AD6" i="3"/>
  <c r="AF23" i="3" l="1"/>
  <c r="AE6" i="3"/>
  <c r="AF6" i="3" l="1"/>
  <c r="AF7" i="3"/>
  <c r="AF30" i="4" l="1"/>
  <c r="AF21" i="4" s="1"/>
  <c r="AE30" i="4"/>
  <c r="AD30" i="4"/>
  <c r="AC30" i="4"/>
  <c r="AB30" i="4"/>
  <c r="AB21" i="4" s="1"/>
  <c r="AA30" i="4"/>
  <c r="AA21" i="4" s="1"/>
  <c r="Z30" i="4"/>
  <c r="Z21" i="4" s="1"/>
  <c r="Y30" i="4"/>
  <c r="Y21" i="4" s="1"/>
  <c r="X30" i="4"/>
  <c r="X21" i="4" s="1"/>
  <c r="W30" i="4"/>
  <c r="W21" i="4" s="1"/>
  <c r="V30" i="4"/>
  <c r="V21" i="4" s="1"/>
  <c r="U30" i="4"/>
  <c r="U21" i="4" s="1"/>
  <c r="T30" i="4"/>
  <c r="T21" i="4" s="1"/>
  <c r="S30" i="4"/>
  <c r="S21" i="4" s="1"/>
  <c r="R30" i="4"/>
  <c r="R21" i="4" s="1"/>
  <c r="Q30" i="4"/>
  <c r="Q21" i="4" s="1"/>
  <c r="P30" i="4"/>
  <c r="P21" i="4" s="1"/>
  <c r="O30" i="4"/>
  <c r="N30" i="4"/>
  <c r="N21" i="4" s="1"/>
  <c r="M30" i="4"/>
  <c r="M21" i="4" s="1"/>
  <c r="L30" i="4"/>
  <c r="L21" i="4" s="1"/>
  <c r="K30" i="4"/>
  <c r="K21" i="4" s="1"/>
  <c r="J30" i="4"/>
  <c r="J21" i="4" s="1"/>
  <c r="I30" i="4"/>
  <c r="I21" i="4" s="1"/>
  <c r="H30" i="4"/>
  <c r="G30" i="4"/>
  <c r="F30" i="4"/>
  <c r="E30" i="4"/>
  <c r="D30" i="4"/>
  <c r="C30" i="4"/>
  <c r="C21" i="4" s="1"/>
  <c r="AF29" i="4"/>
  <c r="AF10" i="4" s="1"/>
  <c r="AE29" i="4"/>
  <c r="AD29" i="4"/>
  <c r="AD10" i="4" s="1"/>
  <c r="AC29" i="4"/>
  <c r="AC10" i="4" s="1"/>
  <c r="AB29" i="4"/>
  <c r="AA29" i="4"/>
  <c r="Z29" i="4"/>
  <c r="Y29" i="4"/>
  <c r="Y10" i="4" s="1"/>
  <c r="X29" i="4"/>
  <c r="X10" i="4" s="1"/>
  <c r="W29" i="4"/>
  <c r="V29" i="4"/>
  <c r="U29" i="4"/>
  <c r="T29" i="4"/>
  <c r="T10" i="4" s="1"/>
  <c r="S29" i="4"/>
  <c r="R29" i="4"/>
  <c r="R10" i="4" s="1"/>
  <c r="Q29" i="4"/>
  <c r="Q10" i="4" s="1"/>
  <c r="P29" i="4"/>
  <c r="P10" i="4" s="1"/>
  <c r="O29" i="4"/>
  <c r="N29" i="4"/>
  <c r="M29" i="4"/>
  <c r="L29" i="4"/>
  <c r="K29" i="4"/>
  <c r="J29" i="4"/>
  <c r="J10" i="4" s="1"/>
  <c r="I29" i="4"/>
  <c r="I10" i="4" s="1"/>
  <c r="H29" i="4"/>
  <c r="H10" i="4" s="1"/>
  <c r="G29" i="4"/>
  <c r="G10" i="4" s="1"/>
  <c r="F29" i="4"/>
  <c r="F10" i="4" s="1"/>
  <c r="E29" i="4"/>
  <c r="E10" i="4" s="1"/>
  <c r="D29" i="4"/>
  <c r="C29" i="4"/>
  <c r="B29" i="4"/>
  <c r="AE21" i="4"/>
  <c r="AD21" i="4"/>
  <c r="AC21" i="4"/>
  <c r="O21" i="4"/>
  <c r="H21" i="4"/>
  <c r="G21" i="4"/>
  <c r="F21" i="4"/>
  <c r="E21" i="4"/>
  <c r="D21" i="4"/>
  <c r="AF16" i="4"/>
  <c r="AF17" i="4" s="1"/>
  <c r="AE16" i="4"/>
  <c r="AE17" i="4" s="1"/>
  <c r="AD16" i="4"/>
  <c r="AD17" i="4" s="1"/>
  <c r="AC16" i="4"/>
  <c r="AC17" i="4" s="1"/>
  <c r="AC23" i="4" s="1"/>
  <c r="AC25" i="4" s="1"/>
  <c r="AB16" i="4"/>
  <c r="AB17" i="4" s="1"/>
  <c r="AA16" i="4"/>
  <c r="AA17" i="4" s="1"/>
  <c r="Z16" i="4"/>
  <c r="Z17" i="4" s="1"/>
  <c r="Y16" i="4"/>
  <c r="Y17" i="4" s="1"/>
  <c r="X16" i="4"/>
  <c r="X17" i="4" s="1"/>
  <c r="X23" i="4" s="1"/>
  <c r="X25" i="4" s="1"/>
  <c r="W16" i="4"/>
  <c r="W17" i="4" s="1"/>
  <c r="V16" i="4"/>
  <c r="V17" i="4" s="1"/>
  <c r="V23" i="4" s="1"/>
  <c r="V25" i="4" s="1"/>
  <c r="U16" i="4"/>
  <c r="U17" i="4" s="1"/>
  <c r="U23" i="4" s="1"/>
  <c r="U25" i="4" s="1"/>
  <c r="T16" i="4"/>
  <c r="T17" i="4" s="1"/>
  <c r="S16" i="4"/>
  <c r="S17" i="4" s="1"/>
  <c r="R16" i="4"/>
  <c r="R17" i="4" s="1"/>
  <c r="Q16" i="4"/>
  <c r="Q17" i="4" s="1"/>
  <c r="P16" i="4"/>
  <c r="P17" i="4" s="1"/>
  <c r="O16" i="4"/>
  <c r="O17" i="4" s="1"/>
  <c r="O23" i="4" s="1"/>
  <c r="O25" i="4" s="1"/>
  <c r="N16" i="4"/>
  <c r="N17" i="4" s="1"/>
  <c r="N23" i="4" s="1"/>
  <c r="N25" i="4" s="1"/>
  <c r="M16" i="4"/>
  <c r="M17" i="4" s="1"/>
  <c r="L16" i="4"/>
  <c r="L17" i="4" s="1"/>
  <c r="L23" i="4" s="1"/>
  <c r="L25" i="4" s="1"/>
  <c r="K16" i="4"/>
  <c r="K17" i="4" s="1"/>
  <c r="J16" i="4"/>
  <c r="J17" i="4" s="1"/>
  <c r="I16" i="4"/>
  <c r="I17" i="4" s="1"/>
  <c r="I23" i="4" s="1"/>
  <c r="I25" i="4" s="1"/>
  <c r="H16" i="4"/>
  <c r="H17" i="4" s="1"/>
  <c r="G16" i="4"/>
  <c r="G17" i="4" s="1"/>
  <c r="F16" i="4"/>
  <c r="F17" i="4" s="1"/>
  <c r="E16" i="4"/>
  <c r="E17" i="4" s="1"/>
  <c r="E23" i="4" s="1"/>
  <c r="E25" i="4" s="1"/>
  <c r="D16" i="4"/>
  <c r="D17" i="4" s="1"/>
  <c r="C16" i="4"/>
  <c r="C17" i="4" s="1"/>
  <c r="AE10" i="4"/>
  <c r="AB10" i="4"/>
  <c r="AA10" i="4"/>
  <c r="Z10" i="4"/>
  <c r="W10" i="4"/>
  <c r="V10" i="4"/>
  <c r="U10" i="4"/>
  <c r="S10" i="4"/>
  <c r="O10" i="4"/>
  <c r="N10" i="4"/>
  <c r="M10" i="4"/>
  <c r="L10" i="4"/>
  <c r="K10" i="4"/>
  <c r="D10" i="4"/>
  <c r="C10" i="4"/>
  <c r="B10" i="4"/>
  <c r="AF5" i="4"/>
  <c r="AF7" i="4" s="1"/>
  <c r="AE5" i="4"/>
  <c r="AE7" i="4" s="1"/>
  <c r="AD5" i="4"/>
  <c r="AD7" i="4" s="1"/>
  <c r="AC5" i="4"/>
  <c r="AC7" i="4" s="1"/>
  <c r="AC11" i="4" s="1"/>
  <c r="AC13" i="4" s="1"/>
  <c r="AB5" i="4"/>
  <c r="AB7" i="4" s="1"/>
  <c r="AB11" i="4" s="1"/>
  <c r="AB13" i="4" s="1"/>
  <c r="AA5" i="4"/>
  <c r="AA7" i="4" s="1"/>
  <c r="Z5" i="4"/>
  <c r="Z7" i="4" s="1"/>
  <c r="Y5" i="4"/>
  <c r="Y7" i="4" s="1"/>
  <c r="X5" i="4"/>
  <c r="X7" i="4" s="1"/>
  <c r="W5" i="4"/>
  <c r="W7" i="4" s="1"/>
  <c r="V5" i="4"/>
  <c r="V7" i="4" s="1"/>
  <c r="U5" i="4"/>
  <c r="U7" i="4" s="1"/>
  <c r="T5" i="4"/>
  <c r="T7" i="4" s="1"/>
  <c r="S5" i="4"/>
  <c r="S7" i="4" s="1"/>
  <c r="S11" i="4" s="1"/>
  <c r="S13" i="4" s="1"/>
  <c r="R5" i="4"/>
  <c r="R7" i="4" s="1"/>
  <c r="Q5" i="4"/>
  <c r="Q7" i="4" s="1"/>
  <c r="P5" i="4"/>
  <c r="P7" i="4" s="1"/>
  <c r="O5" i="4"/>
  <c r="O7" i="4" s="1"/>
  <c r="O11" i="4" s="1"/>
  <c r="O13" i="4" s="1"/>
  <c r="N5" i="4"/>
  <c r="N7" i="4" s="1"/>
  <c r="M5" i="4"/>
  <c r="M7" i="4" s="1"/>
  <c r="L5" i="4"/>
  <c r="K5" i="4"/>
  <c r="K7" i="4" s="1"/>
  <c r="J5" i="4"/>
  <c r="J7" i="4" s="1"/>
  <c r="I5" i="4"/>
  <c r="I7" i="4" s="1"/>
  <c r="H5" i="4"/>
  <c r="H7" i="4" s="1"/>
  <c r="G5" i="4"/>
  <c r="G7" i="4" s="1"/>
  <c r="F5" i="4"/>
  <c r="F7" i="4" s="1"/>
  <c r="E5" i="4"/>
  <c r="E7" i="4" s="1"/>
  <c r="D5" i="4"/>
  <c r="D7" i="4" s="1"/>
  <c r="C5" i="4"/>
  <c r="C7" i="4" s="1"/>
  <c r="B5" i="4"/>
  <c r="B7" i="4" s="1"/>
  <c r="B11" i="4" s="1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AF13" i="3"/>
  <c r="AF14" i="3" s="1"/>
  <c r="AE13" i="3"/>
  <c r="AE14" i="3" s="1"/>
  <c r="AD13" i="3"/>
  <c r="AD14" i="3" s="1"/>
  <c r="AC13" i="3"/>
  <c r="AC14" i="3" s="1"/>
  <c r="AC18" i="3" s="1"/>
  <c r="AC20" i="3" s="1"/>
  <c r="AB13" i="3"/>
  <c r="AB14" i="3" s="1"/>
  <c r="AB18" i="3" s="1"/>
  <c r="AB20" i="3" s="1"/>
  <c r="AA13" i="3"/>
  <c r="AA14" i="3" s="1"/>
  <c r="AA18" i="3" s="1"/>
  <c r="AA20" i="3" s="1"/>
  <c r="Z13" i="3"/>
  <c r="Z14" i="3" s="1"/>
  <c r="Z18" i="3" s="1"/>
  <c r="Z20" i="3" s="1"/>
  <c r="Y13" i="3"/>
  <c r="Y14" i="3" s="1"/>
  <c r="Y18" i="3" s="1"/>
  <c r="Y20" i="3" s="1"/>
  <c r="X13" i="3"/>
  <c r="X14" i="3" s="1"/>
  <c r="W13" i="3"/>
  <c r="W14" i="3" s="1"/>
  <c r="V13" i="3"/>
  <c r="V14" i="3" s="1"/>
  <c r="U13" i="3"/>
  <c r="U14" i="3" s="1"/>
  <c r="U18" i="3" s="1"/>
  <c r="U20" i="3" s="1"/>
  <c r="T13" i="3"/>
  <c r="T14" i="3" s="1"/>
  <c r="S13" i="3"/>
  <c r="S14" i="3" s="1"/>
  <c r="R13" i="3"/>
  <c r="R14" i="3" s="1"/>
  <c r="Q13" i="3"/>
  <c r="Q14" i="3" s="1"/>
  <c r="Q18" i="3" s="1"/>
  <c r="Q20" i="3" s="1"/>
  <c r="P13" i="3"/>
  <c r="P14" i="3" s="1"/>
  <c r="O13" i="3"/>
  <c r="O14" i="3" s="1"/>
  <c r="N13" i="3"/>
  <c r="N14" i="3" s="1"/>
  <c r="M13" i="3"/>
  <c r="M14" i="3" s="1"/>
  <c r="M18" i="3" s="1"/>
  <c r="M20" i="3" s="1"/>
  <c r="L13" i="3"/>
  <c r="L14" i="3" s="1"/>
  <c r="L18" i="3" s="1"/>
  <c r="L20" i="3" s="1"/>
  <c r="K13" i="3"/>
  <c r="K14" i="3" s="1"/>
  <c r="K18" i="3" s="1"/>
  <c r="K20" i="3" s="1"/>
  <c r="J13" i="3"/>
  <c r="J14" i="3" s="1"/>
  <c r="I13" i="3"/>
  <c r="I14" i="3" s="1"/>
  <c r="H13" i="3"/>
  <c r="H14" i="3" s="1"/>
  <c r="G13" i="3"/>
  <c r="G14" i="3" s="1"/>
  <c r="F13" i="3"/>
  <c r="F14" i="3" s="1"/>
  <c r="E13" i="3"/>
  <c r="E14" i="3" s="1"/>
  <c r="E18" i="3" s="1"/>
  <c r="E20" i="3" s="1"/>
  <c r="D13" i="3"/>
  <c r="D14" i="3" s="1"/>
  <c r="C13" i="3"/>
  <c r="C14" i="3" s="1"/>
  <c r="C18" i="3" s="1"/>
  <c r="C20" i="3" s="1"/>
  <c r="B6" i="3"/>
  <c r="AF4" i="3"/>
  <c r="AE4" i="3"/>
  <c r="AE5" i="3" s="1"/>
  <c r="AE8" i="3" s="1"/>
  <c r="AD4" i="3"/>
  <c r="AD5" i="3" s="1"/>
  <c r="AD8" i="3" s="1"/>
  <c r="AC4" i="3"/>
  <c r="AB4" i="3"/>
  <c r="AB5" i="3" s="1"/>
  <c r="AB8" i="3" s="1"/>
  <c r="AA4" i="3"/>
  <c r="Z4" i="3"/>
  <c r="Y4" i="3"/>
  <c r="X4" i="3"/>
  <c r="W4" i="3"/>
  <c r="V4" i="3"/>
  <c r="U4" i="3"/>
  <c r="U5" i="3" s="1"/>
  <c r="U8" i="3" s="1"/>
  <c r="T4" i="3"/>
  <c r="T5" i="3" s="1"/>
  <c r="T8" i="3" s="1"/>
  <c r="S4" i="3"/>
  <c r="S5" i="3" s="1"/>
  <c r="S8" i="3" s="1"/>
  <c r="R4" i="3"/>
  <c r="R5" i="3" s="1"/>
  <c r="R8" i="3" s="1"/>
  <c r="Q4" i="3"/>
  <c r="Q5" i="3" s="1"/>
  <c r="Q8" i="3" s="1"/>
  <c r="P4" i="3"/>
  <c r="O4" i="3"/>
  <c r="O5" i="3" s="1"/>
  <c r="O8" i="3" s="1"/>
  <c r="N4" i="3"/>
  <c r="M4" i="3"/>
  <c r="L4" i="3"/>
  <c r="L5" i="3" s="1"/>
  <c r="L8" i="3" s="1"/>
  <c r="K4" i="3"/>
  <c r="J4" i="3"/>
  <c r="I4" i="3"/>
  <c r="H4" i="3"/>
  <c r="G4" i="3"/>
  <c r="G5" i="3" s="1"/>
  <c r="G8" i="3" s="1"/>
  <c r="F4" i="3"/>
  <c r="F5" i="3" s="1"/>
  <c r="F8" i="3" s="1"/>
  <c r="E4" i="3"/>
  <c r="E5" i="3" s="1"/>
  <c r="E8" i="3" s="1"/>
  <c r="D4" i="3"/>
  <c r="D5" i="3" s="1"/>
  <c r="D8" i="3" s="1"/>
  <c r="C4" i="3"/>
  <c r="B4" i="3"/>
  <c r="B5" i="3" s="1"/>
  <c r="AC26" i="4" l="1"/>
  <c r="O26" i="4"/>
  <c r="L7" i="4"/>
  <c r="L11" i="4" s="1"/>
  <c r="L13" i="4" s="1"/>
  <c r="L26" i="4" s="1"/>
  <c r="K23" i="4"/>
  <c r="K25" i="4" s="1"/>
  <c r="D11" i="4"/>
  <c r="D13" i="4" s="1"/>
  <c r="V11" i="4"/>
  <c r="V13" i="4" s="1"/>
  <c r="V26" i="4" s="1"/>
  <c r="G23" i="4"/>
  <c r="G25" i="4" s="1"/>
  <c r="W11" i="4"/>
  <c r="W13" i="4" s="1"/>
  <c r="N11" i="4"/>
  <c r="N13" i="4" s="1"/>
  <c r="N26" i="4" s="1"/>
  <c r="X11" i="4"/>
  <c r="X13" i="4" s="1"/>
  <c r="X26" i="4" s="1"/>
  <c r="Y11" i="4"/>
  <c r="Y13" i="4" s="1"/>
  <c r="J23" i="4"/>
  <c r="J25" i="4" s="1"/>
  <c r="Z11" i="4"/>
  <c r="Z13" i="4" s="1"/>
  <c r="Z26" i="4" s="1"/>
  <c r="C23" i="4"/>
  <c r="C25" i="4" s="1"/>
  <c r="S23" i="4"/>
  <c r="S25" i="4" s="1"/>
  <c r="S26" i="4" s="1"/>
  <c r="AA23" i="4"/>
  <c r="AA25" i="4" s="1"/>
  <c r="C11" i="4"/>
  <c r="C13" i="4" s="1"/>
  <c r="AA11" i="4"/>
  <c r="AA13" i="4" s="1"/>
  <c r="D18" i="3"/>
  <c r="D20" i="3" s="1"/>
  <c r="C5" i="3"/>
  <c r="C8" i="3" s="1"/>
  <c r="C10" i="3" s="1"/>
  <c r="C21" i="3" s="1"/>
  <c r="K5" i="3"/>
  <c r="AA5" i="3"/>
  <c r="AC5" i="3"/>
  <c r="N5" i="3"/>
  <c r="V5" i="3"/>
  <c r="M5" i="3"/>
  <c r="W5" i="3"/>
  <c r="P5" i="3"/>
  <c r="X5" i="3"/>
  <c r="AF5" i="3"/>
  <c r="H5" i="3"/>
  <c r="I5" i="3"/>
  <c r="Y5" i="3"/>
  <c r="J5" i="3"/>
  <c r="Z5" i="3"/>
  <c r="P18" i="3"/>
  <c r="P20" i="3" s="1"/>
  <c r="R18" i="3"/>
  <c r="R20" i="3" s="1"/>
  <c r="S18" i="3"/>
  <c r="S20" i="3" s="1"/>
  <c r="T18" i="3"/>
  <c r="T20" i="3" s="1"/>
  <c r="O18" i="3"/>
  <c r="O20" i="3" s="1"/>
  <c r="N18" i="3"/>
  <c r="N20" i="3" s="1"/>
  <c r="L10" i="3"/>
  <c r="L21" i="3" s="1"/>
  <c r="G18" i="3"/>
  <c r="G20" i="3" s="1"/>
  <c r="O10" i="3"/>
  <c r="F18" i="3"/>
  <c r="F20" i="3" s="1"/>
  <c r="V18" i="3"/>
  <c r="V20" i="3" s="1"/>
  <c r="AD18" i="3"/>
  <c r="AD20" i="3" s="1"/>
  <c r="W18" i="3"/>
  <c r="W20" i="3" s="1"/>
  <c r="B8" i="3"/>
  <c r="H18" i="3"/>
  <c r="H20" i="3" s="1"/>
  <c r="AF18" i="3"/>
  <c r="AF20" i="3" s="1"/>
  <c r="I18" i="3"/>
  <c r="I20" i="3" s="1"/>
  <c r="J18" i="3"/>
  <c r="J20" i="3" s="1"/>
  <c r="AE18" i="3"/>
  <c r="AE20" i="3" s="1"/>
  <c r="AE21" i="3" s="1"/>
  <c r="U10" i="3"/>
  <c r="U21" i="3" s="1"/>
  <c r="D10" i="3"/>
  <c r="T10" i="3"/>
  <c r="AB10" i="3"/>
  <c r="AB21" i="3" s="1"/>
  <c r="R23" i="4"/>
  <c r="R25" i="4" s="1"/>
  <c r="K11" i="4"/>
  <c r="K13" i="4" s="1"/>
  <c r="K26" i="4" s="1"/>
  <c r="AD23" i="4"/>
  <c r="AD25" i="4" s="1"/>
  <c r="AE23" i="4"/>
  <c r="AE25" i="4" s="1"/>
  <c r="U11" i="4"/>
  <c r="U13" i="4" s="1"/>
  <c r="U26" i="4" s="1"/>
  <c r="P11" i="4"/>
  <c r="P13" i="4" s="1"/>
  <c r="P26" i="4" s="1"/>
  <c r="Q23" i="4"/>
  <c r="Q25" i="4" s="1"/>
  <c r="Y23" i="4"/>
  <c r="Y25" i="4" s="1"/>
  <c r="M23" i="4"/>
  <c r="M25" i="4" s="1"/>
  <c r="I11" i="4"/>
  <c r="I13" i="4" s="1"/>
  <c r="I26" i="4" s="1"/>
  <c r="J11" i="4"/>
  <c r="J13" i="4" s="1"/>
  <c r="G11" i="4"/>
  <c r="G13" i="4" s="1"/>
  <c r="D23" i="4"/>
  <c r="D25" i="4" s="1"/>
  <c r="P23" i="4"/>
  <c r="P25" i="4" s="1"/>
  <c r="AB23" i="4"/>
  <c r="AB25" i="4" s="1"/>
  <c r="AB26" i="4" s="1"/>
  <c r="H11" i="4"/>
  <c r="H13" i="4" s="1"/>
  <c r="T11" i="4"/>
  <c r="T13" i="4" s="1"/>
  <c r="AF11" i="4"/>
  <c r="AF13" i="4" s="1"/>
  <c r="F23" i="4"/>
  <c r="F25" i="4" s="1"/>
  <c r="M11" i="4"/>
  <c r="M13" i="4" s="1"/>
  <c r="M26" i="4" s="1"/>
  <c r="AE11" i="4"/>
  <c r="AE13" i="4" s="1"/>
  <c r="H23" i="4"/>
  <c r="H25" i="4" s="1"/>
  <c r="T23" i="4"/>
  <c r="T25" i="4" s="1"/>
  <c r="AF23" i="4"/>
  <c r="AF25" i="4" s="1"/>
  <c r="W23" i="4"/>
  <c r="W25" i="4" s="1"/>
  <c r="E11" i="4"/>
  <c r="E13" i="4" s="1"/>
  <c r="Q11" i="4"/>
  <c r="Q13" i="4" s="1"/>
  <c r="F11" i="4"/>
  <c r="F13" i="4" s="1"/>
  <c r="R11" i="4"/>
  <c r="R13" i="4" s="1"/>
  <c r="AD11" i="4"/>
  <c r="AD13" i="4" s="1"/>
  <c r="Z23" i="4"/>
  <c r="Z25" i="4" s="1"/>
  <c r="Q10" i="3"/>
  <c r="Q21" i="3" s="1"/>
  <c r="F10" i="3"/>
  <c r="R10" i="3"/>
  <c r="AD10" i="3"/>
  <c r="G10" i="3"/>
  <c r="S10" i="3"/>
  <c r="AE10" i="3"/>
  <c r="X18" i="3"/>
  <c r="X20" i="3" s="1"/>
  <c r="E10" i="3"/>
  <c r="E21" i="3" s="1"/>
  <c r="G21" i="3" l="1"/>
  <c r="D21" i="3"/>
  <c r="Q26" i="4"/>
  <c r="Y26" i="4"/>
  <c r="AA26" i="4"/>
  <c r="AE26" i="4"/>
  <c r="J26" i="4"/>
  <c r="AD26" i="4"/>
  <c r="AF26" i="4"/>
  <c r="T26" i="4"/>
  <c r="W26" i="4"/>
  <c r="R26" i="4"/>
  <c r="H26" i="4"/>
  <c r="AF21" i="3"/>
  <c r="X21" i="3"/>
  <c r="AD21" i="3"/>
  <c r="F21" i="3"/>
  <c r="O21" i="3"/>
  <c r="S21" i="3"/>
  <c r="T21" i="3"/>
  <c r="R21" i="3"/>
  <c r="Z8" i="3"/>
  <c r="Z10" i="3" s="1"/>
  <c r="Z21" i="3" s="1"/>
  <c r="W8" i="3"/>
  <c r="W10" i="3" s="1"/>
  <c r="W21" i="3" s="1"/>
  <c r="Y8" i="3"/>
  <c r="Y10" i="3" s="1"/>
  <c r="Y21" i="3" s="1"/>
  <c r="V8" i="3"/>
  <c r="V10" i="3" s="1"/>
  <c r="V21" i="3" s="1"/>
  <c r="I8" i="3"/>
  <c r="I10" i="3" s="1"/>
  <c r="I21" i="3" s="1"/>
  <c r="N8" i="3"/>
  <c r="N10" i="3" s="1"/>
  <c r="N21" i="3" s="1"/>
  <c r="H8" i="3"/>
  <c r="H10" i="3" s="1"/>
  <c r="H21" i="3" s="1"/>
  <c r="AC8" i="3"/>
  <c r="AC10" i="3" s="1"/>
  <c r="AC21" i="3" s="1"/>
  <c r="AF8" i="3"/>
  <c r="AF10" i="3" s="1"/>
  <c r="AA8" i="3"/>
  <c r="AA10" i="3" s="1"/>
  <c r="AA21" i="3" s="1"/>
  <c r="X8" i="3"/>
  <c r="X10" i="3" s="1"/>
  <c r="K8" i="3"/>
  <c r="K10" i="3" s="1"/>
  <c r="K21" i="3" s="1"/>
  <c r="J8" i="3"/>
  <c r="J10" i="3" s="1"/>
  <c r="J21" i="3" s="1"/>
  <c r="M8" i="3"/>
  <c r="M10" i="3" s="1"/>
  <c r="M21" i="3" s="1"/>
  <c r="P8" i="3"/>
  <c r="P10" i="3" s="1"/>
  <c r="P21" i="3" s="1"/>
  <c r="F17" i="1"/>
  <c r="F18" i="1" s="1"/>
  <c r="G17" i="1"/>
  <c r="G18" i="1" s="1"/>
  <c r="H17" i="1"/>
  <c r="H18" i="1" s="1"/>
  <c r="I17" i="1"/>
  <c r="I18" i="1" s="1"/>
  <c r="J17" i="1"/>
  <c r="J18" i="1" s="1"/>
  <c r="K17" i="1"/>
  <c r="K18" i="1" s="1"/>
  <c r="L17" i="1"/>
  <c r="L18" i="1" s="1"/>
  <c r="M17" i="1"/>
  <c r="M18" i="1" s="1"/>
  <c r="N17" i="1"/>
  <c r="N18" i="1" s="1"/>
  <c r="O17" i="1"/>
  <c r="O18" i="1" s="1"/>
  <c r="P17" i="1"/>
  <c r="P18" i="1" s="1"/>
  <c r="Q17" i="1"/>
  <c r="Q18" i="1" s="1"/>
  <c r="R17" i="1"/>
  <c r="R18" i="1" s="1"/>
  <c r="S17" i="1"/>
  <c r="S18" i="1" s="1"/>
  <c r="T17" i="1"/>
  <c r="T18" i="1" s="1"/>
  <c r="U17" i="1"/>
  <c r="U18" i="1" s="1"/>
  <c r="V17" i="1"/>
  <c r="V18" i="1" s="1"/>
  <c r="W17" i="1"/>
  <c r="W18" i="1" s="1"/>
  <c r="X17" i="1"/>
  <c r="X18" i="1" s="1"/>
  <c r="Y17" i="1"/>
  <c r="Y18" i="1" s="1"/>
  <c r="Z17" i="1"/>
  <c r="Z18" i="1" s="1"/>
  <c r="AA17" i="1"/>
  <c r="AA18" i="1" s="1"/>
  <c r="AB17" i="1"/>
  <c r="AB18" i="1" s="1"/>
  <c r="AC17" i="1"/>
  <c r="AC18" i="1" s="1"/>
  <c r="AD17" i="1"/>
  <c r="AD18" i="1" s="1"/>
  <c r="AE17" i="1"/>
  <c r="AE18" i="1" s="1"/>
  <c r="AF17" i="1"/>
  <c r="AF18" i="1" s="1"/>
  <c r="E17" i="1"/>
  <c r="C18" i="2"/>
  <c r="C17" i="2"/>
  <c r="C16" i="2"/>
  <c r="C15" i="2"/>
  <c r="C12" i="2"/>
  <c r="C11" i="2"/>
  <c r="C10" i="2"/>
  <c r="C9" i="2"/>
  <c r="C4" i="2"/>
  <c r="C5" i="2"/>
  <c r="C6" i="2"/>
  <c r="C3" i="2"/>
  <c r="C19" i="2" l="1"/>
  <c r="C13" i="2"/>
  <c r="C7" i="2"/>
  <c r="G34" i="1" l="1"/>
  <c r="H34" i="1"/>
  <c r="H11" i="1" s="1"/>
  <c r="I34" i="1"/>
  <c r="J34" i="1"/>
  <c r="J11" i="1" s="1"/>
  <c r="K34" i="1"/>
  <c r="L34" i="1"/>
  <c r="L11" i="1" s="1"/>
  <c r="M34" i="1"/>
  <c r="M11" i="1" s="1"/>
  <c r="N34" i="1"/>
  <c r="N11" i="1" s="1"/>
  <c r="O34" i="1"/>
  <c r="P34" i="1"/>
  <c r="P11" i="1" s="1"/>
  <c r="Q34" i="1"/>
  <c r="Q11" i="1" s="1"/>
  <c r="R34" i="1"/>
  <c r="R11" i="1" s="1"/>
  <c r="S34" i="1"/>
  <c r="S11" i="1" s="1"/>
  <c r="T34" i="1"/>
  <c r="T11" i="1" s="1"/>
  <c r="U34" i="1"/>
  <c r="U11" i="1" s="1"/>
  <c r="V34" i="1"/>
  <c r="V11" i="1" s="1"/>
  <c r="W34" i="1"/>
  <c r="X34" i="1"/>
  <c r="X11" i="1" s="1"/>
  <c r="Y34" i="1"/>
  <c r="Y11" i="1" s="1"/>
  <c r="Z34" i="1"/>
  <c r="Z11" i="1" s="1"/>
  <c r="AA34" i="1"/>
  <c r="AA11" i="1" s="1"/>
  <c r="AB34" i="1"/>
  <c r="AB11" i="1" s="1"/>
  <c r="AC34" i="1"/>
  <c r="AC11" i="1" s="1"/>
  <c r="AD34" i="1"/>
  <c r="AD11" i="1" s="1"/>
  <c r="AE34" i="1"/>
  <c r="AF34" i="1"/>
  <c r="AF11" i="1" s="1"/>
  <c r="G11" i="1"/>
  <c r="I11" i="1"/>
  <c r="K11" i="1"/>
  <c r="O11" i="1"/>
  <c r="W11" i="1"/>
  <c r="AE11" i="1"/>
  <c r="D17" i="1" l="1"/>
  <c r="D18" i="1" s="1"/>
  <c r="E18" i="1"/>
  <c r="D35" i="1" l="1"/>
  <c r="D22" i="1" s="1"/>
  <c r="D24" i="1" s="1"/>
  <c r="D26" i="1" s="1"/>
  <c r="D27" i="1" s="1"/>
  <c r="E35" i="1"/>
  <c r="E22" i="1" s="1"/>
  <c r="E24" i="1" s="1"/>
  <c r="E26" i="1" s="1"/>
  <c r="E27" i="1" s="1"/>
  <c r="F35" i="1"/>
  <c r="F22" i="1" s="1"/>
  <c r="F24" i="1" s="1"/>
  <c r="F26" i="1" s="1"/>
  <c r="F27" i="1" s="1"/>
  <c r="G35" i="1"/>
  <c r="G22" i="1" s="1"/>
  <c r="G24" i="1" s="1"/>
  <c r="G26" i="1" s="1"/>
  <c r="G27" i="1" s="1"/>
  <c r="H35" i="1"/>
  <c r="H22" i="1" s="1"/>
  <c r="H24" i="1" s="1"/>
  <c r="H26" i="1" s="1"/>
  <c r="I35" i="1"/>
  <c r="I22" i="1" s="1"/>
  <c r="I24" i="1" s="1"/>
  <c r="I26" i="1" s="1"/>
  <c r="J35" i="1"/>
  <c r="J22" i="1" s="1"/>
  <c r="J24" i="1" s="1"/>
  <c r="J26" i="1" s="1"/>
  <c r="K35" i="1"/>
  <c r="K22" i="1" s="1"/>
  <c r="K24" i="1" s="1"/>
  <c r="K26" i="1" s="1"/>
  <c r="L35" i="1"/>
  <c r="L22" i="1" s="1"/>
  <c r="L24" i="1" s="1"/>
  <c r="L26" i="1" s="1"/>
  <c r="M35" i="1"/>
  <c r="M22" i="1" s="1"/>
  <c r="M24" i="1" s="1"/>
  <c r="M26" i="1" s="1"/>
  <c r="N35" i="1"/>
  <c r="N22" i="1" s="1"/>
  <c r="N24" i="1" s="1"/>
  <c r="N26" i="1" s="1"/>
  <c r="O35" i="1"/>
  <c r="O22" i="1" s="1"/>
  <c r="O24" i="1" s="1"/>
  <c r="O26" i="1" s="1"/>
  <c r="P35" i="1"/>
  <c r="P22" i="1" s="1"/>
  <c r="P24" i="1" s="1"/>
  <c r="P26" i="1" s="1"/>
  <c r="Q35" i="1"/>
  <c r="Q22" i="1" s="1"/>
  <c r="Q24" i="1" s="1"/>
  <c r="Q26" i="1" s="1"/>
  <c r="R35" i="1"/>
  <c r="R22" i="1" s="1"/>
  <c r="R24" i="1" s="1"/>
  <c r="R26" i="1" s="1"/>
  <c r="S35" i="1"/>
  <c r="S22" i="1" s="1"/>
  <c r="S24" i="1" s="1"/>
  <c r="S26" i="1" s="1"/>
  <c r="T35" i="1"/>
  <c r="T22" i="1" s="1"/>
  <c r="T24" i="1" s="1"/>
  <c r="T26" i="1" s="1"/>
  <c r="U35" i="1"/>
  <c r="U22" i="1" s="1"/>
  <c r="U24" i="1" s="1"/>
  <c r="U26" i="1" s="1"/>
  <c r="V35" i="1"/>
  <c r="V22" i="1" s="1"/>
  <c r="V24" i="1" s="1"/>
  <c r="V26" i="1" s="1"/>
  <c r="W35" i="1"/>
  <c r="W22" i="1" s="1"/>
  <c r="W24" i="1" s="1"/>
  <c r="W26" i="1" s="1"/>
  <c r="X35" i="1"/>
  <c r="X22" i="1" s="1"/>
  <c r="X24" i="1" s="1"/>
  <c r="X26" i="1" s="1"/>
  <c r="Y35" i="1"/>
  <c r="Y22" i="1" s="1"/>
  <c r="Y24" i="1" s="1"/>
  <c r="Y26" i="1" s="1"/>
  <c r="Z35" i="1"/>
  <c r="Z22" i="1" s="1"/>
  <c r="Z24" i="1" s="1"/>
  <c r="Z26" i="1" s="1"/>
  <c r="AA35" i="1"/>
  <c r="AA22" i="1" s="1"/>
  <c r="AA24" i="1" s="1"/>
  <c r="AA26" i="1" s="1"/>
  <c r="AB35" i="1"/>
  <c r="AB22" i="1" s="1"/>
  <c r="AB24" i="1" s="1"/>
  <c r="AB26" i="1" s="1"/>
  <c r="AC35" i="1"/>
  <c r="AC22" i="1" s="1"/>
  <c r="AC24" i="1" s="1"/>
  <c r="AC26" i="1" s="1"/>
  <c r="AD35" i="1"/>
  <c r="AD22" i="1" s="1"/>
  <c r="AD24" i="1" s="1"/>
  <c r="AD26" i="1" s="1"/>
  <c r="AE35" i="1"/>
  <c r="AE22" i="1" s="1"/>
  <c r="AE24" i="1" s="1"/>
  <c r="AE26" i="1" s="1"/>
  <c r="AF35" i="1"/>
  <c r="AF22" i="1" s="1"/>
  <c r="AF24" i="1" s="1"/>
  <c r="AF26" i="1" s="1"/>
  <c r="C35" i="1"/>
  <c r="C22" i="1" s="1"/>
  <c r="N7" i="1"/>
  <c r="N12" i="1" s="1"/>
  <c r="N14" i="1" s="1"/>
  <c r="V7" i="1"/>
  <c r="V12" i="1" s="1"/>
  <c r="V14" i="1" s="1"/>
  <c r="B10" i="1"/>
  <c r="C17" i="1"/>
  <c r="C18" i="1" s="1"/>
  <c r="D5" i="1"/>
  <c r="D7" i="1" s="1"/>
  <c r="E5" i="1"/>
  <c r="E7" i="1" s="1"/>
  <c r="F5" i="1"/>
  <c r="F7" i="1" s="1"/>
  <c r="G5" i="1"/>
  <c r="G7" i="1" s="1"/>
  <c r="G12" i="1" s="1"/>
  <c r="G14" i="1" s="1"/>
  <c r="H5" i="1"/>
  <c r="H7" i="1" s="1"/>
  <c r="H12" i="1" s="1"/>
  <c r="H14" i="1" s="1"/>
  <c r="H27" i="1" s="1"/>
  <c r="I5" i="1"/>
  <c r="I7" i="1" s="1"/>
  <c r="I12" i="1" s="1"/>
  <c r="I14" i="1" s="1"/>
  <c r="J5" i="1"/>
  <c r="J7" i="1" s="1"/>
  <c r="J12" i="1" s="1"/>
  <c r="J14" i="1" s="1"/>
  <c r="K5" i="1"/>
  <c r="K7" i="1" s="1"/>
  <c r="K12" i="1" s="1"/>
  <c r="K14" i="1" s="1"/>
  <c r="L5" i="1"/>
  <c r="L7" i="1" s="1"/>
  <c r="L12" i="1" s="1"/>
  <c r="L14" i="1" s="1"/>
  <c r="M5" i="1"/>
  <c r="M7" i="1" s="1"/>
  <c r="M12" i="1" s="1"/>
  <c r="M14" i="1" s="1"/>
  <c r="N5" i="1"/>
  <c r="O5" i="1"/>
  <c r="O7" i="1" s="1"/>
  <c r="O12" i="1" s="1"/>
  <c r="O14" i="1" s="1"/>
  <c r="P5" i="1"/>
  <c r="P7" i="1" s="1"/>
  <c r="P12" i="1" s="1"/>
  <c r="P14" i="1" s="1"/>
  <c r="Q5" i="1"/>
  <c r="Q7" i="1" s="1"/>
  <c r="Q12" i="1" s="1"/>
  <c r="Q14" i="1" s="1"/>
  <c r="R5" i="1"/>
  <c r="R7" i="1" s="1"/>
  <c r="R12" i="1" s="1"/>
  <c r="R14" i="1" s="1"/>
  <c r="S5" i="1"/>
  <c r="S7" i="1" s="1"/>
  <c r="S12" i="1" s="1"/>
  <c r="S14" i="1" s="1"/>
  <c r="T5" i="1"/>
  <c r="T7" i="1" s="1"/>
  <c r="T12" i="1" s="1"/>
  <c r="T14" i="1" s="1"/>
  <c r="U5" i="1"/>
  <c r="U7" i="1" s="1"/>
  <c r="U12" i="1" s="1"/>
  <c r="U14" i="1" s="1"/>
  <c r="V5" i="1"/>
  <c r="W5" i="1"/>
  <c r="W7" i="1" s="1"/>
  <c r="W12" i="1" s="1"/>
  <c r="W14" i="1" s="1"/>
  <c r="X5" i="1"/>
  <c r="X7" i="1" s="1"/>
  <c r="X12" i="1" s="1"/>
  <c r="X14" i="1" s="1"/>
  <c r="Y5" i="1"/>
  <c r="Y7" i="1" s="1"/>
  <c r="Y12" i="1" s="1"/>
  <c r="Y14" i="1" s="1"/>
  <c r="Z5" i="1"/>
  <c r="Z7" i="1" s="1"/>
  <c r="Z12" i="1" s="1"/>
  <c r="Z14" i="1" s="1"/>
  <c r="Z27" i="1" s="1"/>
  <c r="AA5" i="1"/>
  <c r="AA7" i="1" s="1"/>
  <c r="AA12" i="1" s="1"/>
  <c r="AA14" i="1" s="1"/>
  <c r="AA27" i="1" s="1"/>
  <c r="AB5" i="1"/>
  <c r="AB7" i="1" s="1"/>
  <c r="AB12" i="1" s="1"/>
  <c r="AB14" i="1" s="1"/>
  <c r="AC5" i="1"/>
  <c r="AC7" i="1" s="1"/>
  <c r="AC12" i="1" s="1"/>
  <c r="AC14" i="1" s="1"/>
  <c r="AC27" i="1" s="1"/>
  <c r="AD5" i="1"/>
  <c r="AD7" i="1" s="1"/>
  <c r="AD12" i="1" s="1"/>
  <c r="AD14" i="1" s="1"/>
  <c r="AD27" i="1" s="1"/>
  <c r="AE5" i="1"/>
  <c r="AE7" i="1" s="1"/>
  <c r="AE12" i="1" s="1"/>
  <c r="AE14" i="1" s="1"/>
  <c r="AE27" i="1" s="1"/>
  <c r="AF5" i="1"/>
  <c r="AF7" i="1" s="1"/>
  <c r="AF12" i="1" s="1"/>
  <c r="AF14" i="1" s="1"/>
  <c r="AF27" i="1" s="1"/>
  <c r="C5" i="1"/>
  <c r="C7" i="1" s="1"/>
  <c r="M29" i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K27" i="1" l="1"/>
  <c r="AB27" i="1"/>
  <c r="L27" i="1"/>
  <c r="I27" i="1"/>
  <c r="J27" i="1"/>
  <c r="M27" i="1"/>
  <c r="V27" i="1"/>
  <c r="Q27" i="1"/>
  <c r="Y27" i="1"/>
  <c r="X27" i="1"/>
  <c r="W27" i="1"/>
  <c r="N27" i="1"/>
  <c r="R27" i="1"/>
  <c r="U27" i="1"/>
  <c r="T27" i="1"/>
  <c r="P27" i="1"/>
  <c r="S27" i="1"/>
  <c r="O27" i="1"/>
  <c r="C24" i="1"/>
  <c r="C26" i="1" s="1"/>
  <c r="C27" i="1" s="1"/>
  <c r="C34" i="1"/>
  <c r="C11" i="1" s="1"/>
  <c r="C12" i="1" s="1"/>
  <c r="C14" i="1" s="1"/>
  <c r="D34" i="1"/>
  <c r="D11" i="1" s="1"/>
  <c r="D12" i="1" s="1"/>
  <c r="D14" i="1" s="1"/>
  <c r="E34" i="1"/>
  <c r="E11" i="1" s="1"/>
  <c r="E12" i="1" s="1"/>
  <c r="E14" i="1" s="1"/>
  <c r="F34" i="1"/>
  <c r="F11" i="1" s="1"/>
  <c r="F12" i="1" s="1"/>
  <c r="F14" i="1" s="1"/>
  <c r="B34" i="1"/>
  <c r="B11" i="1" s="1"/>
  <c r="B5" i="1"/>
  <c r="B7" i="1" s="1"/>
  <c r="B12" i="1" s="1"/>
</calcChain>
</file>

<file path=xl/sharedStrings.xml><?xml version="1.0" encoding="utf-8"?>
<sst xmlns="http://schemas.openxmlformats.org/spreadsheetml/2006/main" count="184" uniqueCount="103">
  <si>
    <t>LCFS Compliance Deficits</t>
  </si>
  <si>
    <t>California</t>
  </si>
  <si>
    <t>USLD Price</t>
  </si>
  <si>
    <t>Weighted RIN</t>
  </si>
  <si>
    <t>Density Adjustment</t>
  </si>
  <si>
    <t>Cap-n-Trade</t>
  </si>
  <si>
    <t>RD Stipulated Value</t>
  </si>
  <si>
    <t>LCFS Equivalent Value</t>
  </si>
  <si>
    <t>RD Stipulated RIN Value</t>
  </si>
  <si>
    <t>Total RD Value</t>
  </si>
  <si>
    <t>Transport and Storage Fee</t>
  </si>
  <si>
    <t>RD Value versus Net Offtaker Costs</t>
  </si>
  <si>
    <t>Jet Fuel Price</t>
  </si>
  <si>
    <t>SAF Stipulated Value</t>
  </si>
  <si>
    <t>LCFS / Equivalent Value</t>
  </si>
  <si>
    <t>SAF Stipulated RIN Value</t>
  </si>
  <si>
    <t>SAF Market Premium</t>
  </si>
  <si>
    <t>Total SAF Value</t>
  </si>
  <si>
    <t>SAF Value Net of Offtaker Costs</t>
  </si>
  <si>
    <t>RIN Price</t>
  </si>
  <si>
    <t>LCFS Credit Price</t>
  </si>
  <si>
    <t>RD RIN Stipulated Value</t>
  </si>
  <si>
    <t>SAF RIN Stipulated Value</t>
  </si>
  <si>
    <t>HOBO Target Post-Blend CI</t>
  </si>
  <si>
    <t>CARB Diesel Compliance Standard</t>
  </si>
  <si>
    <t>DCO CI Avg</t>
  </si>
  <si>
    <t>UCO CI Avg</t>
  </si>
  <si>
    <t>Tallow CI Avg</t>
  </si>
  <si>
    <t>CWG CI Avg</t>
  </si>
  <si>
    <t>DCO CI Max</t>
  </si>
  <si>
    <t>UCO CI Max</t>
  </si>
  <si>
    <t>Tallow CI Max</t>
  </si>
  <si>
    <t>CWG CI Max</t>
  </si>
  <si>
    <t>DCO CI Min</t>
  </si>
  <si>
    <t>UCO CI Min</t>
  </si>
  <si>
    <t>Tallow CI Min</t>
  </si>
  <si>
    <t>CWG CI Min</t>
  </si>
  <si>
    <t>Blended CI based on Feedstock Mix Assumptions and Average of Approved CI scores under LCFS</t>
  </si>
  <si>
    <t>Blended CI based on Feedstock Mix Assumptions and Max of Approved CI scores under LCFS</t>
  </si>
  <si>
    <t>Blended CI based on Feedstock Mix Assumptions and Min of Approved CI scores under LCFS</t>
  </si>
  <si>
    <t>Chicago</t>
  </si>
  <si>
    <t>Blender's Tax Credit</t>
  </si>
  <si>
    <t>45Z Credit - 35 CI score</t>
  </si>
  <si>
    <t>Canada</t>
  </si>
  <si>
    <t>CFR Credit Price</t>
  </si>
  <si>
    <t>CFR Compliance Deficits</t>
  </si>
  <si>
    <t>CFR Diesel Compliance Standard</t>
  </si>
  <si>
    <t>Assumptions</t>
  </si>
  <si>
    <t>Carbon Reduction Target</t>
  </si>
  <si>
    <t>Energy Density</t>
  </si>
  <si>
    <t>RD</t>
  </si>
  <si>
    <t>SAF</t>
  </si>
  <si>
    <t>MJ/L</t>
  </si>
  <si>
    <t>Carbon reduction beyond target</t>
  </si>
  <si>
    <t>RD CI</t>
  </si>
  <si>
    <t>Target CI</t>
  </si>
  <si>
    <t>Calculation Steps</t>
  </si>
  <si>
    <t>Subtract fuel CI from target</t>
  </si>
  <si>
    <t>Multiply by energy density converted to MJ/m3</t>
  </si>
  <si>
    <t>Divide by 1,000,000 to convert from grams of reduction to tonnes</t>
  </si>
  <si>
    <t>gCO2e/MJ</t>
  </si>
  <si>
    <t>MJ/m3</t>
  </si>
  <si>
    <t>tonnes of carbon reduction</t>
  </si>
  <si>
    <t>Multiply by average price</t>
  </si>
  <si>
    <t>2023 Avg CFR price</t>
  </si>
  <si>
    <t>C$/tonne reduction</t>
  </si>
  <si>
    <t xml:space="preserve">CFR Credit Value </t>
  </si>
  <si>
    <t>Convert to C$/gal</t>
  </si>
  <si>
    <t>gallons per tonne</t>
  </si>
  <si>
    <t>CI Scores of Feedstock Mix</t>
  </si>
  <si>
    <t>tonnes per gallon</t>
  </si>
  <si>
    <t>C$/gal</t>
  </si>
  <si>
    <t>C$/tonne</t>
  </si>
  <si>
    <t>CFR SAF Compliance Standard</t>
  </si>
  <si>
    <t>Blended Fuel CI</t>
  </si>
  <si>
    <t>Diesel CI</t>
  </si>
  <si>
    <t>Jet Fuel CI</t>
  </si>
  <si>
    <t>SAF CI</t>
  </si>
  <si>
    <t>Blend Rates</t>
  </si>
  <si>
    <t xml:space="preserve">RD </t>
  </si>
  <si>
    <t>2024 Rate</t>
  </si>
  <si>
    <t>2023 Rate</t>
  </si>
  <si>
    <t>Blend CI</t>
  </si>
  <si>
    <t>U$/C$</t>
  </si>
  <si>
    <t>U$/gal</t>
  </si>
  <si>
    <t>CFR / Equivalent Value</t>
  </si>
  <si>
    <t>CFR Equivalent Value</t>
  </si>
  <si>
    <t>U$/C$ Average Rate</t>
  </si>
  <si>
    <t>CFR Blender Credit/Shortfall</t>
  </si>
  <si>
    <t>Blender's Tax Credit Value</t>
  </si>
  <si>
    <t>45Z Credit Value - 35 CI score</t>
  </si>
  <si>
    <t>D4 RIN Forecast Value</t>
  </si>
  <si>
    <t>IL SAF Purchase Credit Value</t>
  </si>
  <si>
    <t>40B Credit Value - 35 CI score</t>
  </si>
  <si>
    <t>SAF - RD Value</t>
  </si>
  <si>
    <t>Jet</t>
  </si>
  <si>
    <t>ULSD</t>
  </si>
  <si>
    <t>SAF Value</t>
  </si>
  <si>
    <t>SAF Price</t>
  </si>
  <si>
    <t>RD Value</t>
  </si>
  <si>
    <t>RD Price</t>
  </si>
  <si>
    <t>SAF - RD</t>
  </si>
  <si>
    <t>2022 dollars for 45z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</si>
</sst>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#,##0.0_);[Red]\(#,##0.0\)"/>
    <numFmt numFmtId="166" formatCode="#,##0.000_);[Red]\(#,##0.000\)"/>
    <numFmt numFmtId="167" formatCode="#,##0.0000_);[Red]\(#,##0.0000\)"/>
  </numFmts>
  <fonts count="6" x14ac:knownFonts="1">
    <font>
      <sz val="11"/>
      <color theme="1"/>
      <name val="Aptos Narrow"/>
      <family val="2"/>
      <scheme val="minor"/>
    </font>
    <font>
      <sz val="8"/>
      <color theme="1"/>
      <name val="Avenir Next LT Pro Demi"/>
      <family val="2"/>
    </font>
    <font>
      <b/>
      <sz val="10"/>
      <color rgb="FF7030A0"/>
      <name val="Avenir Next LT Pro Demi"/>
      <family val="2"/>
    </font>
    <font>
      <b/>
      <sz val="12"/>
      <color theme="1"/>
      <name val="Avenir Next LT Pro Demi"/>
      <family val="2"/>
    </font>
    <font>
      <b/>
      <sz val="10"/>
      <color rgb="FF6F0791"/>
      <name val="Avenir Next LT Pro Demi"/>
      <family val="2"/>
    </font>
    <font>
      <sz val="8"/>
      <color rgb="FF6F0791"/>
      <name val="Avenir Next LT Pro Dem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0" fontId="1" fillId="0" borderId="0" xfId="0" applyFont="1" applyAlignment="1">
      <alignment wrapText="1"/>
    </xf>
    <xf numFmtId="0" fontId="1" fillId="0" borderId="0" xfId="0" applyFont="1"/>
    <xf numFmtId="165" fontId="1" fillId="0" borderId="0" xfId="0" applyNumberFormat="1" applyFont="1"/>
    <xf numFmtId="165" fontId="1" fillId="0" borderId="0" xfId="0" applyNumberFormat="1" applyFont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  <xf numFmtId="38" fontId="1" fillId="0" borderId="1" xfId="0" applyNumberFormat="1" applyFont="1" applyBorder="1" applyAlignment="1">
      <alignment horizontal="left"/>
    </xf>
    <xf numFmtId="38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165" fontId="1" fillId="0" borderId="1" xfId="0" applyNumberFormat="1" applyFont="1" applyBorder="1" applyAlignment="1">
      <alignment horizontal="left"/>
    </xf>
    <xf numFmtId="166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 wrapText="1"/>
    </xf>
    <xf numFmtId="10" fontId="1" fillId="0" borderId="0" xfId="0" applyNumberFormat="1" applyFont="1" applyAlignment="1">
      <alignment horizontal="left" vertical="center" wrapText="1"/>
    </xf>
    <xf numFmtId="40" fontId="1" fillId="0" borderId="0" xfId="0" applyNumberFormat="1" applyFont="1"/>
    <xf numFmtId="167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5" fontId="5" fillId="0" borderId="0" xfId="0" applyNumberFormat="1" applyFont="1"/>
    <xf numFmtId="40" fontId="5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07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Comparison!$B$1</c:f>
              <c:strCache>
                <c:ptCount val="1"/>
                <c:pt idx="0">
                  <c:v>Chicago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Comparison!$A$2:$A$31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Comparison!$B$2:$B$31</c:f>
              <c:numCache>
                <c:formatCode>#,##0.0_);[Red]\(#,##0.0\)</c:formatCode>
                <c:ptCount val="30"/>
                <c:pt idx="0">
                  <c:v>325.97110805384102</c:v>
                </c:pt>
                <c:pt idx="1">
                  <c:v>494.42720929079604</c:v>
                </c:pt>
                <c:pt idx="2">
                  <c:v>424.43770692347738</c:v>
                </c:pt>
                <c:pt idx="3">
                  <c:v>388.56883505614644</c:v>
                </c:pt>
                <c:pt idx="4">
                  <c:v>463.41537947086744</c:v>
                </c:pt>
                <c:pt idx="5">
                  <c:v>289.13641883067174</c:v>
                </c:pt>
                <c:pt idx="6">
                  <c:v>277.67540380080845</c:v>
                </c:pt>
                <c:pt idx="7">
                  <c:v>279.700520099328</c:v>
                </c:pt>
                <c:pt idx="8">
                  <c:v>290.77847414106611</c:v>
                </c:pt>
                <c:pt idx="9">
                  <c:v>325.2811428443128</c:v>
                </c:pt>
                <c:pt idx="10">
                  <c:v>324.8416303103138</c:v>
                </c:pt>
                <c:pt idx="11">
                  <c:v>308.67266901008026</c:v>
                </c:pt>
                <c:pt idx="12">
                  <c:v>333.22095519037907</c:v>
                </c:pt>
                <c:pt idx="13">
                  <c:v>360.6260550475003</c:v>
                </c:pt>
                <c:pt idx="14">
                  <c:v>370.95214393050259</c:v>
                </c:pt>
                <c:pt idx="15">
                  <c:v>381.161459601822</c:v>
                </c:pt>
                <c:pt idx="16">
                  <c:v>343.20770621518579</c:v>
                </c:pt>
                <c:pt idx="17">
                  <c:v>352.24197299281462</c:v>
                </c:pt>
                <c:pt idx="18">
                  <c:v>338.03901777351865</c:v>
                </c:pt>
                <c:pt idx="19">
                  <c:v>332.37860555306185</c:v>
                </c:pt>
                <c:pt idx="20">
                  <c:v>350.70182977798834</c:v>
                </c:pt>
                <c:pt idx="21">
                  <c:v>371.1482009471116</c:v>
                </c:pt>
                <c:pt idx="22">
                  <c:v>371.6859235066911</c:v>
                </c:pt>
                <c:pt idx="23">
                  <c:v>386.87877400025928</c:v>
                </c:pt>
                <c:pt idx="24">
                  <c:v>389.55630195850614</c:v>
                </c:pt>
                <c:pt idx="25">
                  <c:v>385.56433703765049</c:v>
                </c:pt>
                <c:pt idx="26">
                  <c:v>390.14428023769705</c:v>
                </c:pt>
                <c:pt idx="27">
                  <c:v>385.90753729284381</c:v>
                </c:pt>
                <c:pt idx="28">
                  <c:v>424.35295264410831</c:v>
                </c:pt>
                <c:pt idx="29">
                  <c:v>413.60271718809338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62-467B-85BD-306D07AD1D56}"/>
            </c:ext>
          </c:extLst>
        </c:ser>
        <c:ser>
          <c:idx val="2"/>
          <c:order val="1"/>
          <c:tx>
            <c:strRef>
              <c:f>Comparison!$C$1</c:f>
              <c:strCache>
                <c:ptCount val="1"/>
                <c:pt idx="0">
                  <c:v>California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Comparison!$A$2:$A$31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Comparison!$C$2:$C$31</c:f>
              <c:numCache>
                <c:formatCode>#,##0.0_);[Red]\(#,##0.0\)</c:formatCode>
                <c:ptCount val="30"/>
                <c:pt idx="0">
                  <c:v>387.56457995587618</c:v>
                </c:pt>
                <c:pt idx="1">
                  <c:v>563.62144096576685</c:v>
                </c:pt>
                <c:pt idx="2">
                  <c:v>504.31799620733256</c:v>
                </c:pt>
                <c:pt idx="3">
                  <c:v>457.80323988002283</c:v>
                </c:pt>
                <c:pt idx="4">
                  <c:v>533.26845078788983</c:v>
                </c:pt>
                <c:pt idx="5">
                  <c:v>350.33137309556349</c:v>
                </c:pt>
                <c:pt idx="6">
                  <c:v>339.72845652632338</c:v>
                </c:pt>
                <c:pt idx="7">
                  <c:v>342.48633106088073</c:v>
                </c:pt>
                <c:pt idx="8">
                  <c:v>355.0972924648558</c:v>
                </c:pt>
                <c:pt idx="9">
                  <c:v>390.89192963690596</c:v>
                </c:pt>
                <c:pt idx="10">
                  <c:v>391.76366868318507</c:v>
                </c:pt>
                <c:pt idx="11">
                  <c:v>376.90595896322958</c:v>
                </c:pt>
                <c:pt idx="12">
                  <c:v>402.76549672380656</c:v>
                </c:pt>
                <c:pt idx="13">
                  <c:v>431.47220660546867</c:v>
                </c:pt>
                <c:pt idx="14">
                  <c:v>443.10954706874912</c:v>
                </c:pt>
                <c:pt idx="15">
                  <c:v>454.63011432034659</c:v>
                </c:pt>
                <c:pt idx="16">
                  <c:v>417.98761251398844</c:v>
                </c:pt>
                <c:pt idx="17">
                  <c:v>428.32348931615815</c:v>
                </c:pt>
                <c:pt idx="18">
                  <c:v>415.43178567714023</c:v>
                </c:pt>
                <c:pt idx="19">
                  <c:v>411.08262503696159</c:v>
                </c:pt>
                <c:pt idx="20">
                  <c:v>430.71710084216625</c:v>
                </c:pt>
                <c:pt idx="21">
                  <c:v>452.47472359156757</c:v>
                </c:pt>
                <c:pt idx="22">
                  <c:v>454.31405617568794</c:v>
                </c:pt>
                <c:pt idx="23">
                  <c:v>470.81815824953412</c:v>
                </c:pt>
                <c:pt idx="24">
                  <c:v>474.81657934379655</c:v>
                </c:pt>
                <c:pt idx="25">
                  <c:v>472.13586600321912</c:v>
                </c:pt>
                <c:pt idx="26">
                  <c:v>478.02706078354367</c:v>
                </c:pt>
                <c:pt idx="27">
                  <c:v>475.09192786323126</c:v>
                </c:pt>
                <c:pt idx="28">
                  <c:v>514.84859479477393</c:v>
                </c:pt>
                <c:pt idx="29">
                  <c:v>505.39996936329965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62-467B-85BD-306D07AD1D56}"/>
            </c:ext>
          </c:extLst>
        </c:ser>
        <c:ser>
          <c:idx val="3"/>
          <c:order val="2"/>
          <c:tx>
            <c:strRef>
              <c:f>Comparison!$D$1</c:f>
              <c:strCache>
                <c:ptCount val="1"/>
                <c:pt idx="0">
                  <c:v>Canada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Comparison!$A$2:$A$31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Comparison!$D$2:$D$31</c:f>
              <c:numCache>
                <c:formatCode>#,##0.0_);[Red]\(#,##0.0\)</c:formatCode>
                <c:ptCount val="30"/>
                <c:pt idx="0">
                  <c:v>365.60779355990184</c:v>
                </c:pt>
                <c:pt idx="1">
                  <c:v>493.4548226370195</c:v>
                </c:pt>
                <c:pt idx="2">
                  <c:v>410.81392467682809</c:v>
                </c:pt>
                <c:pt idx="3">
                  <c:v>434.32492414073903</c:v>
                </c:pt>
                <c:pt idx="4">
                  <c:v>406.05521804913764</c:v>
                </c:pt>
                <c:pt idx="5">
                  <c:v>429.16492898044174</c:v>
                </c:pt>
                <c:pt idx="6">
                  <c:v>436.94566446047446</c:v>
                </c:pt>
                <c:pt idx="7">
                  <c:v>445.92195285193725</c:v>
                </c:pt>
                <c:pt idx="8">
                  <c:v>454.45472967948245</c:v>
                </c:pt>
                <c:pt idx="9">
                  <c:v>463.02607272997699</c:v>
                </c:pt>
                <c:pt idx="10">
                  <c:v>471.60705733620887</c:v>
                </c:pt>
                <c:pt idx="11">
                  <c:v>480.17840038670334</c:v>
                </c:pt>
                <c:pt idx="12">
                  <c:v>488.74974343719788</c:v>
                </c:pt>
                <c:pt idx="13">
                  <c:v>497.33072804342981</c:v>
                </c:pt>
                <c:pt idx="14">
                  <c:v>505.90207109392435</c:v>
                </c:pt>
                <c:pt idx="15">
                  <c:v>514.47341414441883</c:v>
                </c:pt>
                <c:pt idx="16">
                  <c:v>523.05439875065076</c:v>
                </c:pt>
                <c:pt idx="17">
                  <c:v>531.62574180114518</c:v>
                </c:pt>
                <c:pt idx="18">
                  <c:v>540.19708485163972</c:v>
                </c:pt>
                <c:pt idx="19">
                  <c:v>548.77806945787154</c:v>
                </c:pt>
                <c:pt idx="20">
                  <c:v>557.34941250836619</c:v>
                </c:pt>
                <c:pt idx="21">
                  <c:v>565.92075555886072</c:v>
                </c:pt>
                <c:pt idx="22">
                  <c:v>574.50174016509266</c:v>
                </c:pt>
                <c:pt idx="23">
                  <c:v>583.07308321558719</c:v>
                </c:pt>
                <c:pt idx="24">
                  <c:v>591.64442626608172</c:v>
                </c:pt>
                <c:pt idx="25">
                  <c:v>600.22541087231355</c:v>
                </c:pt>
                <c:pt idx="26">
                  <c:v>608.79675392280808</c:v>
                </c:pt>
                <c:pt idx="27">
                  <c:v>617.36809697330273</c:v>
                </c:pt>
                <c:pt idx="28">
                  <c:v>625.94908157953455</c:v>
                </c:pt>
                <c:pt idx="29">
                  <c:v>634.52042463002908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62-467B-85BD-306D07AD1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618720"/>
        <c:axId val="720617760"/>
      </c:lineChart>
      <c:catAx>
        <c:axId val="72061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617760"/>
        <c:crosses val="autoZero"/>
        <c:auto val="1"/>
        <c:lblAlgn val="ctr"/>
        <c:lblOffset val="100"/>
        <c:noMultiLvlLbl val="0"/>
      </c:catAx>
      <c:valAx>
        <c:axId val="72061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61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Comparison!$F$1</c:f>
              <c:strCache>
                <c:ptCount val="1"/>
                <c:pt idx="0">
                  <c:v>Chicago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Comparison!$A$2:$A$31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Comparison!$F$2:$F$31</c:f>
              <c:numCache>
                <c:formatCode>#,##0.0_);[Red]\(#,##0.0\)</c:formatCode>
                <c:ptCount val="30"/>
                <c:pt idx="0">
                  <c:v>679.58239396686963</c:v>
                </c:pt>
                <c:pt idx="1">
                  <c:v>877.40326778508438</c:v>
                </c:pt>
                <c:pt idx="2">
                  <c:v>753.35548781706098</c:v>
                </c:pt>
                <c:pt idx="3">
                  <c:v>588.56596712767907</c:v>
                </c:pt>
                <c:pt idx="4">
                  <c:v>655.57713880971278</c:v>
                </c:pt>
                <c:pt idx="5">
                  <c:v>486.05551042710385</c:v>
                </c:pt>
                <c:pt idx="6">
                  <c:v>479.52608986109112</c:v>
                </c:pt>
                <c:pt idx="7">
                  <c:v>493.49290443344114</c:v>
                </c:pt>
                <c:pt idx="8">
                  <c:v>518.79150998702369</c:v>
                </c:pt>
                <c:pt idx="9">
                  <c:v>552.85820761008824</c:v>
                </c:pt>
                <c:pt idx="10">
                  <c:v>560.05033050642521</c:v>
                </c:pt>
                <c:pt idx="11">
                  <c:v>544.39451584579649</c:v>
                </c:pt>
                <c:pt idx="12">
                  <c:v>569.81314625173718</c:v>
                </c:pt>
                <c:pt idx="13">
                  <c:v>592.34377165400838</c:v>
                </c:pt>
                <c:pt idx="14">
                  <c:v>601.96198248318876</c:v>
                </c:pt>
                <c:pt idx="15">
                  <c:v>604.43145960182198</c:v>
                </c:pt>
                <c:pt idx="16">
                  <c:v>566.13770621518574</c:v>
                </c:pt>
                <c:pt idx="17">
                  <c:v>572.11197299281457</c:v>
                </c:pt>
                <c:pt idx="18">
                  <c:v>553.14901777351861</c:v>
                </c:pt>
                <c:pt idx="19">
                  <c:v>548.84860555306182</c:v>
                </c:pt>
                <c:pt idx="20">
                  <c:v>573.29182977798837</c:v>
                </c:pt>
                <c:pt idx="21">
                  <c:v>584.21820094711165</c:v>
                </c:pt>
                <c:pt idx="22">
                  <c:v>586.45592350669108</c:v>
                </c:pt>
                <c:pt idx="23">
                  <c:v>592.63877400025933</c:v>
                </c:pt>
                <c:pt idx="24">
                  <c:v>601.09630195850616</c:v>
                </c:pt>
                <c:pt idx="25">
                  <c:v>588.26433703765042</c:v>
                </c:pt>
                <c:pt idx="26">
                  <c:v>598.45428023769705</c:v>
                </c:pt>
                <c:pt idx="27">
                  <c:v>585.5475372928438</c:v>
                </c:pt>
                <c:pt idx="28">
                  <c:v>629.43295264410835</c:v>
                </c:pt>
                <c:pt idx="29">
                  <c:v>610.35271718809338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DF-49C2-8F0F-E7FF067C68D8}"/>
            </c:ext>
          </c:extLst>
        </c:ser>
        <c:ser>
          <c:idx val="2"/>
          <c:order val="1"/>
          <c:tx>
            <c:strRef>
              <c:f>Comparison!$G$1</c:f>
              <c:strCache>
                <c:ptCount val="1"/>
                <c:pt idx="0">
                  <c:v>California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Comparison!$A$2:$A$31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Comparison!$G$2:$G$31</c:f>
              <c:numCache>
                <c:formatCode>#,##0.0_);[Red]\(#,##0.0\)</c:formatCode>
                <c:ptCount val="30"/>
                <c:pt idx="0">
                  <c:v>892.90335843979972</c:v>
                </c:pt>
                <c:pt idx="1">
                  <c:v>1027.769489506778</c:v>
                </c:pt>
                <c:pt idx="2">
                  <c:v>890.53585321076241</c:v>
                </c:pt>
                <c:pt idx="3">
                  <c:v>703.47768278335468</c:v>
                </c:pt>
                <c:pt idx="4">
                  <c:v>854.88615038670275</c:v>
                </c:pt>
                <c:pt idx="5">
                  <c:v>681.0284130193927</c:v>
                </c:pt>
                <c:pt idx="6">
                  <c:v>673.9623029930184</c:v>
                </c:pt>
                <c:pt idx="7">
                  <c:v>689.69654175549931</c:v>
                </c:pt>
                <c:pt idx="8">
                  <c:v>723.93281920804395</c:v>
                </c:pt>
                <c:pt idx="9">
                  <c:v>751.64076024284554</c:v>
                </c:pt>
                <c:pt idx="10">
                  <c:v>755.08978371629883</c:v>
                </c:pt>
                <c:pt idx="11">
                  <c:v>736.88071137501299</c:v>
                </c:pt>
                <c:pt idx="12">
                  <c:v>763.26094049201924</c:v>
                </c:pt>
                <c:pt idx="13">
                  <c:v>791.94610603718274</c:v>
                </c:pt>
                <c:pt idx="14">
                  <c:v>797.61521910605529</c:v>
                </c:pt>
                <c:pt idx="15">
                  <c:v>802.36180694709367</c:v>
                </c:pt>
                <c:pt idx="16">
                  <c:v>759.93405290313081</c:v>
                </c:pt>
                <c:pt idx="17">
                  <c:v>760.75596180953323</c:v>
                </c:pt>
                <c:pt idx="18">
                  <c:v>739.29976305753678</c:v>
                </c:pt>
                <c:pt idx="19">
                  <c:v>733.88570922338454</c:v>
                </c:pt>
                <c:pt idx="20">
                  <c:v>758.77347877274542</c:v>
                </c:pt>
                <c:pt idx="21">
                  <c:v>768.96548958453843</c:v>
                </c:pt>
                <c:pt idx="22">
                  <c:v>768.95300975462942</c:v>
                </c:pt>
                <c:pt idx="23">
                  <c:v>773.06915971265948</c:v>
                </c:pt>
                <c:pt idx="24">
                  <c:v>779.51844664420253</c:v>
                </c:pt>
                <c:pt idx="25">
                  <c:v>764.71451453953182</c:v>
                </c:pt>
                <c:pt idx="26">
                  <c:v>772.98137984497748</c:v>
                </c:pt>
                <c:pt idx="27">
                  <c:v>758.19222415621573</c:v>
                </c:pt>
                <c:pt idx="28">
                  <c:v>800.25574083197841</c:v>
                </c:pt>
                <c:pt idx="29">
                  <c:v>779.39272135994895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DF-49C2-8F0F-E7FF067C68D8}"/>
            </c:ext>
          </c:extLst>
        </c:ser>
        <c:ser>
          <c:idx val="3"/>
          <c:order val="2"/>
          <c:tx>
            <c:strRef>
              <c:f>Comparison!$H$1</c:f>
              <c:strCache>
                <c:ptCount val="1"/>
                <c:pt idx="0">
                  <c:v>Canada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Comparison!$A$2:$A$31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Comparison!$H$2:$H$31</c:f>
              <c:numCache>
                <c:formatCode>#,##0.0_);[Red]\(#,##0.0\)</c:formatCode>
                <c:ptCount val="30"/>
                <c:pt idx="0">
                  <c:v>365.60779355990184</c:v>
                </c:pt>
                <c:pt idx="1">
                  <c:v>560.36981452168027</c:v>
                </c:pt>
                <c:pt idx="2">
                  <c:v>466.80812833676288</c:v>
                </c:pt>
                <c:pt idx="3">
                  <c:v>487.93576807739242</c:v>
                </c:pt>
                <c:pt idx="4">
                  <c:v>458.318399828856</c:v>
                </c:pt>
                <c:pt idx="5">
                  <c:v>486.24482259331188</c:v>
                </c:pt>
                <c:pt idx="6">
                  <c:v>494.06716800587805</c:v>
                </c:pt>
                <c:pt idx="7">
                  <c:v>501.68885327771562</c:v>
                </c:pt>
                <c:pt idx="8">
                  <c:v>510.02792045585636</c:v>
                </c:pt>
                <c:pt idx="9">
                  <c:v>518.66252424011179</c:v>
                </c:pt>
                <c:pt idx="10">
                  <c:v>526.64572238006758</c:v>
                </c:pt>
                <c:pt idx="11">
                  <c:v>534.38547459027382</c:v>
                </c:pt>
                <c:pt idx="12">
                  <c:v>542.68709711066492</c:v>
                </c:pt>
                <c:pt idx="13">
                  <c:v>552.06334454943203</c:v>
                </c:pt>
                <c:pt idx="14">
                  <c:v>565.26395327673572</c:v>
                </c:pt>
                <c:pt idx="15">
                  <c:v>571.47483484598183</c:v>
                </c:pt>
                <c:pt idx="16">
                  <c:v>582.78304596946657</c:v>
                </c:pt>
                <c:pt idx="17">
                  <c:v>589.64807357328959</c:v>
                </c:pt>
                <c:pt idx="18">
                  <c:v>595.22393204390755</c:v>
                </c:pt>
                <c:pt idx="19">
                  <c:v>603.58486379428757</c:v>
                </c:pt>
                <c:pt idx="20">
                  <c:v>613.88144545488763</c:v>
                </c:pt>
                <c:pt idx="21">
                  <c:v>623.02178481849808</c:v>
                </c:pt>
                <c:pt idx="22">
                  <c:v>633.29190636333885</c:v>
                </c:pt>
                <c:pt idx="23">
                  <c:v>639.97094614510343</c:v>
                </c:pt>
                <c:pt idx="24">
                  <c:v>649.71367104694559</c:v>
                </c:pt>
                <c:pt idx="25">
                  <c:v>656.5444024117711</c:v>
                </c:pt>
                <c:pt idx="26">
                  <c:v>666.25713650025352</c:v>
                </c:pt>
                <c:pt idx="27">
                  <c:v>673.08043579533887</c:v>
                </c:pt>
                <c:pt idx="28">
                  <c:v>682.77609173946144</c:v>
                </c:pt>
                <c:pt idx="29">
                  <c:v>689.65058862438434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DF-49C2-8F0F-E7FF067C6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618720"/>
        <c:axId val="720617760"/>
      </c:lineChart>
      <c:catAx>
        <c:axId val="72061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617760"/>
        <c:crosses val="autoZero"/>
        <c:auto val="1"/>
        <c:lblAlgn val="ctr"/>
        <c:lblOffset val="100"/>
        <c:noMultiLvlLbl val="0"/>
      </c:catAx>
      <c:valAx>
        <c:axId val="72061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61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Comparison!$J$1</c:f>
              <c:strCache>
                <c:ptCount val="1"/>
                <c:pt idx="0">
                  <c:v>Chicago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Comparison!$A$2:$A$31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Comparison!$J$2:$J$31</c:f>
              <c:numCache>
                <c:formatCode>#,##0.0_);[Red]\(#,##0.0\)</c:formatCode>
                <c:ptCount val="30"/>
                <c:pt idx="0">
                  <c:v>200.05656565656565</c:v>
                </c:pt>
                <c:pt idx="1">
                  <c:v>251.02222222222224</c:v>
                </c:pt>
                <c:pt idx="2">
                  <c:v>436.19259259259263</c:v>
                </c:pt>
                <c:pt idx="3">
                  <c:v>365.71111111111117</c:v>
                </c:pt>
                <c:pt idx="4">
                  <c:v>328.73333333333341</c:v>
                </c:pt>
                <c:pt idx="5">
                  <c:v>203.82222222222228</c:v>
                </c:pt>
                <c:pt idx="6">
                  <c:v>200.56888888888892</c:v>
                </c:pt>
                <c:pt idx="7">
                  <c:v>197.06666666666669</c:v>
                </c:pt>
                <c:pt idx="8">
                  <c:v>219.73333333333338</c:v>
                </c:pt>
                <c:pt idx="9">
                  <c:v>215.84888888888892</c:v>
                </c:pt>
                <c:pt idx="10">
                  <c:v>212.54222222222228</c:v>
                </c:pt>
                <c:pt idx="11">
                  <c:v>210.69333333333336</c:v>
                </c:pt>
                <c:pt idx="12">
                  <c:v>207.12888888888892</c:v>
                </c:pt>
                <c:pt idx="13">
                  <c:v>204.00888888888889</c:v>
                </c:pt>
                <c:pt idx="14">
                  <c:v>201.01333333333335</c:v>
                </c:pt>
                <c:pt idx="15">
                  <c:v>198.6577777777778</c:v>
                </c:pt>
                <c:pt idx="16">
                  <c:v>195.41333333333336</c:v>
                </c:pt>
                <c:pt idx="17">
                  <c:v>192.35555555555558</c:v>
                </c:pt>
                <c:pt idx="18">
                  <c:v>189.9377777777778</c:v>
                </c:pt>
                <c:pt idx="19">
                  <c:v>189.75111111111113</c:v>
                </c:pt>
                <c:pt idx="20">
                  <c:v>188.85333333333338</c:v>
                </c:pt>
                <c:pt idx="21">
                  <c:v>188.16000000000003</c:v>
                </c:pt>
                <c:pt idx="22">
                  <c:v>186.4355555555556</c:v>
                </c:pt>
                <c:pt idx="23">
                  <c:v>184.3377777777778</c:v>
                </c:pt>
                <c:pt idx="24">
                  <c:v>183.06666666666666</c:v>
                </c:pt>
                <c:pt idx="25">
                  <c:v>180.57777777777781</c:v>
                </c:pt>
                <c:pt idx="26">
                  <c:v>180.57777777777781</c:v>
                </c:pt>
                <c:pt idx="27">
                  <c:v>179.3688888888889</c:v>
                </c:pt>
                <c:pt idx="28">
                  <c:v>177.20888888888894</c:v>
                </c:pt>
                <c:pt idx="29">
                  <c:v>175.54666666666668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65-41EC-AC2F-B88D59B11791}"/>
            </c:ext>
          </c:extLst>
        </c:ser>
        <c:ser>
          <c:idx val="2"/>
          <c:order val="1"/>
          <c:tx>
            <c:strRef>
              <c:f>Comparison!$K$1</c:f>
              <c:strCache>
                <c:ptCount val="1"/>
                <c:pt idx="0">
                  <c:v>California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Comparison!$A$2:$A$31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Comparison!$K$2:$K$31</c:f>
              <c:numCache>
                <c:formatCode>#,##0.0_);[Red]\(#,##0.0\)</c:formatCode>
                <c:ptCount val="30"/>
                <c:pt idx="0">
                  <c:v>165.15555555555559</c:v>
                </c:pt>
                <c:pt idx="1">
                  <c:v>299.91111111111121</c:v>
                </c:pt>
                <c:pt idx="2">
                  <c:v>239.91111111111113</c:v>
                </c:pt>
                <c:pt idx="3">
                  <c:v>276.17777777777786</c:v>
                </c:pt>
                <c:pt idx="4">
                  <c:v>294.75555555555559</c:v>
                </c:pt>
                <c:pt idx="5">
                  <c:v>283.9111111111111</c:v>
                </c:pt>
                <c:pt idx="6">
                  <c:v>279.37777777777785</c:v>
                </c:pt>
                <c:pt idx="7">
                  <c:v>274.48888888888894</c:v>
                </c:pt>
                <c:pt idx="8">
                  <c:v>306.13333333333333</c:v>
                </c:pt>
                <c:pt idx="9">
                  <c:v>300.71111111111117</c:v>
                </c:pt>
                <c:pt idx="10">
                  <c:v>296.08888888888896</c:v>
                </c:pt>
                <c:pt idx="11">
                  <c:v>293.51111111111112</c:v>
                </c:pt>
                <c:pt idx="12">
                  <c:v>288.53333333333336</c:v>
                </c:pt>
                <c:pt idx="13">
                  <c:v>284.17777777777781</c:v>
                </c:pt>
                <c:pt idx="14">
                  <c:v>280</c:v>
                </c:pt>
                <c:pt idx="15">
                  <c:v>276.71111111111111</c:v>
                </c:pt>
                <c:pt idx="16">
                  <c:v>272.17777777777781</c:v>
                </c:pt>
                <c:pt idx="17">
                  <c:v>267.91111111111115</c:v>
                </c:pt>
                <c:pt idx="18">
                  <c:v>264.53333333333342</c:v>
                </c:pt>
                <c:pt idx="19">
                  <c:v>264.26666666666671</c:v>
                </c:pt>
                <c:pt idx="20">
                  <c:v>263.02222222222224</c:v>
                </c:pt>
                <c:pt idx="21">
                  <c:v>262.04444444444448</c:v>
                </c:pt>
                <c:pt idx="22">
                  <c:v>259.6444444444445</c:v>
                </c:pt>
                <c:pt idx="23">
                  <c:v>256.71111111111111</c:v>
                </c:pt>
                <c:pt idx="24">
                  <c:v>254.93333333333339</c:v>
                </c:pt>
                <c:pt idx="25">
                  <c:v>251.46666666666667</c:v>
                </c:pt>
                <c:pt idx="26">
                  <c:v>251.46666666666667</c:v>
                </c:pt>
                <c:pt idx="27">
                  <c:v>251.46666666666667</c:v>
                </c:pt>
                <c:pt idx="28">
                  <c:v>251.46666666666667</c:v>
                </c:pt>
                <c:pt idx="29">
                  <c:v>251.46666666666667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65-41EC-AC2F-B88D59B11791}"/>
            </c:ext>
          </c:extLst>
        </c:ser>
        <c:ser>
          <c:idx val="3"/>
          <c:order val="2"/>
          <c:tx>
            <c:strRef>
              <c:f>Comparison!$L$1</c:f>
              <c:strCache>
                <c:ptCount val="1"/>
                <c:pt idx="0">
                  <c:v>Canada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Comparison!$A$2:$A$31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Comparison!$L$2:$L$31</c:f>
              <c:numCache>
                <c:formatCode>#,##0.0_);[Red]\(#,##0.0\)</c:formatCode>
                <c:ptCount val="30"/>
                <c:pt idx="0">
                  <c:v>322.13333333333338</c:v>
                </c:pt>
                <c:pt idx="1">
                  <c:v>336.53333333333342</c:v>
                </c:pt>
                <c:pt idx="2">
                  <c:v>279.25809163887868</c:v>
                </c:pt>
                <c:pt idx="3">
                  <c:v>277.34677264252775</c:v>
                </c:pt>
                <c:pt idx="4">
                  <c:v>405.87875942870977</c:v>
                </c:pt>
                <c:pt idx="5">
                  <c:v>283.9111111111111</c:v>
                </c:pt>
                <c:pt idx="6">
                  <c:v>279.37777777777785</c:v>
                </c:pt>
                <c:pt idx="7">
                  <c:v>274.48888888888894</c:v>
                </c:pt>
                <c:pt idx="8">
                  <c:v>306.13333333333333</c:v>
                </c:pt>
                <c:pt idx="9">
                  <c:v>300.71111111111117</c:v>
                </c:pt>
                <c:pt idx="10">
                  <c:v>296.08888888888896</c:v>
                </c:pt>
                <c:pt idx="11">
                  <c:v>293.51111111111112</c:v>
                </c:pt>
                <c:pt idx="12">
                  <c:v>288.53333333333336</c:v>
                </c:pt>
                <c:pt idx="13">
                  <c:v>284.17777777777781</c:v>
                </c:pt>
                <c:pt idx="14">
                  <c:v>280</c:v>
                </c:pt>
                <c:pt idx="15">
                  <c:v>276.71111111111111</c:v>
                </c:pt>
                <c:pt idx="16">
                  <c:v>272.17777777777781</c:v>
                </c:pt>
                <c:pt idx="17">
                  <c:v>267.91111111111115</c:v>
                </c:pt>
                <c:pt idx="18">
                  <c:v>264.53333333333342</c:v>
                </c:pt>
                <c:pt idx="19">
                  <c:v>264.26666666666671</c:v>
                </c:pt>
                <c:pt idx="20">
                  <c:v>263.02222222222224</c:v>
                </c:pt>
                <c:pt idx="21">
                  <c:v>262.04444444444448</c:v>
                </c:pt>
                <c:pt idx="22">
                  <c:v>259.6444444444445</c:v>
                </c:pt>
                <c:pt idx="23">
                  <c:v>256.71111111111111</c:v>
                </c:pt>
                <c:pt idx="24">
                  <c:v>254.93333333333339</c:v>
                </c:pt>
                <c:pt idx="25">
                  <c:v>251.46666666666667</c:v>
                </c:pt>
                <c:pt idx="26">
                  <c:v>251.46666666666667</c:v>
                </c:pt>
                <c:pt idx="27">
                  <c:v>251.46666666666667</c:v>
                </c:pt>
                <c:pt idx="28">
                  <c:v>251.46666666666667</c:v>
                </c:pt>
                <c:pt idx="29">
                  <c:v>251.46666666666667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65-41EC-AC2F-B88D59B11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618720"/>
        <c:axId val="720617760"/>
      </c:lineChart>
      <c:catAx>
        <c:axId val="72061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617760"/>
        <c:crosses val="autoZero"/>
        <c:auto val="1"/>
        <c:lblAlgn val="ctr"/>
        <c:lblOffset val="100"/>
        <c:noMultiLvlLbl val="0"/>
      </c:catAx>
      <c:valAx>
        <c:axId val="72061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61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Comparison!$N$1</c:f>
              <c:strCache>
                <c:ptCount val="1"/>
                <c:pt idx="0">
                  <c:v>Chicago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Comparison!$A$2:$A$31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Comparison!$N$2:$N$31</c:f>
              <c:numCache>
                <c:formatCode>#,##0.0_);[Red]\(#,##0.0\)</c:formatCode>
                <c:ptCount val="30"/>
                <c:pt idx="0">
                  <c:v>538.7495406335338</c:v>
                </c:pt>
                <c:pt idx="1">
                  <c:v>617.35263021684659</c:v>
                </c:pt>
                <c:pt idx="2">
                  <c:v>1041.6446216689067</c:v>
                </c:pt>
                <c:pt idx="3">
                  <c:v>849.8260589431419</c:v>
                </c:pt>
                <c:pt idx="4">
                  <c:v>838.41498918165837</c:v>
                </c:pt>
                <c:pt idx="5">
                  <c:v>717.98136725415839</c:v>
                </c:pt>
                <c:pt idx="6">
                  <c:v>719.36953459268432</c:v>
                </c:pt>
                <c:pt idx="7">
                  <c:v>727.10655780465549</c:v>
                </c:pt>
                <c:pt idx="8">
                  <c:v>763.15736707070528</c:v>
                </c:pt>
                <c:pt idx="9">
                  <c:v>758.8625969037364</c:v>
                </c:pt>
                <c:pt idx="10">
                  <c:v>762.73864593620942</c:v>
                </c:pt>
                <c:pt idx="11">
                  <c:v>761.37271859047814</c:v>
                </c:pt>
                <c:pt idx="12">
                  <c:v>758.62742165252007</c:v>
                </c:pt>
                <c:pt idx="13">
                  <c:v>750.91968098913185</c:v>
                </c:pt>
                <c:pt idx="14">
                  <c:v>747.25788726527321</c:v>
                </c:pt>
                <c:pt idx="15">
                  <c:v>737.61777777777786</c:v>
                </c:pt>
                <c:pt idx="16">
                  <c:v>734.0533333333334</c:v>
                </c:pt>
                <c:pt idx="17">
                  <c:v>728.1155555555556</c:v>
                </c:pt>
                <c:pt idx="18">
                  <c:v>721.21777777777788</c:v>
                </c:pt>
                <c:pt idx="19">
                  <c:v>722.31111111111113</c:v>
                </c:pt>
                <c:pt idx="20">
                  <c:v>727.1733333333334</c:v>
                </c:pt>
                <c:pt idx="21">
                  <c:v>717.52</c:v>
                </c:pt>
                <c:pt idx="22">
                  <c:v>717.39555555555557</c:v>
                </c:pt>
                <c:pt idx="23">
                  <c:v>706.81777777777779</c:v>
                </c:pt>
                <c:pt idx="24">
                  <c:v>710.98666666666668</c:v>
                </c:pt>
                <c:pt idx="25">
                  <c:v>700.17777777777781</c:v>
                </c:pt>
                <c:pt idx="26">
                  <c:v>705.45777777777778</c:v>
                </c:pt>
                <c:pt idx="27">
                  <c:v>696.08888888888896</c:v>
                </c:pt>
                <c:pt idx="28">
                  <c:v>699.048888888889</c:v>
                </c:pt>
                <c:pt idx="29">
                  <c:v>689.54666666666662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A1-4D60-904A-B285FFFD1A62}"/>
            </c:ext>
          </c:extLst>
        </c:ser>
        <c:ser>
          <c:idx val="2"/>
          <c:order val="1"/>
          <c:tx>
            <c:strRef>
              <c:f>Comparison!$O$1</c:f>
              <c:strCache>
                <c:ptCount val="1"/>
                <c:pt idx="0">
                  <c:v>California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Comparison!$A$2:$A$31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Comparison!$O$2:$O$31</c:f>
              <c:numCache>
                <c:formatCode>#,##0.0_);[Red]\(#,##0.0\)</c:formatCode>
                <c:ptCount val="30"/>
                <c:pt idx="0">
                  <c:v>831.59590675711138</c:v>
                </c:pt>
                <c:pt idx="1">
                  <c:v>935.7254676496741</c:v>
                </c:pt>
                <c:pt idx="2">
                  <c:v>945.28444972791453</c:v>
                </c:pt>
                <c:pt idx="3">
                  <c:v>850.8429208625704</c:v>
                </c:pt>
                <c:pt idx="4">
                  <c:v>903.76170983549378</c:v>
                </c:pt>
                <c:pt idx="5">
                  <c:v>902.468207733496</c:v>
                </c:pt>
                <c:pt idx="6">
                  <c:v>902.52863527704517</c:v>
                </c:pt>
                <c:pt idx="7">
                  <c:v>911.25619111862534</c:v>
                </c:pt>
                <c:pt idx="8">
                  <c:v>965.22231907448645</c:v>
                </c:pt>
                <c:pt idx="9">
                  <c:v>953.48076697366264</c:v>
                </c:pt>
                <c:pt idx="10">
                  <c:v>952.54209979831853</c:v>
                </c:pt>
                <c:pt idx="11">
                  <c:v>948.09289862188643</c:v>
                </c:pt>
                <c:pt idx="12">
                  <c:v>945.47380428008114</c:v>
                </c:pt>
                <c:pt idx="13">
                  <c:v>944.39933753188097</c:v>
                </c:pt>
                <c:pt idx="14">
                  <c:v>935.76832469052761</c:v>
                </c:pt>
                <c:pt idx="15">
                  <c:v>929.17168658086098</c:v>
                </c:pt>
                <c:pt idx="16">
                  <c:v>920.17481995954233</c:v>
                </c:pt>
                <c:pt idx="17">
                  <c:v>907.13763198094296</c:v>
                </c:pt>
                <c:pt idx="18">
                  <c:v>896.82460941370823</c:v>
                </c:pt>
                <c:pt idx="19">
                  <c:v>897.43440344748194</c:v>
                </c:pt>
                <c:pt idx="20">
                  <c:v>904.3733811272981</c:v>
                </c:pt>
                <c:pt idx="21">
                  <c:v>895.25955723357401</c:v>
                </c:pt>
                <c:pt idx="22">
                  <c:v>892.55922055871577</c:v>
                </c:pt>
                <c:pt idx="23">
                  <c:v>879.50359771411729</c:v>
                </c:pt>
                <c:pt idx="24">
                  <c:v>881.54478398041874</c:v>
                </c:pt>
                <c:pt idx="25">
                  <c:v>868.14946024638436</c:v>
                </c:pt>
                <c:pt idx="26">
                  <c:v>871.83901733387859</c:v>
                </c:pt>
                <c:pt idx="27">
                  <c:v>862.1114267531467</c:v>
                </c:pt>
                <c:pt idx="28">
                  <c:v>865.69404493685124</c:v>
                </c:pt>
                <c:pt idx="29">
                  <c:v>856.34428227561898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A1-4D60-904A-B285FFFD1A62}"/>
            </c:ext>
          </c:extLst>
        </c:ser>
        <c:ser>
          <c:idx val="3"/>
          <c:order val="2"/>
          <c:tx>
            <c:strRef>
              <c:f>Comparison!$P$1</c:f>
              <c:strCache>
                <c:ptCount val="1"/>
                <c:pt idx="0">
                  <c:v>Canada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Comparison!$A$2:$A$31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Comparison!$P$2:$P$31</c:f>
              <c:numCache>
                <c:formatCode>#,##0.0_);[Red]\(#,##0.0\)</c:formatCode>
                <c:ptCount val="30"/>
                <c:pt idx="0">
                  <c:v>622.13333333333344</c:v>
                </c:pt>
                <c:pt idx="1">
                  <c:v>760.41128780378358</c:v>
                </c:pt>
                <c:pt idx="2">
                  <c:v>676.90891502165528</c:v>
                </c:pt>
                <c:pt idx="3">
                  <c:v>678.58346184211155</c:v>
                </c:pt>
                <c:pt idx="4">
                  <c:v>815.66431417978401</c:v>
                </c:pt>
                <c:pt idx="5">
                  <c:v>725.36847406723598</c:v>
                </c:pt>
                <c:pt idx="6">
                  <c:v>739.2106620112213</c:v>
                </c:pt>
                <c:pt idx="7">
                  <c:v>748.19117238091235</c:v>
                </c:pt>
                <c:pt idx="8">
                  <c:v>801.99743954310031</c:v>
                </c:pt>
                <c:pt idx="9">
                  <c:v>824.10214386895814</c:v>
                </c:pt>
                <c:pt idx="10">
                  <c:v>816.24383519270464</c:v>
                </c:pt>
                <c:pt idx="11">
                  <c:v>808.94611248285844</c:v>
                </c:pt>
                <c:pt idx="12">
                  <c:v>802.41251961554997</c:v>
                </c:pt>
                <c:pt idx="13">
                  <c:v>802.55067767747687</c:v>
                </c:pt>
                <c:pt idx="14">
                  <c:v>824.74727791119597</c:v>
                </c:pt>
                <c:pt idx="15">
                  <c:v>808.02372967856877</c:v>
                </c:pt>
                <c:pt idx="16">
                  <c:v>819.00390322447311</c:v>
                </c:pt>
                <c:pt idx="17">
                  <c:v>805.02514322371565</c:v>
                </c:pt>
                <c:pt idx="18">
                  <c:v>784.60656776285532</c:v>
                </c:pt>
                <c:pt idx="19">
                  <c:v>783.08636350601876</c:v>
                </c:pt>
                <c:pt idx="20">
                  <c:v>791.65843400020344</c:v>
                </c:pt>
                <c:pt idx="21">
                  <c:v>793.91872181848203</c:v>
                </c:pt>
                <c:pt idx="22">
                  <c:v>801.13160706004908</c:v>
                </c:pt>
                <c:pt idx="23">
                  <c:v>787.4296319172845</c:v>
                </c:pt>
                <c:pt idx="24">
                  <c:v>792.31754339800477</c:v>
                </c:pt>
                <c:pt idx="25">
                  <c:v>778.8910483306106</c:v>
                </c:pt>
                <c:pt idx="26">
                  <c:v>785.38629164189547</c:v>
                </c:pt>
                <c:pt idx="27">
                  <c:v>775.43885752800975</c:v>
                </c:pt>
                <c:pt idx="28">
                  <c:v>781.78195837087583</c:v>
                </c:pt>
                <c:pt idx="29">
                  <c:v>772.12597143262656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A1-4D60-904A-B285FFFD1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618720"/>
        <c:axId val="720617760"/>
      </c:lineChart>
      <c:catAx>
        <c:axId val="72061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617760"/>
        <c:crosses val="autoZero"/>
        <c:auto val="1"/>
        <c:lblAlgn val="ctr"/>
        <c:lblOffset val="100"/>
        <c:noMultiLvlLbl val="0"/>
      </c:catAx>
      <c:valAx>
        <c:axId val="72061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61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Comparison!$R$1</c:f>
              <c:strCache>
                <c:ptCount val="1"/>
                <c:pt idx="0">
                  <c:v>Chicago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Comparison!$A$2:$A$31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Comparison!$R$2:$R$31</c:f>
              <c:numCache>
                <c:formatCode>#,##0.0_);[Red]\(#,##0.0\)</c:formatCode>
                <c:ptCount val="30"/>
                <c:pt idx="0">
                  <c:v>320.8</c:v>
                </c:pt>
                <c:pt idx="1">
                  <c:v>490.7166666666667</c:v>
                </c:pt>
                <c:pt idx="2">
                  <c:v>411.42500000000001</c:v>
                </c:pt>
                <c:pt idx="3">
                  <c:v>369.82500000000005</c:v>
                </c:pt>
                <c:pt idx="4">
                  <c:v>354.27499999999998</c:v>
                </c:pt>
                <c:pt idx="5">
                  <c:v>172.16</c:v>
                </c:pt>
                <c:pt idx="6">
                  <c:v>175.27</c:v>
                </c:pt>
                <c:pt idx="7">
                  <c:v>178.86</c:v>
                </c:pt>
                <c:pt idx="8">
                  <c:v>182.28</c:v>
                </c:pt>
                <c:pt idx="9">
                  <c:v>185.7</c:v>
                </c:pt>
                <c:pt idx="10">
                  <c:v>189.13</c:v>
                </c:pt>
                <c:pt idx="11">
                  <c:v>192.56</c:v>
                </c:pt>
                <c:pt idx="12">
                  <c:v>195.99</c:v>
                </c:pt>
                <c:pt idx="13">
                  <c:v>199.42</c:v>
                </c:pt>
                <c:pt idx="14">
                  <c:v>202.85</c:v>
                </c:pt>
                <c:pt idx="15">
                  <c:v>206.28</c:v>
                </c:pt>
                <c:pt idx="16">
                  <c:v>209.71</c:v>
                </c:pt>
                <c:pt idx="17">
                  <c:v>213.14</c:v>
                </c:pt>
                <c:pt idx="18">
                  <c:v>216.57</c:v>
                </c:pt>
                <c:pt idx="19">
                  <c:v>220</c:v>
                </c:pt>
                <c:pt idx="20">
                  <c:v>223.43</c:v>
                </c:pt>
                <c:pt idx="21">
                  <c:v>226.86</c:v>
                </c:pt>
                <c:pt idx="22">
                  <c:v>230.29</c:v>
                </c:pt>
                <c:pt idx="23">
                  <c:v>233.72</c:v>
                </c:pt>
                <c:pt idx="24">
                  <c:v>237.14</c:v>
                </c:pt>
                <c:pt idx="25">
                  <c:v>240.57</c:v>
                </c:pt>
                <c:pt idx="26">
                  <c:v>244</c:v>
                </c:pt>
                <c:pt idx="27">
                  <c:v>247.43</c:v>
                </c:pt>
                <c:pt idx="28">
                  <c:v>250.86</c:v>
                </c:pt>
                <c:pt idx="29">
                  <c:v>254.3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C2-4F95-A394-7FD8C57D3BF2}"/>
            </c:ext>
          </c:extLst>
        </c:ser>
        <c:ser>
          <c:idx val="2"/>
          <c:order val="1"/>
          <c:tx>
            <c:strRef>
              <c:f>Comparison!$S$1</c:f>
              <c:strCache>
                <c:ptCount val="1"/>
                <c:pt idx="0">
                  <c:v>California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Comparison!$A$2:$A$31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Comparison!$S$2:$S$31</c:f>
              <c:numCache>
                <c:formatCode>#,##0.0_);[Red]\(#,##0.0\)</c:formatCode>
                <c:ptCount val="30"/>
                <c:pt idx="0">
                  <c:v>384.68333333333334</c:v>
                </c:pt>
                <c:pt idx="1">
                  <c:v>562.48333333333335</c:v>
                </c:pt>
                <c:pt idx="2">
                  <c:v>494.27500000000003</c:v>
                </c:pt>
                <c:pt idx="3">
                  <c:v>441.63333333333333</c:v>
                </c:pt>
                <c:pt idx="4">
                  <c:v>426.72499999999997</c:v>
                </c:pt>
                <c:pt idx="5">
                  <c:v>235.63</c:v>
                </c:pt>
                <c:pt idx="6">
                  <c:v>239.63</c:v>
                </c:pt>
                <c:pt idx="7">
                  <c:v>243.98</c:v>
                </c:pt>
                <c:pt idx="8">
                  <c:v>248.99</c:v>
                </c:pt>
                <c:pt idx="9">
                  <c:v>253.75</c:v>
                </c:pt>
                <c:pt idx="10">
                  <c:v>258.54000000000002</c:v>
                </c:pt>
                <c:pt idx="11">
                  <c:v>263.33</c:v>
                </c:pt>
                <c:pt idx="12">
                  <c:v>268.12</c:v>
                </c:pt>
                <c:pt idx="13">
                  <c:v>272.89999999999998</c:v>
                </c:pt>
                <c:pt idx="14">
                  <c:v>277.69</c:v>
                </c:pt>
                <c:pt idx="15">
                  <c:v>282.48</c:v>
                </c:pt>
                <c:pt idx="16">
                  <c:v>287.27</c:v>
                </c:pt>
                <c:pt idx="17">
                  <c:v>292.05</c:v>
                </c:pt>
                <c:pt idx="18">
                  <c:v>296.83999999999997</c:v>
                </c:pt>
                <c:pt idx="19">
                  <c:v>301.63</c:v>
                </c:pt>
                <c:pt idx="20">
                  <c:v>306.42</c:v>
                </c:pt>
                <c:pt idx="21">
                  <c:v>311.20999999999998</c:v>
                </c:pt>
                <c:pt idx="22">
                  <c:v>315.99</c:v>
                </c:pt>
                <c:pt idx="23">
                  <c:v>320.77999999999997</c:v>
                </c:pt>
                <c:pt idx="24">
                  <c:v>325.57</c:v>
                </c:pt>
                <c:pt idx="25">
                  <c:v>330.36</c:v>
                </c:pt>
                <c:pt idx="26">
                  <c:v>335.15</c:v>
                </c:pt>
                <c:pt idx="27">
                  <c:v>339.93</c:v>
                </c:pt>
                <c:pt idx="28">
                  <c:v>344.72</c:v>
                </c:pt>
                <c:pt idx="29">
                  <c:v>349.51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C2-4F95-A394-7FD8C57D3BF2}"/>
            </c:ext>
          </c:extLst>
        </c:ser>
        <c:ser>
          <c:idx val="3"/>
          <c:order val="2"/>
          <c:tx>
            <c:strRef>
              <c:f>Comparison!$T$1</c:f>
              <c:strCache>
                <c:ptCount val="1"/>
                <c:pt idx="0">
                  <c:v>Canada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Comparison!$A$2:$A$31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Comparison!$T$2:$T$31</c:f>
              <c:numCache>
                <c:formatCode>#,##0.0_);[Red]\(#,##0.0\)</c:formatCode>
                <c:ptCount val="30"/>
                <c:pt idx="0">
                  <c:v>379.2</c:v>
                </c:pt>
                <c:pt idx="1">
                  <c:v>511.8</c:v>
                </c:pt>
                <c:pt idx="2">
                  <c:v>426.08676013338277</c:v>
                </c:pt>
                <c:pt idx="3">
                  <c:v>450.4718283779805</c:v>
                </c:pt>
                <c:pt idx="4">
                  <c:v>421.15113899782131</c:v>
                </c:pt>
                <c:pt idx="5">
                  <c:v>445.12</c:v>
                </c:pt>
                <c:pt idx="6">
                  <c:v>453.19</c:v>
                </c:pt>
                <c:pt idx="7">
                  <c:v>462.5</c:v>
                </c:pt>
                <c:pt idx="8">
                  <c:v>471.35</c:v>
                </c:pt>
                <c:pt idx="9">
                  <c:v>480.24</c:v>
                </c:pt>
                <c:pt idx="10">
                  <c:v>489.14</c:v>
                </c:pt>
                <c:pt idx="11">
                  <c:v>498.03</c:v>
                </c:pt>
                <c:pt idx="12">
                  <c:v>506.92</c:v>
                </c:pt>
                <c:pt idx="13">
                  <c:v>515.82000000000005</c:v>
                </c:pt>
                <c:pt idx="14">
                  <c:v>524.71</c:v>
                </c:pt>
                <c:pt idx="15">
                  <c:v>533.6</c:v>
                </c:pt>
                <c:pt idx="16">
                  <c:v>542.5</c:v>
                </c:pt>
                <c:pt idx="17">
                  <c:v>551.39</c:v>
                </c:pt>
                <c:pt idx="18">
                  <c:v>560.28</c:v>
                </c:pt>
                <c:pt idx="19">
                  <c:v>569.17999999999995</c:v>
                </c:pt>
                <c:pt idx="20">
                  <c:v>578.07000000000005</c:v>
                </c:pt>
                <c:pt idx="21">
                  <c:v>586.96</c:v>
                </c:pt>
                <c:pt idx="22">
                  <c:v>595.86</c:v>
                </c:pt>
                <c:pt idx="23">
                  <c:v>604.75</c:v>
                </c:pt>
                <c:pt idx="24">
                  <c:v>613.64</c:v>
                </c:pt>
                <c:pt idx="25">
                  <c:v>622.54</c:v>
                </c:pt>
                <c:pt idx="26">
                  <c:v>631.42999999999995</c:v>
                </c:pt>
                <c:pt idx="27">
                  <c:v>640.32000000000005</c:v>
                </c:pt>
                <c:pt idx="28">
                  <c:v>649.22</c:v>
                </c:pt>
                <c:pt idx="29">
                  <c:v>658.11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C2-4F95-A394-7FD8C57D3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618720"/>
        <c:axId val="720617760"/>
      </c:lineChart>
      <c:catAx>
        <c:axId val="72061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617760"/>
        <c:crosses val="autoZero"/>
        <c:auto val="1"/>
        <c:lblAlgn val="ctr"/>
        <c:lblOffset val="100"/>
        <c:noMultiLvlLbl val="0"/>
      </c:catAx>
      <c:valAx>
        <c:axId val="72061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61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Comparison!$V$1</c:f>
              <c:strCache>
                <c:ptCount val="1"/>
                <c:pt idx="0">
                  <c:v>Chicago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Comparison!$A$2:$A$31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Comparison!$V$2:$V$31</c:f>
              <c:numCache>
                <c:formatCode>#,##0.0_);[Red]\(#,##0.0\)</c:formatCode>
                <c:ptCount val="30"/>
                <c:pt idx="0">
                  <c:v>225.06363636363633</c:v>
                </c:pt>
                <c:pt idx="1">
                  <c:v>282.39999999999998</c:v>
                </c:pt>
                <c:pt idx="2">
                  <c:v>490.7166666666667</c:v>
                </c:pt>
                <c:pt idx="3">
                  <c:v>411.42500000000001</c:v>
                </c:pt>
                <c:pt idx="4">
                  <c:v>369.82500000000005</c:v>
                </c:pt>
                <c:pt idx="5">
                  <c:v>229.3</c:v>
                </c:pt>
                <c:pt idx="6">
                  <c:v>225.64</c:v>
                </c:pt>
                <c:pt idx="7">
                  <c:v>221.7</c:v>
                </c:pt>
                <c:pt idx="8">
                  <c:v>247.2</c:v>
                </c:pt>
                <c:pt idx="9">
                  <c:v>242.83</c:v>
                </c:pt>
                <c:pt idx="10">
                  <c:v>239.11</c:v>
                </c:pt>
                <c:pt idx="11">
                  <c:v>237.03</c:v>
                </c:pt>
                <c:pt idx="12">
                  <c:v>233.02</c:v>
                </c:pt>
                <c:pt idx="13">
                  <c:v>229.51</c:v>
                </c:pt>
                <c:pt idx="14">
                  <c:v>226.14</c:v>
                </c:pt>
                <c:pt idx="15">
                  <c:v>223.49</c:v>
                </c:pt>
                <c:pt idx="16">
                  <c:v>219.84</c:v>
                </c:pt>
                <c:pt idx="17">
                  <c:v>216.4</c:v>
                </c:pt>
                <c:pt idx="18">
                  <c:v>213.68</c:v>
                </c:pt>
                <c:pt idx="19">
                  <c:v>213.47</c:v>
                </c:pt>
                <c:pt idx="20">
                  <c:v>212.46</c:v>
                </c:pt>
                <c:pt idx="21">
                  <c:v>211.68</c:v>
                </c:pt>
                <c:pt idx="22">
                  <c:v>209.74</c:v>
                </c:pt>
                <c:pt idx="23">
                  <c:v>207.38</c:v>
                </c:pt>
                <c:pt idx="24">
                  <c:v>205.95</c:v>
                </c:pt>
                <c:pt idx="25">
                  <c:v>203.15</c:v>
                </c:pt>
                <c:pt idx="26">
                  <c:v>203.15</c:v>
                </c:pt>
                <c:pt idx="27">
                  <c:v>201.79</c:v>
                </c:pt>
                <c:pt idx="28">
                  <c:v>199.36</c:v>
                </c:pt>
                <c:pt idx="29">
                  <c:v>197.49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65-419C-B771-05924AF5C37B}"/>
            </c:ext>
          </c:extLst>
        </c:ser>
        <c:ser>
          <c:idx val="2"/>
          <c:order val="1"/>
          <c:tx>
            <c:strRef>
              <c:f>Comparison!$W$1</c:f>
              <c:strCache>
                <c:ptCount val="1"/>
                <c:pt idx="0">
                  <c:v>California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Comparison!$A$2:$A$31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Comparison!$W$2:$W$31</c:f>
              <c:numCache>
                <c:formatCode>#,##0.0_);[Red]\(#,##0.0\)</c:formatCode>
                <c:ptCount val="30"/>
                <c:pt idx="0">
                  <c:v>185.8</c:v>
                </c:pt>
                <c:pt idx="1">
                  <c:v>337.40000000000003</c:v>
                </c:pt>
                <c:pt idx="2">
                  <c:v>269.89999999999998</c:v>
                </c:pt>
                <c:pt idx="3">
                  <c:v>310.70000000000005</c:v>
                </c:pt>
                <c:pt idx="4">
                  <c:v>331.6</c:v>
                </c:pt>
                <c:pt idx="5">
                  <c:v>319.39999999999998</c:v>
                </c:pt>
                <c:pt idx="6">
                  <c:v>314.3</c:v>
                </c:pt>
                <c:pt idx="7">
                  <c:v>308.8</c:v>
                </c:pt>
                <c:pt idx="8">
                  <c:v>344.4</c:v>
                </c:pt>
                <c:pt idx="9">
                  <c:v>338.3</c:v>
                </c:pt>
                <c:pt idx="10">
                  <c:v>333.1</c:v>
                </c:pt>
                <c:pt idx="11">
                  <c:v>330.2</c:v>
                </c:pt>
                <c:pt idx="12">
                  <c:v>324.60000000000002</c:v>
                </c:pt>
                <c:pt idx="13">
                  <c:v>319.7</c:v>
                </c:pt>
                <c:pt idx="14">
                  <c:v>315</c:v>
                </c:pt>
                <c:pt idx="15">
                  <c:v>311.3</c:v>
                </c:pt>
                <c:pt idx="16">
                  <c:v>306.2</c:v>
                </c:pt>
                <c:pt idx="17">
                  <c:v>301.39999999999998</c:v>
                </c:pt>
                <c:pt idx="18">
                  <c:v>297.60000000000002</c:v>
                </c:pt>
                <c:pt idx="19">
                  <c:v>297.3</c:v>
                </c:pt>
                <c:pt idx="20">
                  <c:v>295.89999999999998</c:v>
                </c:pt>
                <c:pt idx="21">
                  <c:v>294.8</c:v>
                </c:pt>
                <c:pt idx="22">
                  <c:v>292.10000000000002</c:v>
                </c:pt>
                <c:pt idx="23">
                  <c:v>288.8</c:v>
                </c:pt>
                <c:pt idx="24">
                  <c:v>286.8</c:v>
                </c:pt>
                <c:pt idx="25">
                  <c:v>282.89999999999998</c:v>
                </c:pt>
                <c:pt idx="26">
                  <c:v>282.89999999999998</c:v>
                </c:pt>
                <c:pt idx="27">
                  <c:v>282.89999999999998</c:v>
                </c:pt>
                <c:pt idx="28">
                  <c:v>282.89999999999998</c:v>
                </c:pt>
                <c:pt idx="29">
                  <c:v>282.89999999999998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65-419C-B771-05924AF5C37B}"/>
            </c:ext>
          </c:extLst>
        </c:ser>
        <c:ser>
          <c:idx val="3"/>
          <c:order val="2"/>
          <c:tx>
            <c:strRef>
              <c:f>Comparison!$X$1</c:f>
              <c:strCache>
                <c:ptCount val="1"/>
                <c:pt idx="0">
                  <c:v>Canada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Comparison!$A$2:$A$31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Comparison!$X$2:$X$31</c:f>
              <c:numCache>
                <c:formatCode>#,##0.0_);[Red]\(#,##0.0\)</c:formatCode>
                <c:ptCount val="30"/>
                <c:pt idx="0">
                  <c:v>362.4</c:v>
                </c:pt>
                <c:pt idx="1">
                  <c:v>378.6</c:v>
                </c:pt>
                <c:pt idx="2">
                  <c:v>314.16535309373847</c:v>
                </c:pt>
                <c:pt idx="3">
                  <c:v>312.01511922284368</c:v>
                </c:pt>
                <c:pt idx="4">
                  <c:v>456.61360435729847</c:v>
                </c:pt>
                <c:pt idx="5">
                  <c:v>319.39999999999998</c:v>
                </c:pt>
                <c:pt idx="6">
                  <c:v>314.3</c:v>
                </c:pt>
                <c:pt idx="7">
                  <c:v>308.8</c:v>
                </c:pt>
                <c:pt idx="8">
                  <c:v>344.4</c:v>
                </c:pt>
                <c:pt idx="9">
                  <c:v>338.3</c:v>
                </c:pt>
                <c:pt idx="10">
                  <c:v>333.1</c:v>
                </c:pt>
                <c:pt idx="11">
                  <c:v>330.2</c:v>
                </c:pt>
                <c:pt idx="12">
                  <c:v>324.60000000000002</c:v>
                </c:pt>
                <c:pt idx="13">
                  <c:v>319.7</c:v>
                </c:pt>
                <c:pt idx="14">
                  <c:v>315</c:v>
                </c:pt>
                <c:pt idx="15">
                  <c:v>311.3</c:v>
                </c:pt>
                <c:pt idx="16">
                  <c:v>306.2</c:v>
                </c:pt>
                <c:pt idx="17">
                  <c:v>301.39999999999998</c:v>
                </c:pt>
                <c:pt idx="18">
                  <c:v>297.60000000000002</c:v>
                </c:pt>
                <c:pt idx="19">
                  <c:v>297.3</c:v>
                </c:pt>
                <c:pt idx="20">
                  <c:v>295.89999999999998</c:v>
                </c:pt>
                <c:pt idx="21">
                  <c:v>294.8</c:v>
                </c:pt>
                <c:pt idx="22">
                  <c:v>292.10000000000002</c:v>
                </c:pt>
                <c:pt idx="23">
                  <c:v>288.8</c:v>
                </c:pt>
                <c:pt idx="24">
                  <c:v>286.8</c:v>
                </c:pt>
                <c:pt idx="25">
                  <c:v>282.89999999999998</c:v>
                </c:pt>
                <c:pt idx="26">
                  <c:v>282.89999999999998</c:v>
                </c:pt>
                <c:pt idx="27">
                  <c:v>282.89999999999998</c:v>
                </c:pt>
                <c:pt idx="28">
                  <c:v>282.89999999999998</c:v>
                </c:pt>
                <c:pt idx="29">
                  <c:v>282.89999999999998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65-419C-B771-05924AF5C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618720"/>
        <c:axId val="720617760"/>
      </c:lineChart>
      <c:catAx>
        <c:axId val="72061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617760"/>
        <c:crosses val="autoZero"/>
        <c:auto val="1"/>
        <c:lblAlgn val="ctr"/>
        <c:lblOffset val="100"/>
        <c:noMultiLvlLbl val="0"/>
      </c:catAx>
      <c:valAx>
        <c:axId val="72061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61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Comparison!$Z$1</c:f>
              <c:strCache>
                <c:ptCount val="1"/>
                <c:pt idx="0">
                  <c:v>Chicago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Comparison!$A$2:$A$31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Comparison!$Z$2:$Z$31</c:f>
              <c:numCache>
                <c:formatCode>#,##0.0_);[Red]\(#,##0.0\)</c:formatCode>
                <c:ptCount val="30"/>
                <c:pt idx="0">
                  <c:v>-140.83285333333583</c:v>
                </c:pt>
                <c:pt idx="1">
                  <c:v>-260.05063756823779</c:v>
                </c:pt>
                <c:pt idx="2">
                  <c:v>288.28913385184569</c:v>
                </c:pt>
                <c:pt idx="3">
                  <c:v>261.26009181546283</c:v>
                </c:pt>
                <c:pt idx="4">
                  <c:v>182.83785037194559</c:v>
                </c:pt>
                <c:pt idx="5">
                  <c:v>231.92585682705453</c:v>
                </c:pt>
                <c:pt idx="6">
                  <c:v>239.84344473159319</c:v>
                </c:pt>
                <c:pt idx="7">
                  <c:v>233.61365337121435</c:v>
                </c:pt>
                <c:pt idx="8">
                  <c:v>244.36585708368159</c:v>
                </c:pt>
                <c:pt idx="9">
                  <c:v>206.00438929364816</c:v>
                </c:pt>
                <c:pt idx="10">
                  <c:v>202.68831542978421</c:v>
                </c:pt>
                <c:pt idx="11">
                  <c:v>216.97820274468165</c:v>
                </c:pt>
                <c:pt idx="12">
                  <c:v>188.81427540078289</c:v>
                </c:pt>
                <c:pt idx="13">
                  <c:v>158.57590933512347</c:v>
                </c:pt>
                <c:pt idx="14">
                  <c:v>145.29590478208445</c:v>
                </c:pt>
                <c:pt idx="15">
                  <c:v>133.18631817595588</c:v>
                </c:pt>
                <c:pt idx="16">
                  <c:v>167.91562711814765</c:v>
                </c:pt>
                <c:pt idx="17">
                  <c:v>156.00358256274103</c:v>
                </c:pt>
                <c:pt idx="18">
                  <c:v>168.06876000425927</c:v>
                </c:pt>
                <c:pt idx="19">
                  <c:v>173.46250555804932</c:v>
                </c:pt>
                <c:pt idx="20">
                  <c:v>153.88150355534503</c:v>
                </c:pt>
                <c:pt idx="21">
                  <c:v>133.30179905288833</c:v>
                </c:pt>
                <c:pt idx="22">
                  <c:v>130.9396320488645</c:v>
                </c:pt>
                <c:pt idx="23">
                  <c:v>114.17900377751846</c:v>
                </c:pt>
                <c:pt idx="24">
                  <c:v>109.89036470816052</c:v>
                </c:pt>
                <c:pt idx="25">
                  <c:v>111.91344074012738</c:v>
                </c:pt>
                <c:pt idx="26">
                  <c:v>107.00349754008073</c:v>
                </c:pt>
                <c:pt idx="27">
                  <c:v>110.54135159604516</c:v>
                </c:pt>
                <c:pt idx="28">
                  <c:v>69.615936244780642</c:v>
                </c:pt>
                <c:pt idx="29">
                  <c:v>79.193949478573245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05-4F97-9111-C4D2FCD3DF91}"/>
            </c:ext>
          </c:extLst>
        </c:ser>
        <c:ser>
          <c:idx val="2"/>
          <c:order val="1"/>
          <c:tx>
            <c:strRef>
              <c:f>Comparison!$AA$1</c:f>
              <c:strCache>
                <c:ptCount val="1"/>
                <c:pt idx="0">
                  <c:v>California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Comparison!$A$2:$A$31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Comparison!$AA$2:$AA$31</c:f>
              <c:numCache>
                <c:formatCode>#,##0.0_);[Red]\(#,##0.0\)</c:formatCode>
                <c:ptCount val="30"/>
                <c:pt idx="0">
                  <c:v>-61.307451682688338</c:v>
                </c:pt>
                <c:pt idx="1">
                  <c:v>-92.044021857103871</c:v>
                </c:pt>
                <c:pt idx="2">
                  <c:v>54.748596517152123</c:v>
                </c:pt>
                <c:pt idx="3">
                  <c:v>147.36523807921571</c:v>
                </c:pt>
                <c:pt idx="4">
                  <c:v>48.875559448791023</c:v>
                </c:pt>
                <c:pt idx="5">
                  <c:v>221.4397947141033</c:v>
                </c:pt>
                <c:pt idx="6">
                  <c:v>228.56633228402677</c:v>
                </c:pt>
                <c:pt idx="7">
                  <c:v>221.55964936312603</c:v>
                </c:pt>
                <c:pt idx="8">
                  <c:v>241.2894998664425</c:v>
                </c:pt>
                <c:pt idx="9">
                  <c:v>201.84000673081709</c:v>
                </c:pt>
                <c:pt idx="10">
                  <c:v>197.45231608201971</c:v>
                </c:pt>
                <c:pt idx="11">
                  <c:v>211.21218724687344</c:v>
                </c:pt>
                <c:pt idx="12">
                  <c:v>182.2128637880619</c:v>
                </c:pt>
                <c:pt idx="13">
                  <c:v>152.45323149469823</c:v>
                </c:pt>
                <c:pt idx="14">
                  <c:v>138.15310558447231</c:v>
                </c:pt>
                <c:pt idx="15">
                  <c:v>126.80987963376731</c:v>
                </c:pt>
                <c:pt idx="16">
                  <c:v>160.24076705641153</c:v>
                </c:pt>
                <c:pt idx="17">
                  <c:v>146.38167017140972</c:v>
                </c:pt>
                <c:pt idx="18">
                  <c:v>157.52484635617145</c:v>
                </c:pt>
                <c:pt idx="19">
                  <c:v>163.5486942240974</c:v>
                </c:pt>
                <c:pt idx="20">
                  <c:v>145.59990235455268</c:v>
                </c:pt>
                <c:pt idx="21">
                  <c:v>126.29406764903558</c:v>
                </c:pt>
                <c:pt idx="22">
                  <c:v>123.60621080408634</c:v>
                </c:pt>
                <c:pt idx="23">
                  <c:v>106.43443800145781</c:v>
                </c:pt>
                <c:pt idx="24">
                  <c:v>102.02633733621622</c:v>
                </c:pt>
                <c:pt idx="25">
                  <c:v>103.43494570685255</c:v>
                </c:pt>
                <c:pt idx="26">
                  <c:v>98.857637488901105</c:v>
                </c:pt>
                <c:pt idx="27">
                  <c:v>103.91920259693097</c:v>
                </c:pt>
                <c:pt idx="28">
                  <c:v>65.438304104872827</c:v>
                </c:pt>
                <c:pt idx="29">
                  <c:v>76.951560915670029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05-4F97-9111-C4D2FCD3DF91}"/>
            </c:ext>
          </c:extLst>
        </c:ser>
        <c:ser>
          <c:idx val="3"/>
          <c:order val="2"/>
          <c:tx>
            <c:strRef>
              <c:f>Comparison!$AB$1</c:f>
              <c:strCache>
                <c:ptCount val="1"/>
                <c:pt idx="0">
                  <c:v>Canada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Comparison!$A$2:$A$31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Comparison!$AB$2:$AB$31</c:f>
              <c:numCache>
                <c:formatCode>#,##0.0_);[Red]\(#,##0.0\)</c:formatCode>
                <c:ptCount val="30"/>
                <c:pt idx="0">
                  <c:v>256.5255397734316</c:v>
                </c:pt>
                <c:pt idx="1">
                  <c:v>200.04147328210331</c:v>
                </c:pt>
                <c:pt idx="2">
                  <c:v>210.1007866848924</c:v>
                </c:pt>
                <c:pt idx="3">
                  <c:v>190.64769376471912</c:v>
                </c:pt>
                <c:pt idx="4">
                  <c:v>357.34591435092801</c:v>
                </c:pt>
                <c:pt idx="5">
                  <c:v>239.1236514739241</c:v>
                </c:pt>
                <c:pt idx="6">
                  <c:v>245.14349400534326</c:v>
                </c:pt>
                <c:pt idx="7">
                  <c:v>246.50231910319673</c:v>
                </c:pt>
                <c:pt idx="8">
                  <c:v>291.96951908724395</c:v>
                </c:pt>
                <c:pt idx="9">
                  <c:v>305.43961962884634</c:v>
                </c:pt>
                <c:pt idx="10">
                  <c:v>289.59811281263705</c:v>
                </c:pt>
                <c:pt idx="11">
                  <c:v>274.56063789258462</c:v>
                </c:pt>
                <c:pt idx="12">
                  <c:v>259.72542250488505</c:v>
                </c:pt>
                <c:pt idx="13">
                  <c:v>250.48733312804484</c:v>
                </c:pt>
                <c:pt idx="14">
                  <c:v>259.48332463446025</c:v>
                </c:pt>
                <c:pt idx="15">
                  <c:v>236.54889483258694</c:v>
                </c:pt>
                <c:pt idx="16">
                  <c:v>236.22085725500654</c:v>
                </c:pt>
                <c:pt idx="17">
                  <c:v>215.37706965042605</c:v>
                </c:pt>
                <c:pt idx="18">
                  <c:v>189.38263571894777</c:v>
                </c:pt>
                <c:pt idx="19">
                  <c:v>179.50149971173119</c:v>
                </c:pt>
                <c:pt idx="20">
                  <c:v>177.77698854531582</c:v>
                </c:pt>
                <c:pt idx="21">
                  <c:v>170.89693699998395</c:v>
                </c:pt>
                <c:pt idx="22">
                  <c:v>167.83970069671022</c:v>
                </c:pt>
                <c:pt idx="23">
                  <c:v>147.45868577218107</c:v>
                </c:pt>
                <c:pt idx="24">
                  <c:v>142.60387235105918</c:v>
                </c:pt>
                <c:pt idx="25">
                  <c:v>122.3466459188395</c:v>
                </c:pt>
                <c:pt idx="26">
                  <c:v>119.12915514164195</c:v>
                </c:pt>
                <c:pt idx="27">
                  <c:v>102.35842173267088</c:v>
                </c:pt>
                <c:pt idx="28">
                  <c:v>99.005866631414392</c:v>
                </c:pt>
                <c:pt idx="29">
                  <c:v>82.475382808242216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05-4F97-9111-C4D2FCD3D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618720"/>
        <c:axId val="720617760"/>
      </c:lineChart>
      <c:catAx>
        <c:axId val="72061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617760"/>
        <c:crosses val="autoZero"/>
        <c:auto val="1"/>
        <c:lblAlgn val="ctr"/>
        <c:lblOffset val="100"/>
        <c:noMultiLvlLbl val="0"/>
      </c:catAx>
      <c:valAx>
        <c:axId val="72061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61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35</xdr:row>
      <xdr:rowOff>114300</xdr:rowOff>
    </xdr:from>
    <xdr:to>
      <xdr:col>3</xdr:col>
      <xdr:colOff>590550</xdr:colOff>
      <xdr:row>52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70687C-7471-3903-302B-3C0A33D0A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590550</xdr:colOff>
      <xdr:row>35</xdr:row>
      <xdr:rowOff>133350</xdr:rowOff>
    </xdr:from>
    <xdr:to>
      <xdr:col>7</xdr:col>
      <xdr:colOff>571500</xdr:colOff>
      <xdr:row>52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C5A935-B6E9-4323-9F15-6E9AA65844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19050</xdr:colOff>
      <xdr:row>36</xdr:row>
      <xdr:rowOff>0</xdr:rowOff>
    </xdr:from>
    <xdr:to>
      <xdr:col>12</xdr:col>
      <xdr:colOff>0</xdr:colOff>
      <xdr:row>52</xdr:row>
      <xdr:rowOff>42862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9475A0-BEBB-4784-B86D-10F89BBA4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36</xdr:row>
      <xdr:rowOff>0</xdr:rowOff>
    </xdr:from>
    <xdr:to>
      <xdr:col>15</xdr:col>
      <xdr:colOff>590550</xdr:colOff>
      <xdr:row>52</xdr:row>
      <xdr:rowOff>42862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C4C6CF1-E90B-4AF8-A4AC-951ED399BA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36</xdr:row>
      <xdr:rowOff>0</xdr:rowOff>
    </xdr:from>
    <xdr:to>
      <xdr:col>19</xdr:col>
      <xdr:colOff>590550</xdr:colOff>
      <xdr:row>52</xdr:row>
      <xdr:rowOff>42862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6DDD61E-6826-4ED0-948D-652E89CBAE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36</xdr:row>
      <xdr:rowOff>0</xdr:rowOff>
    </xdr:from>
    <xdr:to>
      <xdr:col>23</xdr:col>
      <xdr:colOff>590550</xdr:colOff>
      <xdr:row>52</xdr:row>
      <xdr:rowOff>42862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FDA472B-4E96-4BAE-8B61-512677CEF7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0</xdr:colOff>
      <xdr:row>36</xdr:row>
      <xdr:rowOff>0</xdr:rowOff>
    </xdr:from>
    <xdr:to>
      <xdr:col>27</xdr:col>
      <xdr:colOff>590550</xdr:colOff>
      <xdr:row>52</xdr:row>
      <xdr:rowOff>42862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FC0727D-D12E-45E4-8D21-48DBA80EF2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cabbdbal%20-%20HOBO.xlsx" TargetMode="External"/><Relationship Id="rId1" Type="http://schemas.openxmlformats.org/officeDocument/2006/relationships/externalLinkPath" Target="/Users/torem/Dropbox/FM%20Files/HOBO/Biofuel%20Model/cabbdbal%20-%20HOB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Sources"/>
      <sheetName val="Capacity"/>
      <sheetName val="annual_data"/>
      <sheetName val="monthly_data"/>
      <sheetName val="BD"/>
      <sheetName val="RD"/>
      <sheetName val="SAF"/>
      <sheetName val="Jet Fuel"/>
      <sheetName val="Dies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5">
          <cell r="H15">
            <v>2.5866024387317999E-3</v>
          </cell>
        </row>
      </sheetData>
      <sheetData sheetId="8">
        <row r="12">
          <cell r="J12">
            <v>2.6914156329130072E-2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7037-56E2-4B5D-9A6F-6617FB563310}">
  <dimension ref="A1:AF30"/>
  <sheetViews>
    <sheetView tabSelected="1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J9" sqref="J9"/>
    </sheetView>
  </sheetViews>
  <sheetFormatPr defaultRowHeight="11.25" x14ac:dyDescent="0.2"/>
  <cols>
    <col min="1" max="1" width="40.140625" style="3" customWidth="1"/>
    <col min="2" max="2" width="9.140625" style="3" hidden="1" customWidth="1"/>
    <col min="3" max="6" width="9.140625" style="3"/>
    <col min="7" max="32" width="9.140625" style="3" customWidth="1"/>
    <col min="33" max="16384" width="9.140625" style="3"/>
  </cols>
  <sheetData>
    <row r="1" spans="1:32" x14ac:dyDescent="0.2">
      <c r="B1" s="3">
        <v>2020</v>
      </c>
      <c r="C1" s="3">
        <v>2021</v>
      </c>
      <c r="D1" s="3">
        <v>2022</v>
      </c>
      <c r="E1" s="3">
        <v>2023</v>
      </c>
      <c r="F1" s="3">
        <v>2024</v>
      </c>
      <c r="G1" s="3">
        <v>2025</v>
      </c>
      <c r="H1" s="3">
        <v>2026</v>
      </c>
      <c r="I1" s="3">
        <v>2027</v>
      </c>
      <c r="J1" s="3">
        <v>2028</v>
      </c>
      <c r="K1" s="3">
        <v>2029</v>
      </c>
      <c r="L1" s="3">
        <v>2030</v>
      </c>
      <c r="M1" s="3">
        <v>2031</v>
      </c>
      <c r="N1" s="3">
        <v>2032</v>
      </c>
      <c r="O1" s="3">
        <v>2033</v>
      </c>
      <c r="P1" s="3">
        <v>2034</v>
      </c>
      <c r="Q1" s="3">
        <v>2035</v>
      </c>
      <c r="R1" s="3">
        <v>2036</v>
      </c>
      <c r="S1" s="3">
        <v>2037</v>
      </c>
      <c r="T1" s="3">
        <v>2038</v>
      </c>
      <c r="U1" s="3">
        <v>2039</v>
      </c>
      <c r="V1" s="3">
        <v>2040</v>
      </c>
      <c r="W1" s="3">
        <v>2041</v>
      </c>
      <c r="X1" s="3">
        <v>2042</v>
      </c>
      <c r="Y1" s="3">
        <v>2043</v>
      </c>
      <c r="Z1" s="3">
        <v>2044</v>
      </c>
      <c r="AA1" s="3">
        <v>2045</v>
      </c>
      <c r="AB1" s="3">
        <v>2046</v>
      </c>
      <c r="AC1" s="3">
        <v>2047</v>
      </c>
      <c r="AD1" s="3">
        <v>2048</v>
      </c>
      <c r="AE1" s="3">
        <v>2049</v>
      </c>
      <c r="AF1" s="3">
        <v>2050</v>
      </c>
    </row>
    <row r="2" spans="1:32" ht="15.75" x14ac:dyDescent="0.25">
      <c r="A2" s="17" t="s">
        <v>40</v>
      </c>
    </row>
    <row r="3" spans="1:32" ht="12.75" x14ac:dyDescent="0.2">
      <c r="A3" s="18" t="s">
        <v>2</v>
      </c>
      <c r="C3" s="14">
        <v>320.8</v>
      </c>
      <c r="D3" s="14">
        <v>490.7166666666667</v>
      </c>
      <c r="E3" s="14">
        <v>411.42500000000001</v>
      </c>
      <c r="F3" s="14">
        <v>369.82500000000005</v>
      </c>
      <c r="G3" s="14">
        <v>354.27499999999998</v>
      </c>
      <c r="H3" s="14">
        <v>378.9</v>
      </c>
      <c r="I3" s="14">
        <v>388.8</v>
      </c>
      <c r="J3" s="14">
        <v>399.7</v>
      </c>
      <c r="K3" s="14">
        <v>410.90000000000003</v>
      </c>
      <c r="L3" s="14">
        <v>420.1</v>
      </c>
      <c r="M3" s="14">
        <v>432</v>
      </c>
      <c r="N3" s="14">
        <v>442.1</v>
      </c>
      <c r="O3" s="14">
        <v>452.8</v>
      </c>
      <c r="P3" s="14">
        <v>463.40000000000003</v>
      </c>
      <c r="Q3" s="14">
        <v>474.3</v>
      </c>
      <c r="R3" s="14">
        <v>484.3</v>
      </c>
      <c r="S3" s="14">
        <v>495</v>
      </c>
      <c r="T3" s="14">
        <v>506.20000000000005</v>
      </c>
      <c r="U3" s="14">
        <v>516.1</v>
      </c>
      <c r="V3" s="14">
        <v>527.6</v>
      </c>
      <c r="W3" s="14">
        <v>538</v>
      </c>
      <c r="X3" s="14">
        <v>548.5</v>
      </c>
      <c r="Y3" s="14">
        <v>559</v>
      </c>
      <c r="Z3" s="14">
        <v>570.90000000000009</v>
      </c>
      <c r="AA3" s="14">
        <v>580.5</v>
      </c>
      <c r="AB3" s="14">
        <v>591.1</v>
      </c>
      <c r="AC3" s="14">
        <v>602.5</v>
      </c>
      <c r="AD3" s="14">
        <v>612.20000000000005</v>
      </c>
      <c r="AE3" s="14">
        <v>623.29999999999995</v>
      </c>
      <c r="AF3" s="14">
        <v>634.70000000000005</v>
      </c>
    </row>
    <row r="4" spans="1:32" x14ac:dyDescent="0.2">
      <c r="A4" s="3" t="s">
        <v>3</v>
      </c>
      <c r="B4" s="3">
        <v>-4.55</v>
      </c>
      <c r="C4" s="14">
        <v>-9.33</v>
      </c>
      <c r="D4" s="14">
        <v>-10.7</v>
      </c>
      <c r="E4" s="14">
        <v>-7.24</v>
      </c>
      <c r="F4" s="14">
        <v>-3.84</v>
      </c>
      <c r="G4" s="14">
        <v>91.839163586283533</v>
      </c>
      <c r="H4" s="14">
        <v>91.717007329880985</v>
      </c>
      <c r="I4" s="14">
        <v>75.00740822079905</v>
      </c>
      <c r="J4" s="14">
        <v>72.350620943886369</v>
      </c>
      <c r="K4" s="14">
        <v>73.160933131316128</v>
      </c>
      <c r="L4" s="14">
        <v>101.05405015822811</v>
      </c>
      <c r="M4" s="14">
        <v>94.959032544466268</v>
      </c>
      <c r="N4" s="14">
        <v>76.5462471891109</v>
      </c>
      <c r="O4" s="14">
        <v>104.89655770195617</v>
      </c>
      <c r="P4" s="14">
        <v>131.01262785834726</v>
      </c>
      <c r="Q4" s="14">
        <v>133.80709486006791</v>
      </c>
      <c r="R4" s="14">
        <v>142.81412621089945</v>
      </c>
      <c r="S4" s="14">
        <v>101.55331920635588</v>
      </c>
      <c r="T4" s="14">
        <v>107.2805323660774</v>
      </c>
      <c r="U4" s="14">
        <v>92.589189360380473</v>
      </c>
      <c r="V4" s="14">
        <v>80.803057690509931</v>
      </c>
      <c r="W4" s="14">
        <v>95.819228297529094</v>
      </c>
      <c r="X4" s="14">
        <v>115.77721168025141</v>
      </c>
      <c r="Y4" s="14">
        <v>113.00788062192356</v>
      </c>
      <c r="Z4" s="14">
        <v>124.89367749758436</v>
      </c>
      <c r="AA4" s="14">
        <v>124.27379339366126</v>
      </c>
      <c r="AB4" s="14">
        <v>119.79344068640474</v>
      </c>
      <c r="AC4" s="14">
        <v>118.2476644370375</v>
      </c>
      <c r="AD4" s="14">
        <v>113.52253370578335</v>
      </c>
      <c r="AE4" s="14">
        <v>148.66089543914055</v>
      </c>
      <c r="AF4" s="14">
        <v>134.59396480948081</v>
      </c>
    </row>
    <row r="5" spans="1:32" x14ac:dyDescent="0.2">
      <c r="A5" s="3" t="s">
        <v>4</v>
      </c>
      <c r="B5" s="3">
        <f>(B3*129.7/134.5)-B3</f>
        <v>0</v>
      </c>
      <c r="C5" s="14">
        <f>(C3*129.65/134.47)-C3</f>
        <v>-11.498891946159006</v>
      </c>
      <c r="D5" s="14">
        <f t="shared" ref="D5:AF5" si="0">(D3*129.65/134.47)-D3</f>
        <v>-17.589457375870666</v>
      </c>
      <c r="E5" s="14">
        <f t="shared" si="0"/>
        <v>-14.747293076522624</v>
      </c>
      <c r="F5" s="14">
        <f t="shared" si="0"/>
        <v>-13.256164943853662</v>
      </c>
      <c r="G5" s="14">
        <f t="shared" si="0"/>
        <v>-12.698784115416061</v>
      </c>
      <c r="H5" s="14">
        <f t="shared" si="0"/>
        <v>-13.581453112218298</v>
      </c>
      <c r="I5" s="14">
        <f t="shared" si="0"/>
        <v>-13.93631293225252</v>
      </c>
      <c r="J5" s="14">
        <f t="shared" si="0"/>
        <v>-14.327017178552808</v>
      </c>
      <c r="K5" s="14">
        <f t="shared" si="0"/>
        <v>-14.72847475273295</v>
      </c>
      <c r="L5" s="14">
        <f t="shared" si="0"/>
        <v>-15.058243474380902</v>
      </c>
      <c r="M5" s="14">
        <f t="shared" si="0"/>
        <v>-15.484792146947257</v>
      </c>
      <c r="N5" s="14">
        <f t="shared" si="0"/>
        <v>-15.846820852234657</v>
      </c>
      <c r="O5" s="14">
        <f t="shared" si="0"/>
        <v>-16.230356213281766</v>
      </c>
      <c r="P5" s="14">
        <f t="shared" si="0"/>
        <v>-16.610307131702257</v>
      </c>
      <c r="Q5" s="14">
        <f t="shared" si="0"/>
        <v>-17.001011378002488</v>
      </c>
      <c r="R5" s="14">
        <f t="shared" si="0"/>
        <v>-17.359455640663327</v>
      </c>
      <c r="S5" s="14">
        <f t="shared" si="0"/>
        <v>-17.742991001710436</v>
      </c>
      <c r="T5" s="14">
        <f t="shared" si="0"/>
        <v>-18.144448575890578</v>
      </c>
      <c r="U5" s="14">
        <f t="shared" si="0"/>
        <v>-18.499308395924743</v>
      </c>
      <c r="V5" s="14">
        <f t="shared" si="0"/>
        <v>-18.911519297984626</v>
      </c>
      <c r="W5" s="14">
        <f t="shared" si="0"/>
        <v>-19.284301331151937</v>
      </c>
      <c r="X5" s="14">
        <f t="shared" si="0"/>
        <v>-19.660667806945753</v>
      </c>
      <c r="Y5" s="14">
        <f t="shared" si="0"/>
        <v>-20.037034282739569</v>
      </c>
      <c r="Z5" s="14">
        <f t="shared" si="0"/>
        <v>-20.463582955306038</v>
      </c>
      <c r="AA5" s="14">
        <f t="shared" si="0"/>
        <v>-20.807689447460461</v>
      </c>
      <c r="AB5" s="14">
        <f t="shared" si="0"/>
        <v>-21.187640365880839</v>
      </c>
      <c r="AC5" s="14">
        <f t="shared" si="0"/>
        <v>-21.59626682531416</v>
      </c>
      <c r="AD5" s="14">
        <f t="shared" si="0"/>
        <v>-21.943957760095145</v>
      </c>
      <c r="AE5" s="14">
        <f t="shared" si="0"/>
        <v>-22.341830891648669</v>
      </c>
      <c r="AF5" s="14">
        <f t="shared" si="0"/>
        <v>-22.750457351081991</v>
      </c>
    </row>
    <row r="6" spans="1:32" x14ac:dyDescent="0.2">
      <c r="A6" s="3" t="s">
        <v>5</v>
      </c>
      <c r="C6" s="14">
        <v>26</v>
      </c>
      <c r="D6" s="14">
        <v>32</v>
      </c>
      <c r="E6" s="14">
        <v>35</v>
      </c>
      <c r="F6" s="14">
        <v>35.840000000000003</v>
      </c>
      <c r="G6" s="14">
        <v>30</v>
      </c>
      <c r="H6" s="14">
        <v>31.430387926759373</v>
      </c>
      <c r="I6" s="14">
        <v>33.680448171665496</v>
      </c>
      <c r="J6" s="14">
        <v>34.901033237392973</v>
      </c>
      <c r="K6" s="14">
        <v>41.87126302953137</v>
      </c>
      <c r="L6" s="14">
        <v>45.18340264369607</v>
      </c>
      <c r="M6" s="14">
        <v>47.531854105551609</v>
      </c>
      <c r="N6" s="14">
        <v>46.468624542766023</v>
      </c>
      <c r="O6" s="14">
        <v>39.359546592312178</v>
      </c>
      <c r="P6" s="14">
        <v>37.341522675135081</v>
      </c>
      <c r="Q6" s="14">
        <v>41.566090938509376</v>
      </c>
      <c r="R6" s="14">
        <v>39.461321641089867</v>
      </c>
      <c r="S6" s="14">
        <v>39.461321641089867</v>
      </c>
      <c r="T6" s="14">
        <v>39.461321641089867</v>
      </c>
      <c r="U6" s="14">
        <v>36.642655809583452</v>
      </c>
      <c r="V6" s="14">
        <v>39.461321641089867</v>
      </c>
      <c r="W6" s="14">
        <v>39.461321641089867</v>
      </c>
      <c r="X6" s="14">
        <v>36.642655809583452</v>
      </c>
      <c r="Y6" s="14">
        <v>36.642655809583452</v>
      </c>
      <c r="Z6" s="14">
        <v>36.642655809583452</v>
      </c>
      <c r="AA6" s="14">
        <v>36.642655809583452</v>
      </c>
      <c r="AB6" s="14">
        <v>33.823989978077037</v>
      </c>
      <c r="AC6" s="14">
        <v>36.642655809583452</v>
      </c>
      <c r="AD6" s="14">
        <v>33.823989978077037</v>
      </c>
      <c r="AE6" s="14">
        <v>33.823989978077037</v>
      </c>
      <c r="AF6" s="14">
        <v>33.823989978077037</v>
      </c>
    </row>
    <row r="7" spans="1:32" x14ac:dyDescent="0.2">
      <c r="A7" s="3" t="s">
        <v>6</v>
      </c>
      <c r="B7" s="3">
        <f>B3+B4+B5+C6</f>
        <v>21.45</v>
      </c>
      <c r="C7" s="14">
        <f>C3+C4+C5+C6</f>
        <v>325.97110805384102</v>
      </c>
      <c r="D7" s="14">
        <f t="shared" ref="D7:AF7" si="1">D3+D4+D5+D6</f>
        <v>494.42720929079604</v>
      </c>
      <c r="E7" s="14">
        <f t="shared" si="1"/>
        <v>424.43770692347738</v>
      </c>
      <c r="F7" s="14">
        <f t="shared" si="1"/>
        <v>388.56883505614644</v>
      </c>
      <c r="G7" s="14">
        <f t="shared" si="1"/>
        <v>463.41537947086744</v>
      </c>
      <c r="H7" s="14">
        <f t="shared" si="1"/>
        <v>488.465942144422</v>
      </c>
      <c r="I7" s="14">
        <f t="shared" si="1"/>
        <v>483.55154346021203</v>
      </c>
      <c r="J7" s="14">
        <f t="shared" si="1"/>
        <v>492.62463700272656</v>
      </c>
      <c r="K7" s="14">
        <f t="shared" si="1"/>
        <v>511.20372140811457</v>
      </c>
      <c r="L7" s="14">
        <f>L3+L4+L5+L6</f>
        <v>551.27920932754319</v>
      </c>
      <c r="M7" s="14">
        <f t="shared" si="1"/>
        <v>559.00609450307059</v>
      </c>
      <c r="N7" s="14">
        <f t="shared" si="1"/>
        <v>549.26805087964226</v>
      </c>
      <c r="O7" s="14">
        <f t="shared" si="1"/>
        <v>580.82574808098661</v>
      </c>
      <c r="P7" s="14">
        <f t="shared" si="1"/>
        <v>615.14384340178003</v>
      </c>
      <c r="Q7" s="14">
        <f t="shared" si="1"/>
        <v>632.67217442057495</v>
      </c>
      <c r="R7" s="14">
        <f t="shared" si="1"/>
        <v>649.21599221132601</v>
      </c>
      <c r="S7" s="14">
        <f t="shared" si="1"/>
        <v>618.27164984573528</v>
      </c>
      <c r="T7" s="14">
        <f t="shared" si="1"/>
        <v>634.79740543127673</v>
      </c>
      <c r="U7" s="14">
        <f t="shared" si="1"/>
        <v>626.83253677403923</v>
      </c>
      <c r="V7" s="14">
        <f t="shared" si="1"/>
        <v>628.95286003361525</v>
      </c>
      <c r="W7" s="14">
        <f t="shared" si="1"/>
        <v>653.99624860746701</v>
      </c>
      <c r="X7" s="14">
        <f t="shared" si="1"/>
        <v>681.25919968288906</v>
      </c>
      <c r="Y7" s="14">
        <f t="shared" si="1"/>
        <v>688.61350214876734</v>
      </c>
      <c r="Z7" s="14">
        <f t="shared" si="1"/>
        <v>711.97275035186181</v>
      </c>
      <c r="AA7" s="14">
        <f t="shared" si="1"/>
        <v>720.60875975578415</v>
      </c>
      <c r="AB7" s="14">
        <f t="shared" si="1"/>
        <v>723.52979029860103</v>
      </c>
      <c r="AC7" s="14">
        <f t="shared" si="1"/>
        <v>735.79405342130678</v>
      </c>
      <c r="AD7" s="14">
        <f t="shared" si="1"/>
        <v>737.60256592376527</v>
      </c>
      <c r="AE7" s="14">
        <f t="shared" si="1"/>
        <v>783.44305452556887</v>
      </c>
      <c r="AF7" s="14">
        <f t="shared" si="1"/>
        <v>780.3674974364759</v>
      </c>
    </row>
    <row r="8" spans="1:32" x14ac:dyDescent="0.2">
      <c r="A8" s="3" t="s">
        <v>89</v>
      </c>
      <c r="B8" s="3">
        <v>1</v>
      </c>
      <c r="C8" s="14">
        <v>100</v>
      </c>
      <c r="D8" s="14">
        <v>100</v>
      </c>
      <c r="E8" s="14">
        <v>100</v>
      </c>
      <c r="F8" s="14">
        <v>100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</row>
    <row r="9" spans="1:32" x14ac:dyDescent="0.2">
      <c r="A9" s="3" t="s">
        <v>90</v>
      </c>
      <c r="C9" s="14"/>
      <c r="D9" s="14"/>
      <c r="E9" s="14"/>
      <c r="F9" s="14"/>
      <c r="G9" s="14">
        <v>65</v>
      </c>
      <c r="H9" s="14">
        <f>G9*1.02</f>
        <v>66.3</v>
      </c>
      <c r="I9" s="14">
        <f t="shared" ref="I9:AF9" si="2">H9*1.02</f>
        <v>67.626000000000005</v>
      </c>
      <c r="J9" s="14">
        <f t="shared" si="2"/>
        <v>68.978520000000003</v>
      </c>
      <c r="K9" s="14">
        <f t="shared" si="2"/>
        <v>70.358090400000009</v>
      </c>
      <c r="L9" s="14">
        <f t="shared" si="2"/>
        <v>71.765252208000007</v>
      </c>
      <c r="M9" s="14">
        <f t="shared" si="2"/>
        <v>73.20055725216001</v>
      </c>
      <c r="N9" s="14">
        <f t="shared" si="2"/>
        <v>74.664568397203212</v>
      </c>
      <c r="O9" s="14">
        <f t="shared" si="2"/>
        <v>76.157859765147279</v>
      </c>
      <c r="P9" s="14">
        <f t="shared" si="2"/>
        <v>77.681016960450222</v>
      </c>
      <c r="Q9" s="14">
        <f t="shared" si="2"/>
        <v>79.234637299659227</v>
      </c>
      <c r="R9" s="14">
        <f t="shared" si="2"/>
        <v>80.819330045652407</v>
      </c>
      <c r="S9" s="14">
        <f t="shared" si="2"/>
        <v>82.435716646565453</v>
      </c>
      <c r="T9" s="14">
        <f t="shared" si="2"/>
        <v>84.084430979496759</v>
      </c>
      <c r="U9" s="14">
        <f t="shared" si="2"/>
        <v>85.766119599086693</v>
      </c>
      <c r="V9" s="14">
        <f t="shared" si="2"/>
        <v>87.481441991068422</v>
      </c>
      <c r="W9" s="14">
        <f t="shared" si="2"/>
        <v>89.231070830889792</v>
      </c>
      <c r="X9" s="14">
        <f t="shared" si="2"/>
        <v>91.015692247507587</v>
      </c>
      <c r="Y9" s="14">
        <f t="shared" si="2"/>
        <v>92.836006092457737</v>
      </c>
      <c r="Z9" s="14">
        <f t="shared" si="2"/>
        <v>94.692726214306887</v>
      </c>
      <c r="AA9" s="14">
        <f t="shared" si="2"/>
        <v>96.586580738593028</v>
      </c>
      <c r="AB9" s="14">
        <f t="shared" si="2"/>
        <v>98.518312353364891</v>
      </c>
      <c r="AC9" s="14">
        <f t="shared" si="2"/>
        <v>100.48867860043219</v>
      </c>
      <c r="AD9" s="14">
        <f t="shared" si="2"/>
        <v>102.49845217244084</v>
      </c>
      <c r="AE9" s="14">
        <f t="shared" si="2"/>
        <v>104.54842121588965</v>
      </c>
      <c r="AF9" s="14">
        <f t="shared" si="2"/>
        <v>106.63938964020744</v>
      </c>
    </row>
    <row r="10" spans="1:32" x14ac:dyDescent="0.2">
      <c r="A10" s="3" t="s">
        <v>91</v>
      </c>
      <c r="B10" s="3">
        <f>B29</f>
        <v>108.38638594592543</v>
      </c>
      <c r="C10" s="14">
        <f t="shared" ref="C10:AF10" si="3">C29</f>
        <v>253.61128591302861</v>
      </c>
      <c r="D10" s="14">
        <f t="shared" si="3"/>
        <v>282.97605849428828</v>
      </c>
      <c r="E10" s="14">
        <f t="shared" si="3"/>
        <v>228.91778089358357</v>
      </c>
      <c r="F10" s="14">
        <f t="shared" si="3"/>
        <v>99.997132071532604</v>
      </c>
      <c r="G10" s="14">
        <f t="shared" si="3"/>
        <v>127.16175933884529</v>
      </c>
      <c r="H10" s="14">
        <f t="shared" si="3"/>
        <v>131.91909159643211</v>
      </c>
      <c r="I10" s="14">
        <f t="shared" si="3"/>
        <v>136.85068606028264</v>
      </c>
      <c r="J10" s="14">
        <f t="shared" si="3"/>
        <v>148.79238433411311</v>
      </c>
      <c r="K10" s="14">
        <f t="shared" si="3"/>
        <v>163.0130358459576</v>
      </c>
      <c r="L10" s="14">
        <f t="shared" si="3"/>
        <v>162.57706476577542</v>
      </c>
      <c r="M10" s="14">
        <f t="shared" si="3"/>
        <v>170.20870019611141</v>
      </c>
      <c r="N10" s="14">
        <f t="shared" si="3"/>
        <v>170.72184683571626</v>
      </c>
      <c r="O10" s="14">
        <f t="shared" si="3"/>
        <v>171.59219106135805</v>
      </c>
      <c r="P10" s="14">
        <f t="shared" si="3"/>
        <v>166.71771660650805</v>
      </c>
      <c r="Q10" s="14">
        <f t="shared" si="3"/>
        <v>166.00983855268618</v>
      </c>
      <c r="R10" s="14">
        <f t="shared" si="3"/>
        <v>158.27000000000001</v>
      </c>
      <c r="S10" s="14">
        <f t="shared" si="3"/>
        <v>157.93</v>
      </c>
      <c r="T10" s="14">
        <f t="shared" si="3"/>
        <v>154.87</v>
      </c>
      <c r="U10" s="14">
        <f t="shared" si="3"/>
        <v>150.11000000000001</v>
      </c>
      <c r="V10" s="14">
        <f t="shared" si="3"/>
        <v>151.47</v>
      </c>
      <c r="W10" s="14">
        <f t="shared" si="3"/>
        <v>157.59</v>
      </c>
      <c r="X10" s="14">
        <f t="shared" si="3"/>
        <v>148.07000000000002</v>
      </c>
      <c r="Y10" s="14">
        <f t="shared" si="3"/>
        <v>149.77000000000001</v>
      </c>
      <c r="Z10" s="14">
        <f t="shared" si="3"/>
        <v>140.76000000000002</v>
      </c>
      <c r="AA10" s="14">
        <f t="shared" si="3"/>
        <v>146.54</v>
      </c>
      <c r="AB10" s="14">
        <f t="shared" si="3"/>
        <v>137.69999999999999</v>
      </c>
      <c r="AC10" s="14">
        <f t="shared" si="3"/>
        <v>143.31</v>
      </c>
      <c r="AD10" s="14">
        <f t="shared" si="3"/>
        <v>134.64000000000001</v>
      </c>
      <c r="AE10" s="14">
        <f t="shared" si="3"/>
        <v>140.08000000000001</v>
      </c>
      <c r="AF10" s="14">
        <f t="shared" si="3"/>
        <v>131.75</v>
      </c>
    </row>
    <row r="11" spans="1:32" x14ac:dyDescent="0.2">
      <c r="A11" s="3" t="s">
        <v>9</v>
      </c>
      <c r="B11" s="3">
        <f t="shared" ref="B11:AF11" si="4">SUM(B7:B10)</f>
        <v>130.83638594592543</v>
      </c>
      <c r="C11" s="14">
        <f t="shared" si="4"/>
        <v>679.58239396686963</v>
      </c>
      <c r="D11" s="14">
        <f t="shared" si="4"/>
        <v>877.40326778508438</v>
      </c>
      <c r="E11" s="14">
        <f t="shared" si="4"/>
        <v>753.35548781706098</v>
      </c>
      <c r="F11" s="14">
        <f t="shared" si="4"/>
        <v>588.56596712767907</v>
      </c>
      <c r="G11" s="14">
        <f t="shared" si="4"/>
        <v>655.57713880971278</v>
      </c>
      <c r="H11" s="14">
        <f t="shared" si="4"/>
        <v>686.68503374085412</v>
      </c>
      <c r="I11" s="14">
        <f t="shared" si="4"/>
        <v>688.02822952049473</v>
      </c>
      <c r="J11" s="14">
        <f t="shared" si="4"/>
        <v>710.39554133683964</v>
      </c>
      <c r="K11" s="14">
        <f t="shared" si="4"/>
        <v>744.57484765407219</v>
      </c>
      <c r="L11" s="14">
        <f t="shared" si="4"/>
        <v>785.62152630131857</v>
      </c>
      <c r="M11" s="14">
        <f t="shared" si="4"/>
        <v>802.41535195134202</v>
      </c>
      <c r="N11" s="14">
        <f t="shared" si="4"/>
        <v>794.65446611256175</v>
      </c>
      <c r="O11" s="14">
        <f t="shared" si="4"/>
        <v>828.57579890749184</v>
      </c>
      <c r="P11" s="14">
        <f t="shared" si="4"/>
        <v>859.54257696873833</v>
      </c>
      <c r="Q11" s="14">
        <f t="shared" si="4"/>
        <v>877.91665027292038</v>
      </c>
      <c r="R11" s="14">
        <f t="shared" si="4"/>
        <v>888.30532225697834</v>
      </c>
      <c r="S11" s="14">
        <f t="shared" si="4"/>
        <v>858.63736649230077</v>
      </c>
      <c r="T11" s="14">
        <f t="shared" si="4"/>
        <v>873.75183641077354</v>
      </c>
      <c r="U11" s="14">
        <f t="shared" si="4"/>
        <v>862.7086563731259</v>
      </c>
      <c r="V11" s="14">
        <f t="shared" si="4"/>
        <v>867.90430202468372</v>
      </c>
      <c r="W11" s="14">
        <f t="shared" si="4"/>
        <v>900.81731943835678</v>
      </c>
      <c r="X11" s="14">
        <f t="shared" si="4"/>
        <v>920.34489193039667</v>
      </c>
      <c r="Y11" s="14">
        <f t="shared" si="4"/>
        <v>931.21950824122507</v>
      </c>
      <c r="Z11" s="14">
        <f t="shared" si="4"/>
        <v>947.42547656616864</v>
      </c>
      <c r="AA11" s="14">
        <f t="shared" si="4"/>
        <v>963.73534049437717</v>
      </c>
      <c r="AB11" s="14">
        <f t="shared" si="4"/>
        <v>959.74810265196584</v>
      </c>
      <c r="AC11" s="14">
        <f t="shared" si="4"/>
        <v>979.59273202173904</v>
      </c>
      <c r="AD11" s="14">
        <f t="shared" si="4"/>
        <v>974.74101809620606</v>
      </c>
      <c r="AE11" s="14">
        <f t="shared" si="4"/>
        <v>1028.0714757414585</v>
      </c>
      <c r="AF11" s="14">
        <f t="shared" si="4"/>
        <v>1018.7568870766834</v>
      </c>
    </row>
    <row r="12" spans="1:32" x14ac:dyDescent="0.2">
      <c r="A12" s="3" t="s">
        <v>10</v>
      </c>
      <c r="C12" s="14">
        <v>-50</v>
      </c>
      <c r="D12" s="14">
        <v>-50</v>
      </c>
      <c r="E12" s="14">
        <v>-50</v>
      </c>
      <c r="F12" s="14">
        <v>-50</v>
      </c>
      <c r="G12" s="14">
        <v>-50</v>
      </c>
      <c r="H12" s="14">
        <v>-50</v>
      </c>
      <c r="I12" s="14">
        <v>-50</v>
      </c>
      <c r="J12" s="14">
        <v>-50</v>
      </c>
      <c r="K12" s="14">
        <v>-50</v>
      </c>
      <c r="L12" s="14">
        <v>-50</v>
      </c>
      <c r="M12" s="14">
        <v>-50</v>
      </c>
      <c r="N12" s="14">
        <v>-50</v>
      </c>
      <c r="O12" s="14">
        <v>-50</v>
      </c>
      <c r="P12" s="14">
        <v>-50</v>
      </c>
      <c r="Q12" s="14">
        <v>-50</v>
      </c>
      <c r="R12" s="14">
        <v>-50</v>
      </c>
      <c r="S12" s="14">
        <v>-50</v>
      </c>
      <c r="T12" s="14">
        <v>-50</v>
      </c>
      <c r="U12" s="14">
        <v>-50</v>
      </c>
      <c r="V12" s="14">
        <v>-50</v>
      </c>
      <c r="W12" s="14">
        <v>-50</v>
      </c>
      <c r="X12" s="14">
        <v>-50</v>
      </c>
      <c r="Y12" s="14">
        <v>-50</v>
      </c>
      <c r="Z12" s="14">
        <v>-50</v>
      </c>
      <c r="AA12" s="14">
        <v>-50</v>
      </c>
      <c r="AB12" s="14">
        <v>-50</v>
      </c>
      <c r="AC12" s="14">
        <v>-50</v>
      </c>
      <c r="AD12" s="14">
        <v>-50</v>
      </c>
      <c r="AE12" s="14">
        <v>-50</v>
      </c>
      <c r="AF12" s="14">
        <v>-50</v>
      </c>
    </row>
    <row r="13" spans="1:32" x14ac:dyDescent="0.2">
      <c r="A13" s="3" t="s">
        <v>11</v>
      </c>
      <c r="C13" s="14">
        <f>C11+C12</f>
        <v>629.58239396686963</v>
      </c>
      <c r="D13" s="14">
        <f t="shared" ref="D13:AF13" si="5">D11+D12</f>
        <v>827.40326778508438</v>
      </c>
      <c r="E13" s="14">
        <f t="shared" si="5"/>
        <v>703.35548781706098</v>
      </c>
      <c r="F13" s="14">
        <f t="shared" si="5"/>
        <v>538.56596712767907</v>
      </c>
      <c r="G13" s="14">
        <f t="shared" si="5"/>
        <v>605.57713880971278</v>
      </c>
      <c r="H13" s="14">
        <f t="shared" si="5"/>
        <v>636.68503374085412</v>
      </c>
      <c r="I13" s="14">
        <f t="shared" si="5"/>
        <v>638.02822952049473</v>
      </c>
      <c r="J13" s="14">
        <f t="shared" si="5"/>
        <v>660.39554133683964</v>
      </c>
      <c r="K13" s="14">
        <f t="shared" si="5"/>
        <v>694.57484765407219</v>
      </c>
      <c r="L13" s="14">
        <f t="shared" si="5"/>
        <v>735.62152630131857</v>
      </c>
      <c r="M13" s="14">
        <f t="shared" si="5"/>
        <v>752.41535195134202</v>
      </c>
      <c r="N13" s="14">
        <f t="shared" si="5"/>
        <v>744.65446611256175</v>
      </c>
      <c r="O13" s="14">
        <f t="shared" si="5"/>
        <v>778.57579890749184</v>
      </c>
      <c r="P13" s="14">
        <f t="shared" si="5"/>
        <v>809.54257696873833</v>
      </c>
      <c r="Q13" s="14">
        <f t="shared" si="5"/>
        <v>827.91665027292038</v>
      </c>
      <c r="R13" s="14">
        <f t="shared" si="5"/>
        <v>838.30532225697834</v>
      </c>
      <c r="S13" s="14">
        <f t="shared" si="5"/>
        <v>808.63736649230077</v>
      </c>
      <c r="T13" s="14">
        <f t="shared" si="5"/>
        <v>823.75183641077354</v>
      </c>
      <c r="U13" s="14">
        <f t="shared" si="5"/>
        <v>812.7086563731259</v>
      </c>
      <c r="V13" s="14">
        <f t="shared" si="5"/>
        <v>817.90430202468372</v>
      </c>
      <c r="W13" s="14">
        <f t="shared" si="5"/>
        <v>850.81731943835678</v>
      </c>
      <c r="X13" s="14">
        <f t="shared" si="5"/>
        <v>870.34489193039667</v>
      </c>
      <c r="Y13" s="14">
        <f t="shared" si="5"/>
        <v>881.21950824122507</v>
      </c>
      <c r="Z13" s="14">
        <f t="shared" si="5"/>
        <v>897.42547656616864</v>
      </c>
      <c r="AA13" s="14">
        <f t="shared" si="5"/>
        <v>913.73534049437717</v>
      </c>
      <c r="AB13" s="14">
        <f t="shared" si="5"/>
        <v>909.74810265196584</v>
      </c>
      <c r="AC13" s="14">
        <f t="shared" si="5"/>
        <v>929.59273202173904</v>
      </c>
      <c r="AD13" s="14">
        <f t="shared" si="5"/>
        <v>924.74101809620606</v>
      </c>
      <c r="AE13" s="14">
        <f t="shared" si="5"/>
        <v>978.07147574145847</v>
      </c>
      <c r="AF13" s="14">
        <f t="shared" si="5"/>
        <v>968.75688707668337</v>
      </c>
    </row>
    <row r="14" spans="1:32" x14ac:dyDescent="0.2"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</row>
    <row r="15" spans="1:32" ht="12.75" x14ac:dyDescent="0.2">
      <c r="A15" s="18" t="s">
        <v>12</v>
      </c>
      <c r="B15" s="3">
        <v>174.91627906976743</v>
      </c>
      <c r="C15" s="14">
        <v>225.06363636363633</v>
      </c>
      <c r="D15" s="14">
        <v>282.39999999999998</v>
      </c>
      <c r="E15" s="14">
        <v>490.7166666666667</v>
      </c>
      <c r="F15" s="14">
        <v>411.42500000000001</v>
      </c>
      <c r="G15" s="14">
        <v>369.82500000000005</v>
      </c>
      <c r="H15" s="14">
        <v>378.8</v>
      </c>
      <c r="I15" s="14">
        <v>388.5</v>
      </c>
      <c r="J15" s="14">
        <v>399.1</v>
      </c>
      <c r="K15" s="14">
        <v>410</v>
      </c>
      <c r="L15" s="14">
        <v>419</v>
      </c>
      <c r="M15" s="14">
        <v>430.6</v>
      </c>
      <c r="N15" s="14">
        <v>440.40000000000003</v>
      </c>
      <c r="O15" s="14">
        <v>450.8</v>
      </c>
      <c r="P15" s="14">
        <v>461.20000000000005</v>
      </c>
      <c r="Q15" s="14">
        <v>471.8</v>
      </c>
      <c r="R15" s="14">
        <v>481.6</v>
      </c>
      <c r="S15" s="14">
        <v>492</v>
      </c>
      <c r="T15" s="14">
        <v>502.90000000000003</v>
      </c>
      <c r="U15" s="14">
        <v>512.6</v>
      </c>
      <c r="V15" s="14">
        <v>523.80000000000007</v>
      </c>
      <c r="W15" s="14">
        <v>533.9</v>
      </c>
      <c r="X15" s="14">
        <v>544.1</v>
      </c>
      <c r="Y15" s="14">
        <v>554.4</v>
      </c>
      <c r="Z15" s="14">
        <v>566</v>
      </c>
      <c r="AA15" s="14">
        <v>575.30000000000007</v>
      </c>
      <c r="AB15" s="14">
        <v>585.70000000000005</v>
      </c>
      <c r="AC15" s="14">
        <v>596.80000000000007</v>
      </c>
      <c r="AD15" s="14">
        <v>606.20000000000005</v>
      </c>
      <c r="AE15" s="14">
        <v>617.1</v>
      </c>
      <c r="AF15" s="14">
        <v>628.20000000000005</v>
      </c>
    </row>
    <row r="16" spans="1:32" x14ac:dyDescent="0.2">
      <c r="A16" s="3" t="s">
        <v>4</v>
      </c>
      <c r="C16" s="14">
        <f>C15*126.4/142.2-C15</f>
        <v>-25.007070707070682</v>
      </c>
      <c r="D16" s="14">
        <f>D15*126.4/142.2-D15</f>
        <v>-31.377777777777737</v>
      </c>
      <c r="E16" s="14">
        <f>E15*126.4/142.2-E15</f>
        <v>-54.524074074074065</v>
      </c>
      <c r="F16" s="14">
        <f t="shared" ref="F16:AF16" si="6">F15*126.4/142.2-F15</f>
        <v>-45.713888888888846</v>
      </c>
      <c r="G16" s="14">
        <f t="shared" si="6"/>
        <v>-41.09166666666664</v>
      </c>
      <c r="H16" s="14">
        <f t="shared" si="6"/>
        <v>-42.088888888888846</v>
      </c>
      <c r="I16" s="14">
        <f t="shared" si="6"/>
        <v>-43.166666666666629</v>
      </c>
      <c r="J16" s="14">
        <f t="shared" si="6"/>
        <v>-44.344444444444377</v>
      </c>
      <c r="K16" s="14">
        <f t="shared" si="6"/>
        <v>-45.555555555555543</v>
      </c>
      <c r="L16" s="14">
        <f t="shared" si="6"/>
        <v>-46.555555555555486</v>
      </c>
      <c r="M16" s="14">
        <f t="shared" si="6"/>
        <v>-47.844444444444434</v>
      </c>
      <c r="N16" s="14">
        <f t="shared" si="6"/>
        <v>-48.93333333333328</v>
      </c>
      <c r="O16" s="14">
        <f t="shared" si="6"/>
        <v>-50.088888888888846</v>
      </c>
      <c r="P16" s="14">
        <f t="shared" si="6"/>
        <v>-51.244444444444412</v>
      </c>
      <c r="Q16" s="14">
        <f t="shared" si="6"/>
        <v>-52.42222222222216</v>
      </c>
      <c r="R16" s="14">
        <f t="shared" si="6"/>
        <v>-53.511111111111063</v>
      </c>
      <c r="S16" s="14">
        <f t="shared" si="6"/>
        <v>-54.666666666666629</v>
      </c>
      <c r="T16" s="14">
        <f t="shared" si="6"/>
        <v>-55.877777777777737</v>
      </c>
      <c r="U16" s="14">
        <f t="shared" si="6"/>
        <v>-56.95555555555552</v>
      </c>
      <c r="V16" s="14">
        <f t="shared" si="6"/>
        <v>-58.199999999999989</v>
      </c>
      <c r="W16" s="14">
        <f t="shared" si="6"/>
        <v>-59.322222222222138</v>
      </c>
      <c r="X16" s="14">
        <f t="shared" si="6"/>
        <v>-60.45555555555552</v>
      </c>
      <c r="Y16" s="14">
        <f t="shared" si="6"/>
        <v>-61.599999999999909</v>
      </c>
      <c r="Z16" s="14">
        <f t="shared" si="6"/>
        <v>-62.8888888888888</v>
      </c>
      <c r="AA16" s="14">
        <f t="shared" si="6"/>
        <v>-63.92222222222216</v>
      </c>
      <c r="AB16" s="14">
        <f t="shared" si="6"/>
        <v>-65.077777777777669</v>
      </c>
      <c r="AC16" s="14">
        <f t="shared" si="6"/>
        <v>-66.311111111111018</v>
      </c>
      <c r="AD16" s="14">
        <f t="shared" si="6"/>
        <v>-67.355555555555497</v>
      </c>
      <c r="AE16" s="14">
        <f t="shared" si="6"/>
        <v>-68.566666666666606</v>
      </c>
      <c r="AF16" s="14">
        <f t="shared" si="6"/>
        <v>-69.799999999999955</v>
      </c>
    </row>
    <row r="17" spans="1:32" x14ac:dyDescent="0.2">
      <c r="A17" s="3" t="s">
        <v>13</v>
      </c>
      <c r="C17" s="14">
        <f>C15+C16</f>
        <v>200.05656565656565</v>
      </c>
      <c r="D17" s="14">
        <f t="shared" ref="D17:AF17" si="7">D15+D16</f>
        <v>251.02222222222224</v>
      </c>
      <c r="E17" s="14">
        <f t="shared" si="7"/>
        <v>436.19259259259263</v>
      </c>
      <c r="F17" s="14">
        <f t="shared" si="7"/>
        <v>365.71111111111117</v>
      </c>
      <c r="G17" s="14">
        <f t="shared" si="7"/>
        <v>328.73333333333341</v>
      </c>
      <c r="H17" s="14">
        <f t="shared" si="7"/>
        <v>336.71111111111117</v>
      </c>
      <c r="I17" s="14">
        <f t="shared" si="7"/>
        <v>345.33333333333337</v>
      </c>
      <c r="J17" s="14">
        <f t="shared" si="7"/>
        <v>354.75555555555565</v>
      </c>
      <c r="K17" s="14">
        <f t="shared" si="7"/>
        <v>364.44444444444446</v>
      </c>
      <c r="L17" s="14">
        <f t="shared" si="7"/>
        <v>372.44444444444451</v>
      </c>
      <c r="M17" s="14">
        <f t="shared" si="7"/>
        <v>382.75555555555559</v>
      </c>
      <c r="N17" s="14">
        <f t="shared" si="7"/>
        <v>391.46666666666675</v>
      </c>
      <c r="O17" s="14">
        <f t="shared" si="7"/>
        <v>400.71111111111117</v>
      </c>
      <c r="P17" s="14">
        <f t="shared" si="7"/>
        <v>409.95555555555563</v>
      </c>
      <c r="Q17" s="14">
        <f t="shared" si="7"/>
        <v>419.37777777777785</v>
      </c>
      <c r="R17" s="14">
        <f t="shared" si="7"/>
        <v>428.08888888888896</v>
      </c>
      <c r="S17" s="14">
        <f t="shared" si="7"/>
        <v>437.33333333333337</v>
      </c>
      <c r="T17" s="14">
        <f t="shared" si="7"/>
        <v>447.0222222222223</v>
      </c>
      <c r="U17" s="14">
        <f t="shared" si="7"/>
        <v>455.6444444444445</v>
      </c>
      <c r="V17" s="14">
        <f t="shared" si="7"/>
        <v>465.60000000000008</v>
      </c>
      <c r="W17" s="14">
        <f t="shared" si="7"/>
        <v>474.57777777777784</v>
      </c>
      <c r="X17" s="14">
        <f t="shared" si="7"/>
        <v>483.6444444444445</v>
      </c>
      <c r="Y17" s="14">
        <f t="shared" si="7"/>
        <v>492.80000000000007</v>
      </c>
      <c r="Z17" s="14">
        <f t="shared" si="7"/>
        <v>503.1111111111112</v>
      </c>
      <c r="AA17" s="14">
        <f t="shared" si="7"/>
        <v>511.37777777777791</v>
      </c>
      <c r="AB17" s="14">
        <f t="shared" si="7"/>
        <v>520.62222222222238</v>
      </c>
      <c r="AC17" s="14">
        <f t="shared" si="7"/>
        <v>530.48888888888905</v>
      </c>
      <c r="AD17" s="14">
        <f t="shared" si="7"/>
        <v>538.84444444444455</v>
      </c>
      <c r="AE17" s="14">
        <f t="shared" si="7"/>
        <v>548.53333333333342</v>
      </c>
      <c r="AF17" s="14">
        <f t="shared" si="7"/>
        <v>558.40000000000009</v>
      </c>
    </row>
    <row r="18" spans="1:32" x14ac:dyDescent="0.2">
      <c r="A18" s="3" t="s">
        <v>92</v>
      </c>
      <c r="C18" s="14">
        <v>0</v>
      </c>
      <c r="D18" s="14">
        <v>0</v>
      </c>
      <c r="E18" s="14">
        <v>150</v>
      </c>
      <c r="F18" s="14">
        <v>150</v>
      </c>
      <c r="G18" s="14">
        <v>150</v>
      </c>
      <c r="H18" s="14">
        <v>150</v>
      </c>
      <c r="I18" s="14">
        <v>150</v>
      </c>
      <c r="J18" s="14">
        <v>150</v>
      </c>
      <c r="K18" s="14">
        <v>150</v>
      </c>
      <c r="L18" s="14">
        <v>150</v>
      </c>
      <c r="M18" s="14">
        <v>150</v>
      </c>
      <c r="N18" s="14">
        <v>150</v>
      </c>
      <c r="O18" s="14">
        <v>150</v>
      </c>
      <c r="P18" s="14">
        <v>150</v>
      </c>
      <c r="Q18" s="14">
        <v>150</v>
      </c>
      <c r="R18" s="14">
        <v>150</v>
      </c>
      <c r="S18" s="14">
        <v>150</v>
      </c>
      <c r="T18" s="14">
        <v>150</v>
      </c>
      <c r="U18" s="14">
        <v>150</v>
      </c>
      <c r="V18" s="14">
        <v>150</v>
      </c>
      <c r="W18" s="14">
        <v>150</v>
      </c>
      <c r="X18" s="14">
        <v>150</v>
      </c>
      <c r="Y18" s="14">
        <v>150</v>
      </c>
      <c r="Z18" s="14">
        <v>150</v>
      </c>
      <c r="AA18" s="14">
        <v>150</v>
      </c>
      <c r="AB18" s="14">
        <v>150</v>
      </c>
      <c r="AC18" s="14">
        <v>150</v>
      </c>
      <c r="AD18" s="14">
        <v>150</v>
      </c>
      <c r="AE18" s="14">
        <v>150</v>
      </c>
      <c r="AF18" s="14">
        <v>150</v>
      </c>
    </row>
    <row r="19" spans="1:32" x14ac:dyDescent="0.2">
      <c r="A19" s="3" t="s">
        <v>93</v>
      </c>
      <c r="C19" s="14">
        <v>0</v>
      </c>
      <c r="D19" s="14">
        <v>0</v>
      </c>
      <c r="E19" s="14">
        <v>140</v>
      </c>
      <c r="F19" s="14">
        <v>140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</row>
    <row r="20" spans="1:32" x14ac:dyDescent="0.2">
      <c r="A20" s="3" t="s">
        <v>90</v>
      </c>
      <c r="C20" s="14"/>
      <c r="D20" s="14"/>
      <c r="E20" s="14"/>
      <c r="F20" s="14"/>
      <c r="G20" s="14">
        <v>140</v>
      </c>
      <c r="H20" s="14">
        <f>G20*1.02</f>
        <v>142.80000000000001</v>
      </c>
      <c r="I20" s="14">
        <f t="shared" ref="I20:AF20" si="8">H20*1.02</f>
        <v>145.65600000000001</v>
      </c>
      <c r="J20" s="14">
        <f t="shared" si="8"/>
        <v>148.56912</v>
      </c>
      <c r="K20" s="14">
        <f t="shared" si="8"/>
        <v>151.54050240000001</v>
      </c>
      <c r="L20" s="14">
        <f t="shared" si="8"/>
        <v>154.57131244800001</v>
      </c>
      <c r="M20" s="14">
        <f t="shared" si="8"/>
        <v>157.66273869696002</v>
      </c>
      <c r="N20" s="14">
        <f t="shared" si="8"/>
        <v>160.81599347089923</v>
      </c>
      <c r="O20" s="14">
        <f t="shared" si="8"/>
        <v>164.03231334031722</v>
      </c>
      <c r="P20" s="14">
        <f t="shared" si="8"/>
        <v>167.31295960712356</v>
      </c>
      <c r="Q20" s="14">
        <f t="shared" si="8"/>
        <v>170.65921879926603</v>
      </c>
      <c r="R20" s="14">
        <f t="shared" si="8"/>
        <v>174.07240317525134</v>
      </c>
      <c r="S20" s="14">
        <f t="shared" si="8"/>
        <v>177.55385123875638</v>
      </c>
      <c r="T20" s="14">
        <f t="shared" si="8"/>
        <v>181.10492826353152</v>
      </c>
      <c r="U20" s="14">
        <f t="shared" si="8"/>
        <v>184.72702682880217</v>
      </c>
      <c r="V20" s="14">
        <f t="shared" si="8"/>
        <v>188.42156736537822</v>
      </c>
      <c r="W20" s="14">
        <f t="shared" si="8"/>
        <v>192.18999871268579</v>
      </c>
      <c r="X20" s="14">
        <f t="shared" si="8"/>
        <v>196.03379868693952</v>
      </c>
      <c r="Y20" s="14">
        <f t="shared" si="8"/>
        <v>199.9544746606783</v>
      </c>
      <c r="Z20" s="14">
        <f t="shared" si="8"/>
        <v>203.95356415389188</v>
      </c>
      <c r="AA20" s="14">
        <f t="shared" si="8"/>
        <v>208.03263543696971</v>
      </c>
      <c r="AB20" s="14">
        <f t="shared" si="8"/>
        <v>212.19328814570912</v>
      </c>
      <c r="AC20" s="14">
        <f t="shared" si="8"/>
        <v>216.43715390862332</v>
      </c>
      <c r="AD20" s="14">
        <f t="shared" si="8"/>
        <v>220.76589698679578</v>
      </c>
      <c r="AE20" s="14">
        <f t="shared" si="8"/>
        <v>225.18121492653171</v>
      </c>
      <c r="AF20" s="14">
        <f t="shared" si="8"/>
        <v>229.68483922506235</v>
      </c>
    </row>
    <row r="21" spans="1:32" x14ac:dyDescent="0.2">
      <c r="A21" s="3" t="s">
        <v>15</v>
      </c>
      <c r="C21" s="14">
        <f>C30</f>
        <v>238.69297497696812</v>
      </c>
      <c r="D21" s="14">
        <f t="shared" ref="D21:AF21" si="9">D30</f>
        <v>266.3304079946243</v>
      </c>
      <c r="E21" s="14">
        <f t="shared" si="9"/>
        <v>215.45202907631398</v>
      </c>
      <c r="F21" s="14">
        <f t="shared" si="9"/>
        <v>94.114947832030694</v>
      </c>
      <c r="G21" s="14">
        <f t="shared" si="9"/>
        <v>119.68165584832498</v>
      </c>
      <c r="H21" s="14">
        <f t="shared" si="9"/>
        <v>124.15914503193611</v>
      </c>
      <c r="I21" s="14">
        <f t="shared" si="9"/>
        <v>128.80064570379542</v>
      </c>
      <c r="J21" s="14">
        <f t="shared" si="9"/>
        <v>140.03989113798883</v>
      </c>
      <c r="K21" s="14">
        <f t="shared" si="9"/>
        <v>153.42403373737187</v>
      </c>
      <c r="L21" s="14">
        <f t="shared" si="9"/>
        <v>153.01370801484745</v>
      </c>
      <c r="M21" s="14">
        <f t="shared" si="9"/>
        <v>160.1964237139872</v>
      </c>
      <c r="N21" s="14">
        <f t="shared" si="9"/>
        <v>160.67938525714473</v>
      </c>
      <c r="O21" s="14">
        <f t="shared" si="9"/>
        <v>161.49853276363112</v>
      </c>
      <c r="P21" s="14">
        <f t="shared" si="9"/>
        <v>156.9107921002429</v>
      </c>
      <c r="Q21" s="14">
        <f t="shared" si="9"/>
        <v>156.24455393193995</v>
      </c>
      <c r="R21" s="14">
        <f t="shared" si="9"/>
        <v>148.96</v>
      </c>
      <c r="S21" s="14">
        <f t="shared" si="9"/>
        <v>148.64000000000001</v>
      </c>
      <c r="T21" s="14">
        <f t="shared" si="9"/>
        <v>145.76000000000002</v>
      </c>
      <c r="U21" s="14">
        <f t="shared" si="9"/>
        <v>141.28000000000003</v>
      </c>
      <c r="V21" s="14">
        <f t="shared" si="9"/>
        <v>142.56000000000003</v>
      </c>
      <c r="W21" s="14">
        <f t="shared" si="9"/>
        <v>148.32000000000002</v>
      </c>
      <c r="X21" s="14">
        <f t="shared" si="9"/>
        <v>139.36000000000001</v>
      </c>
      <c r="Y21" s="14">
        <f t="shared" si="9"/>
        <v>140.96</v>
      </c>
      <c r="Z21" s="14">
        <f t="shared" si="9"/>
        <v>132.48000000000002</v>
      </c>
      <c r="AA21" s="14">
        <f t="shared" si="9"/>
        <v>137.92000000000002</v>
      </c>
      <c r="AB21" s="14">
        <f t="shared" si="9"/>
        <v>129.6</v>
      </c>
      <c r="AC21" s="14">
        <f t="shared" si="9"/>
        <v>134.88000000000002</v>
      </c>
      <c r="AD21" s="14">
        <f t="shared" si="9"/>
        <v>126.72000000000001</v>
      </c>
      <c r="AE21" s="14">
        <f t="shared" si="9"/>
        <v>131.84</v>
      </c>
      <c r="AF21" s="14">
        <f t="shared" si="9"/>
        <v>124</v>
      </c>
    </row>
    <row r="22" spans="1:32" x14ac:dyDescent="0.2">
      <c r="A22" s="3" t="s">
        <v>16</v>
      </c>
      <c r="C22" s="14">
        <v>100</v>
      </c>
      <c r="D22" s="14">
        <v>100</v>
      </c>
      <c r="E22" s="14">
        <v>100</v>
      </c>
      <c r="F22" s="14">
        <v>100</v>
      </c>
      <c r="G22" s="14">
        <v>100</v>
      </c>
      <c r="H22" s="14">
        <v>100</v>
      </c>
      <c r="I22" s="14">
        <v>100</v>
      </c>
      <c r="J22" s="14">
        <v>100</v>
      </c>
      <c r="K22" s="14">
        <v>100</v>
      </c>
      <c r="L22" s="14">
        <v>100</v>
      </c>
      <c r="M22" s="14">
        <v>100</v>
      </c>
      <c r="N22" s="14">
        <v>100</v>
      </c>
      <c r="O22" s="14">
        <v>100</v>
      </c>
      <c r="P22" s="14">
        <v>100</v>
      </c>
      <c r="Q22" s="14">
        <v>100</v>
      </c>
      <c r="R22" s="14">
        <v>100</v>
      </c>
      <c r="S22" s="14">
        <v>100</v>
      </c>
      <c r="T22" s="14">
        <v>100</v>
      </c>
      <c r="U22" s="14">
        <v>100</v>
      </c>
      <c r="V22" s="14">
        <v>100</v>
      </c>
      <c r="W22" s="14">
        <v>100</v>
      </c>
      <c r="X22" s="14">
        <v>100</v>
      </c>
      <c r="Y22" s="14">
        <v>100</v>
      </c>
      <c r="Z22" s="14">
        <v>100</v>
      </c>
      <c r="AA22" s="14">
        <v>100</v>
      </c>
      <c r="AB22" s="14">
        <v>100</v>
      </c>
      <c r="AC22" s="14">
        <v>100</v>
      </c>
      <c r="AD22" s="14">
        <v>100</v>
      </c>
      <c r="AE22" s="14">
        <v>100</v>
      </c>
      <c r="AF22" s="14">
        <v>100</v>
      </c>
    </row>
    <row r="23" spans="1:32" x14ac:dyDescent="0.2">
      <c r="A23" s="3" t="s">
        <v>17</v>
      </c>
      <c r="C23" s="14">
        <f>SUM(C17:C22)</f>
        <v>538.7495406335338</v>
      </c>
      <c r="D23" s="14">
        <f t="shared" ref="D23:AF23" si="10">SUM(D17:D22)</f>
        <v>617.35263021684659</v>
      </c>
      <c r="E23" s="14">
        <f t="shared" si="10"/>
        <v>1041.6446216689067</v>
      </c>
      <c r="F23" s="14">
        <f t="shared" si="10"/>
        <v>849.8260589431419</v>
      </c>
      <c r="G23" s="14">
        <f t="shared" si="10"/>
        <v>838.41498918165837</v>
      </c>
      <c r="H23" s="14">
        <f t="shared" si="10"/>
        <v>853.67025614304725</v>
      </c>
      <c r="I23" s="14">
        <f t="shared" si="10"/>
        <v>869.78997903712889</v>
      </c>
      <c r="J23" s="14">
        <f t="shared" si="10"/>
        <v>893.36456669354448</v>
      </c>
      <c r="K23" s="14">
        <f t="shared" si="10"/>
        <v>919.40898058181642</v>
      </c>
      <c r="L23" s="14">
        <f t="shared" si="10"/>
        <v>930.02946490729209</v>
      </c>
      <c r="M23" s="14">
        <f t="shared" si="10"/>
        <v>950.61471796650278</v>
      </c>
      <c r="N23" s="14">
        <f t="shared" si="10"/>
        <v>962.96204539471069</v>
      </c>
      <c r="O23" s="14">
        <f t="shared" si="10"/>
        <v>976.24195721505953</v>
      </c>
      <c r="P23" s="14">
        <f t="shared" si="10"/>
        <v>984.17930726292218</v>
      </c>
      <c r="Q23" s="14">
        <f t="shared" si="10"/>
        <v>996.28155050898386</v>
      </c>
      <c r="R23" s="14">
        <f t="shared" si="10"/>
        <v>1001.1212920641403</v>
      </c>
      <c r="S23" s="14">
        <f t="shared" si="10"/>
        <v>1013.5271845720897</v>
      </c>
      <c r="T23" s="14">
        <f t="shared" si="10"/>
        <v>1023.8871504857539</v>
      </c>
      <c r="U23" s="14">
        <f t="shared" si="10"/>
        <v>1031.6514712732467</v>
      </c>
      <c r="V23" s="14">
        <f t="shared" si="10"/>
        <v>1046.5815673653783</v>
      </c>
      <c r="W23" s="14">
        <f t="shared" si="10"/>
        <v>1065.0877764904635</v>
      </c>
      <c r="X23" s="14">
        <f t="shared" si="10"/>
        <v>1069.0382431313842</v>
      </c>
      <c r="Y23" s="14">
        <f t="shared" si="10"/>
        <v>1083.7144746606784</v>
      </c>
      <c r="Z23" s="14">
        <f t="shared" si="10"/>
        <v>1089.5446752650032</v>
      </c>
      <c r="AA23" s="14">
        <f t="shared" si="10"/>
        <v>1107.3304132147478</v>
      </c>
      <c r="AB23" s="14">
        <f t="shared" si="10"/>
        <v>1112.4155103679313</v>
      </c>
      <c r="AC23" s="14">
        <f t="shared" si="10"/>
        <v>1131.8060427975124</v>
      </c>
      <c r="AD23" s="14">
        <f t="shared" si="10"/>
        <v>1136.3303414312404</v>
      </c>
      <c r="AE23" s="14">
        <f t="shared" si="10"/>
        <v>1155.554548259865</v>
      </c>
      <c r="AF23" s="14">
        <f t="shared" si="10"/>
        <v>1162.0848392250623</v>
      </c>
    </row>
    <row r="24" spans="1:32" x14ac:dyDescent="0.2">
      <c r="A24" s="3" t="s">
        <v>10</v>
      </c>
      <c r="C24" s="14">
        <v>-50</v>
      </c>
      <c r="D24" s="14">
        <v>-50</v>
      </c>
      <c r="E24" s="14">
        <v>-50</v>
      </c>
      <c r="F24" s="14">
        <v>-50</v>
      </c>
      <c r="G24" s="14">
        <v>-50</v>
      </c>
      <c r="H24" s="14">
        <v>-50</v>
      </c>
      <c r="I24" s="14">
        <v>-50</v>
      </c>
      <c r="J24" s="14">
        <v>-50</v>
      </c>
      <c r="K24" s="14">
        <v>-50</v>
      </c>
      <c r="L24" s="14">
        <v>-50</v>
      </c>
      <c r="M24" s="14">
        <v>-50</v>
      </c>
      <c r="N24" s="14">
        <v>-50</v>
      </c>
      <c r="O24" s="14">
        <v>-50</v>
      </c>
      <c r="P24" s="14">
        <v>-50</v>
      </c>
      <c r="Q24" s="14">
        <v>-50</v>
      </c>
      <c r="R24" s="14">
        <v>-50</v>
      </c>
      <c r="S24" s="14">
        <v>-50</v>
      </c>
      <c r="T24" s="14">
        <v>-50</v>
      </c>
      <c r="U24" s="14">
        <v>-50</v>
      </c>
      <c r="V24" s="14">
        <v>-50</v>
      </c>
      <c r="W24" s="14">
        <v>-50</v>
      </c>
      <c r="X24" s="14">
        <v>-50</v>
      </c>
      <c r="Y24" s="14">
        <v>-50</v>
      </c>
      <c r="Z24" s="14">
        <v>-50</v>
      </c>
      <c r="AA24" s="14">
        <v>-50</v>
      </c>
      <c r="AB24" s="14">
        <v>-50</v>
      </c>
      <c r="AC24" s="14">
        <v>-50</v>
      </c>
      <c r="AD24" s="14">
        <v>-50</v>
      </c>
      <c r="AE24" s="14">
        <v>-50</v>
      </c>
      <c r="AF24" s="14">
        <v>-50</v>
      </c>
    </row>
    <row r="25" spans="1:32" x14ac:dyDescent="0.2">
      <c r="A25" s="3" t="s">
        <v>18</v>
      </c>
      <c r="C25" s="14">
        <f>C23+C24</f>
        <v>488.7495406335338</v>
      </c>
      <c r="D25" s="14">
        <f t="shared" ref="D25:AF25" si="11">D23+D24</f>
        <v>567.35263021684659</v>
      </c>
      <c r="E25" s="14">
        <f t="shared" si="11"/>
        <v>991.64462166890667</v>
      </c>
      <c r="F25" s="14">
        <f t="shared" si="11"/>
        <v>799.8260589431419</v>
      </c>
      <c r="G25" s="14">
        <f t="shared" si="11"/>
        <v>788.41498918165837</v>
      </c>
      <c r="H25" s="14">
        <f t="shared" si="11"/>
        <v>803.67025614304725</v>
      </c>
      <c r="I25" s="14">
        <f t="shared" si="11"/>
        <v>819.78997903712889</v>
      </c>
      <c r="J25" s="14">
        <f t="shared" si="11"/>
        <v>843.36456669354448</v>
      </c>
      <c r="K25" s="14">
        <f t="shared" si="11"/>
        <v>869.40898058181642</v>
      </c>
      <c r="L25" s="14">
        <f t="shared" si="11"/>
        <v>880.02946490729209</v>
      </c>
      <c r="M25" s="14">
        <f t="shared" si="11"/>
        <v>900.61471796650278</v>
      </c>
      <c r="N25" s="14">
        <f t="shared" si="11"/>
        <v>912.96204539471069</v>
      </c>
      <c r="O25" s="14">
        <f t="shared" si="11"/>
        <v>926.24195721505953</v>
      </c>
      <c r="P25" s="14">
        <f t="shared" si="11"/>
        <v>934.17930726292218</v>
      </c>
      <c r="Q25" s="14">
        <f t="shared" si="11"/>
        <v>946.28155050898386</v>
      </c>
      <c r="R25" s="14">
        <f t="shared" si="11"/>
        <v>951.12129206414033</v>
      </c>
      <c r="S25" s="14">
        <f t="shared" si="11"/>
        <v>963.52718457208971</v>
      </c>
      <c r="T25" s="14">
        <f t="shared" si="11"/>
        <v>973.88715048575386</v>
      </c>
      <c r="U25" s="14">
        <f t="shared" si="11"/>
        <v>981.65147127324667</v>
      </c>
      <c r="V25" s="14">
        <f t="shared" si="11"/>
        <v>996.58156736537831</v>
      </c>
      <c r="W25" s="14">
        <f t="shared" si="11"/>
        <v>1015.0877764904635</v>
      </c>
      <c r="X25" s="14">
        <f t="shared" si="11"/>
        <v>1019.0382431313842</v>
      </c>
      <c r="Y25" s="14">
        <f t="shared" si="11"/>
        <v>1033.7144746606784</v>
      </c>
      <c r="Z25" s="14">
        <f t="shared" si="11"/>
        <v>1039.5446752650032</v>
      </c>
      <c r="AA25" s="14">
        <f t="shared" si="11"/>
        <v>1057.3304132147478</v>
      </c>
      <c r="AB25" s="14">
        <f t="shared" si="11"/>
        <v>1062.4155103679313</v>
      </c>
      <c r="AC25" s="14">
        <f t="shared" si="11"/>
        <v>1081.8060427975124</v>
      </c>
      <c r="AD25" s="14">
        <f t="shared" si="11"/>
        <v>1086.3303414312404</v>
      </c>
      <c r="AE25" s="14">
        <f t="shared" si="11"/>
        <v>1105.554548259865</v>
      </c>
      <c r="AF25" s="14">
        <f t="shared" si="11"/>
        <v>1112.0848392250623</v>
      </c>
    </row>
    <row r="26" spans="1:32" x14ac:dyDescent="0.2">
      <c r="A26" s="21" t="s">
        <v>101</v>
      </c>
      <c r="C26" s="20">
        <f>C25-C13</f>
        <v>-140.83285333333583</v>
      </c>
      <c r="D26" s="20">
        <f t="shared" ref="D26:AF26" si="12">D25-D13</f>
        <v>-260.05063756823779</v>
      </c>
      <c r="E26" s="20">
        <f t="shared" si="12"/>
        <v>288.28913385184569</v>
      </c>
      <c r="F26" s="20">
        <f t="shared" si="12"/>
        <v>261.26009181546283</v>
      </c>
      <c r="G26" s="20">
        <f t="shared" si="12"/>
        <v>182.83785037194559</v>
      </c>
      <c r="H26" s="20">
        <f t="shared" si="12"/>
        <v>166.98522240219313</v>
      </c>
      <c r="I26" s="20">
        <f t="shared" si="12"/>
        <v>181.76174951663415</v>
      </c>
      <c r="J26" s="20">
        <f t="shared" si="12"/>
        <v>182.96902535670483</v>
      </c>
      <c r="K26" s="20">
        <f t="shared" si="12"/>
        <v>174.83413292774424</v>
      </c>
      <c r="L26" s="20">
        <f t="shared" si="12"/>
        <v>144.40793860597353</v>
      </c>
      <c r="M26" s="20">
        <f t="shared" si="12"/>
        <v>148.19936601516076</v>
      </c>
      <c r="N26" s="20">
        <f t="shared" si="12"/>
        <v>168.30757928214894</v>
      </c>
      <c r="O26" s="20">
        <f t="shared" si="12"/>
        <v>147.66615830756768</v>
      </c>
      <c r="P26" s="20">
        <f t="shared" si="12"/>
        <v>124.63673029418385</v>
      </c>
      <c r="Q26" s="20">
        <f t="shared" si="12"/>
        <v>118.36490023606348</v>
      </c>
      <c r="R26" s="20">
        <f t="shared" si="12"/>
        <v>112.81596980716199</v>
      </c>
      <c r="S26" s="20">
        <f t="shared" si="12"/>
        <v>154.88981807978894</v>
      </c>
      <c r="T26" s="20">
        <f t="shared" si="12"/>
        <v>150.13531407498033</v>
      </c>
      <c r="U26" s="20">
        <f t="shared" si="12"/>
        <v>168.94281490012077</v>
      </c>
      <c r="V26" s="20">
        <f t="shared" si="12"/>
        <v>178.67726534069459</v>
      </c>
      <c r="W26" s="20">
        <f t="shared" si="12"/>
        <v>164.27045705210674</v>
      </c>
      <c r="X26" s="20">
        <f t="shared" si="12"/>
        <v>148.69335120098754</v>
      </c>
      <c r="Y26" s="20">
        <f t="shared" si="12"/>
        <v>152.49496641945336</v>
      </c>
      <c r="Z26" s="20">
        <f t="shared" si="12"/>
        <v>142.11919869883457</v>
      </c>
      <c r="AA26" s="20">
        <f t="shared" si="12"/>
        <v>143.59507272037058</v>
      </c>
      <c r="AB26" s="20">
        <f t="shared" si="12"/>
        <v>152.66740771596551</v>
      </c>
      <c r="AC26" s="20">
        <f t="shared" si="12"/>
        <v>152.21331077577338</v>
      </c>
      <c r="AD26" s="20">
        <f t="shared" si="12"/>
        <v>161.58932333503435</v>
      </c>
      <c r="AE26" s="20">
        <f t="shared" si="12"/>
        <v>127.48307251840652</v>
      </c>
      <c r="AF26" s="20">
        <f t="shared" si="12"/>
        <v>143.32795214837893</v>
      </c>
    </row>
    <row r="27" spans="1:32" x14ac:dyDescent="0.2"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</row>
    <row r="28" spans="1:32" x14ac:dyDescent="0.2">
      <c r="A28" s="3" t="s">
        <v>19</v>
      </c>
      <c r="B28" s="3">
        <v>63.756697615250253</v>
      </c>
      <c r="C28" s="14">
        <v>149.18310936060507</v>
      </c>
      <c r="D28" s="14">
        <v>166.45650499664018</v>
      </c>
      <c r="E28" s="14">
        <v>134.65751817269623</v>
      </c>
      <c r="F28" s="14">
        <v>58.821842395019182</v>
      </c>
      <c r="G28" s="14">
        <v>74.80103490520311</v>
      </c>
      <c r="H28" s="14">
        <v>77.599465644960063</v>
      </c>
      <c r="I28" s="14">
        <v>80.500403564872144</v>
      </c>
      <c r="J28" s="14">
        <v>87.524931961243013</v>
      </c>
      <c r="K28" s="14">
        <v>95.890021085857413</v>
      </c>
      <c r="L28" s="14">
        <v>95.633567509279658</v>
      </c>
      <c r="M28" s="14">
        <v>100.122764821242</v>
      </c>
      <c r="N28" s="14">
        <v>100.42461578571545</v>
      </c>
      <c r="O28" s="14">
        <v>100.93658297726944</v>
      </c>
      <c r="P28" s="14">
        <v>98.069245062651802</v>
      </c>
      <c r="Q28" s="14">
        <v>97.65284620746246</v>
      </c>
      <c r="R28" s="14">
        <v>93.100000000000009</v>
      </c>
      <c r="S28" s="14">
        <v>92.9</v>
      </c>
      <c r="T28" s="14">
        <v>91.100000000000009</v>
      </c>
      <c r="U28" s="14">
        <v>88.300000000000011</v>
      </c>
      <c r="V28" s="14">
        <v>89.100000000000009</v>
      </c>
      <c r="W28" s="14">
        <v>92.7</v>
      </c>
      <c r="X28" s="14">
        <v>87.100000000000009</v>
      </c>
      <c r="Y28" s="14">
        <v>88.100000000000009</v>
      </c>
      <c r="Z28" s="14">
        <v>82.800000000000011</v>
      </c>
      <c r="AA28" s="14">
        <v>86.2</v>
      </c>
      <c r="AB28" s="14">
        <v>81</v>
      </c>
      <c r="AC28" s="14">
        <v>84.300000000000011</v>
      </c>
      <c r="AD28" s="14">
        <v>79.2</v>
      </c>
      <c r="AE28" s="14">
        <v>82.4</v>
      </c>
      <c r="AF28" s="14">
        <v>77.5</v>
      </c>
    </row>
    <row r="29" spans="1:32" x14ac:dyDescent="0.2">
      <c r="A29" s="3" t="s">
        <v>21</v>
      </c>
      <c r="B29" s="3">
        <f>B28*1.7</f>
        <v>108.38638594592543</v>
      </c>
      <c r="C29" s="14">
        <f t="shared" ref="C29:AF29" si="13">C28*1.7</f>
        <v>253.61128591302861</v>
      </c>
      <c r="D29" s="14">
        <f t="shared" si="13"/>
        <v>282.97605849428828</v>
      </c>
      <c r="E29" s="14">
        <f t="shared" si="13"/>
        <v>228.91778089358357</v>
      </c>
      <c r="F29" s="14">
        <f t="shared" si="13"/>
        <v>99.997132071532604</v>
      </c>
      <c r="G29" s="14">
        <f t="shared" si="13"/>
        <v>127.16175933884529</v>
      </c>
      <c r="H29" s="14">
        <f t="shared" si="13"/>
        <v>131.91909159643211</v>
      </c>
      <c r="I29" s="14">
        <f t="shared" si="13"/>
        <v>136.85068606028264</v>
      </c>
      <c r="J29" s="14">
        <f t="shared" si="13"/>
        <v>148.79238433411311</v>
      </c>
      <c r="K29" s="14">
        <f t="shared" si="13"/>
        <v>163.0130358459576</v>
      </c>
      <c r="L29" s="14">
        <f t="shared" si="13"/>
        <v>162.57706476577542</v>
      </c>
      <c r="M29" s="14">
        <f t="shared" si="13"/>
        <v>170.20870019611141</v>
      </c>
      <c r="N29" s="14">
        <f t="shared" si="13"/>
        <v>170.72184683571626</v>
      </c>
      <c r="O29" s="14">
        <f t="shared" si="13"/>
        <v>171.59219106135805</v>
      </c>
      <c r="P29" s="14">
        <f t="shared" si="13"/>
        <v>166.71771660650805</v>
      </c>
      <c r="Q29" s="14">
        <f t="shared" si="13"/>
        <v>166.00983855268618</v>
      </c>
      <c r="R29" s="14">
        <f t="shared" si="13"/>
        <v>158.27000000000001</v>
      </c>
      <c r="S29" s="14">
        <f t="shared" si="13"/>
        <v>157.93</v>
      </c>
      <c r="T29" s="14">
        <f t="shared" si="13"/>
        <v>154.87</v>
      </c>
      <c r="U29" s="14">
        <f t="shared" si="13"/>
        <v>150.11000000000001</v>
      </c>
      <c r="V29" s="14">
        <f t="shared" si="13"/>
        <v>151.47</v>
      </c>
      <c r="W29" s="14">
        <f t="shared" si="13"/>
        <v>157.59</v>
      </c>
      <c r="X29" s="14">
        <f t="shared" si="13"/>
        <v>148.07000000000002</v>
      </c>
      <c r="Y29" s="14">
        <f t="shared" si="13"/>
        <v>149.77000000000001</v>
      </c>
      <c r="Z29" s="14">
        <f t="shared" si="13"/>
        <v>140.76000000000002</v>
      </c>
      <c r="AA29" s="14">
        <f t="shared" si="13"/>
        <v>146.54</v>
      </c>
      <c r="AB29" s="14">
        <f t="shared" si="13"/>
        <v>137.69999999999999</v>
      </c>
      <c r="AC29" s="14">
        <f t="shared" si="13"/>
        <v>143.31</v>
      </c>
      <c r="AD29" s="14">
        <f t="shared" si="13"/>
        <v>134.64000000000001</v>
      </c>
      <c r="AE29" s="14">
        <f t="shared" si="13"/>
        <v>140.08000000000001</v>
      </c>
      <c r="AF29" s="14">
        <f t="shared" si="13"/>
        <v>131.75</v>
      </c>
    </row>
    <row r="30" spans="1:32" x14ac:dyDescent="0.2">
      <c r="A30" s="3" t="s">
        <v>22</v>
      </c>
      <c r="C30" s="14">
        <f>C28*1.6</f>
        <v>238.69297497696812</v>
      </c>
      <c r="D30" s="14">
        <f t="shared" ref="D30:AF30" si="14">D28*1.6</f>
        <v>266.3304079946243</v>
      </c>
      <c r="E30" s="14">
        <f t="shared" si="14"/>
        <v>215.45202907631398</v>
      </c>
      <c r="F30" s="14">
        <f t="shared" si="14"/>
        <v>94.114947832030694</v>
      </c>
      <c r="G30" s="14">
        <f t="shared" si="14"/>
        <v>119.68165584832498</v>
      </c>
      <c r="H30" s="14">
        <f t="shared" si="14"/>
        <v>124.15914503193611</v>
      </c>
      <c r="I30" s="14">
        <f t="shared" si="14"/>
        <v>128.80064570379542</v>
      </c>
      <c r="J30" s="14">
        <f t="shared" si="14"/>
        <v>140.03989113798883</v>
      </c>
      <c r="K30" s="14">
        <f t="shared" si="14"/>
        <v>153.42403373737187</v>
      </c>
      <c r="L30" s="14">
        <f t="shared" si="14"/>
        <v>153.01370801484745</v>
      </c>
      <c r="M30" s="14">
        <f t="shared" si="14"/>
        <v>160.1964237139872</v>
      </c>
      <c r="N30" s="14">
        <f t="shared" si="14"/>
        <v>160.67938525714473</v>
      </c>
      <c r="O30" s="14">
        <f t="shared" si="14"/>
        <v>161.49853276363112</v>
      </c>
      <c r="P30" s="14">
        <f t="shared" si="14"/>
        <v>156.9107921002429</v>
      </c>
      <c r="Q30" s="14">
        <f t="shared" si="14"/>
        <v>156.24455393193995</v>
      </c>
      <c r="R30" s="14">
        <f t="shared" si="14"/>
        <v>148.96</v>
      </c>
      <c r="S30" s="14">
        <f t="shared" si="14"/>
        <v>148.64000000000001</v>
      </c>
      <c r="T30" s="14">
        <f t="shared" si="14"/>
        <v>145.76000000000002</v>
      </c>
      <c r="U30" s="14">
        <f t="shared" si="14"/>
        <v>141.28000000000003</v>
      </c>
      <c r="V30" s="14">
        <f t="shared" si="14"/>
        <v>142.56000000000003</v>
      </c>
      <c r="W30" s="14">
        <f t="shared" si="14"/>
        <v>148.32000000000002</v>
      </c>
      <c r="X30" s="14">
        <f t="shared" si="14"/>
        <v>139.36000000000001</v>
      </c>
      <c r="Y30" s="14">
        <f t="shared" si="14"/>
        <v>140.96</v>
      </c>
      <c r="Z30" s="14">
        <f t="shared" si="14"/>
        <v>132.48000000000002</v>
      </c>
      <c r="AA30" s="14">
        <f t="shared" si="14"/>
        <v>137.92000000000002</v>
      </c>
      <c r="AB30" s="14">
        <f t="shared" si="14"/>
        <v>129.6</v>
      </c>
      <c r="AC30" s="14">
        <f t="shared" si="14"/>
        <v>134.88000000000002</v>
      </c>
      <c r="AD30" s="14">
        <f t="shared" si="14"/>
        <v>126.72000000000001</v>
      </c>
      <c r="AE30" s="14">
        <f t="shared" si="14"/>
        <v>131.84</v>
      </c>
      <c r="AF30" s="14">
        <f t="shared" si="14"/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A770-30DE-4133-AB74-E61497937F83}">
  <dimension ref="A1:AF35"/>
  <sheetViews>
    <sheetView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H9" sqref="H9"/>
    </sheetView>
  </sheetViews>
  <sheetFormatPr defaultRowHeight="11.25" x14ac:dyDescent="0.2"/>
  <cols>
    <col min="1" max="1" width="40.140625" style="3" customWidth="1"/>
    <col min="2" max="2" width="9.140625" style="3" hidden="1" customWidth="1"/>
    <col min="3" max="6" width="9.140625" style="3"/>
    <col min="7" max="32" width="9.140625" style="3" customWidth="1"/>
    <col min="33" max="16384" width="9.140625" style="3"/>
  </cols>
  <sheetData>
    <row r="1" spans="1:32" x14ac:dyDescent="0.2">
      <c r="B1" s="3">
        <v>2020</v>
      </c>
      <c r="C1" s="3">
        <v>2021</v>
      </c>
      <c r="D1" s="3">
        <v>2022</v>
      </c>
      <c r="E1" s="3">
        <v>2023</v>
      </c>
      <c r="F1" s="3">
        <v>2024</v>
      </c>
      <c r="G1" s="3">
        <v>2025</v>
      </c>
      <c r="H1" s="3">
        <v>2026</v>
      </c>
      <c r="I1" s="3">
        <v>2027</v>
      </c>
      <c r="J1" s="3">
        <v>2028</v>
      </c>
      <c r="K1" s="3">
        <v>2029</v>
      </c>
      <c r="L1" s="3">
        <v>2030</v>
      </c>
      <c r="M1" s="3">
        <v>2031</v>
      </c>
      <c r="N1" s="3">
        <v>2032</v>
      </c>
      <c r="O1" s="3">
        <v>2033</v>
      </c>
      <c r="P1" s="3">
        <v>2034</v>
      </c>
      <c r="Q1" s="3">
        <v>2035</v>
      </c>
      <c r="R1" s="3">
        <v>2036</v>
      </c>
      <c r="S1" s="3">
        <v>2037</v>
      </c>
      <c r="T1" s="3">
        <v>2038</v>
      </c>
      <c r="U1" s="3">
        <v>2039</v>
      </c>
      <c r="V1" s="3">
        <v>2040</v>
      </c>
      <c r="W1" s="3">
        <v>2041</v>
      </c>
      <c r="X1" s="3">
        <v>2042</v>
      </c>
      <c r="Y1" s="3">
        <v>2043</v>
      </c>
      <c r="Z1" s="3">
        <v>2044</v>
      </c>
      <c r="AA1" s="3">
        <v>2045</v>
      </c>
      <c r="AB1" s="3">
        <v>2046</v>
      </c>
      <c r="AC1" s="3">
        <v>2047</v>
      </c>
      <c r="AD1" s="3">
        <v>2048</v>
      </c>
      <c r="AE1" s="3">
        <v>2049</v>
      </c>
      <c r="AF1" s="3">
        <v>2050</v>
      </c>
    </row>
    <row r="2" spans="1:32" ht="15.75" x14ac:dyDescent="0.25">
      <c r="A2" s="17" t="s">
        <v>1</v>
      </c>
      <c r="G2" s="3" t="s">
        <v>102</v>
      </c>
    </row>
    <row r="3" spans="1:32" ht="12.75" x14ac:dyDescent="0.2">
      <c r="A3" s="16" t="s">
        <v>2</v>
      </c>
      <c r="B3" s="14"/>
      <c r="C3" s="14">
        <v>384.68333333333334</v>
      </c>
      <c r="D3" s="14">
        <v>562.48333333333335</v>
      </c>
      <c r="E3" s="14">
        <v>494.27500000000003</v>
      </c>
      <c r="F3" s="14">
        <v>441.63333333333333</v>
      </c>
      <c r="G3" s="14">
        <v>426.72499999999997</v>
      </c>
      <c r="H3" s="14">
        <v>428.3</v>
      </c>
      <c r="I3" s="14">
        <v>439</v>
      </c>
      <c r="J3" s="14">
        <v>450.9</v>
      </c>
      <c r="K3" s="14">
        <v>462.20000000000005</v>
      </c>
      <c r="L3" s="14">
        <v>473.9</v>
      </c>
      <c r="M3" s="14">
        <v>484.1</v>
      </c>
      <c r="N3" s="14">
        <v>495.40000000000003</v>
      </c>
      <c r="O3" s="14">
        <v>507.6</v>
      </c>
      <c r="P3" s="14">
        <v>518.20000000000005</v>
      </c>
      <c r="Q3" s="14">
        <v>529.29999999999995</v>
      </c>
      <c r="R3" s="14">
        <v>541</v>
      </c>
      <c r="S3" s="14">
        <v>552.90000000000009</v>
      </c>
      <c r="T3" s="14">
        <v>563.90000000000009</v>
      </c>
      <c r="U3" s="14">
        <v>575</v>
      </c>
      <c r="V3" s="14">
        <v>585.5</v>
      </c>
      <c r="W3" s="14">
        <v>597.29999999999995</v>
      </c>
      <c r="X3" s="14">
        <v>608.1</v>
      </c>
      <c r="Y3" s="14">
        <v>619.70000000000005</v>
      </c>
      <c r="Z3" s="14">
        <v>630.6</v>
      </c>
      <c r="AA3" s="14">
        <v>642.79999999999995</v>
      </c>
      <c r="AB3" s="14">
        <v>653.29999999999995</v>
      </c>
      <c r="AC3" s="14">
        <v>664.6</v>
      </c>
      <c r="AD3" s="14">
        <v>675.1</v>
      </c>
      <c r="AE3" s="14">
        <v>687.7</v>
      </c>
      <c r="AF3" s="14">
        <v>698</v>
      </c>
    </row>
    <row r="4" spans="1:32" x14ac:dyDescent="0.2">
      <c r="A4" s="3" t="s">
        <v>3</v>
      </c>
      <c r="B4" s="14">
        <v>-4.55</v>
      </c>
      <c r="C4" s="14">
        <v>-9.33</v>
      </c>
      <c r="D4" s="14">
        <v>-10.7</v>
      </c>
      <c r="E4" s="14">
        <v>-7.24</v>
      </c>
      <c r="F4" s="14">
        <v>-3.84</v>
      </c>
      <c r="G4" s="14">
        <v>91.839163586283533</v>
      </c>
      <c r="H4" s="14">
        <v>91.717007329880985</v>
      </c>
      <c r="I4" s="14">
        <v>75.00740822079905</v>
      </c>
      <c r="J4" s="14">
        <v>72.350620943886369</v>
      </c>
      <c r="K4" s="14">
        <v>73.160933131316128</v>
      </c>
      <c r="L4" s="14">
        <v>101.05405015822811</v>
      </c>
      <c r="M4" s="14">
        <v>94.959032544466268</v>
      </c>
      <c r="N4" s="14">
        <v>76.5462471891109</v>
      </c>
      <c r="O4" s="14">
        <v>104.89655770195617</v>
      </c>
      <c r="P4" s="14">
        <v>131.01262785834726</v>
      </c>
      <c r="Q4" s="14">
        <v>133.80709486006791</v>
      </c>
      <c r="R4" s="14">
        <v>142.81412621089945</v>
      </c>
      <c r="S4" s="14">
        <v>101.55331920635588</v>
      </c>
      <c r="T4" s="14">
        <v>107.2805323660774</v>
      </c>
      <c r="U4" s="14">
        <v>92.589189360380473</v>
      </c>
      <c r="V4" s="14">
        <v>80.803057690509931</v>
      </c>
      <c r="W4" s="14">
        <v>95.819228297529094</v>
      </c>
      <c r="X4" s="14">
        <v>115.77721168025141</v>
      </c>
      <c r="Y4" s="14">
        <v>113.00788062192356</v>
      </c>
      <c r="Z4" s="14">
        <v>124.89367749758436</v>
      </c>
      <c r="AA4" s="14">
        <v>124.27379339366126</v>
      </c>
      <c r="AB4" s="14">
        <v>119.79344068640474</v>
      </c>
      <c r="AC4" s="14">
        <v>118.2476644370375</v>
      </c>
      <c r="AD4" s="14">
        <v>113.52253370578335</v>
      </c>
      <c r="AE4" s="14">
        <v>148.66089543914055</v>
      </c>
      <c r="AF4" s="14">
        <v>134.59396480948081</v>
      </c>
    </row>
    <row r="5" spans="1:32" x14ac:dyDescent="0.2">
      <c r="A5" s="3" t="s">
        <v>4</v>
      </c>
      <c r="B5" s="14">
        <f>(B3*129.7/134.5)-B3</f>
        <v>0</v>
      </c>
      <c r="C5" s="14">
        <f>(C3*129.65/134.47)-C3</f>
        <v>-13.788753377457169</v>
      </c>
      <c r="D5" s="14">
        <f t="shared" ref="D5:AF5" si="0">(D3*129.65/134.47)-D3</f>
        <v>-20.161892367566452</v>
      </c>
      <c r="E5" s="14">
        <f t="shared" si="0"/>
        <v>-17.717003792667469</v>
      </c>
      <c r="F5" s="14">
        <f t="shared" si="0"/>
        <v>-15.830093453310553</v>
      </c>
      <c r="G5" s="14">
        <f t="shared" si="0"/>
        <v>-15.295712798393652</v>
      </c>
      <c r="H5" s="14">
        <f t="shared" si="0"/>
        <v>-15.352167769762787</v>
      </c>
      <c r="I5" s="14">
        <f t="shared" si="0"/>
        <v>-15.735703130809782</v>
      </c>
      <c r="J5" s="14">
        <f t="shared" si="0"/>
        <v>-16.162251803376193</v>
      </c>
      <c r="K5" s="14">
        <f t="shared" si="0"/>
        <v>-16.567293820182897</v>
      </c>
      <c r="L5" s="14">
        <f t="shared" si="0"/>
        <v>-16.986673607496073</v>
      </c>
      <c r="M5" s="14">
        <f t="shared" si="0"/>
        <v>-17.352286755410148</v>
      </c>
      <c r="N5" s="14">
        <f t="shared" si="0"/>
        <v>-17.757328772216795</v>
      </c>
      <c r="O5" s="14">
        <f t="shared" si="0"/>
        <v>-18.194630772663004</v>
      </c>
      <c r="P5" s="14">
        <f t="shared" si="0"/>
        <v>-18.574581691083495</v>
      </c>
      <c r="Q5" s="14">
        <f t="shared" si="0"/>
        <v>-18.972454822637019</v>
      </c>
      <c r="R5" s="14">
        <f t="shared" si="0"/>
        <v>-19.391834609950138</v>
      </c>
      <c r="S5" s="14">
        <f t="shared" si="0"/>
        <v>-19.818383282516493</v>
      </c>
      <c r="T5" s="14">
        <f t="shared" si="0"/>
        <v>-20.212671971443456</v>
      </c>
      <c r="U5" s="14">
        <f t="shared" si="0"/>
        <v>-20.61054510299698</v>
      </c>
      <c r="V5" s="14">
        <f t="shared" si="0"/>
        <v>-20.986911578790796</v>
      </c>
      <c r="W5" s="14">
        <f t="shared" si="0"/>
        <v>-21.40987580873059</v>
      </c>
      <c r="X5" s="14">
        <f t="shared" si="0"/>
        <v>-21.796995612404203</v>
      </c>
      <c r="Y5" s="14">
        <f t="shared" si="0"/>
        <v>-22.21279095709076</v>
      </c>
      <c r="Z5" s="14">
        <f t="shared" si="0"/>
        <v>-22.603495203391049</v>
      </c>
      <c r="AA5" s="14">
        <f t="shared" si="0"/>
        <v>-23.040797203837201</v>
      </c>
      <c r="AB5" s="14">
        <f t="shared" si="0"/>
        <v>-23.41716367963113</v>
      </c>
      <c r="AC5" s="14">
        <f t="shared" si="0"/>
        <v>-23.822205696437777</v>
      </c>
      <c r="AD5" s="14">
        <f t="shared" si="0"/>
        <v>-24.198572172231707</v>
      </c>
      <c r="AE5" s="14">
        <f t="shared" si="0"/>
        <v>-24.650211943184331</v>
      </c>
      <c r="AF5" s="14">
        <f t="shared" si="0"/>
        <v>-25.019409533725025</v>
      </c>
    </row>
    <row r="6" spans="1:32" x14ac:dyDescent="0.2">
      <c r="A6" s="3" t="s">
        <v>5</v>
      </c>
      <c r="B6" s="14"/>
      <c r="C6" s="14">
        <v>26</v>
      </c>
      <c r="D6" s="14">
        <v>32</v>
      </c>
      <c r="E6" s="14">
        <v>35</v>
      </c>
      <c r="F6" s="14">
        <v>35.840000000000003</v>
      </c>
      <c r="G6" s="14">
        <v>30</v>
      </c>
      <c r="H6" s="14">
        <v>31.430387926759373</v>
      </c>
      <c r="I6" s="14">
        <v>33.680448171665496</v>
      </c>
      <c r="J6" s="14">
        <v>34.901033237392973</v>
      </c>
      <c r="K6" s="14">
        <v>41.87126302953137</v>
      </c>
      <c r="L6" s="14">
        <v>45.18340264369607</v>
      </c>
      <c r="M6" s="14">
        <v>47.531854105551609</v>
      </c>
      <c r="N6" s="14">
        <v>46.468624542766023</v>
      </c>
      <c r="O6" s="14">
        <v>39.359546592312178</v>
      </c>
      <c r="P6" s="14">
        <v>37.341522675135081</v>
      </c>
      <c r="Q6" s="14">
        <v>41.566090938509376</v>
      </c>
      <c r="R6" s="14">
        <v>39.461321641089867</v>
      </c>
      <c r="S6" s="14">
        <v>39.461321641089867</v>
      </c>
      <c r="T6" s="14">
        <v>39.461321641089867</v>
      </c>
      <c r="U6" s="14">
        <v>36.642655809583452</v>
      </c>
      <c r="V6" s="14">
        <v>39.461321641089867</v>
      </c>
      <c r="W6" s="14">
        <v>39.461321641089867</v>
      </c>
      <c r="X6" s="14">
        <v>36.642655809583452</v>
      </c>
      <c r="Y6" s="14">
        <v>36.642655809583452</v>
      </c>
      <c r="Z6" s="14">
        <v>36.642655809583452</v>
      </c>
      <c r="AA6" s="14">
        <v>36.642655809583452</v>
      </c>
      <c r="AB6" s="14">
        <v>33.823989978077037</v>
      </c>
      <c r="AC6" s="14">
        <v>36.642655809583452</v>
      </c>
      <c r="AD6" s="14">
        <v>33.823989978077037</v>
      </c>
      <c r="AE6" s="14">
        <v>33.823989978077037</v>
      </c>
      <c r="AF6" s="14">
        <v>33.823989978077037</v>
      </c>
    </row>
    <row r="7" spans="1:32" x14ac:dyDescent="0.2">
      <c r="A7" s="3" t="s">
        <v>6</v>
      </c>
      <c r="B7" s="14">
        <f>B3+B4+B5+C6</f>
        <v>21.45</v>
      </c>
      <c r="C7" s="14">
        <f t="shared" ref="C7:AF7" si="1">C3+C4+C5+C6</f>
        <v>387.56457995587618</v>
      </c>
      <c r="D7" s="14">
        <f t="shared" si="1"/>
        <v>563.62144096576685</v>
      </c>
      <c r="E7" s="14">
        <f t="shared" si="1"/>
        <v>504.31799620733256</v>
      </c>
      <c r="F7" s="14">
        <f t="shared" si="1"/>
        <v>457.80323988002283</v>
      </c>
      <c r="G7" s="14">
        <f t="shared" si="1"/>
        <v>533.26845078788983</v>
      </c>
      <c r="H7" s="14">
        <f t="shared" si="1"/>
        <v>536.09522748687766</v>
      </c>
      <c r="I7" s="14">
        <f t="shared" si="1"/>
        <v>531.95215326165487</v>
      </c>
      <c r="J7" s="14">
        <f t="shared" si="1"/>
        <v>541.98940237790316</v>
      </c>
      <c r="K7" s="14">
        <f t="shared" si="1"/>
        <v>560.66490234066475</v>
      </c>
      <c r="L7" s="14">
        <f t="shared" si="1"/>
        <v>603.15077919442797</v>
      </c>
      <c r="M7" s="14">
        <f t="shared" si="1"/>
        <v>609.23859989460777</v>
      </c>
      <c r="N7" s="14">
        <f t="shared" si="1"/>
        <v>600.6575429596603</v>
      </c>
      <c r="O7" s="14">
        <f t="shared" si="1"/>
        <v>633.66147352160533</v>
      </c>
      <c r="P7" s="14">
        <f t="shared" si="1"/>
        <v>667.97956884239898</v>
      </c>
      <c r="Q7" s="14">
        <f t="shared" si="1"/>
        <v>685.70073097594013</v>
      </c>
      <c r="R7" s="14">
        <f t="shared" si="1"/>
        <v>703.88361324203913</v>
      </c>
      <c r="S7" s="14">
        <f t="shared" si="1"/>
        <v>674.09625756492937</v>
      </c>
      <c r="T7" s="14">
        <f t="shared" si="1"/>
        <v>690.4291820357239</v>
      </c>
      <c r="U7" s="14">
        <f t="shared" si="1"/>
        <v>683.62130006696691</v>
      </c>
      <c r="V7" s="14">
        <f t="shared" si="1"/>
        <v>684.777467752809</v>
      </c>
      <c r="W7" s="14">
        <f t="shared" si="1"/>
        <v>711.17067412988831</v>
      </c>
      <c r="X7" s="14">
        <f t="shared" si="1"/>
        <v>738.72287187743063</v>
      </c>
      <c r="Y7" s="14">
        <f t="shared" si="1"/>
        <v>747.13774547441619</v>
      </c>
      <c r="Z7" s="14">
        <f t="shared" si="1"/>
        <v>769.53283810377673</v>
      </c>
      <c r="AA7" s="14">
        <f t="shared" si="1"/>
        <v>780.67565199940736</v>
      </c>
      <c r="AB7" s="14">
        <f t="shared" si="1"/>
        <v>783.50026698485067</v>
      </c>
      <c r="AC7" s="14">
        <f t="shared" si="1"/>
        <v>795.66811455018319</v>
      </c>
      <c r="AD7" s="14">
        <f t="shared" si="1"/>
        <v>798.24795151162868</v>
      </c>
      <c r="AE7" s="14">
        <f t="shared" si="1"/>
        <v>845.5346734740333</v>
      </c>
      <c r="AF7" s="14">
        <f t="shared" si="1"/>
        <v>841.39854525383282</v>
      </c>
    </row>
    <row r="8" spans="1:32" x14ac:dyDescent="0.2">
      <c r="A8" s="3" t="s">
        <v>41</v>
      </c>
      <c r="B8" s="14">
        <v>100</v>
      </c>
      <c r="C8" s="14">
        <v>100</v>
      </c>
      <c r="D8" s="14">
        <v>100</v>
      </c>
      <c r="E8" s="14">
        <v>100</v>
      </c>
      <c r="F8" s="14">
        <v>100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</row>
    <row r="9" spans="1:32" x14ac:dyDescent="0.2">
      <c r="A9" s="3" t="s">
        <v>42</v>
      </c>
      <c r="B9" s="14"/>
      <c r="C9" s="14">
        <v>0</v>
      </c>
      <c r="D9" s="14">
        <v>0</v>
      </c>
      <c r="E9" s="14">
        <v>0</v>
      </c>
      <c r="F9" s="14">
        <v>0</v>
      </c>
      <c r="G9" s="14">
        <v>140</v>
      </c>
      <c r="H9" s="14">
        <f>G9*1.02</f>
        <v>142.80000000000001</v>
      </c>
      <c r="I9" s="14">
        <f>H9*1.02</f>
        <v>145.65600000000001</v>
      </c>
      <c r="J9" s="14">
        <f t="shared" ref="J9:AF9" si="2">I9*1.02</f>
        <v>148.56912</v>
      </c>
      <c r="K9" s="14">
        <f t="shared" si="2"/>
        <v>151.54050240000001</v>
      </c>
      <c r="L9" s="14">
        <f t="shared" si="2"/>
        <v>154.57131244800001</v>
      </c>
      <c r="M9" s="14">
        <f t="shared" si="2"/>
        <v>157.66273869696002</v>
      </c>
      <c r="N9" s="14">
        <f t="shared" si="2"/>
        <v>160.81599347089923</v>
      </c>
      <c r="O9" s="14">
        <f t="shared" si="2"/>
        <v>164.03231334031722</v>
      </c>
      <c r="P9" s="14">
        <f t="shared" si="2"/>
        <v>167.31295960712356</v>
      </c>
      <c r="Q9" s="14">
        <f t="shared" si="2"/>
        <v>170.65921879926603</v>
      </c>
      <c r="R9" s="14">
        <f t="shared" si="2"/>
        <v>174.07240317525134</v>
      </c>
      <c r="S9" s="14">
        <f t="shared" si="2"/>
        <v>177.55385123875638</v>
      </c>
      <c r="T9" s="14">
        <f t="shared" si="2"/>
        <v>181.10492826353152</v>
      </c>
      <c r="U9" s="14">
        <f t="shared" si="2"/>
        <v>184.72702682880217</v>
      </c>
      <c r="V9" s="14">
        <f t="shared" si="2"/>
        <v>188.42156736537822</v>
      </c>
      <c r="W9" s="14">
        <f t="shared" si="2"/>
        <v>192.18999871268579</v>
      </c>
      <c r="X9" s="14">
        <f t="shared" si="2"/>
        <v>196.03379868693952</v>
      </c>
      <c r="Y9" s="14">
        <f t="shared" si="2"/>
        <v>199.9544746606783</v>
      </c>
      <c r="Z9" s="14">
        <f t="shared" si="2"/>
        <v>203.95356415389188</v>
      </c>
      <c r="AA9" s="14">
        <f t="shared" si="2"/>
        <v>208.03263543696971</v>
      </c>
      <c r="AB9" s="14">
        <f t="shared" si="2"/>
        <v>212.19328814570912</v>
      </c>
      <c r="AC9" s="14">
        <f t="shared" si="2"/>
        <v>216.43715390862332</v>
      </c>
      <c r="AD9" s="14">
        <f t="shared" si="2"/>
        <v>220.76589698679578</v>
      </c>
      <c r="AE9" s="14">
        <f t="shared" si="2"/>
        <v>225.18121492653171</v>
      </c>
      <c r="AF9" s="14">
        <f t="shared" si="2"/>
        <v>229.68483922506235</v>
      </c>
    </row>
    <row r="10" spans="1:32" x14ac:dyDescent="0.2">
      <c r="A10" s="3" t="s">
        <v>7</v>
      </c>
      <c r="B10" s="14">
        <f>B28</f>
        <v>177.73874142495566</v>
      </c>
      <c r="C10" s="14">
        <v>151.72749257089498</v>
      </c>
      <c r="D10" s="14">
        <v>81.171990046722797</v>
      </c>
      <c r="E10" s="14">
        <v>57.300076109846387</v>
      </c>
      <c r="F10" s="14">
        <v>45.677310831799232</v>
      </c>
      <c r="G10" s="14">
        <v>54.455940259967683</v>
      </c>
      <c r="H10" s="14">
        <v>58.777948327397191</v>
      </c>
      <c r="I10" s="14">
        <v>57.383160406412351</v>
      </c>
      <c r="J10" s="14">
        <v>58.417826360505508</v>
      </c>
      <c r="K10" s="14">
        <v>65.82249089723058</v>
      </c>
      <c r="L10" s="14">
        <v>58.171765840164149</v>
      </c>
      <c r="M10" s="14">
        <v>53.117414837002329</v>
      </c>
      <c r="N10" s="14">
        <v>49.252905576067207</v>
      </c>
      <c r="O10" s="14">
        <v>48.903252706854673</v>
      </c>
      <c r="P10" s="14">
        <v>53.756182825205975</v>
      </c>
      <c r="Q10" s="14">
        <v>48.495833484619958</v>
      </c>
      <c r="R10" s="14">
        <v>49.46169262674708</v>
      </c>
      <c r="S10" s="14">
        <v>44.016440389142254</v>
      </c>
      <c r="T10" s="14">
        <v>37.562472493375026</v>
      </c>
      <c r="U10" s="14">
        <v>33.757977380396611</v>
      </c>
      <c r="V10" s="14">
        <v>31.333084186422923</v>
      </c>
      <c r="W10" s="14">
        <v>30.466377930579181</v>
      </c>
      <c r="X10" s="14">
        <v>28.420765992970786</v>
      </c>
      <c r="Y10" s="14">
        <v>24.86895357894149</v>
      </c>
      <c r="Z10" s="14">
        <v>21.491001463125396</v>
      </c>
      <c r="AA10" s="14">
        <v>18.161867300406037</v>
      </c>
      <c r="AB10" s="14">
        <v>14.878648536312733</v>
      </c>
      <c r="AC10" s="14">
        <v>11.644319061433796</v>
      </c>
      <c r="AD10" s="14">
        <v>8.4602962929844931</v>
      </c>
      <c r="AE10" s="14">
        <v>5.3271460372043871</v>
      </c>
      <c r="AF10" s="14">
        <v>2.2427519966492744</v>
      </c>
    </row>
    <row r="11" spans="1:32" x14ac:dyDescent="0.2">
      <c r="A11" s="3" t="s">
        <v>8</v>
      </c>
      <c r="B11" s="14">
        <f>B34</f>
        <v>108.38638594592543</v>
      </c>
      <c r="C11" s="14">
        <f t="shared" ref="C11:AF11" si="3">C34</f>
        <v>253.61128591302861</v>
      </c>
      <c r="D11" s="14">
        <f t="shared" si="3"/>
        <v>282.97605849428828</v>
      </c>
      <c r="E11" s="14">
        <f t="shared" si="3"/>
        <v>228.91778089358357</v>
      </c>
      <c r="F11" s="14">
        <f t="shared" si="3"/>
        <v>99.997132071532604</v>
      </c>
      <c r="G11" s="14">
        <f t="shared" si="3"/>
        <v>127.16175933884529</v>
      </c>
      <c r="H11" s="14">
        <f t="shared" si="3"/>
        <v>131.91909159643211</v>
      </c>
      <c r="I11" s="14">
        <f t="shared" si="3"/>
        <v>136.85068606028264</v>
      </c>
      <c r="J11" s="14">
        <f t="shared" si="3"/>
        <v>148.79238433411311</v>
      </c>
      <c r="K11" s="14">
        <f t="shared" si="3"/>
        <v>163.0130358459576</v>
      </c>
      <c r="L11" s="14">
        <f t="shared" si="3"/>
        <v>162.57706476577542</v>
      </c>
      <c r="M11" s="14">
        <f t="shared" si="3"/>
        <v>170.20870019611141</v>
      </c>
      <c r="N11" s="14">
        <f t="shared" si="3"/>
        <v>170.72184683571626</v>
      </c>
      <c r="O11" s="14">
        <f t="shared" si="3"/>
        <v>171.59219106135805</v>
      </c>
      <c r="P11" s="14">
        <f t="shared" si="3"/>
        <v>166.71771660650805</v>
      </c>
      <c r="Q11" s="14">
        <f t="shared" si="3"/>
        <v>166.00983855268618</v>
      </c>
      <c r="R11" s="14">
        <f t="shared" si="3"/>
        <v>158.27000000000001</v>
      </c>
      <c r="S11" s="14">
        <f t="shared" si="3"/>
        <v>157.93</v>
      </c>
      <c r="T11" s="14">
        <f t="shared" si="3"/>
        <v>154.87</v>
      </c>
      <c r="U11" s="14">
        <f t="shared" si="3"/>
        <v>150.11000000000001</v>
      </c>
      <c r="V11" s="14">
        <f t="shared" si="3"/>
        <v>151.47</v>
      </c>
      <c r="W11" s="14">
        <f t="shared" si="3"/>
        <v>157.59</v>
      </c>
      <c r="X11" s="14">
        <f t="shared" si="3"/>
        <v>148.07000000000002</v>
      </c>
      <c r="Y11" s="14">
        <f t="shared" si="3"/>
        <v>149.77000000000001</v>
      </c>
      <c r="Z11" s="14">
        <f t="shared" si="3"/>
        <v>140.76000000000002</v>
      </c>
      <c r="AA11" s="14">
        <f t="shared" si="3"/>
        <v>146.54</v>
      </c>
      <c r="AB11" s="14">
        <f t="shared" si="3"/>
        <v>137.69999999999999</v>
      </c>
      <c r="AC11" s="14">
        <f t="shared" si="3"/>
        <v>143.31</v>
      </c>
      <c r="AD11" s="14">
        <f t="shared" si="3"/>
        <v>134.64000000000001</v>
      </c>
      <c r="AE11" s="14">
        <f t="shared" si="3"/>
        <v>140.08000000000001</v>
      </c>
      <c r="AF11" s="14">
        <f t="shared" si="3"/>
        <v>131.75</v>
      </c>
    </row>
    <row r="12" spans="1:32" x14ac:dyDescent="0.2">
      <c r="A12" s="3" t="s">
        <v>9</v>
      </c>
      <c r="B12" s="14">
        <f>SUM(B7:B11)</f>
        <v>407.57512737088109</v>
      </c>
      <c r="C12" s="14">
        <f>SUM(C7:C11)</f>
        <v>892.90335843979972</v>
      </c>
      <c r="D12" s="14">
        <f>SUM(D7:D11)</f>
        <v>1027.769489506778</v>
      </c>
      <c r="E12" s="14">
        <f>SUM(E7:E11)</f>
        <v>890.53585321076241</v>
      </c>
      <c r="F12" s="14">
        <f>SUM(F7:F11)</f>
        <v>703.47768278335468</v>
      </c>
      <c r="G12" s="14">
        <f t="shared" ref="G12:AF12" si="4">SUM(G7:G11)</f>
        <v>854.88615038670275</v>
      </c>
      <c r="H12" s="14">
        <f t="shared" si="4"/>
        <v>869.59226741070711</v>
      </c>
      <c r="I12" s="14">
        <f t="shared" si="4"/>
        <v>871.84199972834995</v>
      </c>
      <c r="J12" s="14">
        <f t="shared" si="4"/>
        <v>897.76873307252174</v>
      </c>
      <c r="K12" s="14">
        <f t="shared" si="4"/>
        <v>941.040931483853</v>
      </c>
      <c r="L12" s="14">
        <f t="shared" si="4"/>
        <v>978.47092224836763</v>
      </c>
      <c r="M12" s="14">
        <f t="shared" si="4"/>
        <v>990.22745362468152</v>
      </c>
      <c r="N12" s="14">
        <f t="shared" si="4"/>
        <v>981.448288842343</v>
      </c>
      <c r="O12" s="14">
        <f t="shared" si="4"/>
        <v>1018.1892306301352</v>
      </c>
      <c r="P12" s="14">
        <f t="shared" si="4"/>
        <v>1055.7664278812365</v>
      </c>
      <c r="Q12" s="14">
        <f t="shared" si="4"/>
        <v>1070.8656218125122</v>
      </c>
      <c r="R12" s="14">
        <f t="shared" si="4"/>
        <v>1085.6877090440375</v>
      </c>
      <c r="S12" s="14">
        <f t="shared" si="4"/>
        <v>1053.596549192828</v>
      </c>
      <c r="T12" s="14">
        <f t="shared" si="4"/>
        <v>1063.9665827926306</v>
      </c>
      <c r="U12" s="14">
        <f t="shared" si="4"/>
        <v>1052.2163042761658</v>
      </c>
      <c r="V12" s="14">
        <f t="shared" si="4"/>
        <v>1056.0021193046102</v>
      </c>
      <c r="W12" s="14">
        <f t="shared" si="4"/>
        <v>1091.4170507731533</v>
      </c>
      <c r="X12" s="14">
        <f t="shared" si="4"/>
        <v>1111.247436557341</v>
      </c>
      <c r="Y12" s="14">
        <f t="shared" si="4"/>
        <v>1121.731173714036</v>
      </c>
      <c r="Z12" s="14">
        <f t="shared" si="4"/>
        <v>1135.737403720794</v>
      </c>
      <c r="AA12" s="14">
        <f t="shared" si="4"/>
        <v>1153.4101547367832</v>
      </c>
      <c r="AB12" s="14">
        <f t="shared" si="4"/>
        <v>1148.2722036668727</v>
      </c>
      <c r="AC12" s="14">
        <f t="shared" si="4"/>
        <v>1167.0595875202403</v>
      </c>
      <c r="AD12" s="14">
        <f t="shared" si="4"/>
        <v>1162.1141447914092</v>
      </c>
      <c r="AE12" s="14">
        <f t="shared" si="4"/>
        <v>1216.1230344377693</v>
      </c>
      <c r="AF12" s="14">
        <f t="shared" si="4"/>
        <v>1205.0761364755444</v>
      </c>
    </row>
    <row r="13" spans="1:32" x14ac:dyDescent="0.2">
      <c r="A13" s="3" t="s">
        <v>10</v>
      </c>
      <c r="B13" s="14"/>
      <c r="C13" s="14">
        <v>-50</v>
      </c>
      <c r="D13" s="14">
        <v>-50</v>
      </c>
      <c r="E13" s="14">
        <v>-50</v>
      </c>
      <c r="F13" s="14">
        <v>-50</v>
      </c>
      <c r="G13" s="14">
        <v>-50</v>
      </c>
      <c r="H13" s="14">
        <v>-50</v>
      </c>
      <c r="I13" s="14">
        <v>-50</v>
      </c>
      <c r="J13" s="14">
        <v>-50</v>
      </c>
      <c r="K13" s="14">
        <v>-50</v>
      </c>
      <c r="L13" s="14">
        <v>-50</v>
      </c>
      <c r="M13" s="14">
        <v>-50</v>
      </c>
      <c r="N13" s="14">
        <v>-50</v>
      </c>
      <c r="O13" s="14">
        <v>-50</v>
      </c>
      <c r="P13" s="14">
        <v>-50</v>
      </c>
      <c r="Q13" s="14">
        <v>-50</v>
      </c>
      <c r="R13" s="14">
        <v>-50</v>
      </c>
      <c r="S13" s="14">
        <v>-50</v>
      </c>
      <c r="T13" s="14">
        <v>-50</v>
      </c>
      <c r="U13" s="14">
        <v>-50</v>
      </c>
      <c r="V13" s="14">
        <v>-50</v>
      </c>
      <c r="W13" s="14">
        <v>-50</v>
      </c>
      <c r="X13" s="14">
        <v>-50</v>
      </c>
      <c r="Y13" s="14">
        <v>-50</v>
      </c>
      <c r="Z13" s="14">
        <v>-50</v>
      </c>
      <c r="AA13" s="14">
        <v>-50</v>
      </c>
      <c r="AB13" s="14">
        <v>-50</v>
      </c>
      <c r="AC13" s="14">
        <v>-50</v>
      </c>
      <c r="AD13" s="14">
        <v>-50</v>
      </c>
      <c r="AE13" s="14">
        <v>-50</v>
      </c>
      <c r="AF13" s="14">
        <v>-50</v>
      </c>
    </row>
    <row r="14" spans="1:32" x14ac:dyDescent="0.2">
      <c r="A14" s="3" t="s">
        <v>11</v>
      </c>
      <c r="B14" s="14"/>
      <c r="C14" s="14">
        <f>C12+C13</f>
        <v>842.90335843979972</v>
      </c>
      <c r="D14" s="14">
        <f>D12+D13</f>
        <v>977.76948950677797</v>
      </c>
      <c r="E14" s="14">
        <f>E12+E13</f>
        <v>840.53585321076241</v>
      </c>
      <c r="F14" s="14">
        <f>F12+F13</f>
        <v>653.47768278335468</v>
      </c>
      <c r="G14" s="14">
        <f t="shared" ref="G14:AF14" si="5">G12+G13</f>
        <v>804.88615038670275</v>
      </c>
      <c r="H14" s="14">
        <f t="shared" si="5"/>
        <v>819.59226741070711</v>
      </c>
      <c r="I14" s="14">
        <f t="shared" si="5"/>
        <v>821.84199972834995</v>
      </c>
      <c r="J14" s="14">
        <f t="shared" si="5"/>
        <v>847.76873307252174</v>
      </c>
      <c r="K14" s="14">
        <f t="shared" si="5"/>
        <v>891.040931483853</v>
      </c>
      <c r="L14" s="14">
        <f t="shared" si="5"/>
        <v>928.47092224836763</v>
      </c>
      <c r="M14" s="14">
        <f t="shared" si="5"/>
        <v>940.22745362468152</v>
      </c>
      <c r="N14" s="14">
        <f t="shared" si="5"/>
        <v>931.448288842343</v>
      </c>
      <c r="O14" s="14">
        <f t="shared" si="5"/>
        <v>968.18923063013517</v>
      </c>
      <c r="P14" s="14">
        <f t="shared" si="5"/>
        <v>1005.7664278812365</v>
      </c>
      <c r="Q14" s="14">
        <f t="shared" si="5"/>
        <v>1020.8656218125122</v>
      </c>
      <c r="R14" s="14">
        <f t="shared" si="5"/>
        <v>1035.6877090440375</v>
      </c>
      <c r="S14" s="14">
        <f t="shared" si="5"/>
        <v>1003.596549192828</v>
      </c>
      <c r="T14" s="14">
        <f t="shared" si="5"/>
        <v>1013.9665827926306</v>
      </c>
      <c r="U14" s="14">
        <f t="shared" si="5"/>
        <v>1002.2163042761658</v>
      </c>
      <c r="V14" s="14">
        <f t="shared" si="5"/>
        <v>1006.0021193046102</v>
      </c>
      <c r="W14" s="14">
        <f t="shared" si="5"/>
        <v>1041.4170507731533</v>
      </c>
      <c r="X14" s="14">
        <f t="shared" si="5"/>
        <v>1061.247436557341</v>
      </c>
      <c r="Y14" s="14">
        <f t="shared" si="5"/>
        <v>1071.731173714036</v>
      </c>
      <c r="Z14" s="14">
        <f t="shared" si="5"/>
        <v>1085.737403720794</v>
      </c>
      <c r="AA14" s="14">
        <f t="shared" si="5"/>
        <v>1103.4101547367832</v>
      </c>
      <c r="AB14" s="14">
        <f t="shared" si="5"/>
        <v>1098.2722036668727</v>
      </c>
      <c r="AC14" s="14">
        <f t="shared" si="5"/>
        <v>1117.0595875202403</v>
      </c>
      <c r="AD14" s="14">
        <f t="shared" si="5"/>
        <v>1112.1141447914092</v>
      </c>
      <c r="AE14" s="14">
        <f t="shared" si="5"/>
        <v>1166.1230344377693</v>
      </c>
      <c r="AF14" s="14">
        <f t="shared" si="5"/>
        <v>1155.0761364755444</v>
      </c>
    </row>
    <row r="15" spans="1:32" x14ac:dyDescent="0.2">
      <c r="B15" s="14"/>
    </row>
    <row r="16" spans="1:32" ht="12.75" x14ac:dyDescent="0.2">
      <c r="A16" s="16" t="s">
        <v>12</v>
      </c>
      <c r="B16" s="14">
        <v>157.9826086956522</v>
      </c>
      <c r="C16" s="14">
        <v>185.8</v>
      </c>
      <c r="D16" s="14">
        <v>337.40000000000003</v>
      </c>
      <c r="E16" s="14">
        <v>269.89999999999998</v>
      </c>
      <c r="F16" s="14">
        <v>310.70000000000005</v>
      </c>
      <c r="G16" s="14">
        <v>331.6</v>
      </c>
      <c r="H16" s="14">
        <v>427</v>
      </c>
      <c r="I16" s="14">
        <v>437.40000000000003</v>
      </c>
      <c r="J16" s="14">
        <v>449</v>
      </c>
      <c r="K16" s="14">
        <v>460</v>
      </c>
      <c r="L16" s="14">
        <v>471.40000000000003</v>
      </c>
      <c r="M16" s="14">
        <v>481.40000000000003</v>
      </c>
      <c r="N16" s="14">
        <v>492.40000000000003</v>
      </c>
      <c r="O16" s="14">
        <v>504.3</v>
      </c>
      <c r="P16" s="14">
        <v>514.6</v>
      </c>
      <c r="Q16" s="14">
        <v>525.4</v>
      </c>
      <c r="R16" s="14">
        <v>536.80000000000007</v>
      </c>
      <c r="S16" s="14">
        <v>548.4</v>
      </c>
      <c r="T16" s="14">
        <v>559.20000000000005</v>
      </c>
      <c r="U16" s="14">
        <v>570</v>
      </c>
      <c r="V16" s="14">
        <v>580.20000000000005</v>
      </c>
      <c r="W16" s="14">
        <v>591.70000000000005</v>
      </c>
      <c r="X16" s="14">
        <v>602.20000000000005</v>
      </c>
      <c r="Y16" s="14">
        <v>613.6</v>
      </c>
      <c r="Z16" s="14">
        <v>624.20000000000005</v>
      </c>
      <c r="AA16" s="14">
        <v>636.1</v>
      </c>
      <c r="AB16" s="14">
        <v>646.30000000000007</v>
      </c>
      <c r="AC16" s="14">
        <v>657.30000000000007</v>
      </c>
      <c r="AD16" s="14">
        <v>667.6</v>
      </c>
      <c r="AE16" s="14">
        <v>679.80000000000007</v>
      </c>
      <c r="AF16" s="14">
        <v>689.90000000000009</v>
      </c>
    </row>
    <row r="17" spans="1:32" x14ac:dyDescent="0.2">
      <c r="A17" s="3" t="s">
        <v>4</v>
      </c>
      <c r="B17" s="14"/>
      <c r="C17" s="14">
        <f>C16*126.4/142.2-C16</f>
        <v>-20.644444444444417</v>
      </c>
      <c r="D17" s="14">
        <f>D16*126.4/142.2-D16</f>
        <v>-37.488888888888823</v>
      </c>
      <c r="E17" s="14">
        <f>E16*126.4/142.2-E16</f>
        <v>-29.988888888888852</v>
      </c>
      <c r="F17" s="14">
        <f t="shared" ref="F17:AF17" si="6">F16*126.4/142.2-F16</f>
        <v>-34.522222222222183</v>
      </c>
      <c r="G17" s="14">
        <f t="shared" si="6"/>
        <v>-36.844444444444434</v>
      </c>
      <c r="H17" s="14">
        <f t="shared" si="6"/>
        <v>-47.4444444444444</v>
      </c>
      <c r="I17" s="14">
        <f t="shared" si="6"/>
        <v>-48.599999999999966</v>
      </c>
      <c r="J17" s="14">
        <f t="shared" si="6"/>
        <v>-49.8888888888888</v>
      </c>
      <c r="K17" s="14">
        <f t="shared" si="6"/>
        <v>-51.111111111111086</v>
      </c>
      <c r="L17" s="14">
        <f t="shared" si="6"/>
        <v>-52.377777777777737</v>
      </c>
      <c r="M17" s="14">
        <f t="shared" si="6"/>
        <v>-53.488888888888823</v>
      </c>
      <c r="N17" s="14">
        <f t="shared" si="6"/>
        <v>-54.711111111111052</v>
      </c>
      <c r="O17" s="14">
        <f t="shared" si="6"/>
        <v>-56.033333333333303</v>
      </c>
      <c r="P17" s="14">
        <f t="shared" si="6"/>
        <v>-57.177777777777749</v>
      </c>
      <c r="Q17" s="14">
        <f t="shared" si="6"/>
        <v>-58.377777777777737</v>
      </c>
      <c r="R17" s="14">
        <f t="shared" si="6"/>
        <v>-59.644444444444332</v>
      </c>
      <c r="S17" s="14">
        <f t="shared" si="6"/>
        <v>-60.93333333333328</v>
      </c>
      <c r="T17" s="14">
        <f t="shared" si="6"/>
        <v>-62.133333333333326</v>
      </c>
      <c r="U17" s="14">
        <f t="shared" si="6"/>
        <v>-63.333333333333314</v>
      </c>
      <c r="V17" s="14">
        <f t="shared" si="6"/>
        <v>-64.466666666666583</v>
      </c>
      <c r="W17" s="14">
        <f t="shared" si="6"/>
        <v>-65.744444444444412</v>
      </c>
      <c r="X17" s="14">
        <f t="shared" si="6"/>
        <v>-66.91111111111104</v>
      </c>
      <c r="Y17" s="14">
        <f t="shared" si="6"/>
        <v>-68.177777777777692</v>
      </c>
      <c r="Z17" s="14">
        <f t="shared" si="6"/>
        <v>-69.355555555555497</v>
      </c>
      <c r="AA17" s="14">
        <f t="shared" si="6"/>
        <v>-70.677777777777692</v>
      </c>
      <c r="AB17" s="14">
        <f t="shared" si="6"/>
        <v>-71.811111111111131</v>
      </c>
      <c r="AC17" s="14">
        <f t="shared" si="6"/>
        <v>-73.033333333333189</v>
      </c>
      <c r="AD17" s="14">
        <f t="shared" si="6"/>
        <v>-74.177777777777806</v>
      </c>
      <c r="AE17" s="14">
        <f t="shared" si="6"/>
        <v>-75.533333333333189</v>
      </c>
      <c r="AF17" s="14">
        <f t="shared" si="6"/>
        <v>-76.655555555555452</v>
      </c>
    </row>
    <row r="18" spans="1:32" x14ac:dyDescent="0.2">
      <c r="A18" s="3" t="s">
        <v>13</v>
      </c>
      <c r="B18" s="14"/>
      <c r="C18" s="14">
        <f>C16+C17</f>
        <v>165.15555555555559</v>
      </c>
      <c r="D18" s="14">
        <f t="shared" ref="D18:AF18" si="7">D16+D17</f>
        <v>299.91111111111121</v>
      </c>
      <c r="E18" s="14">
        <f t="shared" si="7"/>
        <v>239.91111111111113</v>
      </c>
      <c r="F18" s="14">
        <f t="shared" si="7"/>
        <v>276.17777777777786</v>
      </c>
      <c r="G18" s="14">
        <f t="shared" si="7"/>
        <v>294.75555555555559</v>
      </c>
      <c r="H18" s="14">
        <f t="shared" si="7"/>
        <v>379.5555555555556</v>
      </c>
      <c r="I18" s="14">
        <f t="shared" si="7"/>
        <v>388.80000000000007</v>
      </c>
      <c r="J18" s="14">
        <f t="shared" si="7"/>
        <v>399.1111111111112</v>
      </c>
      <c r="K18" s="14">
        <f t="shared" si="7"/>
        <v>408.88888888888891</v>
      </c>
      <c r="L18" s="14">
        <f t="shared" si="7"/>
        <v>419.0222222222223</v>
      </c>
      <c r="M18" s="14">
        <f t="shared" si="7"/>
        <v>427.91111111111121</v>
      </c>
      <c r="N18" s="14">
        <f t="shared" si="7"/>
        <v>437.68888888888898</v>
      </c>
      <c r="O18" s="14">
        <f t="shared" si="7"/>
        <v>448.26666666666671</v>
      </c>
      <c r="P18" s="14">
        <f t="shared" si="7"/>
        <v>457.42222222222227</v>
      </c>
      <c r="Q18" s="14">
        <f t="shared" si="7"/>
        <v>467.02222222222224</v>
      </c>
      <c r="R18" s="14">
        <f t="shared" si="7"/>
        <v>477.15555555555574</v>
      </c>
      <c r="S18" s="14">
        <f t="shared" si="7"/>
        <v>487.4666666666667</v>
      </c>
      <c r="T18" s="14">
        <f t="shared" si="7"/>
        <v>497.06666666666672</v>
      </c>
      <c r="U18" s="14">
        <f t="shared" si="7"/>
        <v>506.66666666666669</v>
      </c>
      <c r="V18" s="14">
        <f t="shared" si="7"/>
        <v>515.73333333333346</v>
      </c>
      <c r="W18" s="14">
        <f t="shared" si="7"/>
        <v>525.95555555555563</v>
      </c>
      <c r="X18" s="14">
        <f t="shared" si="7"/>
        <v>535.28888888888901</v>
      </c>
      <c r="Y18" s="14">
        <f t="shared" si="7"/>
        <v>545.42222222222233</v>
      </c>
      <c r="Z18" s="14">
        <f t="shared" si="7"/>
        <v>554.84444444444455</v>
      </c>
      <c r="AA18" s="14">
        <f t="shared" si="7"/>
        <v>565.42222222222233</v>
      </c>
      <c r="AB18" s="14">
        <f t="shared" si="7"/>
        <v>574.48888888888894</v>
      </c>
      <c r="AC18" s="14">
        <f t="shared" si="7"/>
        <v>584.26666666666688</v>
      </c>
      <c r="AD18" s="14">
        <f t="shared" si="7"/>
        <v>593.42222222222222</v>
      </c>
      <c r="AE18" s="14">
        <f t="shared" si="7"/>
        <v>604.26666666666688</v>
      </c>
      <c r="AF18" s="14">
        <f t="shared" si="7"/>
        <v>613.24444444444464</v>
      </c>
    </row>
    <row r="19" spans="1:32" x14ac:dyDescent="0.2">
      <c r="A19" s="3" t="s">
        <v>93</v>
      </c>
      <c r="B19" s="14"/>
      <c r="C19" s="14">
        <v>0</v>
      </c>
      <c r="D19" s="14">
        <v>0</v>
      </c>
      <c r="E19" s="14">
        <v>140</v>
      </c>
      <c r="F19" s="14">
        <v>140</v>
      </c>
      <c r="G19" s="3">
        <v>0</v>
      </c>
      <c r="H19" s="3">
        <v>0</v>
      </c>
      <c r="I19" s="3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</row>
    <row r="20" spans="1:32" x14ac:dyDescent="0.2">
      <c r="A20" s="3" t="s">
        <v>90</v>
      </c>
      <c r="B20" s="14"/>
      <c r="C20" s="14"/>
      <c r="D20" s="14"/>
      <c r="E20" s="14"/>
      <c r="F20" s="14"/>
      <c r="G20" s="14">
        <f>G9</f>
        <v>140</v>
      </c>
      <c r="H20" s="14">
        <f t="shared" ref="H20:AF20" si="8">H9</f>
        <v>142.80000000000001</v>
      </c>
      <c r="I20" s="14">
        <f t="shared" si="8"/>
        <v>145.65600000000001</v>
      </c>
      <c r="J20" s="14">
        <f t="shared" si="8"/>
        <v>148.56912</v>
      </c>
      <c r="K20" s="14">
        <f t="shared" si="8"/>
        <v>151.54050240000001</v>
      </c>
      <c r="L20" s="14">
        <f t="shared" si="8"/>
        <v>154.57131244800001</v>
      </c>
      <c r="M20" s="14">
        <f t="shared" si="8"/>
        <v>157.66273869696002</v>
      </c>
      <c r="N20" s="14">
        <f t="shared" si="8"/>
        <v>160.81599347089923</v>
      </c>
      <c r="O20" s="14">
        <f t="shared" si="8"/>
        <v>164.03231334031722</v>
      </c>
      <c r="P20" s="14">
        <f t="shared" si="8"/>
        <v>167.31295960712356</v>
      </c>
      <c r="Q20" s="14">
        <f t="shared" si="8"/>
        <v>170.65921879926603</v>
      </c>
      <c r="R20" s="14">
        <f t="shared" si="8"/>
        <v>174.07240317525134</v>
      </c>
      <c r="S20" s="14">
        <f t="shared" si="8"/>
        <v>177.55385123875638</v>
      </c>
      <c r="T20" s="14">
        <f t="shared" si="8"/>
        <v>181.10492826353152</v>
      </c>
      <c r="U20" s="14">
        <f t="shared" si="8"/>
        <v>184.72702682880217</v>
      </c>
      <c r="V20" s="14">
        <f t="shared" si="8"/>
        <v>188.42156736537822</v>
      </c>
      <c r="W20" s="14">
        <f t="shared" si="8"/>
        <v>192.18999871268579</v>
      </c>
      <c r="X20" s="14">
        <f t="shared" si="8"/>
        <v>196.03379868693952</v>
      </c>
      <c r="Y20" s="14">
        <f t="shared" si="8"/>
        <v>199.9544746606783</v>
      </c>
      <c r="Z20" s="14">
        <f t="shared" si="8"/>
        <v>203.95356415389188</v>
      </c>
      <c r="AA20" s="14">
        <f t="shared" si="8"/>
        <v>208.03263543696971</v>
      </c>
      <c r="AB20" s="14">
        <f t="shared" si="8"/>
        <v>212.19328814570912</v>
      </c>
      <c r="AC20" s="14">
        <f t="shared" si="8"/>
        <v>216.43715390862332</v>
      </c>
      <c r="AD20" s="14">
        <f t="shared" si="8"/>
        <v>220.76589698679578</v>
      </c>
      <c r="AE20" s="14">
        <f t="shared" si="8"/>
        <v>225.18121492653171</v>
      </c>
      <c r="AF20" s="14">
        <f t="shared" si="8"/>
        <v>229.68483922506235</v>
      </c>
    </row>
    <row r="21" spans="1:32" x14ac:dyDescent="0.2">
      <c r="A21" s="3" t="s">
        <v>14</v>
      </c>
      <c r="B21" s="14"/>
      <c r="C21" s="14">
        <v>127.7473762245877</v>
      </c>
      <c r="D21" s="14">
        <v>69.483948543938624</v>
      </c>
      <c r="E21" s="14">
        <v>49.921309540489325</v>
      </c>
      <c r="F21" s="14">
        <v>40.550195252761782</v>
      </c>
      <c r="G21" s="14">
        <v>49.324498431613137</v>
      </c>
      <c r="H21" s="14">
        <v>54.397951590448834</v>
      </c>
      <c r="I21" s="14">
        <v>54.350211795471928</v>
      </c>
      <c r="J21" s="14">
        <v>56.727411091747506</v>
      </c>
      <c r="K21" s="14">
        <v>65.664952003781281</v>
      </c>
      <c r="L21" s="14">
        <v>59.755947847704064</v>
      </c>
      <c r="M21" s="14">
        <v>56.256787195442449</v>
      </c>
      <c r="N21" s="14">
        <v>53.902402253630612</v>
      </c>
      <c r="O21" s="14">
        <v>55.441938183116612</v>
      </c>
      <c r="P21" s="14">
        <v>63.310767653860253</v>
      </c>
      <c r="Q21" s="14">
        <v>59.523770758587702</v>
      </c>
      <c r="R21" s="14">
        <v>63.50057546974984</v>
      </c>
      <c r="S21" s="14">
        <v>59.357042181764484</v>
      </c>
      <c r="T21" s="14">
        <v>53.466520869831811</v>
      </c>
      <c r="U21" s="14">
        <v>51.011276080374813</v>
      </c>
      <c r="V21" s="14">
        <v>50.607736780815237</v>
      </c>
      <c r="W21" s="14">
        <v>53.031158905075849</v>
      </c>
      <c r="X21" s="14">
        <v>53.855112789129542</v>
      </c>
      <c r="Y21" s="14">
        <v>51.954776114271283</v>
      </c>
      <c r="Z21" s="14">
        <v>50.312486603006192</v>
      </c>
      <c r="AA21" s="14">
        <v>48.691450647085368</v>
      </c>
      <c r="AB21" s="14">
        <v>47.082793579717716</v>
      </c>
      <c r="AC21" s="14">
        <v>45.492350667211873</v>
      </c>
      <c r="AD21" s="14">
        <v>43.924760086480028</v>
      </c>
      <c r="AE21" s="14">
        <v>42.387378270184499</v>
      </c>
      <c r="AF21" s="14">
        <v>40.877615608952304</v>
      </c>
    </row>
    <row r="22" spans="1:32" x14ac:dyDescent="0.2">
      <c r="A22" s="3" t="s">
        <v>15</v>
      </c>
      <c r="B22" s="14"/>
      <c r="C22" s="14">
        <f>C35</f>
        <v>238.69297497696812</v>
      </c>
      <c r="D22" s="14">
        <f t="shared" ref="D22:AF22" si="9">D35</f>
        <v>266.3304079946243</v>
      </c>
      <c r="E22" s="14">
        <f t="shared" si="9"/>
        <v>215.45202907631398</v>
      </c>
      <c r="F22" s="14">
        <f t="shared" si="9"/>
        <v>94.114947832030694</v>
      </c>
      <c r="G22" s="14">
        <f t="shared" si="9"/>
        <v>119.68165584832498</v>
      </c>
      <c r="H22" s="14">
        <f t="shared" si="9"/>
        <v>124.15914503193611</v>
      </c>
      <c r="I22" s="14">
        <f t="shared" si="9"/>
        <v>128.80064570379542</v>
      </c>
      <c r="J22" s="14">
        <f t="shared" si="9"/>
        <v>140.03989113798883</v>
      </c>
      <c r="K22" s="14">
        <f t="shared" si="9"/>
        <v>153.42403373737187</v>
      </c>
      <c r="L22" s="14">
        <f t="shared" si="9"/>
        <v>153.01370801484745</v>
      </c>
      <c r="M22" s="14">
        <f t="shared" si="9"/>
        <v>160.1964237139872</v>
      </c>
      <c r="N22" s="14">
        <f t="shared" si="9"/>
        <v>160.67938525714473</v>
      </c>
      <c r="O22" s="14">
        <f t="shared" si="9"/>
        <v>161.49853276363112</v>
      </c>
      <c r="P22" s="14">
        <f t="shared" si="9"/>
        <v>156.9107921002429</v>
      </c>
      <c r="Q22" s="14">
        <f t="shared" si="9"/>
        <v>156.24455393193995</v>
      </c>
      <c r="R22" s="14">
        <f t="shared" si="9"/>
        <v>148.96</v>
      </c>
      <c r="S22" s="14">
        <f t="shared" si="9"/>
        <v>148.64000000000001</v>
      </c>
      <c r="T22" s="14">
        <f t="shared" si="9"/>
        <v>145.76000000000002</v>
      </c>
      <c r="U22" s="14">
        <f t="shared" si="9"/>
        <v>141.28000000000003</v>
      </c>
      <c r="V22" s="14">
        <f t="shared" si="9"/>
        <v>142.56000000000003</v>
      </c>
      <c r="W22" s="14">
        <f t="shared" si="9"/>
        <v>148.32000000000002</v>
      </c>
      <c r="X22" s="14">
        <f t="shared" si="9"/>
        <v>139.36000000000001</v>
      </c>
      <c r="Y22" s="14">
        <f t="shared" si="9"/>
        <v>140.96</v>
      </c>
      <c r="Z22" s="14">
        <f t="shared" si="9"/>
        <v>132.48000000000002</v>
      </c>
      <c r="AA22" s="14">
        <f t="shared" si="9"/>
        <v>137.92000000000002</v>
      </c>
      <c r="AB22" s="14">
        <f t="shared" si="9"/>
        <v>129.6</v>
      </c>
      <c r="AC22" s="14">
        <f t="shared" si="9"/>
        <v>134.88000000000002</v>
      </c>
      <c r="AD22" s="14">
        <f t="shared" si="9"/>
        <v>126.72000000000001</v>
      </c>
      <c r="AE22" s="14">
        <f t="shared" si="9"/>
        <v>131.84</v>
      </c>
      <c r="AF22" s="14">
        <f t="shared" si="9"/>
        <v>124</v>
      </c>
    </row>
    <row r="23" spans="1:32" x14ac:dyDescent="0.2">
      <c r="A23" s="3" t="s">
        <v>16</v>
      </c>
      <c r="B23" s="14"/>
      <c r="C23" s="14">
        <v>250</v>
      </c>
      <c r="D23" s="14">
        <v>250</v>
      </c>
      <c r="E23" s="14">
        <v>250</v>
      </c>
      <c r="F23" s="14">
        <v>250</v>
      </c>
      <c r="G23" s="14">
        <v>250</v>
      </c>
      <c r="H23" s="14">
        <v>250</v>
      </c>
      <c r="I23" s="14">
        <v>250</v>
      </c>
      <c r="J23" s="14">
        <v>250</v>
      </c>
      <c r="K23" s="14">
        <v>250</v>
      </c>
      <c r="L23" s="14">
        <v>250</v>
      </c>
      <c r="M23" s="14">
        <v>250</v>
      </c>
      <c r="N23" s="14">
        <v>250</v>
      </c>
      <c r="O23" s="14">
        <v>250</v>
      </c>
      <c r="P23" s="14">
        <v>250</v>
      </c>
      <c r="Q23" s="14">
        <v>250</v>
      </c>
      <c r="R23" s="14">
        <v>250</v>
      </c>
      <c r="S23" s="14">
        <v>250</v>
      </c>
      <c r="T23" s="14">
        <v>250</v>
      </c>
      <c r="U23" s="14">
        <v>250</v>
      </c>
      <c r="V23" s="14">
        <v>250</v>
      </c>
      <c r="W23" s="14">
        <v>250</v>
      </c>
      <c r="X23" s="14">
        <v>250</v>
      </c>
      <c r="Y23" s="14">
        <v>250</v>
      </c>
      <c r="Z23" s="14">
        <v>250</v>
      </c>
      <c r="AA23" s="14">
        <v>250</v>
      </c>
      <c r="AB23" s="14">
        <v>250</v>
      </c>
      <c r="AC23" s="14">
        <v>250</v>
      </c>
      <c r="AD23" s="14">
        <v>250</v>
      </c>
      <c r="AE23" s="14">
        <v>250</v>
      </c>
      <c r="AF23" s="14">
        <v>250</v>
      </c>
    </row>
    <row r="24" spans="1:32" x14ac:dyDescent="0.2">
      <c r="A24" s="3" t="s">
        <v>17</v>
      </c>
      <c r="B24" s="14"/>
      <c r="C24" s="14">
        <f>SUM(C18:C23)</f>
        <v>781.59590675711138</v>
      </c>
      <c r="D24" s="14">
        <f t="shared" ref="D24:AF24" si="10">SUM(D18:D23)</f>
        <v>885.7254676496741</v>
      </c>
      <c r="E24" s="14">
        <f t="shared" si="10"/>
        <v>895.28444972791453</v>
      </c>
      <c r="F24" s="14">
        <f t="shared" si="10"/>
        <v>800.8429208625704</v>
      </c>
      <c r="G24" s="14">
        <f t="shared" si="10"/>
        <v>853.76170983549378</v>
      </c>
      <c r="H24" s="14">
        <f t="shared" si="10"/>
        <v>950.91265217794057</v>
      </c>
      <c r="I24" s="14">
        <f t="shared" si="10"/>
        <v>967.60685749926756</v>
      </c>
      <c r="J24" s="14">
        <f t="shared" si="10"/>
        <v>994.44753334084749</v>
      </c>
      <c r="K24" s="14">
        <f t="shared" si="10"/>
        <v>1029.5183770300421</v>
      </c>
      <c r="L24" s="14">
        <f t="shared" si="10"/>
        <v>1036.3631905327738</v>
      </c>
      <c r="M24" s="14">
        <f t="shared" si="10"/>
        <v>1052.0270607175009</v>
      </c>
      <c r="N24" s="14">
        <f t="shared" si="10"/>
        <v>1063.0866698705636</v>
      </c>
      <c r="O24" s="14">
        <f t="shared" si="10"/>
        <v>1079.2394509537316</v>
      </c>
      <c r="P24" s="14">
        <f t="shared" si="10"/>
        <v>1094.956741583449</v>
      </c>
      <c r="Q24" s="14">
        <f t="shared" si="10"/>
        <v>1103.449765712016</v>
      </c>
      <c r="R24" s="14">
        <f t="shared" si="10"/>
        <v>1113.6885342005571</v>
      </c>
      <c r="S24" s="14">
        <f t="shared" si="10"/>
        <v>1123.0175600871876</v>
      </c>
      <c r="T24" s="14">
        <f t="shared" si="10"/>
        <v>1127.3981158000302</v>
      </c>
      <c r="U24" s="14">
        <f t="shared" si="10"/>
        <v>1133.6849695758438</v>
      </c>
      <c r="V24" s="14">
        <f t="shared" si="10"/>
        <v>1147.322637479527</v>
      </c>
      <c r="W24" s="14">
        <f t="shared" si="10"/>
        <v>1169.4967131733174</v>
      </c>
      <c r="X24" s="14">
        <f t="shared" si="10"/>
        <v>1174.537800364958</v>
      </c>
      <c r="Y24" s="14">
        <f t="shared" si="10"/>
        <v>1188.2914729971719</v>
      </c>
      <c r="Z24" s="14">
        <f t="shared" si="10"/>
        <v>1191.5904952013425</v>
      </c>
      <c r="AA24" s="14">
        <f t="shared" si="10"/>
        <v>1210.0663083062775</v>
      </c>
      <c r="AB24" s="14">
        <f t="shared" si="10"/>
        <v>1213.3649706143158</v>
      </c>
      <c r="AC24" s="14">
        <f t="shared" si="10"/>
        <v>1231.0761712425019</v>
      </c>
      <c r="AD24" s="14">
        <f t="shared" si="10"/>
        <v>1234.8328792954981</v>
      </c>
      <c r="AE24" s="14">
        <f t="shared" si="10"/>
        <v>1253.6752598633832</v>
      </c>
      <c r="AF24" s="14">
        <f t="shared" si="10"/>
        <v>1257.8068992784592</v>
      </c>
    </row>
    <row r="25" spans="1:32" x14ac:dyDescent="0.2">
      <c r="A25" s="3" t="s">
        <v>10</v>
      </c>
      <c r="B25" s="14"/>
      <c r="C25" s="14">
        <v>-50</v>
      </c>
      <c r="D25" s="14">
        <v>-50</v>
      </c>
      <c r="E25" s="14">
        <v>-50</v>
      </c>
      <c r="F25" s="14">
        <v>-50</v>
      </c>
      <c r="G25" s="14">
        <v>-50</v>
      </c>
      <c r="H25" s="14">
        <v>-50</v>
      </c>
      <c r="I25" s="14">
        <v>-50</v>
      </c>
      <c r="J25" s="14">
        <v>-50</v>
      </c>
      <c r="K25" s="14">
        <v>-50</v>
      </c>
      <c r="L25" s="14">
        <v>-50</v>
      </c>
      <c r="M25" s="14">
        <v>-50</v>
      </c>
      <c r="N25" s="14">
        <v>-50</v>
      </c>
      <c r="O25" s="14">
        <v>-50</v>
      </c>
      <c r="P25" s="14">
        <v>-50</v>
      </c>
      <c r="Q25" s="14">
        <v>-50</v>
      </c>
      <c r="R25" s="14">
        <v>-50</v>
      </c>
      <c r="S25" s="14">
        <v>-50</v>
      </c>
      <c r="T25" s="14">
        <v>-50</v>
      </c>
      <c r="U25" s="14">
        <v>-50</v>
      </c>
      <c r="V25" s="14">
        <v>-50</v>
      </c>
      <c r="W25" s="14">
        <v>-50</v>
      </c>
      <c r="X25" s="14">
        <v>-50</v>
      </c>
      <c r="Y25" s="14">
        <v>-50</v>
      </c>
      <c r="Z25" s="14">
        <v>-50</v>
      </c>
      <c r="AA25" s="14">
        <v>-50</v>
      </c>
      <c r="AB25" s="14">
        <v>-50</v>
      </c>
      <c r="AC25" s="14">
        <v>-50</v>
      </c>
      <c r="AD25" s="14">
        <v>-50</v>
      </c>
      <c r="AE25" s="14">
        <v>-50</v>
      </c>
      <c r="AF25" s="14">
        <v>-50</v>
      </c>
    </row>
    <row r="26" spans="1:32" x14ac:dyDescent="0.2">
      <c r="A26" s="3" t="s">
        <v>18</v>
      </c>
      <c r="B26" s="14"/>
      <c r="C26" s="14">
        <f>C24+C25</f>
        <v>731.59590675711138</v>
      </c>
      <c r="D26" s="14">
        <f t="shared" ref="D26:AF26" si="11">D24+D25</f>
        <v>835.7254676496741</v>
      </c>
      <c r="E26" s="14">
        <f t="shared" si="11"/>
        <v>845.28444972791453</v>
      </c>
      <c r="F26" s="14">
        <f t="shared" si="11"/>
        <v>750.8429208625704</v>
      </c>
      <c r="G26" s="14">
        <f t="shared" si="11"/>
        <v>803.76170983549378</v>
      </c>
      <c r="H26" s="14">
        <f t="shared" si="11"/>
        <v>900.91265217794057</v>
      </c>
      <c r="I26" s="14">
        <f t="shared" si="11"/>
        <v>917.60685749926756</v>
      </c>
      <c r="J26" s="14">
        <f t="shared" si="11"/>
        <v>944.44753334084749</v>
      </c>
      <c r="K26" s="14">
        <f t="shared" si="11"/>
        <v>979.51837703004207</v>
      </c>
      <c r="L26" s="14">
        <f t="shared" si="11"/>
        <v>986.36319053277384</v>
      </c>
      <c r="M26" s="14">
        <f t="shared" si="11"/>
        <v>1002.0270607175009</v>
      </c>
      <c r="N26" s="14">
        <f t="shared" si="11"/>
        <v>1013.0866698705636</v>
      </c>
      <c r="O26" s="14">
        <f t="shared" si="11"/>
        <v>1029.2394509537316</v>
      </c>
      <c r="P26" s="14">
        <f t="shared" si="11"/>
        <v>1044.956741583449</v>
      </c>
      <c r="Q26" s="14">
        <f t="shared" si="11"/>
        <v>1053.449765712016</v>
      </c>
      <c r="R26" s="14">
        <f t="shared" si="11"/>
        <v>1063.6885342005571</v>
      </c>
      <c r="S26" s="14">
        <f t="shared" si="11"/>
        <v>1073.0175600871876</v>
      </c>
      <c r="T26" s="14">
        <f t="shared" si="11"/>
        <v>1077.3981158000302</v>
      </c>
      <c r="U26" s="14">
        <f t="shared" si="11"/>
        <v>1083.6849695758438</v>
      </c>
      <c r="V26" s="14">
        <f t="shared" si="11"/>
        <v>1097.322637479527</v>
      </c>
      <c r="W26" s="14">
        <f t="shared" si="11"/>
        <v>1119.4967131733174</v>
      </c>
      <c r="X26" s="14">
        <f t="shared" si="11"/>
        <v>1124.537800364958</v>
      </c>
      <c r="Y26" s="14">
        <f t="shared" si="11"/>
        <v>1138.2914729971719</v>
      </c>
      <c r="Z26" s="14">
        <f t="shared" si="11"/>
        <v>1141.5904952013425</v>
      </c>
      <c r="AA26" s="14">
        <f t="shared" si="11"/>
        <v>1160.0663083062775</v>
      </c>
      <c r="AB26" s="14">
        <f t="shared" si="11"/>
        <v>1163.3649706143158</v>
      </c>
      <c r="AC26" s="14">
        <f t="shared" si="11"/>
        <v>1181.0761712425019</v>
      </c>
      <c r="AD26" s="14">
        <f t="shared" si="11"/>
        <v>1184.8328792954981</v>
      </c>
      <c r="AE26" s="14">
        <f t="shared" si="11"/>
        <v>1203.6752598633832</v>
      </c>
      <c r="AF26" s="14">
        <f t="shared" si="11"/>
        <v>1207.8068992784592</v>
      </c>
    </row>
    <row r="27" spans="1:32" x14ac:dyDescent="0.2">
      <c r="A27" s="21" t="s">
        <v>101</v>
      </c>
      <c r="B27" s="14"/>
      <c r="C27" s="20">
        <f>C26-C14</f>
        <v>-111.30745168268834</v>
      </c>
      <c r="D27" s="20">
        <f t="shared" ref="D27:AF27" si="12">D26-D14</f>
        <v>-142.04402185710387</v>
      </c>
      <c r="E27" s="20">
        <f t="shared" si="12"/>
        <v>4.7485965171521229</v>
      </c>
      <c r="F27" s="20">
        <f t="shared" si="12"/>
        <v>97.365238079215715</v>
      </c>
      <c r="G27" s="20">
        <f t="shared" si="12"/>
        <v>-1.124440551208977</v>
      </c>
      <c r="H27" s="20">
        <f t="shared" si="12"/>
        <v>81.320384767233463</v>
      </c>
      <c r="I27" s="20">
        <f t="shared" si="12"/>
        <v>95.764857770917615</v>
      </c>
      <c r="J27" s="20">
        <f t="shared" si="12"/>
        <v>96.678800268325745</v>
      </c>
      <c r="K27" s="20">
        <f t="shared" si="12"/>
        <v>88.477445546189074</v>
      </c>
      <c r="L27" s="20">
        <f>L26-L14</f>
        <v>57.892268284406214</v>
      </c>
      <c r="M27" s="20">
        <f t="shared" si="12"/>
        <v>61.799607092819429</v>
      </c>
      <c r="N27" s="20">
        <f t="shared" si="12"/>
        <v>81.638381028220579</v>
      </c>
      <c r="O27" s="20">
        <f t="shared" si="12"/>
        <v>61.050220323596477</v>
      </c>
      <c r="P27" s="20">
        <f t="shared" si="12"/>
        <v>39.190313702212507</v>
      </c>
      <c r="Q27" s="20">
        <f t="shared" si="12"/>
        <v>32.584143899503715</v>
      </c>
      <c r="R27" s="20">
        <f t="shared" si="12"/>
        <v>28.000825156519568</v>
      </c>
      <c r="S27" s="20">
        <f t="shared" si="12"/>
        <v>69.421010894359597</v>
      </c>
      <c r="T27" s="20">
        <f t="shared" si="12"/>
        <v>63.431533007399594</v>
      </c>
      <c r="U27" s="20">
        <f t="shared" si="12"/>
        <v>81.468665299677923</v>
      </c>
      <c r="V27" s="20">
        <f t="shared" si="12"/>
        <v>91.320518174916742</v>
      </c>
      <c r="W27" s="20">
        <f t="shared" si="12"/>
        <v>78.079662400164125</v>
      </c>
      <c r="X27" s="20">
        <f t="shared" si="12"/>
        <v>63.290363807617041</v>
      </c>
      <c r="Y27" s="20">
        <f t="shared" si="12"/>
        <v>66.560299283135919</v>
      </c>
      <c r="Z27" s="20">
        <f t="shared" si="12"/>
        <v>55.853091480548528</v>
      </c>
      <c r="AA27" s="20">
        <f t="shared" si="12"/>
        <v>56.656153569494336</v>
      </c>
      <c r="AB27" s="20">
        <f t="shared" si="12"/>
        <v>65.092766947443124</v>
      </c>
      <c r="AC27" s="20">
        <f t="shared" si="12"/>
        <v>64.016583722261657</v>
      </c>
      <c r="AD27" s="20">
        <f t="shared" si="12"/>
        <v>72.718734504088843</v>
      </c>
      <c r="AE27" s="20">
        <f t="shared" si="12"/>
        <v>37.552225425613869</v>
      </c>
      <c r="AF27" s="20">
        <f t="shared" si="12"/>
        <v>52.730762802914796</v>
      </c>
    </row>
    <row r="28" spans="1:32" x14ac:dyDescent="0.2">
      <c r="A28" s="3" t="s">
        <v>20</v>
      </c>
      <c r="B28" s="14">
        <v>177.73874142495566</v>
      </c>
      <c r="C28" s="14"/>
      <c r="D28" s="14">
        <v>98.858071242417637</v>
      </c>
      <c r="E28" s="14">
        <v>72.666231630211897</v>
      </c>
      <c r="F28" s="14">
        <v>60.421359974375989</v>
      </c>
      <c r="G28" s="14">
        <v>75.275569527723746</v>
      </c>
      <c r="H28" s="14">
        <v>85.079045389989574</v>
      </c>
      <c r="I28" s="14">
        <v>87.168118221641322</v>
      </c>
      <c r="J28" s="14">
        <v>93.357076681605889</v>
      </c>
      <c r="K28" s="14">
        <v>110.96401084488123</v>
      </c>
      <c r="L28" s="14">
        <v>103.76153560417058</v>
      </c>
      <c r="M28" s="14">
        <v>100.34017311811138</v>
      </c>
      <c r="N28" s="14">
        <v>98.785139801577159</v>
      </c>
      <c r="O28" s="14">
        <v>104.43592969598859</v>
      </c>
      <c r="P28" s="14">
        <v>122.62173949609682</v>
      </c>
      <c r="Q28" s="14">
        <v>118.58103322940693</v>
      </c>
      <c r="R28" s="14">
        <v>130.16687806699275</v>
      </c>
      <c r="S28" s="14">
        <v>125.24581970901687</v>
      </c>
      <c r="T28" s="14">
        <v>116.17659272108121</v>
      </c>
      <c r="U28" s="14">
        <v>114.19158303999095</v>
      </c>
      <c r="V28" s="14">
        <v>116.76425699803815</v>
      </c>
      <c r="W28" s="14">
        <v>126.16884223973808</v>
      </c>
      <c r="X28" s="14">
        <v>132.18690729500537</v>
      </c>
      <c r="Y28" s="14">
        <v>131.62860276549745</v>
      </c>
      <c r="Z28" s="14">
        <v>131.64297166120053</v>
      </c>
      <c r="AA28" s="14">
        <v>131.64893515783768</v>
      </c>
      <c r="AB28" s="14">
        <v>131.62184174364683</v>
      </c>
      <c r="AC28" s="14">
        <v>131.5761840309938</v>
      </c>
      <c r="AD28" s="14">
        <v>131.52500602647467</v>
      </c>
      <c r="AE28" s="14">
        <v>131.49170631079724</v>
      </c>
      <c r="AF28" s="14">
        <v>131.47113637297912</v>
      </c>
    </row>
    <row r="29" spans="1:32" x14ac:dyDescent="0.2">
      <c r="A29" s="3" t="s">
        <v>24</v>
      </c>
      <c r="B29" s="14">
        <v>92.916250000000005</v>
      </c>
      <c r="C29" s="14">
        <v>91.660624999999996</v>
      </c>
      <c r="D29" s="14">
        <v>90.405000000000001</v>
      </c>
      <c r="E29" s="14">
        <v>89.149374999999992</v>
      </c>
      <c r="F29" s="14">
        <v>87.893749999999997</v>
      </c>
      <c r="G29" s="14">
        <v>86.638125000000002</v>
      </c>
      <c r="H29" s="14">
        <v>85.382499999999993</v>
      </c>
      <c r="I29" s="14">
        <v>84.126874999999998</v>
      </c>
      <c r="J29" s="14">
        <v>82.871250000000003</v>
      </c>
      <c r="K29" s="14">
        <v>81.615625000000009</v>
      </c>
      <c r="L29" s="14">
        <v>80.360000000000014</v>
      </c>
      <c r="M29" s="14">
        <f>L29*0.985</f>
        <v>79.154600000000016</v>
      </c>
      <c r="N29" s="14">
        <f t="shared" ref="N29:AF29" si="13">M29*0.985</f>
        <v>77.967281000000014</v>
      </c>
      <c r="O29" s="14">
        <f t="shared" si="13"/>
        <v>76.797771785000009</v>
      </c>
      <c r="P29" s="14">
        <f t="shared" si="13"/>
        <v>75.645805208225013</v>
      </c>
      <c r="Q29" s="14">
        <f t="shared" si="13"/>
        <v>74.511118130101636</v>
      </c>
      <c r="R29" s="14">
        <f t="shared" si="13"/>
        <v>73.393451358150116</v>
      </c>
      <c r="S29" s="14">
        <f t="shared" si="13"/>
        <v>72.29254958777787</v>
      </c>
      <c r="T29" s="14">
        <f t="shared" si="13"/>
        <v>71.208161343961194</v>
      </c>
      <c r="U29" s="14">
        <f t="shared" si="13"/>
        <v>70.140038923801782</v>
      </c>
      <c r="V29" s="14">
        <f t="shared" si="13"/>
        <v>69.087938339944756</v>
      </c>
      <c r="W29" s="14">
        <f t="shared" si="13"/>
        <v>68.051619264845584</v>
      </c>
      <c r="X29" s="14">
        <f t="shared" si="13"/>
        <v>67.030844975872895</v>
      </c>
      <c r="Y29" s="14">
        <f t="shared" si="13"/>
        <v>66.025382301234799</v>
      </c>
      <c r="Z29" s="14">
        <f t="shared" si="13"/>
        <v>65.035001566716275</v>
      </c>
      <c r="AA29" s="14">
        <f t="shared" si="13"/>
        <v>64.059476543215524</v>
      </c>
      <c r="AB29" s="14">
        <f t="shared" si="13"/>
        <v>63.098584395067292</v>
      </c>
      <c r="AC29" s="14">
        <f t="shared" si="13"/>
        <v>62.152105629141282</v>
      </c>
      <c r="AD29" s="14">
        <f t="shared" si="13"/>
        <v>61.219824044704161</v>
      </c>
      <c r="AE29" s="14">
        <f t="shared" si="13"/>
        <v>60.301526684033597</v>
      </c>
      <c r="AF29" s="14">
        <f t="shared" si="13"/>
        <v>59.397003783773094</v>
      </c>
    </row>
    <row r="30" spans="1:32" x14ac:dyDescent="0.2">
      <c r="A30" s="3" t="s">
        <v>23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</row>
    <row r="31" spans="1:32" x14ac:dyDescent="0.2">
      <c r="A31" s="3" t="s">
        <v>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</row>
    <row r="32" spans="1:32" x14ac:dyDescent="0.2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</row>
    <row r="33" spans="1:32" x14ac:dyDescent="0.2">
      <c r="A33" s="3" t="s">
        <v>19</v>
      </c>
      <c r="B33" s="14">
        <v>63.756697615250253</v>
      </c>
      <c r="C33" s="14">
        <v>149.18310936060507</v>
      </c>
      <c r="D33" s="14">
        <v>166.45650499664018</v>
      </c>
      <c r="E33" s="14">
        <v>134.65751817269623</v>
      </c>
      <c r="F33" s="14">
        <v>58.821842395019182</v>
      </c>
      <c r="G33" s="14">
        <v>74.80103490520311</v>
      </c>
      <c r="H33" s="14">
        <v>77.599465644960063</v>
      </c>
      <c r="I33" s="14">
        <v>80.500403564872144</v>
      </c>
      <c r="J33" s="14">
        <v>87.524931961243013</v>
      </c>
      <c r="K33" s="14">
        <v>95.890021085857413</v>
      </c>
      <c r="L33" s="14">
        <v>95.633567509279658</v>
      </c>
      <c r="M33" s="14">
        <v>100.122764821242</v>
      </c>
      <c r="N33" s="14">
        <v>100.42461578571545</v>
      </c>
      <c r="O33" s="14">
        <v>100.93658297726944</v>
      </c>
      <c r="P33" s="14">
        <v>98.069245062651802</v>
      </c>
      <c r="Q33" s="14">
        <v>97.65284620746246</v>
      </c>
      <c r="R33" s="14">
        <v>93.100000000000009</v>
      </c>
      <c r="S33" s="14">
        <v>92.9</v>
      </c>
      <c r="T33" s="14">
        <v>91.100000000000009</v>
      </c>
      <c r="U33" s="14">
        <v>88.300000000000011</v>
      </c>
      <c r="V33" s="14">
        <v>89.100000000000009</v>
      </c>
      <c r="W33" s="14">
        <v>92.7</v>
      </c>
      <c r="X33" s="14">
        <v>87.100000000000009</v>
      </c>
      <c r="Y33" s="14">
        <v>88.100000000000009</v>
      </c>
      <c r="Z33" s="14">
        <v>82.800000000000011</v>
      </c>
      <c r="AA33" s="14">
        <v>86.2</v>
      </c>
      <c r="AB33" s="14">
        <v>81</v>
      </c>
      <c r="AC33" s="14">
        <v>84.300000000000011</v>
      </c>
      <c r="AD33" s="14">
        <v>79.2</v>
      </c>
      <c r="AE33" s="14">
        <v>82.4</v>
      </c>
      <c r="AF33" s="14">
        <v>77.5</v>
      </c>
    </row>
    <row r="34" spans="1:32" x14ac:dyDescent="0.2">
      <c r="A34" s="3" t="s">
        <v>21</v>
      </c>
      <c r="B34" s="14">
        <f>B33*1.7</f>
        <v>108.38638594592543</v>
      </c>
      <c r="C34" s="14">
        <f t="shared" ref="C34:AF34" si="14">C33*1.7</f>
        <v>253.61128591302861</v>
      </c>
      <c r="D34" s="14">
        <f t="shared" si="14"/>
        <v>282.97605849428828</v>
      </c>
      <c r="E34" s="14">
        <f t="shared" si="14"/>
        <v>228.91778089358357</v>
      </c>
      <c r="F34" s="14">
        <f t="shared" si="14"/>
        <v>99.997132071532604</v>
      </c>
      <c r="G34" s="14">
        <f t="shared" si="14"/>
        <v>127.16175933884529</v>
      </c>
      <c r="H34" s="14">
        <f t="shared" si="14"/>
        <v>131.91909159643211</v>
      </c>
      <c r="I34" s="14">
        <f t="shared" si="14"/>
        <v>136.85068606028264</v>
      </c>
      <c r="J34" s="14">
        <f t="shared" si="14"/>
        <v>148.79238433411311</v>
      </c>
      <c r="K34" s="14">
        <f t="shared" si="14"/>
        <v>163.0130358459576</v>
      </c>
      <c r="L34" s="14">
        <f t="shared" si="14"/>
        <v>162.57706476577542</v>
      </c>
      <c r="M34" s="14">
        <f t="shared" si="14"/>
        <v>170.20870019611141</v>
      </c>
      <c r="N34" s="14">
        <f t="shared" si="14"/>
        <v>170.72184683571626</v>
      </c>
      <c r="O34" s="14">
        <f t="shared" si="14"/>
        <v>171.59219106135805</v>
      </c>
      <c r="P34" s="14">
        <f t="shared" si="14"/>
        <v>166.71771660650805</v>
      </c>
      <c r="Q34" s="14">
        <f t="shared" si="14"/>
        <v>166.00983855268618</v>
      </c>
      <c r="R34" s="14">
        <f t="shared" si="14"/>
        <v>158.27000000000001</v>
      </c>
      <c r="S34" s="14">
        <f t="shared" si="14"/>
        <v>157.93</v>
      </c>
      <c r="T34" s="14">
        <f t="shared" si="14"/>
        <v>154.87</v>
      </c>
      <c r="U34" s="14">
        <f t="shared" si="14"/>
        <v>150.11000000000001</v>
      </c>
      <c r="V34" s="14">
        <f t="shared" si="14"/>
        <v>151.47</v>
      </c>
      <c r="W34" s="14">
        <f t="shared" si="14"/>
        <v>157.59</v>
      </c>
      <c r="X34" s="14">
        <f t="shared" si="14"/>
        <v>148.07000000000002</v>
      </c>
      <c r="Y34" s="14">
        <f t="shared" si="14"/>
        <v>149.77000000000001</v>
      </c>
      <c r="Z34" s="14">
        <f t="shared" si="14"/>
        <v>140.76000000000002</v>
      </c>
      <c r="AA34" s="14">
        <f t="shared" si="14"/>
        <v>146.54</v>
      </c>
      <c r="AB34" s="14">
        <f t="shared" si="14"/>
        <v>137.69999999999999</v>
      </c>
      <c r="AC34" s="14">
        <f t="shared" si="14"/>
        <v>143.31</v>
      </c>
      <c r="AD34" s="14">
        <f t="shared" si="14"/>
        <v>134.64000000000001</v>
      </c>
      <c r="AE34" s="14">
        <f t="shared" si="14"/>
        <v>140.08000000000001</v>
      </c>
      <c r="AF34" s="14">
        <f t="shared" si="14"/>
        <v>131.75</v>
      </c>
    </row>
    <row r="35" spans="1:32" x14ac:dyDescent="0.2">
      <c r="A35" s="3" t="s">
        <v>22</v>
      </c>
      <c r="B35" s="14"/>
      <c r="C35" s="14">
        <f>C33*1.6</f>
        <v>238.69297497696812</v>
      </c>
      <c r="D35" s="14">
        <f t="shared" ref="D35:AF35" si="15">D33*1.6</f>
        <v>266.3304079946243</v>
      </c>
      <c r="E35" s="14">
        <f t="shared" si="15"/>
        <v>215.45202907631398</v>
      </c>
      <c r="F35" s="14">
        <f t="shared" si="15"/>
        <v>94.114947832030694</v>
      </c>
      <c r="G35" s="14">
        <f t="shared" si="15"/>
        <v>119.68165584832498</v>
      </c>
      <c r="H35" s="14">
        <f t="shared" si="15"/>
        <v>124.15914503193611</v>
      </c>
      <c r="I35" s="14">
        <f t="shared" si="15"/>
        <v>128.80064570379542</v>
      </c>
      <c r="J35" s="14">
        <f t="shared" si="15"/>
        <v>140.03989113798883</v>
      </c>
      <c r="K35" s="14">
        <f t="shared" si="15"/>
        <v>153.42403373737187</v>
      </c>
      <c r="L35" s="14">
        <f t="shared" si="15"/>
        <v>153.01370801484745</v>
      </c>
      <c r="M35" s="14">
        <f t="shared" si="15"/>
        <v>160.1964237139872</v>
      </c>
      <c r="N35" s="14">
        <f t="shared" si="15"/>
        <v>160.67938525714473</v>
      </c>
      <c r="O35" s="14">
        <f t="shared" si="15"/>
        <v>161.49853276363112</v>
      </c>
      <c r="P35" s="14">
        <f t="shared" si="15"/>
        <v>156.9107921002429</v>
      </c>
      <c r="Q35" s="14">
        <f t="shared" si="15"/>
        <v>156.24455393193995</v>
      </c>
      <c r="R35" s="14">
        <f t="shared" si="15"/>
        <v>148.96</v>
      </c>
      <c r="S35" s="14">
        <f t="shared" si="15"/>
        <v>148.64000000000001</v>
      </c>
      <c r="T35" s="14">
        <f t="shared" si="15"/>
        <v>145.76000000000002</v>
      </c>
      <c r="U35" s="14">
        <f t="shared" si="15"/>
        <v>141.28000000000003</v>
      </c>
      <c r="V35" s="14">
        <f t="shared" si="15"/>
        <v>142.56000000000003</v>
      </c>
      <c r="W35" s="14">
        <f t="shared" si="15"/>
        <v>148.32000000000002</v>
      </c>
      <c r="X35" s="14">
        <f t="shared" si="15"/>
        <v>139.36000000000001</v>
      </c>
      <c r="Y35" s="14">
        <f t="shared" si="15"/>
        <v>140.96</v>
      </c>
      <c r="Z35" s="14">
        <f t="shared" si="15"/>
        <v>132.48000000000002</v>
      </c>
      <c r="AA35" s="14">
        <f t="shared" si="15"/>
        <v>137.92000000000002</v>
      </c>
      <c r="AB35" s="14">
        <f t="shared" si="15"/>
        <v>129.6</v>
      </c>
      <c r="AC35" s="14">
        <f t="shared" si="15"/>
        <v>134.88000000000002</v>
      </c>
      <c r="AD35" s="14">
        <f t="shared" si="15"/>
        <v>126.72000000000001</v>
      </c>
      <c r="AE35" s="14">
        <f t="shared" si="15"/>
        <v>131.84</v>
      </c>
      <c r="AF35" s="14">
        <f t="shared" si="15"/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DE9D7-8CAE-4716-961E-DC30C9FFEC12}">
  <dimension ref="A1:AF30"/>
  <sheetViews>
    <sheetView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A21" sqref="A21"/>
    </sheetView>
  </sheetViews>
  <sheetFormatPr defaultRowHeight="11.25" x14ac:dyDescent="0.2"/>
  <cols>
    <col min="1" max="1" width="40.140625" style="3" customWidth="1"/>
    <col min="2" max="2" width="9.140625" style="3" hidden="1" customWidth="1"/>
    <col min="3" max="6" width="9.140625" style="3"/>
    <col min="7" max="32" width="9.140625" style="3" customWidth="1"/>
    <col min="33" max="16384" width="9.140625" style="3"/>
  </cols>
  <sheetData>
    <row r="1" spans="1:32" x14ac:dyDescent="0.2">
      <c r="B1" s="3">
        <v>2020</v>
      </c>
      <c r="C1" s="3">
        <v>2021</v>
      </c>
      <c r="D1" s="3">
        <v>2022</v>
      </c>
      <c r="E1" s="3">
        <v>2023</v>
      </c>
      <c r="F1" s="3">
        <v>2024</v>
      </c>
      <c r="G1" s="3">
        <v>2025</v>
      </c>
      <c r="H1" s="3">
        <v>2026</v>
      </c>
      <c r="I1" s="3">
        <v>2027</v>
      </c>
      <c r="J1" s="3">
        <v>2028</v>
      </c>
      <c r="K1" s="3">
        <v>2029</v>
      </c>
      <c r="L1" s="3">
        <v>2030</v>
      </c>
      <c r="M1" s="3">
        <v>2031</v>
      </c>
      <c r="N1" s="3">
        <v>2032</v>
      </c>
      <c r="O1" s="3">
        <v>2033</v>
      </c>
      <c r="P1" s="3">
        <v>2034</v>
      </c>
      <c r="Q1" s="3">
        <v>2035</v>
      </c>
      <c r="R1" s="3">
        <v>2036</v>
      </c>
      <c r="S1" s="3">
        <v>2037</v>
      </c>
      <c r="T1" s="3">
        <v>2038</v>
      </c>
      <c r="U1" s="3">
        <v>2039</v>
      </c>
      <c r="V1" s="3">
        <v>2040</v>
      </c>
      <c r="W1" s="3">
        <v>2041</v>
      </c>
      <c r="X1" s="3">
        <v>2042</v>
      </c>
      <c r="Y1" s="3">
        <v>2043</v>
      </c>
      <c r="Z1" s="3">
        <v>2044</v>
      </c>
      <c r="AA1" s="3">
        <v>2045</v>
      </c>
      <c r="AB1" s="3">
        <v>2046</v>
      </c>
      <c r="AC1" s="3">
        <v>2047</v>
      </c>
      <c r="AD1" s="3">
        <v>2048</v>
      </c>
      <c r="AE1" s="3">
        <v>2049</v>
      </c>
      <c r="AF1" s="3">
        <v>2050</v>
      </c>
    </row>
    <row r="2" spans="1:32" ht="15.75" x14ac:dyDescent="0.25">
      <c r="A2" s="17" t="s">
        <v>43</v>
      </c>
    </row>
    <row r="3" spans="1:32" ht="12.75" x14ac:dyDescent="0.2">
      <c r="A3" s="18" t="s">
        <v>2</v>
      </c>
      <c r="C3" s="14">
        <v>379.2</v>
      </c>
      <c r="D3" s="14">
        <v>511.8</v>
      </c>
      <c r="E3" s="14">
        <v>426.1</v>
      </c>
      <c r="F3" s="14">
        <v>450.5</v>
      </c>
      <c r="G3" s="14">
        <v>421.2</v>
      </c>
      <c r="H3" s="14">
        <v>428.4</v>
      </c>
      <c r="I3" s="14">
        <v>443.1</v>
      </c>
      <c r="J3" s="14">
        <v>459.90000000000003</v>
      </c>
      <c r="K3" s="14">
        <v>474.7</v>
      </c>
      <c r="L3" s="14">
        <v>490.40000000000003</v>
      </c>
      <c r="M3" s="14">
        <v>506.7</v>
      </c>
      <c r="N3" s="14">
        <v>521.29999999999995</v>
      </c>
      <c r="O3" s="14">
        <v>537.90000000000009</v>
      </c>
      <c r="P3" s="14">
        <v>553.5</v>
      </c>
      <c r="Q3" s="14">
        <v>518.90000000000009</v>
      </c>
      <c r="R3" s="14">
        <v>534.40000000000009</v>
      </c>
      <c r="S3" s="14">
        <v>550.5</v>
      </c>
      <c r="T3" s="14">
        <v>565.90000000000009</v>
      </c>
      <c r="U3" s="14">
        <v>581.6</v>
      </c>
      <c r="V3" s="14">
        <v>572.6</v>
      </c>
      <c r="W3" s="14">
        <v>588.70000000000005</v>
      </c>
      <c r="X3" s="14">
        <v>603.90000000000009</v>
      </c>
      <c r="Y3" s="14">
        <v>619.90000000000009</v>
      </c>
      <c r="Z3" s="14">
        <v>635.40000000000009</v>
      </c>
      <c r="AA3" s="14">
        <v>625.30000000000007</v>
      </c>
      <c r="AB3" s="14">
        <v>641.5</v>
      </c>
      <c r="AC3" s="14">
        <v>658</v>
      </c>
      <c r="AD3" s="14">
        <v>672.5</v>
      </c>
      <c r="AE3" s="14">
        <v>688.4</v>
      </c>
      <c r="AF3" s="14">
        <v>705.5</v>
      </c>
    </row>
    <row r="4" spans="1:32" x14ac:dyDescent="0.2">
      <c r="A4" s="3" t="s">
        <v>4</v>
      </c>
      <c r="B4" s="3">
        <f>(B3*129.7/134.5)-B3</f>
        <v>0</v>
      </c>
      <c r="C4" s="14">
        <f t="shared" ref="C4:AF4" si="0">(C3*129.65/134.47)-C3</f>
        <v>-13.592206440098153</v>
      </c>
      <c r="D4" s="14">
        <f t="shared" si="0"/>
        <v>-18.345177362980507</v>
      </c>
      <c r="E4" s="14">
        <f t="shared" si="0"/>
        <v>-15.27331003197736</v>
      </c>
      <c r="F4" s="14">
        <f t="shared" si="0"/>
        <v>-16.147914032869721</v>
      </c>
      <c r="G4" s="14">
        <f t="shared" si="0"/>
        <v>-15.097672343273587</v>
      </c>
      <c r="H4" s="14">
        <f t="shared" si="0"/>
        <v>-15.355752212389348</v>
      </c>
      <c r="I4" s="14">
        <f t="shared" si="0"/>
        <v>-15.882665278500724</v>
      </c>
      <c r="J4" s="14">
        <f t="shared" si="0"/>
        <v>-16.484851639770966</v>
      </c>
      <c r="K4" s="14">
        <f t="shared" si="0"/>
        <v>-17.015349148508903</v>
      </c>
      <c r="L4" s="14">
        <f t="shared" si="0"/>
        <v>-17.578106640886404</v>
      </c>
      <c r="M4" s="14">
        <f t="shared" si="0"/>
        <v>-18.162370789023555</v>
      </c>
      <c r="N4" s="14">
        <f t="shared" si="0"/>
        <v>-18.685699412508313</v>
      </c>
      <c r="O4" s="14">
        <f t="shared" si="0"/>
        <v>-19.280716888525262</v>
      </c>
      <c r="P4" s="14">
        <f t="shared" si="0"/>
        <v>-19.839889938276087</v>
      </c>
      <c r="Q4" s="14">
        <f t="shared" si="0"/>
        <v>-18.599672789469764</v>
      </c>
      <c r="R4" s="14">
        <f t="shared" si="0"/>
        <v>-19.155261396593914</v>
      </c>
      <c r="S4" s="14">
        <f t="shared" si="0"/>
        <v>-19.732356659478</v>
      </c>
      <c r="T4" s="14">
        <f t="shared" si="0"/>
        <v>-20.284360823975589</v>
      </c>
      <c r="U4" s="14">
        <f t="shared" si="0"/>
        <v>-20.84711831635309</v>
      </c>
      <c r="V4" s="14">
        <f t="shared" si="0"/>
        <v>-20.52451847995826</v>
      </c>
      <c r="W4" s="14">
        <f t="shared" si="0"/>
        <v>-21.101613742842233</v>
      </c>
      <c r="X4" s="14">
        <f t="shared" si="0"/>
        <v>-21.646449022086699</v>
      </c>
      <c r="Y4" s="14">
        <f t="shared" si="0"/>
        <v>-22.219959842343997</v>
      </c>
      <c r="Z4" s="14">
        <f t="shared" si="0"/>
        <v>-22.775548449468261</v>
      </c>
      <c r="AA4" s="14">
        <f t="shared" si="0"/>
        <v>-22.413519744180803</v>
      </c>
      <c r="AB4" s="14">
        <f t="shared" si="0"/>
        <v>-22.994199449691337</v>
      </c>
      <c r="AC4" s="14">
        <f t="shared" si="0"/>
        <v>-23.585632483081781</v>
      </c>
      <c r="AD4" s="14">
        <f t="shared" si="0"/>
        <v>-24.105376663939865</v>
      </c>
      <c r="AE4" s="14">
        <f t="shared" si="0"/>
        <v>-24.675303041570601</v>
      </c>
      <c r="AF4" s="14">
        <f t="shared" si="0"/>
        <v>-25.28824273072064</v>
      </c>
    </row>
    <row r="5" spans="1:32" x14ac:dyDescent="0.2">
      <c r="A5" s="3" t="s">
        <v>6</v>
      </c>
      <c r="B5" s="3" t="e">
        <f>B3+#REF!+B4+#REF!</f>
        <v>#REF!</v>
      </c>
      <c r="C5" s="14">
        <f t="shared" ref="C5:AF5" si="1">SUM(C3:C4)</f>
        <v>365.60779355990184</v>
      </c>
      <c r="D5" s="14">
        <f t="shared" si="1"/>
        <v>493.4548226370195</v>
      </c>
      <c r="E5" s="14">
        <f t="shared" si="1"/>
        <v>410.82668996802266</v>
      </c>
      <c r="F5" s="14">
        <f t="shared" si="1"/>
        <v>434.35208596713028</v>
      </c>
      <c r="G5" s="14">
        <f t="shared" si="1"/>
        <v>406.1023276567264</v>
      </c>
      <c r="H5" s="14">
        <f t="shared" si="1"/>
        <v>413.04424778761063</v>
      </c>
      <c r="I5" s="14">
        <f t="shared" si="1"/>
        <v>427.2173347214993</v>
      </c>
      <c r="J5" s="14">
        <f t="shared" si="1"/>
        <v>443.41514836022907</v>
      </c>
      <c r="K5" s="14">
        <f t="shared" si="1"/>
        <v>457.68465085149109</v>
      </c>
      <c r="L5" s="14">
        <f t="shared" si="1"/>
        <v>472.82189335911363</v>
      </c>
      <c r="M5" s="14">
        <f t="shared" si="1"/>
        <v>488.53762921097643</v>
      </c>
      <c r="N5" s="14">
        <f t="shared" si="1"/>
        <v>502.61430058749164</v>
      </c>
      <c r="O5" s="14">
        <f t="shared" si="1"/>
        <v>518.61928311147483</v>
      </c>
      <c r="P5" s="14">
        <f t="shared" si="1"/>
        <v>533.66011006172391</v>
      </c>
      <c r="Q5" s="14">
        <f t="shared" si="1"/>
        <v>500.30032721053033</v>
      </c>
      <c r="R5" s="14">
        <f t="shared" si="1"/>
        <v>515.24473860340618</v>
      </c>
      <c r="S5" s="14">
        <f t="shared" si="1"/>
        <v>530.767643340522</v>
      </c>
      <c r="T5" s="14">
        <f t="shared" si="1"/>
        <v>545.6156391760245</v>
      </c>
      <c r="U5" s="14">
        <f t="shared" si="1"/>
        <v>560.75288168364693</v>
      </c>
      <c r="V5" s="14">
        <f t="shared" si="1"/>
        <v>552.07548152004176</v>
      </c>
      <c r="W5" s="14">
        <f t="shared" si="1"/>
        <v>567.59838625715781</v>
      </c>
      <c r="X5" s="14">
        <f t="shared" si="1"/>
        <v>582.25355097791339</v>
      </c>
      <c r="Y5" s="14">
        <f t="shared" si="1"/>
        <v>597.68004015765609</v>
      </c>
      <c r="Z5" s="14">
        <f t="shared" si="1"/>
        <v>612.62445155053183</v>
      </c>
      <c r="AA5" s="14">
        <f t="shared" si="1"/>
        <v>602.88648025581927</v>
      </c>
      <c r="AB5" s="14">
        <f t="shared" si="1"/>
        <v>618.50580055030866</v>
      </c>
      <c r="AC5" s="14">
        <f t="shared" si="1"/>
        <v>634.41436751691822</v>
      </c>
      <c r="AD5" s="14">
        <f t="shared" si="1"/>
        <v>648.39462333606014</v>
      </c>
      <c r="AE5" s="14">
        <f t="shared" si="1"/>
        <v>663.72469695842938</v>
      </c>
      <c r="AF5" s="14">
        <f t="shared" si="1"/>
        <v>680.21175726927936</v>
      </c>
    </row>
    <row r="6" spans="1:32" x14ac:dyDescent="0.2">
      <c r="A6" s="3" t="s">
        <v>86</v>
      </c>
      <c r="B6" s="3">
        <f>B22</f>
        <v>0</v>
      </c>
      <c r="C6" s="14">
        <v>0</v>
      </c>
      <c r="D6" s="14">
        <f>(('Canada Fuel Prices'!D23-'CFR Example'!$B$6)*('CFR Example'!$B$9*1000)/1000000)*'Canada Fuel Prices'!D22/'CFR Example'!$B$3/'Canada Fuel Prices'!D27*100</f>
        <v>68.187520716135865</v>
      </c>
      <c r="E6" s="14">
        <f>(('Canada Fuel Prices'!E23-'CFR Example'!$B$6)*('CFR Example'!$B$9*1000)/1000000)*'Canada Fuel Prices'!E22/'CFR Example'!$B$3/'Canada Fuel Prices'!E27*100</f>
        <v>58.059832885880155</v>
      </c>
      <c r="F6" s="14">
        <f>(('Canada Fuel Prices'!F23-'CFR Example'!$B$6)*('CFR Example'!$B$9*1000)/1000000)*'Canada Fuel Prices'!F22/'CFR Example'!$B$3/'Canada Fuel Prices'!F27*100</f>
        <v>57.33083514958922</v>
      </c>
      <c r="G6" s="14">
        <f>(('Canada Fuel Prices'!G23-'CFR Example'!$B$6)*('CFR Example'!$B$9*1000)/1000000)*'Canada Fuel Prices'!G22/'CFR Example'!$B$3/'Canada Fuel Prices'!G27*100</f>
        <v>57.807019690939498</v>
      </c>
      <c r="H6" s="14">
        <f>(('Canada Fuel Prices'!H23-'CFR Example'!$B$6)*('CFR Example'!$B$9*1000)/1000000)*'Canada Fuel Prices'!H22/'CFR Example'!$B$3/'Canada Fuel Prices'!H27*100</f>
        <v>65.517166740604878</v>
      </c>
      <c r="I6" s="14">
        <f>(('Canada Fuel Prices'!I23-'CFR Example'!$B$6)*('CFR Example'!$B$9*1000)/1000000)*'Canada Fuel Prices'!I22/'CFR Example'!$B$3/'Canada Fuel Prices'!I27*100</f>
        <v>68.301853579320209</v>
      </c>
      <c r="J6" s="14">
        <f>(('Canada Fuel Prices'!J23-'CFR Example'!$B$6)*('CFR Example'!$B$9*1000)/1000000)*'Canada Fuel Prices'!J22/'CFR Example'!$B$3/'Canada Fuel Prices'!J27*100</f>
        <v>69.780965627372311</v>
      </c>
      <c r="K6" s="14">
        <f>(('Canada Fuel Prices'!K23-'CFR Example'!$B$6)*('CFR Example'!$B$9*1000)/1000000)*'Canada Fuel Prices'!K22/'CFR Example'!$B$3/'Canada Fuel Prices'!K27*100</f>
        <v>73.162774196299139</v>
      </c>
      <c r="L6" s="14">
        <f>(('Canada Fuel Prices'!L23-'CFR Example'!$B$6)*('CFR Example'!$B$9*1000)/1000000)*'Canada Fuel Prices'!L22/'CFR Example'!$B$3/'Canada Fuel Prices'!L27*100</f>
        <v>77.564152986121286</v>
      </c>
      <c r="M6" s="14">
        <f>(('Canada Fuel Prices'!M23-'CFR Example'!$B$6)*('CFR Example'!$B$9*1000)/1000000)*'Canada Fuel Prices'!M22/'CFR Example'!$B$3/'Canada Fuel Prices'!M27*100</f>
        <v>76.730764089728041</v>
      </c>
      <c r="N6" s="14">
        <f>(('Canada Fuel Prices'!N23-'CFR Example'!$B$6)*('CFR Example'!$B$9*1000)/1000000)*'Canada Fuel Prices'!N22/'CFR Example'!$B$3/'Canada Fuel Prices'!N27*100</f>
        <v>75.571422733347219</v>
      </c>
      <c r="O6" s="14">
        <f>(('Canada Fuel Prices'!O23-'CFR Example'!$B$6)*('CFR Example'!$B$9*1000)/1000000)*'Canada Fuel Prices'!O22/'CFR Example'!$B$3/'Canada Fuel Prices'!O27*100</f>
        <v>75.195398671916436</v>
      </c>
      <c r="P6" s="14">
        <f>(('Canada Fuel Prices'!P23-'CFR Example'!$B$6)*('CFR Example'!$B$9*1000)/1000000)*'Canada Fuel Prices'!P22/'CFR Example'!$B$3/'Canada Fuel Prices'!P27*100</f>
        <v>76.304094254266801</v>
      </c>
      <c r="Q6" s="14">
        <f>(('Canada Fuel Prices'!Q23-'CFR Example'!$B$6)*('CFR Example'!$B$9*1000)/1000000)*'Canada Fuel Prices'!Q22/'CFR Example'!$B$3/'Canada Fuel Prices'!Q27*100</f>
        <v>82.757868019906951</v>
      </c>
      <c r="R6" s="14">
        <f>(('Canada Fuel Prices'!R23-'CFR Example'!$B$6)*('CFR Example'!$B$9*1000)/1000000)*'Canada Fuel Prices'!R22/'CFR Example'!$B$3/'Canada Fuel Prices'!R27*100</f>
        <v>79.467090292717813</v>
      </c>
      <c r="S6" s="14">
        <f>(('Canada Fuel Prices'!S23-'CFR Example'!$B$6)*('CFR Example'!$B$9*1000)/1000000)*'Canada Fuel Prices'!S22/'CFR Example'!$B$3/'Canada Fuel Prices'!S27*100</f>
        <v>83.269184227005923</v>
      </c>
      <c r="T6" s="14">
        <f>(('Canada Fuel Prices'!T23-'CFR Example'!$B$6)*('CFR Example'!$B$9*1000)/1000000)*'Canada Fuel Prices'!T22/'CFR Example'!$B$3/'Canada Fuel Prices'!T27*100</f>
        <v>80.89036766419747</v>
      </c>
      <c r="U6" s="14">
        <f>(('Canada Fuel Prices'!U23-'CFR Example'!$B$6)*('CFR Example'!$B$9*1000)/1000000)*'Canada Fuel Prices'!U22/'CFR Example'!$B$3/'Canada Fuel Prices'!U27*100</f>
        <v>76.714288530559941</v>
      </c>
      <c r="V6" s="14">
        <f>(('Canada Fuel Prices'!V23-'CFR Example'!$B$6)*('CFR Example'!$B$9*1000)/1000000)*'Canada Fuel Prices'!V22/'CFR Example'!$B$3/'Canada Fuel Prices'!V27*100</f>
        <v>76.407507402126157</v>
      </c>
      <c r="W6" s="14">
        <f>(('Canada Fuel Prices'!W23-'CFR Example'!$B$6)*('CFR Example'!$B$9*1000)/1000000)*'Canada Fuel Prices'!W22/'CFR Example'!$B$3/'Canada Fuel Prices'!W27*100</f>
        <v>78.812705215063744</v>
      </c>
      <c r="X6" s="14">
        <f>(('Canada Fuel Prices'!X23-'CFR Example'!$B$6)*('CFR Example'!$B$9*1000)/1000000)*'Canada Fuel Prices'!X22/'CFR Example'!$B$3/'Canada Fuel Prices'!X27*100</f>
        <v>79.605957046932019</v>
      </c>
      <c r="Y6" s="14">
        <f>(('Canada Fuel Prices'!Y23-'CFR Example'!$B$6)*('CFR Example'!$B$9*1000)/1000000)*'Canada Fuel Prices'!Y22/'CFR Example'!$B$3/'Canada Fuel Prices'!Y27*100</f>
        <v>81.960824626811529</v>
      </c>
      <c r="Z6" s="14">
        <f>(('Canada Fuel Prices'!Z23-'CFR Example'!$B$6)*('CFR Example'!$B$9*1000)/1000000)*'Canada Fuel Prices'!Z22/'CFR Example'!$B$3/'Canada Fuel Prices'!Z27*100</f>
        <v>79.3227178416372</v>
      </c>
      <c r="AA6" s="14">
        <f>(('Canada Fuel Prices'!AA23-'CFR Example'!$B$6)*('CFR Example'!$B$9*1000)/1000000)*'Canada Fuel Prices'!AA22/'CFR Example'!$B$3/'Canada Fuel Prices'!AA27*100</f>
        <v>80.955770249851071</v>
      </c>
      <c r="AB6" s="14">
        <f>(('Canada Fuel Prices'!AB23-'CFR Example'!$B$6)*('CFR Example'!$B$9*1000)/1000000)*'Canada Fuel Prices'!AB22/'CFR Example'!$B$3/'Canada Fuel Prices'!AB27*100</f>
        <v>78.515698920784146</v>
      </c>
      <c r="AC6" s="14">
        <f>(('Canada Fuel Prices'!AC23-'CFR Example'!$B$6)*('CFR Example'!$B$9*1000)/1000000)*'Canada Fuel Prices'!AC22/'CFR Example'!$B$3/'Canada Fuel Prices'!AC27*100</f>
        <v>80.106940394395338</v>
      </c>
      <c r="AD6" s="14">
        <f>(('Canada Fuel Prices'!AD23-'CFR Example'!$B$6)*('CFR Example'!$B$9*1000)/1000000)*'Canada Fuel Prices'!AD22/'CFR Example'!$B$3/'Canada Fuel Prices'!AD27*100</f>
        <v>77.669949364399457</v>
      </c>
      <c r="AE6" s="14">
        <f>(('Canada Fuel Prices'!AE23-'CFR Example'!$B$6)*('CFR Example'!$B$9*1000)/1000000)*'Canada Fuel Prices'!AE22/'CFR Example'!$B$3/'Canada Fuel Prices'!AE27*100</f>
        <v>79.223940243304753</v>
      </c>
      <c r="AF6" s="14">
        <f>(('Canada Fuel Prices'!AF23-'CFR Example'!$B$6)*('CFR Example'!$B$9*1000)/1000000)*'Canada Fuel Prices'!AF22/'CFR Example'!$B$3/'Canada Fuel Prices'!AF27*100</f>
        <v>76.858325039460482</v>
      </c>
    </row>
    <row r="7" spans="1:32" x14ac:dyDescent="0.2">
      <c r="A7" s="3" t="s">
        <v>88</v>
      </c>
      <c r="C7" s="14">
        <v>0</v>
      </c>
      <c r="D7" s="14">
        <f>(('Canada Fuel Prices'!D23-'CFR Example'!$G$19)*('CFR Example'!$B$9*1000)/1000000)*'Canada Fuel Prices'!D22/'CFR Example'!$B$3/'Canada Fuel Prices'!D27*100</f>
        <v>-1.272528831475118</v>
      </c>
      <c r="E7" s="14">
        <f>(('Canada Fuel Prices'!E23-'CFR Example'!$G$19)*('CFR Example'!$B$9*1000)/1000000)*'Canada Fuel Prices'!E22/'CFR Example'!$B$3/'Canada Fuel Prices'!E27*100</f>
        <v>-2.0656292259453699</v>
      </c>
      <c r="F7" s="14">
        <f>(('Canada Fuel Prices'!F23-'CFR Example'!$G$19)*('CFR Example'!$B$9*1000)/1000000)*'Canada Fuel Prices'!F22/'CFR Example'!$B$3/'Canada Fuel Prices'!F27*100</f>
        <v>-3.7199912129358297</v>
      </c>
      <c r="G7" s="14">
        <f>(('Canada Fuel Prices'!G23-'CFR Example'!$G$19)*('CFR Example'!$B$9*1000)/1000000)*'Canada Fuel Prices'!G22/'CFR Example'!$B$3/'Canada Fuel Prices'!G27*100</f>
        <v>-5.5438379112211544</v>
      </c>
      <c r="H7" s="14">
        <f>(('Canada Fuel Prices'!H23-'CFR Example'!$G$19)*('CFR Example'!$B$9*1000)/1000000)*'Canada Fuel Prices'!H22/'CFR Example'!$B$3/'Canada Fuel Prices'!H27*100</f>
        <v>-8.4372731277347146</v>
      </c>
      <c r="I7" s="14">
        <f>(('Canada Fuel Prices'!I23-'CFR Example'!$G$19)*('CFR Example'!$B$9*1000)/1000000)*'Canada Fuel Prices'!I22/'CFR Example'!$B$3/'Canada Fuel Prices'!I27*100</f>
        <v>-11.180350033916639</v>
      </c>
      <c r="J7" s="14">
        <f>(('Canada Fuel Prices'!J23-'CFR Example'!$G$19)*('CFR Example'!$B$9*1000)/1000000)*'Canada Fuel Prices'!J22/'CFR Example'!$B$3/'Canada Fuel Prices'!J27*100</f>
        <v>-14.01406520159394</v>
      </c>
      <c r="K7" s="14">
        <f>(('Canada Fuel Prices'!K23-'CFR Example'!$G$19)*('CFR Example'!$B$9*1000)/1000000)*'Canada Fuel Prices'!K22/'CFR Example'!$B$3/'Canada Fuel Prices'!K27*100</f>
        <v>-17.589583419925276</v>
      </c>
      <c r="L7" s="14">
        <f>(('Canada Fuel Prices'!L23-'CFR Example'!$G$19)*('CFR Example'!$B$9*1000)/1000000)*'Canada Fuel Prices'!L22/'CFR Example'!$B$3/'Canada Fuel Prices'!L27*100</f>
        <v>-21.927701475986488</v>
      </c>
      <c r="M7" s="14">
        <f>(('Canada Fuel Prices'!M23-'CFR Example'!$G$19)*('CFR Example'!$B$9*1000)/1000000)*'Canada Fuel Prices'!M22/'CFR Example'!$B$3/'Canada Fuel Prices'!M27*100</f>
        <v>-21.692099045869281</v>
      </c>
      <c r="N7" s="14">
        <f>(('Canada Fuel Prices'!N23-'CFR Example'!$G$19)*('CFR Example'!$B$9*1000)/1000000)*'Canada Fuel Prices'!N22/'CFR Example'!$B$3/'Canada Fuel Prices'!N27*100</f>
        <v>-21.364348529776723</v>
      </c>
      <c r="O7" s="14">
        <f>(('Canada Fuel Prices'!O23-'CFR Example'!$G$19)*('CFR Example'!$B$9*1000)/1000000)*'Canada Fuel Prices'!O22/'CFR Example'!$B$3/'Canada Fuel Prices'!O27*100</f>
        <v>-21.258044998449332</v>
      </c>
      <c r="P7" s="14">
        <f>(('Canada Fuel Prices'!P23-'CFR Example'!$G$19)*('CFR Example'!$B$9*1000)/1000000)*'Canada Fuel Prices'!P22/'CFR Example'!$B$3/'Canada Fuel Prices'!P27*100</f>
        <v>-21.571477748264499</v>
      </c>
      <c r="Q7" s="14">
        <f>(('Canada Fuel Prices'!Q23-'CFR Example'!$G$19)*('CFR Example'!$B$9*1000)/1000000)*'Canada Fuel Prices'!Q22/'CFR Example'!$B$3/'Canada Fuel Prices'!Q27*100</f>
        <v>-23.395985837095584</v>
      </c>
      <c r="R7" s="14">
        <f>(('Canada Fuel Prices'!R23-'CFR Example'!$G$19)*('CFR Example'!$B$9*1000)/1000000)*'Canada Fuel Prices'!R22/'CFR Example'!$B$3/'Canada Fuel Prices'!R27*100</f>
        <v>-22.46566959115475</v>
      </c>
      <c r="S7" s="14">
        <f>(('Canada Fuel Prices'!S23-'CFR Example'!$G$19)*('CFR Example'!$B$9*1000)/1000000)*'Canada Fuel Prices'!S22/'CFR Example'!$B$3/'Canada Fuel Prices'!S27*100</f>
        <v>-23.540537008190121</v>
      </c>
      <c r="T7" s="14">
        <f>(('Canada Fuel Prices'!T23-'CFR Example'!$G$19)*('CFR Example'!$B$9*1000)/1000000)*'Canada Fuel Prices'!T22/'CFR Example'!$B$3/'Canada Fuel Prices'!T27*100</f>
        <v>-22.868035892053019</v>
      </c>
      <c r="U7" s="14">
        <f>(('Canada Fuel Prices'!U23-'CFR Example'!$G$19)*('CFR Example'!$B$9*1000)/1000000)*'Canada Fuel Prices'!U22/'CFR Example'!$B$3/'Canada Fuel Prices'!U27*100</f>
        <v>-21.687441338292011</v>
      </c>
      <c r="V7" s="14">
        <f>(('Canada Fuel Prices'!V23-'CFR Example'!$G$19)*('CFR Example'!$B$9*1000)/1000000)*'Canada Fuel Prices'!V22/'CFR Example'!$B$3/'Canada Fuel Prices'!V27*100</f>
        <v>-21.600713065710142</v>
      </c>
      <c r="W7" s="14">
        <f>(('Canada Fuel Prices'!W23-'CFR Example'!$G$19)*('CFR Example'!$B$9*1000)/1000000)*'Canada Fuel Prices'!W22/'CFR Example'!$B$3/'Canada Fuel Prices'!W27*100</f>
        <v>-22.280672268542251</v>
      </c>
      <c r="X7" s="14">
        <f>(('Canada Fuel Prices'!X23-'CFR Example'!$G$19)*('CFR Example'!$B$9*1000)/1000000)*'Canada Fuel Prices'!X22/'CFR Example'!$B$3/'Canada Fuel Prices'!X27*100</f>
        <v>-22.504927787294577</v>
      </c>
      <c r="Y7" s="14">
        <f>(('Canada Fuel Prices'!Y23-'CFR Example'!$G$19)*('CFR Example'!$B$9*1000)/1000000)*'Canada Fuel Prices'!Y22/'CFR Example'!$B$3/'Canada Fuel Prices'!Y27*100</f>
        <v>-23.170658428565371</v>
      </c>
      <c r="Z7" s="14">
        <f>(('Canada Fuel Prices'!Z23-'CFR Example'!$G$19)*('CFR Example'!$B$9*1000)/1000000)*'Canada Fuel Prices'!Z22/'CFR Example'!$B$3/'Canada Fuel Prices'!Z27*100</f>
        <v>-22.424854912121013</v>
      </c>
      <c r="AA7" s="14">
        <f>(('Canada Fuel Prices'!AA23-'CFR Example'!$G$19)*('CFR Example'!$B$9*1000)/1000000)*'Canada Fuel Prices'!AA22/'CFR Example'!$B$3/'Canada Fuel Prices'!AA27*100</f>
        <v>-22.886525468987173</v>
      </c>
      <c r="AB7" s="14">
        <f>(('Canada Fuel Prices'!AB23-'CFR Example'!$G$19)*('CFR Example'!$B$9*1000)/1000000)*'Canada Fuel Prices'!AB22/'CFR Example'!$B$3/'Canada Fuel Prices'!AB27*100</f>
        <v>-22.196707381326672</v>
      </c>
      <c r="AC7" s="14">
        <f>(('Canada Fuel Prices'!AC23-'CFR Example'!$G$19)*('CFR Example'!$B$9*1000)/1000000)*'Canada Fuel Prices'!AC22/'CFR Example'!$B$3/'Canada Fuel Prices'!AC27*100</f>
        <v>-22.646557816949922</v>
      </c>
      <c r="AD7" s="14">
        <f>(('Canada Fuel Prices'!AD23-'CFR Example'!$G$19)*('CFR Example'!$B$9*1000)/1000000)*'Canada Fuel Prices'!AD22/'CFR Example'!$B$3/'Canada Fuel Prices'!AD27*100</f>
        <v>-21.957610542363319</v>
      </c>
      <c r="AE7" s="14">
        <f>(('Canada Fuel Prices'!AE23-'CFR Example'!$G$19)*('CFR Example'!$B$9*1000)/1000000)*'Canada Fuel Prices'!AE22/'CFR Example'!$B$3/'Canada Fuel Prices'!AE27*100</f>
        <v>-22.396930083377814</v>
      </c>
      <c r="AF7" s="14">
        <f>(('Canada Fuel Prices'!AF23-'CFR Example'!$G$19)*('CFR Example'!$B$9*1000)/1000000)*'Canada Fuel Prices'!AF22/'CFR Example'!$B$3/'Canada Fuel Prices'!AF27*100</f>
        <v>-21.728161045105288</v>
      </c>
    </row>
    <row r="8" spans="1:32" x14ac:dyDescent="0.2">
      <c r="A8" s="3" t="s">
        <v>9</v>
      </c>
      <c r="B8" s="3" t="e">
        <f>SUM(B5:B6)</f>
        <v>#REF!</v>
      </c>
      <c r="C8" s="14">
        <f>SUM(C5:C6)</f>
        <v>365.60779355990184</v>
      </c>
      <c r="D8" s="14">
        <f>SUM(D5:D7)</f>
        <v>560.36981452168027</v>
      </c>
      <c r="E8" s="14">
        <f t="shared" ref="E8:AF8" si="2">SUM(E5:E7)</f>
        <v>466.82089362795745</v>
      </c>
      <c r="F8" s="14">
        <f t="shared" si="2"/>
        <v>487.96292990378367</v>
      </c>
      <c r="G8" s="14">
        <f t="shared" si="2"/>
        <v>458.36550943644477</v>
      </c>
      <c r="H8" s="14">
        <f t="shared" si="2"/>
        <v>470.12414140048077</v>
      </c>
      <c r="I8" s="14">
        <f t="shared" si="2"/>
        <v>484.33883826690288</v>
      </c>
      <c r="J8" s="14">
        <f t="shared" si="2"/>
        <v>499.18204878600744</v>
      </c>
      <c r="K8" s="14">
        <f t="shared" si="2"/>
        <v>513.25784162786499</v>
      </c>
      <c r="L8" s="14">
        <f t="shared" si="2"/>
        <v>528.45834486924844</v>
      </c>
      <c r="M8" s="14">
        <f t="shared" si="2"/>
        <v>543.57629425483515</v>
      </c>
      <c r="N8" s="14">
        <f t="shared" si="2"/>
        <v>556.82137479106211</v>
      </c>
      <c r="O8" s="14">
        <f t="shared" si="2"/>
        <v>572.55663678494193</v>
      </c>
      <c r="P8" s="14">
        <f t="shared" si="2"/>
        <v>588.39272656772619</v>
      </c>
      <c r="Q8" s="14">
        <f t="shared" si="2"/>
        <v>559.66220939334164</v>
      </c>
      <c r="R8" s="14">
        <f t="shared" si="2"/>
        <v>572.24615930496918</v>
      </c>
      <c r="S8" s="14">
        <f t="shared" si="2"/>
        <v>590.49629055933781</v>
      </c>
      <c r="T8" s="14">
        <f t="shared" si="2"/>
        <v>603.63797094816891</v>
      </c>
      <c r="U8" s="14">
        <f t="shared" si="2"/>
        <v>615.77972887591477</v>
      </c>
      <c r="V8" s="14">
        <f t="shared" si="2"/>
        <v>606.8822758564578</v>
      </c>
      <c r="W8" s="14">
        <f t="shared" si="2"/>
        <v>624.13041920367925</v>
      </c>
      <c r="X8" s="14">
        <f t="shared" si="2"/>
        <v>639.35458023755075</v>
      </c>
      <c r="Y8" s="14">
        <f t="shared" si="2"/>
        <v>656.47020635590218</v>
      </c>
      <c r="Z8" s="14">
        <f t="shared" si="2"/>
        <v>669.52231448004807</v>
      </c>
      <c r="AA8" s="14">
        <f t="shared" si="2"/>
        <v>660.95572503668313</v>
      </c>
      <c r="AB8" s="14">
        <f t="shared" si="2"/>
        <v>674.82479208976622</v>
      </c>
      <c r="AC8" s="14">
        <f t="shared" si="2"/>
        <v>691.87475009436366</v>
      </c>
      <c r="AD8" s="14">
        <f t="shared" si="2"/>
        <v>704.10696215809628</v>
      </c>
      <c r="AE8" s="14">
        <f t="shared" si="2"/>
        <v>720.55170711835626</v>
      </c>
      <c r="AF8" s="14">
        <f t="shared" si="2"/>
        <v>735.34192126363462</v>
      </c>
    </row>
    <row r="9" spans="1:32" x14ac:dyDescent="0.2">
      <c r="A9" s="3" t="s">
        <v>10</v>
      </c>
      <c r="C9" s="14">
        <v>-50</v>
      </c>
      <c r="D9" s="14">
        <v>-50</v>
      </c>
      <c r="E9" s="14">
        <v>-50</v>
      </c>
      <c r="F9" s="14">
        <v>-50</v>
      </c>
      <c r="G9" s="14">
        <v>-50</v>
      </c>
      <c r="H9" s="14">
        <v>-50</v>
      </c>
      <c r="I9" s="14">
        <v>-50</v>
      </c>
      <c r="J9" s="14">
        <v>-50</v>
      </c>
      <c r="K9" s="14">
        <v>-50</v>
      </c>
      <c r="L9" s="14">
        <v>-50</v>
      </c>
      <c r="M9" s="14">
        <v>-50</v>
      </c>
      <c r="N9" s="14">
        <v>-50</v>
      </c>
      <c r="O9" s="14">
        <v>-50</v>
      </c>
      <c r="P9" s="14">
        <v>-50</v>
      </c>
      <c r="Q9" s="14">
        <v>-50</v>
      </c>
      <c r="R9" s="14">
        <v>-50</v>
      </c>
      <c r="S9" s="14">
        <v>-50</v>
      </c>
      <c r="T9" s="14">
        <v>-50</v>
      </c>
      <c r="U9" s="14">
        <v>-50</v>
      </c>
      <c r="V9" s="14">
        <v>-50</v>
      </c>
      <c r="W9" s="14">
        <v>-50</v>
      </c>
      <c r="X9" s="14">
        <v>-50</v>
      </c>
      <c r="Y9" s="14">
        <v>-50</v>
      </c>
      <c r="Z9" s="14">
        <v>-50</v>
      </c>
      <c r="AA9" s="14">
        <v>-50</v>
      </c>
      <c r="AB9" s="14">
        <v>-50</v>
      </c>
      <c r="AC9" s="14">
        <v>-50</v>
      </c>
      <c r="AD9" s="14">
        <v>-50</v>
      </c>
      <c r="AE9" s="14">
        <v>-50</v>
      </c>
      <c r="AF9" s="14">
        <v>-50</v>
      </c>
    </row>
    <row r="10" spans="1:32" x14ac:dyDescent="0.2">
      <c r="A10" s="3" t="s">
        <v>11</v>
      </c>
      <c r="C10" s="14">
        <f>C8+C9</f>
        <v>315.60779355990184</v>
      </c>
      <c r="D10" s="14">
        <f t="shared" ref="D10:AF10" si="3">D8+D9</f>
        <v>510.36981452168027</v>
      </c>
      <c r="E10" s="14">
        <f t="shared" si="3"/>
        <v>416.82089362795745</v>
      </c>
      <c r="F10" s="14">
        <f t="shared" si="3"/>
        <v>437.96292990378367</v>
      </c>
      <c r="G10" s="14">
        <f t="shared" si="3"/>
        <v>408.36550943644477</v>
      </c>
      <c r="H10" s="14">
        <f t="shared" si="3"/>
        <v>420.12414140048077</v>
      </c>
      <c r="I10" s="14">
        <f t="shared" si="3"/>
        <v>434.33883826690288</v>
      </c>
      <c r="J10" s="14">
        <f t="shared" si="3"/>
        <v>449.18204878600744</v>
      </c>
      <c r="K10" s="14">
        <f t="shared" si="3"/>
        <v>463.25784162786499</v>
      </c>
      <c r="L10" s="14">
        <f t="shared" si="3"/>
        <v>478.45834486924844</v>
      </c>
      <c r="M10" s="14">
        <f t="shared" si="3"/>
        <v>493.57629425483515</v>
      </c>
      <c r="N10" s="14">
        <f t="shared" si="3"/>
        <v>506.82137479106211</v>
      </c>
      <c r="O10" s="14">
        <f t="shared" si="3"/>
        <v>522.55663678494193</v>
      </c>
      <c r="P10" s="14">
        <f t="shared" si="3"/>
        <v>538.39272656772619</v>
      </c>
      <c r="Q10" s="14">
        <f t="shared" si="3"/>
        <v>509.66220939334164</v>
      </c>
      <c r="R10" s="14">
        <f t="shared" si="3"/>
        <v>522.24615930496918</v>
      </c>
      <c r="S10" s="14">
        <f t="shared" si="3"/>
        <v>540.49629055933781</v>
      </c>
      <c r="T10" s="14">
        <f t="shared" si="3"/>
        <v>553.63797094816891</v>
      </c>
      <c r="U10" s="14">
        <f t="shared" si="3"/>
        <v>565.77972887591477</v>
      </c>
      <c r="V10" s="14">
        <f t="shared" si="3"/>
        <v>556.8822758564578</v>
      </c>
      <c r="W10" s="14">
        <f t="shared" si="3"/>
        <v>574.13041920367925</v>
      </c>
      <c r="X10" s="14">
        <f t="shared" si="3"/>
        <v>589.35458023755075</v>
      </c>
      <c r="Y10" s="14">
        <f t="shared" si="3"/>
        <v>606.47020635590218</v>
      </c>
      <c r="Z10" s="14">
        <f t="shared" si="3"/>
        <v>619.52231448004807</v>
      </c>
      <c r="AA10" s="14">
        <f t="shared" si="3"/>
        <v>610.95572503668313</v>
      </c>
      <c r="AB10" s="14">
        <f t="shared" si="3"/>
        <v>624.82479208976622</v>
      </c>
      <c r="AC10" s="14">
        <f t="shared" si="3"/>
        <v>641.87475009436366</v>
      </c>
      <c r="AD10" s="14">
        <f t="shared" si="3"/>
        <v>654.10696215809628</v>
      </c>
      <c r="AE10" s="14">
        <f t="shared" si="3"/>
        <v>670.55170711835626</v>
      </c>
      <c r="AF10" s="14">
        <f t="shared" si="3"/>
        <v>685.34192126363462</v>
      </c>
    </row>
    <row r="12" spans="1:32" ht="12.75" x14ac:dyDescent="0.2">
      <c r="A12" s="16" t="s">
        <v>12</v>
      </c>
      <c r="C12" s="14">
        <v>362.4</v>
      </c>
      <c r="D12" s="14">
        <v>378.6</v>
      </c>
      <c r="E12" s="14">
        <v>314.2</v>
      </c>
      <c r="F12" s="14">
        <v>312</v>
      </c>
      <c r="G12" s="14">
        <v>356.6</v>
      </c>
      <c r="H12" s="3">
        <v>427.1</v>
      </c>
      <c r="I12" s="3">
        <v>441.40000000000003</v>
      </c>
      <c r="J12" s="3">
        <v>457.8</v>
      </c>
      <c r="K12" s="3">
        <v>472.20000000000005</v>
      </c>
      <c r="L12" s="3">
        <v>487.5</v>
      </c>
      <c r="M12" s="3">
        <v>503.40000000000003</v>
      </c>
      <c r="N12" s="3">
        <v>517.6</v>
      </c>
      <c r="O12" s="3">
        <v>533.80000000000007</v>
      </c>
      <c r="P12" s="3">
        <v>549</v>
      </c>
      <c r="Q12" s="3">
        <v>515.30000000000007</v>
      </c>
      <c r="R12" s="3">
        <v>530.4</v>
      </c>
      <c r="S12" s="3">
        <v>546.1</v>
      </c>
      <c r="T12" s="3">
        <v>561.1</v>
      </c>
      <c r="U12" s="3">
        <v>576.4</v>
      </c>
      <c r="V12" s="3">
        <v>567.6</v>
      </c>
      <c r="W12" s="3">
        <v>583.30000000000007</v>
      </c>
      <c r="X12" s="3">
        <v>598.20000000000005</v>
      </c>
      <c r="Y12" s="3">
        <v>613.80000000000007</v>
      </c>
      <c r="Z12" s="3">
        <v>628.90000000000009</v>
      </c>
      <c r="AA12" s="3">
        <v>619</v>
      </c>
      <c r="AB12" s="3">
        <v>634.80000000000007</v>
      </c>
      <c r="AC12" s="3">
        <v>650.90000000000009</v>
      </c>
      <c r="AD12" s="3">
        <v>665</v>
      </c>
      <c r="AE12" s="3">
        <v>680.5</v>
      </c>
      <c r="AF12" s="3">
        <v>697.2</v>
      </c>
    </row>
    <row r="13" spans="1:32" x14ac:dyDescent="0.2">
      <c r="A13" s="3" t="s">
        <v>4</v>
      </c>
      <c r="C13" s="14">
        <f>C12*126.4/142.2-C12</f>
        <v>-40.266666666666595</v>
      </c>
      <c r="D13" s="14">
        <f>D12*126.4/142.2-D12</f>
        <v>-42.066666666666606</v>
      </c>
      <c r="E13" s="14">
        <f>E12*126.4/142.2-E12</f>
        <v>-34.911111111111097</v>
      </c>
      <c r="F13" s="14">
        <f t="shared" ref="F13:AF13" si="4">F12*126.4/142.2-F12</f>
        <v>-34.666666666666629</v>
      </c>
      <c r="G13" s="14">
        <f t="shared" si="4"/>
        <v>-39.622222222222206</v>
      </c>
      <c r="H13" s="14">
        <f t="shared" si="4"/>
        <v>-47.45555555555552</v>
      </c>
      <c r="I13" s="14">
        <f t="shared" si="4"/>
        <v>-49.044444444444423</v>
      </c>
      <c r="J13" s="14">
        <f t="shared" si="4"/>
        <v>-50.866666666666617</v>
      </c>
      <c r="K13" s="14">
        <f t="shared" si="4"/>
        <v>-52.46666666666664</v>
      </c>
      <c r="L13" s="14">
        <f t="shared" si="4"/>
        <v>-54.166666666666629</v>
      </c>
      <c r="M13" s="14">
        <f t="shared" si="4"/>
        <v>-55.93333333333328</v>
      </c>
      <c r="N13" s="14">
        <f t="shared" si="4"/>
        <v>-57.511111111111063</v>
      </c>
      <c r="O13" s="14">
        <f t="shared" si="4"/>
        <v>-59.311111111111074</v>
      </c>
      <c r="P13" s="14">
        <f t="shared" si="4"/>
        <v>-60.999999999999943</v>
      </c>
      <c r="Q13" s="14">
        <f t="shared" si="4"/>
        <v>-57.255555555555475</v>
      </c>
      <c r="R13" s="14">
        <f t="shared" si="4"/>
        <v>-58.93333333333328</v>
      </c>
      <c r="S13" s="14">
        <f t="shared" si="4"/>
        <v>-60.677777777777692</v>
      </c>
      <c r="T13" s="14">
        <f t="shared" si="4"/>
        <v>-62.344444444444377</v>
      </c>
      <c r="U13" s="14">
        <f t="shared" si="4"/>
        <v>-64.044444444444366</v>
      </c>
      <c r="V13" s="14">
        <f t="shared" si="4"/>
        <v>-63.066666666666663</v>
      </c>
      <c r="W13" s="14">
        <f t="shared" si="4"/>
        <v>-64.811111111111018</v>
      </c>
      <c r="X13" s="14">
        <f t="shared" si="4"/>
        <v>-66.466666666666583</v>
      </c>
      <c r="Y13" s="14">
        <f t="shared" si="4"/>
        <v>-68.199999999999932</v>
      </c>
      <c r="Z13" s="14">
        <f t="shared" si="4"/>
        <v>-69.877777777777624</v>
      </c>
      <c r="AA13" s="14">
        <f t="shared" si="4"/>
        <v>-68.777777777777715</v>
      </c>
      <c r="AB13" s="14">
        <f t="shared" si="4"/>
        <v>-70.533333333333189</v>
      </c>
      <c r="AC13" s="14">
        <f t="shared" si="4"/>
        <v>-72.322222222222194</v>
      </c>
      <c r="AD13" s="14">
        <f t="shared" si="4"/>
        <v>-73.8888888888888</v>
      </c>
      <c r="AE13" s="14">
        <f t="shared" si="4"/>
        <v>-75.611111111111086</v>
      </c>
      <c r="AF13" s="14">
        <f t="shared" si="4"/>
        <v>-77.466666666666583</v>
      </c>
    </row>
    <row r="14" spans="1:32" x14ac:dyDescent="0.2">
      <c r="A14" s="3" t="s">
        <v>13</v>
      </c>
      <c r="C14" s="14">
        <f>C12+C13</f>
        <v>322.13333333333338</v>
      </c>
      <c r="D14" s="14">
        <f t="shared" ref="D14:AF14" si="5">D12+D13</f>
        <v>336.53333333333342</v>
      </c>
      <c r="E14" s="14">
        <f t="shared" si="5"/>
        <v>279.28888888888889</v>
      </c>
      <c r="F14" s="14">
        <f t="shared" si="5"/>
        <v>277.33333333333337</v>
      </c>
      <c r="G14" s="14">
        <f t="shared" si="5"/>
        <v>316.97777777777782</v>
      </c>
      <c r="H14" s="14">
        <f t="shared" si="5"/>
        <v>379.6444444444445</v>
      </c>
      <c r="I14" s="14">
        <f t="shared" si="5"/>
        <v>392.35555555555561</v>
      </c>
      <c r="J14" s="14">
        <f t="shared" si="5"/>
        <v>406.93333333333339</v>
      </c>
      <c r="K14" s="14">
        <f t="shared" si="5"/>
        <v>419.73333333333341</v>
      </c>
      <c r="L14" s="14">
        <f t="shared" si="5"/>
        <v>433.33333333333337</v>
      </c>
      <c r="M14" s="14">
        <f t="shared" si="5"/>
        <v>447.46666666666675</v>
      </c>
      <c r="N14" s="14">
        <f t="shared" si="5"/>
        <v>460.08888888888896</v>
      </c>
      <c r="O14" s="14">
        <f t="shared" si="5"/>
        <v>474.48888888888899</v>
      </c>
      <c r="P14" s="14">
        <f t="shared" si="5"/>
        <v>488.00000000000006</v>
      </c>
      <c r="Q14" s="14">
        <f t="shared" si="5"/>
        <v>458.04444444444459</v>
      </c>
      <c r="R14" s="14">
        <f t="shared" si="5"/>
        <v>471.4666666666667</v>
      </c>
      <c r="S14" s="14">
        <f t="shared" si="5"/>
        <v>485.42222222222233</v>
      </c>
      <c r="T14" s="14">
        <f t="shared" si="5"/>
        <v>498.75555555555565</v>
      </c>
      <c r="U14" s="14">
        <f t="shared" si="5"/>
        <v>512.35555555555561</v>
      </c>
      <c r="V14" s="14">
        <f t="shared" si="5"/>
        <v>504.53333333333336</v>
      </c>
      <c r="W14" s="14">
        <f t="shared" si="5"/>
        <v>518.48888888888905</v>
      </c>
      <c r="X14" s="14">
        <f t="shared" si="5"/>
        <v>531.73333333333346</v>
      </c>
      <c r="Y14" s="14">
        <f t="shared" si="5"/>
        <v>545.60000000000014</v>
      </c>
      <c r="Z14" s="14">
        <f t="shared" si="5"/>
        <v>559.02222222222247</v>
      </c>
      <c r="AA14" s="14">
        <f t="shared" si="5"/>
        <v>550.22222222222229</v>
      </c>
      <c r="AB14" s="14">
        <f t="shared" si="5"/>
        <v>564.26666666666688</v>
      </c>
      <c r="AC14" s="14">
        <f t="shared" si="5"/>
        <v>578.5777777777779</v>
      </c>
      <c r="AD14" s="14">
        <f t="shared" si="5"/>
        <v>591.1111111111112</v>
      </c>
      <c r="AE14" s="14">
        <f t="shared" si="5"/>
        <v>604.88888888888891</v>
      </c>
      <c r="AF14" s="14">
        <f t="shared" si="5"/>
        <v>619.73333333333346</v>
      </c>
    </row>
    <row r="15" spans="1:32" x14ac:dyDescent="0.2">
      <c r="A15" s="3" t="s">
        <v>85</v>
      </c>
      <c r="C15" s="14">
        <v>0</v>
      </c>
      <c r="D15" s="14">
        <f>(('Canada Fuel Prices'!D22-'CFR Example'!$B$6)*('CFR Example'!$B$9*1000)/1000000)*'Canada Fuel Prices'!D24/'CFR Example'!$B$3/'Canada Fuel Prices'!D27*100</f>
        <v>83.239085299568188</v>
      </c>
      <c r="E15" s="14">
        <f>(('Canada Fuel Prices'!E22-'CFR Example'!$B$6)*('CFR Example'!$B$9*1000)/1000000)*'Canada Fuel Prices'!E24/'CFR Example'!$B$3/'Canada Fuel Prices'!E27*100</f>
        <v>69.363166869841962</v>
      </c>
      <c r="F15" s="14">
        <f>(('Canada Fuel Prices'!F22-'CFR Example'!$B$6)*('CFR Example'!$B$9*1000)/1000000)*'Canada Fuel Prices'!F24/'CFR Example'!$B$3/'Canada Fuel Prices'!F27*100</f>
        <v>71.015533747071316</v>
      </c>
      <c r="G15" s="14">
        <f>(('Canada Fuel Prices'!G22-'CFR Example'!$B$6)*('CFR Example'!$B$9*1000)/1000000)*'Canada Fuel Prices'!G24/'CFR Example'!$B$3/'Canada Fuel Prices'!G27*100</f>
        <v>75.020374044617228</v>
      </c>
      <c r="H15" s="14">
        <f>(('Canada Fuel Prices'!H22-'CFR Example'!$B$6)*('CFR Example'!$B$9*1000)/1000000)*'Canada Fuel Prices'!H24/'CFR Example'!$B$3/'Canada Fuel Prices'!H27*100</f>
        <v>91.310284087046583</v>
      </c>
      <c r="I15" s="14">
        <f>(('Canada Fuel Prices'!I22-'CFR Example'!$B$6)*('CFR Example'!$B$9*1000)/1000000)*'Canada Fuel Prices'!I24/'CFR Example'!$B$3/'Canada Fuel Prices'!I27*100</f>
        <v>100.32592907637105</v>
      </c>
      <c r="J15" s="14">
        <f>(('Canada Fuel Prices'!J22-'CFR Example'!$B$6)*('CFR Example'!$B$9*1000)/1000000)*'Canada Fuel Prices'!J24/'CFR Example'!$B$3/'Canada Fuel Prices'!J27*100</f>
        <v>107.22881160353259</v>
      </c>
      <c r="K15" s="14">
        <f>(('Canada Fuel Prices'!K22-'CFR Example'!$B$6)*('CFR Example'!$B$9*1000)/1000000)*'Canada Fuel Prices'!K24/'CFR Example'!$B$3/'Canada Fuel Prices'!K27*100</f>
        <v>118.30484897581081</v>
      </c>
      <c r="L15" s="14">
        <f>(('Canada Fuel Prices'!L22-'CFR Example'!$B$6)*('CFR Example'!$B$9*1000)/1000000)*'Canada Fuel Prices'!L24/'CFR Example'!$B$3/'Canada Fuel Prices'!L27*100</f>
        <v>132.13054836296695</v>
      </c>
      <c r="M15" s="14">
        <f>(('Canada Fuel Prices'!M22-'CFR Example'!$B$6)*('CFR Example'!$B$9*1000)/1000000)*'Canada Fuel Prices'!M24/'CFR Example'!$B$3/'Canada Fuel Prices'!M27*100</f>
        <v>130.47618808556638</v>
      </c>
      <c r="N15" s="14">
        <f>(('Canada Fuel Prices'!N22-'CFR Example'!$B$6)*('CFR Example'!$B$9*1000)/1000000)*'Canada Fuel Prices'!N24/'CFR Example'!$B$3/'Canada Fuel Prices'!N27*100</f>
        <v>128.11352438949447</v>
      </c>
      <c r="O15" s="14">
        <f>(('Canada Fuel Prices'!O22-'CFR Example'!$B$6)*('CFR Example'!$B$9*1000)/1000000)*'Canada Fuel Prices'!O24/'CFR Example'!$B$3/'Canada Fuel Prices'!O27*100</f>
        <v>127.34021047336131</v>
      </c>
      <c r="P15" s="14">
        <f>(('Canada Fuel Prices'!P22-'CFR Example'!$B$6)*('CFR Example'!$B$9*1000)/1000000)*'Canada Fuel Prices'!P24/'CFR Example'!$B$3/'Canada Fuel Prices'!P27*100</f>
        <v>129.59403452445591</v>
      </c>
      <c r="Q15" s="14">
        <f>(('Canada Fuel Prices'!Q22-'CFR Example'!$B$6)*('CFR Example'!$B$9*1000)/1000000)*'Canada Fuel Prices'!Q24/'CFR Example'!$B$3/'Canada Fuel Prices'!Q27*100</f>
        <v>142.77437319463945</v>
      </c>
      <c r="R15" s="14">
        <f>(('Canada Fuel Prices'!R22-'CFR Example'!$B$6)*('CFR Example'!$B$9*1000)/1000000)*'Canada Fuel Prices'!R24/'CFR Example'!$B$3/'Canada Fuel Prices'!R27*100</f>
        <v>136.05754841158463</v>
      </c>
      <c r="S15" s="14">
        <f>(('Canada Fuel Prices'!S22-'CFR Example'!$B$6)*('CFR Example'!$B$9*1000)/1000000)*'Canada Fuel Prices'!S24/'CFR Example'!$B$3/'Canada Fuel Prices'!S27*100</f>
        <v>143.81560612404672</v>
      </c>
      <c r="T15" s="14">
        <f>(('Canada Fuel Prices'!T22-'CFR Example'!$B$6)*('CFR Example'!$B$9*1000)/1000000)*'Canada Fuel Prices'!T24/'CFR Example'!$B$3/'Canada Fuel Prices'!T27*100</f>
        <v>138.9600410309406</v>
      </c>
      <c r="U15" s="14">
        <f>(('Canada Fuel Prices'!U22-'CFR Example'!$B$6)*('CFR Example'!$B$9*1000)/1000000)*'Canada Fuel Prices'!U24/'CFR Example'!$B$3/'Canada Fuel Prices'!U27*100</f>
        <v>130.43850260774474</v>
      </c>
      <c r="V15" s="14">
        <f>(('Canada Fuel Prices'!V22-'CFR Example'!$B$6)*('CFR Example'!$B$9*1000)/1000000)*'Canada Fuel Prices'!V24/'CFR Example'!$B$3/'Canada Fuel Prices'!V27*100</f>
        <v>129.81202162144447</v>
      </c>
      <c r="W15" s="14">
        <f>(('Canada Fuel Prices'!W22-'CFR Example'!$B$6)*('CFR Example'!$B$9*1000)/1000000)*'Canada Fuel Prices'!W24/'CFR Example'!$B$3/'Canada Fuel Prices'!W27*100</f>
        <v>134.72051262260194</v>
      </c>
      <c r="X15" s="14">
        <f>(('Canada Fuel Prices'!X22-'CFR Example'!$B$6)*('CFR Example'!$B$9*1000)/1000000)*'Canada Fuel Prices'!X24/'CFR Example'!$B$3/'Canada Fuel Prices'!X27*100</f>
        <v>136.33951125414424</v>
      </c>
      <c r="Y15" s="14">
        <f>(('Canada Fuel Prices'!Y22-'CFR Example'!$B$6)*('CFR Example'!$B$9*1000)/1000000)*'Canada Fuel Prices'!Y24/'CFR Example'!$B$3/'Canada Fuel Prices'!Y27*100</f>
        <v>141.1457907795687</v>
      </c>
      <c r="Z15" s="14">
        <f>(('Canada Fuel Prices'!Z22-'CFR Example'!$B$6)*('CFR Example'!$B$9*1000)/1000000)*'Canada Fuel Prices'!Z24/'CFR Example'!$B$3/'Canada Fuel Prices'!Z27*100</f>
        <v>135.7615508961575</v>
      </c>
      <c r="AA15" s="14">
        <f>(('Canada Fuel Prices'!AA22-'CFR Example'!$B$6)*('CFR Example'!$B$9*1000)/1000000)*'Canada Fuel Prices'!AA24/'CFR Example'!$B$3/'Canada Fuel Prices'!AA27*100</f>
        <v>139.09442484844277</v>
      </c>
      <c r="AB15" s="14">
        <f>(('Canada Fuel Prices'!AB22-'CFR Example'!$B$6)*('CFR Example'!$B$9*1000)/1000000)*'Canada Fuel Prices'!AB24/'CFR Example'!$B$3/'Canada Fuel Prices'!AB27*100</f>
        <v>134.11448891881875</v>
      </c>
      <c r="AC15" s="14">
        <f>(('Canada Fuel Prices'!AC22-'CFR Example'!$B$6)*('CFR Example'!$B$9*1000)/1000000)*'Canada Fuel Prices'!AC24/'CFR Example'!$B$3/'Canada Fuel Prices'!AC27*100</f>
        <v>137.36209195447643</v>
      </c>
      <c r="AD15" s="14">
        <f>(('Canada Fuel Prices'!AD22-'CFR Example'!$B$6)*('CFR Example'!$B$9*1000)/1000000)*'Canada Fuel Prices'!AD24/'CFR Example'!$B$3/'Canada Fuel Prices'!AD27*100</f>
        <v>132.38839239638259</v>
      </c>
      <c r="AE15" s="14">
        <f>(('Canada Fuel Prices'!AE22-'CFR Example'!$B$6)*('CFR Example'!$B$9*1000)/1000000)*'Canada Fuel Prices'!AE24/'CFR Example'!$B$3/'Canada Fuel Prices'!AE27*100</f>
        <v>135.55994443597623</v>
      </c>
      <c r="AF15" s="14">
        <f>(('Canada Fuel Prices'!AF22-'CFR Example'!$B$6)*('CFR Example'!$B$9*1000)/1000000)*'Canada Fuel Prices'!AF24/'CFR Example'!$B$3/'Canada Fuel Prices'!AF27*100</f>
        <v>130.73194565879965</v>
      </c>
    </row>
    <row r="16" spans="1:32" x14ac:dyDescent="0.2">
      <c r="A16" s="3" t="s">
        <v>88</v>
      </c>
      <c r="C16" s="14"/>
      <c r="D16" s="14">
        <f>(('Canada Fuel Prices'!D22-'CFR Example'!$I$19)*('CFR Example'!$B$9*1000)/1000000)*'Canada Fuel Prices'!D24/'CFR Example'!$B$3/'Canada Fuel Prices'!D27*100</f>
        <v>40.638869170881954</v>
      </c>
      <c r="E16" s="14">
        <f>(('Canada Fuel Prices'!E22-'CFR Example'!$I$19)*('CFR Example'!$B$9*1000)/1000000)*'Canada Fuel Prices'!E24/'CFR Example'!$B$3/'Canada Fuel Prices'!E27*100</f>
        <v>28.287656512934561</v>
      </c>
      <c r="F16" s="14">
        <f>(('Canada Fuel Prices'!F22-'CFR Example'!$I$19)*('CFR Example'!$B$9*1000)/1000000)*'Canada Fuel Prices'!F24/'CFR Example'!$B$3/'Canada Fuel Prices'!F27*100</f>
        <v>30.221155452512487</v>
      </c>
      <c r="G16" s="14">
        <f>(('Canada Fuel Prices'!G22-'CFR Example'!$I$19)*('CFR Example'!$B$9*1000)/1000000)*'Canada Fuel Prices'!G24/'CFR Example'!$B$3/'Canada Fuel Prices'!G27*100</f>
        <v>34.765180706457059</v>
      </c>
      <c r="H16" s="14">
        <f>(('Canada Fuel Prices'!H22-'CFR Example'!$I$19)*('CFR Example'!$B$9*1000)/1000000)*'Canada Fuel Prices'!H24/'CFR Example'!$B$3/'Canada Fuel Prices'!H27*100</f>
        <v>50.1470788690783</v>
      </c>
      <c r="I16" s="14">
        <f>(('Canada Fuel Prices'!I22-'CFR Example'!$I$19)*('CFR Example'!$B$9*1000)/1000000)*'Canada Fuel Prices'!I24/'CFR Example'!$B$3/'Canada Fuel Prices'!I27*100</f>
        <v>59.50695515707244</v>
      </c>
      <c r="J16" s="14">
        <f>(('Canada Fuel Prices'!J22-'CFR Example'!$I$19)*('CFR Example'!$B$9*1000)/1000000)*'Canada Fuel Prices'!J24/'CFR Example'!$B$3/'Canada Fuel Prices'!J27*100</f>
        <v>66.473471888490892</v>
      </c>
      <c r="K16" s="14">
        <f>(('Canada Fuel Prices'!K22-'CFR Example'!$I$19)*('CFR Example'!$B$9*1000)/1000000)*'Canada Fuel Prices'!K24/'CFR Example'!$B$3/'Canada Fuel Prices'!K27*100</f>
        <v>77.559257233956131</v>
      </c>
      <c r="L16" s="14">
        <f>(('Canada Fuel Prices'!L22-'CFR Example'!$I$19)*('CFR Example'!$B$9*1000)/1000000)*'Canada Fuel Prices'!L24/'CFR Example'!$B$3/'Canada Fuel Prices'!L27*100</f>
        <v>91.260484394879981</v>
      </c>
      <c r="M16" s="14">
        <f>(('Canada Fuel Prices'!M22-'CFR Example'!$I$19)*('CFR Example'!$B$9*1000)/1000000)*'Canada Fuel Prices'!M24/'CFR Example'!$B$3/'Canada Fuel Prices'!M27*100</f>
        <v>89.678758218249314</v>
      </c>
      <c r="N16" s="14">
        <f>(('Canada Fuel Prices'!N22-'CFR Example'!$I$19)*('CFR Example'!$B$9*1000)/1000000)*'Canada Fuel Prices'!N24/'CFR Example'!$B$3/'Canada Fuel Prices'!N27*100</f>
        <v>87.321476982252861</v>
      </c>
      <c r="O16" s="14">
        <f>(('Canada Fuel Prices'!O22-'CFR Example'!$I$19)*('CFR Example'!$B$9*1000)/1000000)*'Canada Fuel Prices'!O24/'CFR Example'!$B$3/'Canada Fuel Prices'!O27*100</f>
        <v>86.538975808855326</v>
      </c>
      <c r="P16" s="14">
        <f>(('Canada Fuel Prices'!P22-'CFR Example'!$I$19)*('CFR Example'!$B$9*1000)/1000000)*'Canada Fuel Prices'!P24/'CFR Example'!$B$3/'Canada Fuel Prices'!P27*100</f>
        <v>88.778865375243257</v>
      </c>
      <c r="Q16" s="14">
        <f>(('Canada Fuel Prices'!Q22-'CFR Example'!$I$19)*('CFR Example'!$B$9*1000)/1000000)*'Canada Fuel Prices'!Q24/'CFR Example'!$B$3/'Canada Fuel Prices'!Q27*100</f>
        <v>101.97290471655656</v>
      </c>
      <c r="R16" s="14">
        <f>(('Canada Fuel Prices'!R22-'CFR Example'!$I$19)*('CFR Example'!$B$9*1000)/1000000)*'Canada Fuel Prices'!R24/'CFR Example'!$B$3/'Canada Fuel Prices'!R27*100</f>
        <v>95.255070155872957</v>
      </c>
      <c r="S16" s="14">
        <f>(('Canada Fuel Prices'!S22-'CFR Example'!$I$19)*('CFR Example'!$B$9*1000)/1000000)*'Canada Fuel Prices'!S24/'CFR Example'!$B$3/'Canada Fuel Prices'!S27*100</f>
        <v>103.01051932264853</v>
      </c>
      <c r="T16" s="14">
        <f>(('Canada Fuel Prices'!T22-'CFR Example'!$I$19)*('CFR Example'!$B$9*1000)/1000000)*'Canada Fuel Prices'!T24/'CFR Example'!$B$3/'Canada Fuel Prices'!T27*100</f>
        <v>98.153991081663889</v>
      </c>
      <c r="U16" s="14">
        <f>(('Canada Fuel Prices'!U22-'CFR Example'!$I$19)*('CFR Example'!$B$9*1000)/1000000)*'Canada Fuel Prices'!U24/'CFR Example'!$B$3/'Canada Fuel Prices'!U27*100</f>
        <v>89.634731821777237</v>
      </c>
      <c r="V16" s="14">
        <f>(('Canada Fuel Prices'!V22-'CFR Example'!$I$19)*('CFR Example'!$B$9*1000)/1000000)*'Canada Fuel Prices'!V24/'CFR Example'!$B$3/'Canada Fuel Prices'!V27*100</f>
        <v>89.007675217907604</v>
      </c>
      <c r="W16" s="14">
        <f>(('Canada Fuel Prices'!W22-'CFR Example'!$I$19)*('CFR Example'!$B$9*1000)/1000000)*'Canada Fuel Prices'!W24/'CFR Example'!$B$3/'Canada Fuel Prices'!W27*100</f>
        <v>93.915699155379244</v>
      </c>
      <c r="X16" s="14">
        <f>(('Canada Fuel Prices'!X22-'CFR Example'!$I$19)*('CFR Example'!$B$9*1000)/1000000)*'Canada Fuel Prices'!X24/'CFR Example'!$B$3/'Canada Fuel Prices'!X27*100</f>
        <v>95.534766119893305</v>
      </c>
      <c r="Y16" s="14">
        <f>(('Canada Fuel Prices'!Y22-'CFR Example'!$I$19)*('CFR Example'!$B$9*1000)/1000000)*'Canada Fuel Prices'!Y24/'CFR Example'!$B$3/'Canada Fuel Prices'!Y27*100</f>
        <v>100.34137183603586</v>
      </c>
      <c r="Z16" s="14">
        <f>(('Canada Fuel Prices'!Z22-'CFR Example'!$I$19)*('CFR Example'!$B$9*1000)/1000000)*'Canada Fuel Prices'!Z24/'CFR Example'!$B$3/'Canada Fuel Prices'!Z27*100</f>
        <v>94.9569699100159</v>
      </c>
      <c r="AA16" s="14">
        <f>(('Canada Fuel Prices'!AA22-'CFR Example'!$I$19)*('CFR Example'!$B$9*1000)/1000000)*'Canada Fuel Prices'!AA24/'CFR Example'!$B$3/'Canada Fuel Prices'!AA27*100</f>
        <v>98.289785216228566</v>
      </c>
      <c r="AB16" s="14">
        <f>(('Canada Fuel Prices'!AB22-'CFR Example'!$I$19)*('CFR Example'!$B$9*1000)/1000000)*'Canada Fuel Prices'!AB24/'CFR Example'!$B$3/'Canada Fuel Prices'!AB27*100</f>
        <v>93.309892745125254</v>
      </c>
      <c r="AC16" s="14">
        <f>(('Canada Fuel Prices'!AC22-'CFR Example'!$I$19)*('CFR Example'!$B$9*1000)/1000000)*'Canada Fuel Prices'!AC24/'CFR Example'!$B$3/'Canada Fuel Prices'!AC27*100</f>
        <v>96.557533020752359</v>
      </c>
      <c r="AD16" s="14">
        <f>(('Canada Fuel Prices'!AD22-'CFR Example'!$I$19)*('CFR Example'!$B$9*1000)/1000000)*'Canada Fuel Prices'!AD24/'CFR Example'!$B$3/'Canada Fuel Prices'!AD27*100</f>
        <v>91.583798464960566</v>
      </c>
      <c r="AE16" s="14">
        <f>(('Canada Fuel Prices'!AE22-'CFR Example'!$I$19)*('CFR Example'!$B$9*1000)/1000000)*'Canada Fuel Prices'!AE24/'CFR Example'!$B$3/'Canada Fuel Prices'!AE27*100</f>
        <v>94.755347268232867</v>
      </c>
      <c r="AF16" s="14">
        <f>(('Canada Fuel Prices'!AF22-'CFR Example'!$I$19)*('CFR Example'!$B$9*1000)/1000000)*'Canada Fuel Prices'!AF24/'CFR Example'!$B$3/'Canada Fuel Prices'!AF27*100</f>
        <v>89.927359107160171</v>
      </c>
    </row>
    <row r="17" spans="1:32" x14ac:dyDescent="0.2">
      <c r="A17" s="3" t="s">
        <v>16</v>
      </c>
      <c r="C17" s="14">
        <v>100</v>
      </c>
      <c r="D17" s="14">
        <v>100</v>
      </c>
      <c r="E17" s="14">
        <v>100</v>
      </c>
      <c r="F17" s="14">
        <v>100</v>
      </c>
      <c r="G17" s="14">
        <v>100</v>
      </c>
      <c r="H17" s="14">
        <v>100</v>
      </c>
      <c r="I17" s="14">
        <v>100</v>
      </c>
      <c r="J17" s="14">
        <v>100</v>
      </c>
      <c r="K17" s="14">
        <v>100</v>
      </c>
      <c r="L17" s="14">
        <v>100</v>
      </c>
      <c r="M17" s="14">
        <v>100</v>
      </c>
      <c r="N17" s="14">
        <v>100</v>
      </c>
      <c r="O17" s="14">
        <v>100</v>
      </c>
      <c r="P17" s="14">
        <v>100</v>
      </c>
      <c r="Q17" s="14">
        <v>100</v>
      </c>
      <c r="R17" s="14">
        <v>100</v>
      </c>
      <c r="S17" s="14">
        <v>100</v>
      </c>
      <c r="T17" s="14">
        <v>100</v>
      </c>
      <c r="U17" s="14">
        <v>100</v>
      </c>
      <c r="V17" s="14">
        <v>100</v>
      </c>
      <c r="W17" s="14">
        <v>100</v>
      </c>
      <c r="X17" s="14">
        <v>100</v>
      </c>
      <c r="Y17" s="14">
        <v>100</v>
      </c>
      <c r="Z17" s="14">
        <v>100</v>
      </c>
      <c r="AA17" s="14">
        <v>100</v>
      </c>
      <c r="AB17" s="14">
        <v>100</v>
      </c>
      <c r="AC17" s="14">
        <v>100</v>
      </c>
      <c r="AD17" s="14">
        <v>100</v>
      </c>
      <c r="AE17" s="14">
        <v>100</v>
      </c>
      <c r="AF17" s="14">
        <v>100</v>
      </c>
    </row>
    <row r="18" spans="1:32" x14ac:dyDescent="0.2">
      <c r="A18" s="3" t="s">
        <v>17</v>
      </c>
      <c r="C18" s="14">
        <f t="shared" ref="C18:AF18" si="6">SUM(C14:C17)</f>
        <v>422.13333333333338</v>
      </c>
      <c r="D18" s="14">
        <f t="shared" si="6"/>
        <v>560.41128780378358</v>
      </c>
      <c r="E18" s="14">
        <f t="shared" si="6"/>
        <v>476.93971227166543</v>
      </c>
      <c r="F18" s="14">
        <f t="shared" si="6"/>
        <v>478.57002253291722</v>
      </c>
      <c r="G18" s="14">
        <f t="shared" si="6"/>
        <v>526.76333252885206</v>
      </c>
      <c r="H18" s="14">
        <f t="shared" si="6"/>
        <v>621.10180740056933</v>
      </c>
      <c r="I18" s="14">
        <f t="shared" si="6"/>
        <v>652.18843978899906</v>
      </c>
      <c r="J18" s="14">
        <f t="shared" si="6"/>
        <v>680.63561682535681</v>
      </c>
      <c r="K18" s="14">
        <f t="shared" si="6"/>
        <v>715.59743954310034</v>
      </c>
      <c r="L18" s="14">
        <f t="shared" si="6"/>
        <v>756.72436609118029</v>
      </c>
      <c r="M18" s="14">
        <f t="shared" si="6"/>
        <v>767.62161297048249</v>
      </c>
      <c r="N18" s="14">
        <f t="shared" si="6"/>
        <v>775.52389026063634</v>
      </c>
      <c r="O18" s="14">
        <f t="shared" si="6"/>
        <v>788.3680751711056</v>
      </c>
      <c r="P18" s="14">
        <f t="shared" si="6"/>
        <v>806.37289989969929</v>
      </c>
      <c r="Q18" s="14">
        <f t="shared" si="6"/>
        <v>802.79172235564056</v>
      </c>
      <c r="R18" s="14">
        <f t="shared" si="6"/>
        <v>802.77928523412436</v>
      </c>
      <c r="S18" s="14">
        <f t="shared" si="6"/>
        <v>832.24834766891752</v>
      </c>
      <c r="T18" s="14">
        <f t="shared" si="6"/>
        <v>835.86958766816019</v>
      </c>
      <c r="U18" s="14">
        <f t="shared" si="6"/>
        <v>832.42878998507763</v>
      </c>
      <c r="V18" s="14">
        <f t="shared" si="6"/>
        <v>823.35303017268541</v>
      </c>
      <c r="W18" s="14">
        <f t="shared" si="6"/>
        <v>847.12510066687025</v>
      </c>
      <c r="X18" s="14">
        <f t="shared" si="6"/>
        <v>863.60761070737101</v>
      </c>
      <c r="Y18" s="14">
        <f t="shared" si="6"/>
        <v>887.0871626156046</v>
      </c>
      <c r="Z18" s="14">
        <f t="shared" si="6"/>
        <v>889.74074302839585</v>
      </c>
      <c r="AA18" s="14">
        <f t="shared" si="6"/>
        <v>887.60643228689366</v>
      </c>
      <c r="AB18" s="14">
        <f t="shared" si="6"/>
        <v>891.6910483306109</v>
      </c>
      <c r="AC18" s="14">
        <f t="shared" si="6"/>
        <v>912.49740275300667</v>
      </c>
      <c r="AD18" s="14">
        <f t="shared" si="6"/>
        <v>915.08330197245425</v>
      </c>
      <c r="AE18" s="14">
        <f t="shared" si="6"/>
        <v>935.20418059309804</v>
      </c>
      <c r="AF18" s="14">
        <f t="shared" si="6"/>
        <v>940.39263809929332</v>
      </c>
    </row>
    <row r="19" spans="1:32" x14ac:dyDescent="0.2">
      <c r="A19" s="3" t="s">
        <v>10</v>
      </c>
      <c r="C19" s="14">
        <v>-50</v>
      </c>
      <c r="D19" s="14">
        <v>-50</v>
      </c>
      <c r="E19" s="14">
        <v>-50</v>
      </c>
      <c r="F19" s="14">
        <v>-50</v>
      </c>
      <c r="G19" s="14">
        <v>-50</v>
      </c>
      <c r="H19" s="14">
        <v>-50</v>
      </c>
      <c r="I19" s="14">
        <v>-50</v>
      </c>
      <c r="J19" s="14">
        <v>-50</v>
      </c>
      <c r="K19" s="14">
        <v>-50</v>
      </c>
      <c r="L19" s="14">
        <v>-50</v>
      </c>
      <c r="M19" s="14">
        <v>-50</v>
      </c>
      <c r="N19" s="14">
        <v>-50</v>
      </c>
      <c r="O19" s="14">
        <v>-50</v>
      </c>
      <c r="P19" s="14">
        <v>-50</v>
      </c>
      <c r="Q19" s="14">
        <v>-50</v>
      </c>
      <c r="R19" s="14">
        <v>-50</v>
      </c>
      <c r="S19" s="14">
        <v>-50</v>
      </c>
      <c r="T19" s="14">
        <v>-50</v>
      </c>
      <c r="U19" s="14">
        <v>-50</v>
      </c>
      <c r="V19" s="14">
        <v>-50</v>
      </c>
      <c r="W19" s="14">
        <v>-50</v>
      </c>
      <c r="X19" s="14">
        <v>-50</v>
      </c>
      <c r="Y19" s="14">
        <v>-50</v>
      </c>
      <c r="Z19" s="14">
        <v>-50</v>
      </c>
      <c r="AA19" s="14">
        <v>-50</v>
      </c>
      <c r="AB19" s="14">
        <v>-50</v>
      </c>
      <c r="AC19" s="14">
        <v>-50</v>
      </c>
      <c r="AD19" s="14">
        <v>-50</v>
      </c>
      <c r="AE19" s="14">
        <v>-50</v>
      </c>
      <c r="AF19" s="14">
        <v>-50</v>
      </c>
    </row>
    <row r="20" spans="1:32" x14ac:dyDescent="0.2">
      <c r="A20" s="3" t="s">
        <v>18</v>
      </c>
      <c r="C20" s="14">
        <f>C18+C19</f>
        <v>372.13333333333338</v>
      </c>
      <c r="D20" s="14">
        <f t="shared" ref="D20:AF20" si="7">D18+D19</f>
        <v>510.41128780378358</v>
      </c>
      <c r="E20" s="14">
        <f t="shared" si="7"/>
        <v>426.93971227166543</v>
      </c>
      <c r="F20" s="14">
        <f t="shared" si="7"/>
        <v>428.57002253291722</v>
      </c>
      <c r="G20" s="14">
        <f t="shared" si="7"/>
        <v>476.76333252885206</v>
      </c>
      <c r="H20" s="14">
        <f t="shared" si="7"/>
        <v>571.10180740056933</v>
      </c>
      <c r="I20" s="14">
        <f t="shared" si="7"/>
        <v>602.18843978899906</v>
      </c>
      <c r="J20" s="14">
        <f t="shared" si="7"/>
        <v>630.63561682535681</v>
      </c>
      <c r="K20" s="14">
        <f t="shared" si="7"/>
        <v>665.59743954310034</v>
      </c>
      <c r="L20" s="14">
        <f t="shared" si="7"/>
        <v>706.72436609118029</v>
      </c>
      <c r="M20" s="14">
        <f t="shared" si="7"/>
        <v>717.62161297048249</v>
      </c>
      <c r="N20" s="14">
        <f t="shared" si="7"/>
        <v>725.52389026063634</v>
      </c>
      <c r="O20" s="14">
        <f t="shared" si="7"/>
        <v>738.3680751711056</v>
      </c>
      <c r="P20" s="14">
        <f t="shared" si="7"/>
        <v>756.37289989969929</v>
      </c>
      <c r="Q20" s="14">
        <f t="shared" si="7"/>
        <v>752.79172235564056</v>
      </c>
      <c r="R20" s="14">
        <f t="shared" si="7"/>
        <v>752.77928523412436</v>
      </c>
      <c r="S20" s="14">
        <f t="shared" si="7"/>
        <v>782.24834766891752</v>
      </c>
      <c r="T20" s="14">
        <f t="shared" si="7"/>
        <v>785.86958766816019</v>
      </c>
      <c r="U20" s="14">
        <f t="shared" si="7"/>
        <v>782.42878998507763</v>
      </c>
      <c r="V20" s="14">
        <f t="shared" si="7"/>
        <v>773.35303017268541</v>
      </c>
      <c r="W20" s="14">
        <f t="shared" si="7"/>
        <v>797.12510066687025</v>
      </c>
      <c r="X20" s="14">
        <f t="shared" si="7"/>
        <v>813.60761070737101</v>
      </c>
      <c r="Y20" s="14">
        <f t="shared" si="7"/>
        <v>837.0871626156046</v>
      </c>
      <c r="Z20" s="14">
        <f t="shared" si="7"/>
        <v>839.74074302839585</v>
      </c>
      <c r="AA20" s="14">
        <f t="shared" si="7"/>
        <v>837.60643228689366</v>
      </c>
      <c r="AB20" s="14">
        <f t="shared" si="7"/>
        <v>841.6910483306109</v>
      </c>
      <c r="AC20" s="14">
        <f t="shared" si="7"/>
        <v>862.49740275300667</v>
      </c>
      <c r="AD20" s="14">
        <f t="shared" si="7"/>
        <v>865.08330197245425</v>
      </c>
      <c r="AE20" s="14">
        <f t="shared" si="7"/>
        <v>885.20418059309804</v>
      </c>
      <c r="AF20" s="14">
        <f t="shared" si="7"/>
        <v>890.39263809929332</v>
      </c>
    </row>
    <row r="21" spans="1:32" x14ac:dyDescent="0.2">
      <c r="A21" s="21" t="s">
        <v>101</v>
      </c>
      <c r="C21" s="19">
        <f>C20-C10</f>
        <v>56.525539773431547</v>
      </c>
      <c r="D21" s="19">
        <f t="shared" ref="D21:AF21" si="8">D20-D10</f>
        <v>4.1473282103311249E-2</v>
      </c>
      <c r="E21" s="19">
        <f t="shared" si="8"/>
        <v>10.118818643707982</v>
      </c>
      <c r="F21" s="19">
        <f t="shared" si="8"/>
        <v>-9.3929073708664532</v>
      </c>
      <c r="G21" s="19">
        <f t="shared" si="8"/>
        <v>68.397823092407293</v>
      </c>
      <c r="H21" s="19">
        <f t="shared" si="8"/>
        <v>150.97766600008856</v>
      </c>
      <c r="I21" s="19">
        <f t="shared" si="8"/>
        <v>167.84960152209618</v>
      </c>
      <c r="J21" s="19">
        <f t="shared" si="8"/>
        <v>181.45356803934936</v>
      </c>
      <c r="K21" s="19">
        <f t="shared" si="8"/>
        <v>202.33959791523534</v>
      </c>
      <c r="L21" s="19">
        <f t="shared" si="8"/>
        <v>228.26602122193185</v>
      </c>
      <c r="M21" s="19">
        <f t="shared" si="8"/>
        <v>224.04531871564734</v>
      </c>
      <c r="N21" s="19">
        <f t="shared" si="8"/>
        <v>218.70251546957422</v>
      </c>
      <c r="O21" s="19">
        <f t="shared" si="8"/>
        <v>215.81143838616367</v>
      </c>
      <c r="P21" s="19">
        <f t="shared" si="8"/>
        <v>217.98017333197311</v>
      </c>
      <c r="Q21" s="19">
        <f t="shared" si="8"/>
        <v>243.12951296229892</v>
      </c>
      <c r="R21" s="19">
        <f t="shared" si="8"/>
        <v>230.53312592915518</v>
      </c>
      <c r="S21" s="19">
        <f t="shared" si="8"/>
        <v>241.75205710957971</v>
      </c>
      <c r="T21" s="19">
        <f t="shared" si="8"/>
        <v>232.23161671999128</v>
      </c>
      <c r="U21" s="19">
        <f t="shared" si="8"/>
        <v>216.64906110916286</v>
      </c>
      <c r="V21" s="19">
        <f t="shared" si="8"/>
        <v>216.47075431622761</v>
      </c>
      <c r="W21" s="19">
        <f t="shared" si="8"/>
        <v>222.994681463191</v>
      </c>
      <c r="X21" s="19">
        <f t="shared" si="8"/>
        <v>224.25303046982026</v>
      </c>
      <c r="Y21" s="19">
        <f t="shared" si="8"/>
        <v>230.61695625970242</v>
      </c>
      <c r="Z21" s="19">
        <f t="shared" si="8"/>
        <v>220.21842854834779</v>
      </c>
      <c r="AA21" s="19">
        <f t="shared" si="8"/>
        <v>226.65070725021053</v>
      </c>
      <c r="AB21" s="19">
        <f t="shared" si="8"/>
        <v>216.86625624084468</v>
      </c>
      <c r="AC21" s="19">
        <f t="shared" si="8"/>
        <v>220.62265265864301</v>
      </c>
      <c r="AD21" s="19">
        <f t="shared" si="8"/>
        <v>210.97633981435797</v>
      </c>
      <c r="AE21" s="19">
        <f t="shared" si="8"/>
        <v>214.65247347474178</v>
      </c>
      <c r="AF21" s="19">
        <f t="shared" si="8"/>
        <v>205.0507168356587</v>
      </c>
    </row>
    <row r="22" spans="1:32" x14ac:dyDescent="0.2">
      <c r="A22" s="3" t="s">
        <v>44</v>
      </c>
      <c r="B22" s="3">
        <v>0</v>
      </c>
      <c r="C22" s="3">
        <v>0</v>
      </c>
      <c r="D22" s="3">
        <v>141.80000000000001</v>
      </c>
      <c r="E22" s="3">
        <v>127.3</v>
      </c>
      <c r="F22" s="3">
        <v>130.15</v>
      </c>
      <c r="G22" s="3">
        <v>136.86220295206547</v>
      </c>
      <c r="H22" s="3">
        <v>156.24567780935894</v>
      </c>
      <c r="I22" s="3">
        <v>169.34046979672308</v>
      </c>
      <c r="J22" s="3">
        <v>178.80789564523755</v>
      </c>
      <c r="K22" s="3">
        <v>193.70027235746713</v>
      </c>
      <c r="L22" s="3">
        <v>211.70696830435858</v>
      </c>
      <c r="M22" s="3">
        <v>209.80514524668669</v>
      </c>
      <c r="N22" s="3">
        <v>206.66242014976652</v>
      </c>
      <c r="O22" s="3">
        <v>205.58781797728525</v>
      </c>
      <c r="P22" s="3">
        <v>208.54782125679225</v>
      </c>
      <c r="Q22" s="3">
        <v>226.26267441973042</v>
      </c>
      <c r="R22" s="3">
        <v>217.26020533475867</v>
      </c>
      <c r="S22" s="3">
        <v>227.64044195646386</v>
      </c>
      <c r="T22" s="3">
        <v>221.13203811339366</v>
      </c>
      <c r="U22" s="3">
        <v>209.72749929459539</v>
      </c>
      <c r="V22" s="3">
        <v>208.8858503959479</v>
      </c>
      <c r="W22" s="3">
        <v>215.45880859025408</v>
      </c>
      <c r="X22" s="3">
        <v>217.62777128627587</v>
      </c>
      <c r="Y22" s="3">
        <v>224.06732921353938</v>
      </c>
      <c r="Z22" s="3">
        <v>216.85432072287421</v>
      </c>
      <c r="AA22" s="3">
        <v>221.3184799031844</v>
      </c>
      <c r="AB22" s="3">
        <v>214.64799343178231</v>
      </c>
      <c r="AC22" s="3">
        <v>218.99836522708762</v>
      </c>
      <c r="AD22" s="3">
        <v>212.33587583510956</v>
      </c>
      <c r="AE22" s="3">
        <v>216.58419430071916</v>
      </c>
      <c r="AF22" s="3">
        <v>210.11707677892514</v>
      </c>
    </row>
    <row r="23" spans="1:32" x14ac:dyDescent="0.2">
      <c r="A23" s="3" t="s">
        <v>46</v>
      </c>
      <c r="B23" s="3">
        <v>92.916250000000005</v>
      </c>
      <c r="C23" s="3">
        <v>91.660624999999996</v>
      </c>
      <c r="D23" s="3">
        <v>90.405000000000001</v>
      </c>
      <c r="E23" s="3">
        <v>89.5</v>
      </c>
      <c r="F23" s="3">
        <v>88</v>
      </c>
      <c r="G23" s="3">
        <v>86.5</v>
      </c>
      <c r="H23" s="3">
        <f>G23-1.5</f>
        <v>85</v>
      </c>
      <c r="I23" s="3">
        <f>H23-1.5</f>
        <v>83.5</v>
      </c>
      <c r="J23" s="3">
        <f>I23-1.5</f>
        <v>82</v>
      </c>
      <c r="K23" s="3">
        <f>J23-1.5</f>
        <v>80.5</v>
      </c>
      <c r="L23" s="3">
        <f>K23-1.5</f>
        <v>79</v>
      </c>
      <c r="M23" s="3">
        <f>L23</f>
        <v>79</v>
      </c>
      <c r="N23" s="3">
        <f t="shared" ref="N23:AF23" si="9">M23</f>
        <v>79</v>
      </c>
      <c r="O23" s="3">
        <f t="shared" si="9"/>
        <v>79</v>
      </c>
      <c r="P23" s="3">
        <f t="shared" si="9"/>
        <v>79</v>
      </c>
      <c r="Q23" s="3">
        <f t="shared" si="9"/>
        <v>79</v>
      </c>
      <c r="R23" s="3">
        <f t="shared" si="9"/>
        <v>79</v>
      </c>
      <c r="S23" s="3">
        <f t="shared" si="9"/>
        <v>79</v>
      </c>
      <c r="T23" s="3">
        <f t="shared" si="9"/>
        <v>79</v>
      </c>
      <c r="U23" s="3">
        <f t="shared" si="9"/>
        <v>79</v>
      </c>
      <c r="V23" s="3">
        <f t="shared" si="9"/>
        <v>79</v>
      </c>
      <c r="W23" s="3">
        <f t="shared" si="9"/>
        <v>79</v>
      </c>
      <c r="X23" s="3">
        <f t="shared" si="9"/>
        <v>79</v>
      </c>
      <c r="Y23" s="3">
        <f t="shared" si="9"/>
        <v>79</v>
      </c>
      <c r="Z23" s="3">
        <f t="shared" si="9"/>
        <v>79</v>
      </c>
      <c r="AA23" s="3">
        <f t="shared" si="9"/>
        <v>79</v>
      </c>
      <c r="AB23" s="3">
        <f t="shared" si="9"/>
        <v>79</v>
      </c>
      <c r="AC23" s="3">
        <f t="shared" si="9"/>
        <v>79</v>
      </c>
      <c r="AD23" s="3">
        <f t="shared" si="9"/>
        <v>79</v>
      </c>
      <c r="AE23" s="3">
        <f t="shared" si="9"/>
        <v>79</v>
      </c>
      <c r="AF23" s="3">
        <f t="shared" si="9"/>
        <v>79</v>
      </c>
    </row>
    <row r="24" spans="1:32" x14ac:dyDescent="0.2">
      <c r="A24" s="3" t="s">
        <v>73</v>
      </c>
      <c r="D24" s="3">
        <v>89.8</v>
      </c>
      <c r="E24" s="3">
        <v>89.8</v>
      </c>
      <c r="F24" s="3">
        <v>89.8</v>
      </c>
      <c r="G24" s="3">
        <v>89.8</v>
      </c>
      <c r="H24" s="3">
        <v>89.8</v>
      </c>
      <c r="I24" s="3">
        <v>89.8</v>
      </c>
      <c r="J24" s="3">
        <v>89.8</v>
      </c>
      <c r="K24" s="3">
        <v>89.8</v>
      </c>
      <c r="L24" s="3">
        <v>89.8</v>
      </c>
      <c r="M24" s="3">
        <v>89.8</v>
      </c>
      <c r="N24" s="3">
        <v>89.8</v>
      </c>
      <c r="O24" s="3">
        <v>89.8</v>
      </c>
      <c r="P24" s="3">
        <v>89.8</v>
      </c>
      <c r="Q24" s="3">
        <v>89.8</v>
      </c>
      <c r="R24" s="3">
        <v>89.8</v>
      </c>
      <c r="S24" s="3">
        <v>89.8</v>
      </c>
      <c r="T24" s="3">
        <v>89.8</v>
      </c>
      <c r="U24" s="3">
        <v>89.8</v>
      </c>
      <c r="V24" s="3">
        <v>89.8</v>
      </c>
      <c r="W24" s="3">
        <v>89.8</v>
      </c>
      <c r="X24" s="3">
        <v>89.8</v>
      </c>
      <c r="Y24" s="3">
        <v>89.8</v>
      </c>
      <c r="Z24" s="3">
        <v>89.8</v>
      </c>
      <c r="AA24" s="3">
        <v>89.8</v>
      </c>
      <c r="AB24" s="3">
        <v>89.8</v>
      </c>
      <c r="AC24" s="3">
        <v>89.8</v>
      </c>
      <c r="AD24" s="3">
        <v>89.8</v>
      </c>
      <c r="AE24" s="3">
        <v>89.8</v>
      </c>
      <c r="AF24" s="3">
        <v>89.8</v>
      </c>
    </row>
    <row r="25" spans="1:32" x14ac:dyDescent="0.2">
      <c r="A25" s="3" t="s">
        <v>23</v>
      </c>
    </row>
    <row r="26" spans="1:32" x14ac:dyDescent="0.2">
      <c r="A26" s="3" t="s">
        <v>45</v>
      </c>
    </row>
    <row r="27" spans="1:32" x14ac:dyDescent="0.2">
      <c r="A27" s="3" t="s">
        <v>87</v>
      </c>
      <c r="D27" s="15">
        <v>1.3011999999999999</v>
      </c>
      <c r="E27" s="15">
        <v>1.3494999999999999</v>
      </c>
      <c r="F27" s="15">
        <v>1.3588</v>
      </c>
      <c r="G27" s="15">
        <v>1.377</v>
      </c>
      <c r="H27" s="15">
        <v>1.3466249999999997</v>
      </c>
      <c r="I27" s="15">
        <v>1.3579812499999999</v>
      </c>
      <c r="J27" s="15">
        <v>1.3601015624999999</v>
      </c>
      <c r="K27" s="15">
        <v>1.3604269531249999</v>
      </c>
      <c r="L27" s="15">
        <v>1.3562836914062497</v>
      </c>
      <c r="M27" s="15">
        <v>1.3586983642578123</v>
      </c>
      <c r="N27" s="15">
        <v>1.3588776428222653</v>
      </c>
      <c r="O27" s="15">
        <v>1.3585716629028319</v>
      </c>
      <c r="P27" s="15">
        <v>1.3581078403472897</v>
      </c>
      <c r="Q27" s="15">
        <v>1.3585638775825499</v>
      </c>
      <c r="R27" s="15">
        <v>1.3585302559137342</v>
      </c>
      <c r="S27" s="15">
        <v>1.3584434091866013</v>
      </c>
      <c r="T27" s="15">
        <v>1.358411345757544</v>
      </c>
      <c r="U27" s="15">
        <v>1.3584872221101074</v>
      </c>
      <c r="V27" s="15">
        <v>1.3584680582419968</v>
      </c>
      <c r="W27" s="15">
        <v>1.3584525088240622</v>
      </c>
      <c r="X27" s="15">
        <v>1.3584547837334275</v>
      </c>
      <c r="Y27" s="15">
        <v>1.3584656432273985</v>
      </c>
      <c r="Z27" s="15">
        <v>1.3584602485067212</v>
      </c>
      <c r="AA27" s="15">
        <v>1.3584582960729024</v>
      </c>
      <c r="AB27" s="15">
        <v>1.3584597428851124</v>
      </c>
      <c r="AC27" s="15">
        <v>1.3584609826730336</v>
      </c>
      <c r="AD27" s="15">
        <v>1.3584598175344424</v>
      </c>
      <c r="AE27" s="15">
        <v>1.3584597097913729</v>
      </c>
      <c r="AF27" s="15">
        <v>1.3584600632209904</v>
      </c>
    </row>
    <row r="28" spans="1:32" x14ac:dyDescent="0.2">
      <c r="A28" s="3" t="s">
        <v>19</v>
      </c>
      <c r="B28" s="3">
        <v>63.756697615250253</v>
      </c>
      <c r="C28" s="14">
        <v>149.18310936060507</v>
      </c>
      <c r="D28" s="14">
        <v>166.45650499664018</v>
      </c>
      <c r="E28" s="14">
        <v>134.65751817269623</v>
      </c>
      <c r="F28" s="14">
        <v>58.821842395019182</v>
      </c>
      <c r="G28" s="14">
        <v>74.80103490520311</v>
      </c>
      <c r="H28" s="14">
        <v>77.599465644960063</v>
      </c>
      <c r="I28" s="14">
        <v>80.500403564872144</v>
      </c>
      <c r="J28" s="14">
        <v>87.524931961243013</v>
      </c>
      <c r="K28" s="14">
        <v>95.890021085857413</v>
      </c>
      <c r="L28" s="14">
        <v>95.633567509279658</v>
      </c>
      <c r="M28" s="14">
        <v>100.122764821242</v>
      </c>
      <c r="N28" s="14">
        <v>100.42461578571545</v>
      </c>
      <c r="O28" s="14">
        <v>100.93658297726944</v>
      </c>
      <c r="P28" s="14">
        <v>98.069245062651802</v>
      </c>
      <c r="Q28" s="14">
        <v>97.65284620746246</v>
      </c>
      <c r="R28" s="14">
        <v>93.100000000000009</v>
      </c>
      <c r="S28" s="14">
        <v>92.9</v>
      </c>
      <c r="T28" s="14">
        <v>91.100000000000009</v>
      </c>
      <c r="U28" s="14">
        <v>88.300000000000011</v>
      </c>
      <c r="V28" s="14">
        <v>89.100000000000009</v>
      </c>
      <c r="W28" s="14">
        <v>92.7</v>
      </c>
      <c r="X28" s="14">
        <v>87.100000000000009</v>
      </c>
      <c r="Y28" s="14">
        <v>88.100000000000009</v>
      </c>
      <c r="Z28" s="14">
        <v>82.800000000000011</v>
      </c>
      <c r="AA28" s="14">
        <v>86.2</v>
      </c>
      <c r="AB28" s="14">
        <v>81</v>
      </c>
      <c r="AC28" s="14">
        <v>84.300000000000011</v>
      </c>
      <c r="AD28" s="14">
        <v>79.2</v>
      </c>
      <c r="AE28" s="14">
        <v>82.4</v>
      </c>
      <c r="AF28" s="14">
        <v>77.5</v>
      </c>
    </row>
    <row r="29" spans="1:32" x14ac:dyDescent="0.2">
      <c r="A29" s="3" t="s">
        <v>21</v>
      </c>
      <c r="B29" s="3">
        <f>B28*1.7</f>
        <v>108.38638594592543</v>
      </c>
      <c r="C29" s="14">
        <f t="shared" ref="C29:AF29" si="10">C28*1.7</f>
        <v>253.61128591302861</v>
      </c>
      <c r="D29" s="14">
        <f t="shared" si="10"/>
        <v>282.97605849428828</v>
      </c>
      <c r="E29" s="14">
        <f t="shared" si="10"/>
        <v>228.91778089358357</v>
      </c>
      <c r="F29" s="14">
        <f t="shared" si="10"/>
        <v>99.997132071532604</v>
      </c>
      <c r="G29" s="14">
        <f t="shared" si="10"/>
        <v>127.16175933884529</v>
      </c>
      <c r="H29" s="14">
        <f t="shared" si="10"/>
        <v>131.91909159643211</v>
      </c>
      <c r="I29" s="14">
        <f t="shared" si="10"/>
        <v>136.85068606028264</v>
      </c>
      <c r="J29" s="14">
        <f t="shared" si="10"/>
        <v>148.79238433411311</v>
      </c>
      <c r="K29" s="14">
        <f t="shared" si="10"/>
        <v>163.0130358459576</v>
      </c>
      <c r="L29" s="14">
        <f t="shared" si="10"/>
        <v>162.57706476577542</v>
      </c>
      <c r="M29" s="14">
        <f t="shared" si="10"/>
        <v>170.20870019611141</v>
      </c>
      <c r="N29" s="14">
        <f t="shared" si="10"/>
        <v>170.72184683571626</v>
      </c>
      <c r="O29" s="14">
        <f t="shared" si="10"/>
        <v>171.59219106135805</v>
      </c>
      <c r="P29" s="14">
        <f t="shared" si="10"/>
        <v>166.71771660650805</v>
      </c>
      <c r="Q29" s="14">
        <f t="shared" si="10"/>
        <v>166.00983855268618</v>
      </c>
      <c r="R29" s="14">
        <f t="shared" si="10"/>
        <v>158.27000000000001</v>
      </c>
      <c r="S29" s="14">
        <f t="shared" si="10"/>
        <v>157.93</v>
      </c>
      <c r="T29" s="14">
        <f t="shared" si="10"/>
        <v>154.87</v>
      </c>
      <c r="U29" s="14">
        <f t="shared" si="10"/>
        <v>150.11000000000001</v>
      </c>
      <c r="V29" s="14">
        <f t="shared" si="10"/>
        <v>151.47</v>
      </c>
      <c r="W29" s="14">
        <f t="shared" si="10"/>
        <v>157.59</v>
      </c>
      <c r="X29" s="14">
        <f t="shared" si="10"/>
        <v>148.07000000000002</v>
      </c>
      <c r="Y29" s="14">
        <f t="shared" si="10"/>
        <v>149.77000000000001</v>
      </c>
      <c r="Z29" s="14">
        <f t="shared" si="10"/>
        <v>140.76000000000002</v>
      </c>
      <c r="AA29" s="14">
        <f t="shared" si="10"/>
        <v>146.54</v>
      </c>
      <c r="AB29" s="14">
        <f t="shared" si="10"/>
        <v>137.69999999999999</v>
      </c>
      <c r="AC29" s="14">
        <f t="shared" si="10"/>
        <v>143.31</v>
      </c>
      <c r="AD29" s="14">
        <f t="shared" si="10"/>
        <v>134.64000000000001</v>
      </c>
      <c r="AE29" s="14">
        <f t="shared" si="10"/>
        <v>140.08000000000001</v>
      </c>
      <c r="AF29" s="14">
        <f t="shared" si="10"/>
        <v>131.75</v>
      </c>
    </row>
    <row r="30" spans="1:32" x14ac:dyDescent="0.2">
      <c r="A30" s="3" t="s">
        <v>22</v>
      </c>
      <c r="C30" s="14">
        <f>C28*1.6</f>
        <v>238.69297497696812</v>
      </c>
      <c r="D30" s="14">
        <f t="shared" ref="D30:AF30" si="11">D28*1.6</f>
        <v>266.3304079946243</v>
      </c>
      <c r="E30" s="14">
        <f t="shared" si="11"/>
        <v>215.45202907631398</v>
      </c>
      <c r="F30" s="14">
        <f t="shared" si="11"/>
        <v>94.114947832030694</v>
      </c>
      <c r="G30" s="14">
        <f t="shared" si="11"/>
        <v>119.68165584832498</v>
      </c>
      <c r="H30" s="14">
        <f t="shared" si="11"/>
        <v>124.15914503193611</v>
      </c>
      <c r="I30" s="14">
        <f t="shared" si="11"/>
        <v>128.80064570379542</v>
      </c>
      <c r="J30" s="14">
        <f t="shared" si="11"/>
        <v>140.03989113798883</v>
      </c>
      <c r="K30" s="14">
        <f t="shared" si="11"/>
        <v>153.42403373737187</v>
      </c>
      <c r="L30" s="14">
        <f t="shared" si="11"/>
        <v>153.01370801484745</v>
      </c>
      <c r="M30" s="14">
        <f t="shared" si="11"/>
        <v>160.1964237139872</v>
      </c>
      <c r="N30" s="14">
        <f t="shared" si="11"/>
        <v>160.67938525714473</v>
      </c>
      <c r="O30" s="14">
        <f t="shared" si="11"/>
        <v>161.49853276363112</v>
      </c>
      <c r="P30" s="14">
        <f t="shared" si="11"/>
        <v>156.9107921002429</v>
      </c>
      <c r="Q30" s="14">
        <f t="shared" si="11"/>
        <v>156.24455393193995</v>
      </c>
      <c r="R30" s="14">
        <f t="shared" si="11"/>
        <v>148.96</v>
      </c>
      <c r="S30" s="14">
        <f t="shared" si="11"/>
        <v>148.64000000000001</v>
      </c>
      <c r="T30" s="14">
        <f t="shared" si="11"/>
        <v>145.76000000000002</v>
      </c>
      <c r="U30" s="14">
        <f t="shared" si="11"/>
        <v>141.28000000000003</v>
      </c>
      <c r="V30" s="14">
        <f t="shared" si="11"/>
        <v>142.56000000000003</v>
      </c>
      <c r="W30" s="14">
        <f t="shared" si="11"/>
        <v>148.32000000000002</v>
      </c>
      <c r="X30" s="14">
        <f t="shared" si="11"/>
        <v>139.36000000000001</v>
      </c>
      <c r="Y30" s="14">
        <f t="shared" si="11"/>
        <v>140.96</v>
      </c>
      <c r="Z30" s="14">
        <f t="shared" si="11"/>
        <v>132.48000000000002</v>
      </c>
      <c r="AA30" s="14">
        <f t="shared" si="11"/>
        <v>137.92000000000002</v>
      </c>
      <c r="AB30" s="14">
        <f t="shared" si="11"/>
        <v>129.6</v>
      </c>
      <c r="AC30" s="14">
        <f t="shared" si="11"/>
        <v>134.88000000000002</v>
      </c>
      <c r="AD30" s="14">
        <f t="shared" si="11"/>
        <v>126.72000000000001</v>
      </c>
      <c r="AE30" s="14">
        <f t="shared" si="11"/>
        <v>131.84</v>
      </c>
      <c r="AF30" s="14">
        <f t="shared" si="11"/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9A849-CE5A-4F64-8EE8-35A8E24237FB}">
  <dimension ref="A1:AB83"/>
  <sheetViews>
    <sheetView workbookViewId="0">
      <selection activeCell="G2" sqref="G2"/>
    </sheetView>
  </sheetViews>
  <sheetFormatPr defaultRowHeight="11.25" x14ac:dyDescent="0.2"/>
  <cols>
    <col min="1" max="16384" width="9.140625" style="3"/>
  </cols>
  <sheetData>
    <row r="1" spans="1:28" x14ac:dyDescent="0.2">
      <c r="A1" s="3" t="s">
        <v>100</v>
      </c>
      <c r="B1" s="3" t="s">
        <v>40</v>
      </c>
      <c r="C1" s="3" t="s">
        <v>1</v>
      </c>
      <c r="D1" s="3" t="s">
        <v>43</v>
      </c>
      <c r="E1" s="3" t="s">
        <v>99</v>
      </c>
      <c r="F1" s="3" t="s">
        <v>40</v>
      </c>
      <c r="G1" s="3" t="s">
        <v>1</v>
      </c>
      <c r="H1" s="3" t="s">
        <v>43</v>
      </c>
      <c r="I1" s="3" t="s">
        <v>98</v>
      </c>
      <c r="J1" s="3" t="s">
        <v>40</v>
      </c>
      <c r="K1" s="3" t="s">
        <v>1</v>
      </c>
      <c r="L1" s="3" t="s">
        <v>43</v>
      </c>
      <c r="M1" s="3" t="s">
        <v>97</v>
      </c>
      <c r="N1" s="3" t="s">
        <v>40</v>
      </c>
      <c r="O1" s="3" t="s">
        <v>1</v>
      </c>
      <c r="P1" s="3" t="s">
        <v>43</v>
      </c>
      <c r="Q1" s="3" t="s">
        <v>96</v>
      </c>
      <c r="R1" s="3" t="s">
        <v>40</v>
      </c>
      <c r="S1" s="3" t="s">
        <v>1</v>
      </c>
      <c r="T1" s="3" t="s">
        <v>43</v>
      </c>
      <c r="U1" s="3" t="s">
        <v>95</v>
      </c>
      <c r="V1" s="3" t="s">
        <v>40</v>
      </c>
      <c r="W1" s="3" t="s">
        <v>1</v>
      </c>
      <c r="X1" s="3" t="s">
        <v>43</v>
      </c>
      <c r="Y1" s="3" t="s">
        <v>94</v>
      </c>
      <c r="Z1" s="3" t="s">
        <v>40</v>
      </c>
      <c r="AA1" s="3" t="s">
        <v>1</v>
      </c>
      <c r="AB1" s="3" t="s">
        <v>43</v>
      </c>
    </row>
    <row r="2" spans="1:28" x14ac:dyDescent="0.2">
      <c r="A2" s="3">
        <v>2021</v>
      </c>
      <c r="B2" s="4">
        <v>325.97110805384102</v>
      </c>
      <c r="C2" s="4">
        <v>387.56457995587618</v>
      </c>
      <c r="D2" s="4">
        <v>365.60779355990184</v>
      </c>
      <c r="E2" s="4"/>
      <c r="F2" s="4">
        <v>679.58239396686963</v>
      </c>
      <c r="G2" s="4">
        <v>892.90335843979972</v>
      </c>
      <c r="H2" s="4">
        <v>365.60779355990184</v>
      </c>
      <c r="I2" s="4"/>
      <c r="J2" s="4">
        <v>200.05656565656565</v>
      </c>
      <c r="K2" s="4">
        <v>165.15555555555559</v>
      </c>
      <c r="L2" s="4">
        <v>322.13333333333338</v>
      </c>
      <c r="M2" s="4"/>
      <c r="N2" s="4">
        <v>538.7495406335338</v>
      </c>
      <c r="O2" s="4">
        <v>831.59590675711138</v>
      </c>
      <c r="P2" s="4">
        <v>622.13333333333344</v>
      </c>
      <c r="Q2" s="4"/>
      <c r="R2" s="4">
        <v>320.8</v>
      </c>
      <c r="S2" s="4">
        <v>384.68333333333334</v>
      </c>
      <c r="T2" s="4">
        <v>379.2</v>
      </c>
      <c r="U2" s="4"/>
      <c r="V2" s="4">
        <v>225.06363636363633</v>
      </c>
      <c r="W2" s="4">
        <v>185.8</v>
      </c>
      <c r="X2" s="4">
        <v>362.4</v>
      </c>
      <c r="Y2" s="4"/>
      <c r="Z2" s="4">
        <f t="shared" ref="Z2:Z31" si="0">N2-F2</f>
        <v>-140.83285333333583</v>
      </c>
      <c r="AA2" s="4">
        <f t="shared" ref="AA2:AA31" si="1">O2-G2</f>
        <v>-61.307451682688338</v>
      </c>
      <c r="AB2" s="4">
        <f t="shared" ref="AB2:AB31" si="2">P2-H2</f>
        <v>256.5255397734316</v>
      </c>
    </row>
    <row r="3" spans="1:28" x14ac:dyDescent="0.2">
      <c r="A3" s="3">
        <v>2022</v>
      </c>
      <c r="B3" s="4">
        <v>494.42720929079604</v>
      </c>
      <c r="C3" s="4">
        <v>563.62144096576685</v>
      </c>
      <c r="D3" s="4">
        <v>493.4548226370195</v>
      </c>
      <c r="E3" s="4"/>
      <c r="F3" s="4">
        <v>877.40326778508438</v>
      </c>
      <c r="G3" s="4">
        <v>1027.769489506778</v>
      </c>
      <c r="H3" s="4">
        <v>560.36981452168027</v>
      </c>
      <c r="I3" s="4"/>
      <c r="J3" s="4">
        <v>251.02222222222224</v>
      </c>
      <c r="K3" s="4">
        <v>299.91111111111121</v>
      </c>
      <c r="L3" s="4">
        <v>336.53333333333342</v>
      </c>
      <c r="M3" s="4"/>
      <c r="N3" s="4">
        <v>617.35263021684659</v>
      </c>
      <c r="O3" s="4">
        <v>935.7254676496741</v>
      </c>
      <c r="P3" s="4">
        <v>760.41128780378358</v>
      </c>
      <c r="Q3" s="4"/>
      <c r="R3" s="4">
        <v>490.7166666666667</v>
      </c>
      <c r="S3" s="4">
        <v>562.48333333333335</v>
      </c>
      <c r="T3" s="4">
        <v>511.8</v>
      </c>
      <c r="U3" s="4"/>
      <c r="V3" s="4">
        <v>282.39999999999998</v>
      </c>
      <c r="W3" s="4">
        <v>337.40000000000003</v>
      </c>
      <c r="X3" s="4">
        <v>378.6</v>
      </c>
      <c r="Y3" s="4"/>
      <c r="Z3" s="4">
        <f t="shared" si="0"/>
        <v>-260.05063756823779</v>
      </c>
      <c r="AA3" s="4">
        <f t="shared" si="1"/>
        <v>-92.044021857103871</v>
      </c>
      <c r="AB3" s="4">
        <f t="shared" si="2"/>
        <v>200.04147328210331</v>
      </c>
    </row>
    <row r="4" spans="1:28" x14ac:dyDescent="0.2">
      <c r="A4" s="3">
        <v>2023</v>
      </c>
      <c r="B4" s="4">
        <v>424.43770692347738</v>
      </c>
      <c r="C4" s="4">
        <v>504.31799620733256</v>
      </c>
      <c r="D4" s="4">
        <v>410.81392467682809</v>
      </c>
      <c r="E4" s="4"/>
      <c r="F4" s="4">
        <v>753.35548781706098</v>
      </c>
      <c r="G4" s="4">
        <v>890.53585321076241</v>
      </c>
      <c r="H4" s="4">
        <v>466.80812833676288</v>
      </c>
      <c r="I4" s="4"/>
      <c r="J4" s="4">
        <v>436.19259259259263</v>
      </c>
      <c r="K4" s="4">
        <v>239.91111111111113</v>
      </c>
      <c r="L4" s="4">
        <v>279.25809163887868</v>
      </c>
      <c r="M4" s="4"/>
      <c r="N4" s="4">
        <v>1041.6446216689067</v>
      </c>
      <c r="O4" s="4">
        <v>945.28444972791453</v>
      </c>
      <c r="P4" s="4">
        <v>676.90891502165528</v>
      </c>
      <c r="Q4" s="4"/>
      <c r="R4" s="4">
        <v>411.42500000000001</v>
      </c>
      <c r="S4" s="4">
        <v>494.27500000000003</v>
      </c>
      <c r="T4" s="4">
        <v>426.08676013338277</v>
      </c>
      <c r="U4" s="4"/>
      <c r="V4" s="4">
        <v>490.7166666666667</v>
      </c>
      <c r="W4" s="4">
        <v>269.89999999999998</v>
      </c>
      <c r="X4" s="4">
        <v>314.16535309373847</v>
      </c>
      <c r="Y4" s="4"/>
      <c r="Z4" s="4">
        <f t="shared" si="0"/>
        <v>288.28913385184569</v>
      </c>
      <c r="AA4" s="4">
        <f t="shared" si="1"/>
        <v>54.748596517152123</v>
      </c>
      <c r="AB4" s="4">
        <f t="shared" si="2"/>
        <v>210.1007866848924</v>
      </c>
    </row>
    <row r="5" spans="1:28" x14ac:dyDescent="0.2">
      <c r="A5" s="3">
        <v>2024</v>
      </c>
      <c r="B5" s="4">
        <v>388.56883505614644</v>
      </c>
      <c r="C5" s="4">
        <v>457.80323988002283</v>
      </c>
      <c r="D5" s="4">
        <v>434.32492414073903</v>
      </c>
      <c r="E5" s="4"/>
      <c r="F5" s="4">
        <v>588.56596712767907</v>
      </c>
      <c r="G5" s="4">
        <v>703.47768278335468</v>
      </c>
      <c r="H5" s="4">
        <v>487.93576807739242</v>
      </c>
      <c r="I5" s="4"/>
      <c r="J5" s="4">
        <v>365.71111111111117</v>
      </c>
      <c r="K5" s="4">
        <v>276.17777777777786</v>
      </c>
      <c r="L5" s="4">
        <v>277.34677264252775</v>
      </c>
      <c r="M5" s="4"/>
      <c r="N5" s="4">
        <v>849.8260589431419</v>
      </c>
      <c r="O5" s="4">
        <v>850.8429208625704</v>
      </c>
      <c r="P5" s="4">
        <v>678.58346184211155</v>
      </c>
      <c r="Q5" s="4"/>
      <c r="R5" s="4">
        <v>369.82500000000005</v>
      </c>
      <c r="S5" s="4">
        <v>441.63333333333333</v>
      </c>
      <c r="T5" s="4">
        <v>450.4718283779805</v>
      </c>
      <c r="U5" s="4"/>
      <c r="V5" s="4">
        <v>411.42500000000001</v>
      </c>
      <c r="W5" s="4">
        <v>310.70000000000005</v>
      </c>
      <c r="X5" s="4">
        <v>312.01511922284368</v>
      </c>
      <c r="Y5" s="4"/>
      <c r="Z5" s="4">
        <f t="shared" si="0"/>
        <v>261.26009181546283</v>
      </c>
      <c r="AA5" s="4">
        <f t="shared" si="1"/>
        <v>147.36523807921571</v>
      </c>
      <c r="AB5" s="4">
        <f t="shared" si="2"/>
        <v>190.64769376471912</v>
      </c>
    </row>
    <row r="6" spans="1:28" x14ac:dyDescent="0.2">
      <c r="A6" s="3">
        <v>2025</v>
      </c>
      <c r="B6" s="4">
        <v>463.41537947086744</v>
      </c>
      <c r="C6" s="4">
        <v>533.26845078788983</v>
      </c>
      <c r="D6" s="4">
        <v>406.05521804913764</v>
      </c>
      <c r="E6" s="4"/>
      <c r="F6" s="4">
        <v>655.57713880971278</v>
      </c>
      <c r="G6" s="4">
        <v>854.88615038670275</v>
      </c>
      <c r="H6" s="4">
        <v>458.318399828856</v>
      </c>
      <c r="I6" s="4"/>
      <c r="J6" s="4">
        <v>328.73333333333341</v>
      </c>
      <c r="K6" s="4">
        <v>294.75555555555559</v>
      </c>
      <c r="L6" s="4">
        <v>405.87875942870977</v>
      </c>
      <c r="M6" s="4"/>
      <c r="N6" s="4">
        <v>838.41498918165837</v>
      </c>
      <c r="O6" s="4">
        <v>903.76170983549378</v>
      </c>
      <c r="P6" s="4">
        <v>815.66431417978401</v>
      </c>
      <c r="Q6" s="4"/>
      <c r="R6" s="4">
        <v>354.27499999999998</v>
      </c>
      <c r="S6" s="4">
        <v>426.72499999999997</v>
      </c>
      <c r="T6" s="4">
        <v>421.15113899782131</v>
      </c>
      <c r="U6" s="4"/>
      <c r="V6" s="4">
        <v>369.82500000000005</v>
      </c>
      <c r="W6" s="4">
        <v>331.6</v>
      </c>
      <c r="X6" s="4">
        <v>456.61360435729847</v>
      </c>
      <c r="Y6" s="4"/>
      <c r="Z6" s="4">
        <f t="shared" si="0"/>
        <v>182.83785037194559</v>
      </c>
      <c r="AA6" s="4">
        <f t="shared" si="1"/>
        <v>48.875559448791023</v>
      </c>
      <c r="AB6" s="4">
        <f t="shared" si="2"/>
        <v>357.34591435092801</v>
      </c>
    </row>
    <row r="7" spans="1:28" x14ac:dyDescent="0.2">
      <c r="A7" s="3">
        <v>2026</v>
      </c>
      <c r="B7" s="4">
        <v>289.13641883067174</v>
      </c>
      <c r="C7" s="4">
        <v>350.33137309556349</v>
      </c>
      <c r="D7" s="4">
        <v>429.16492898044174</v>
      </c>
      <c r="E7" s="4"/>
      <c r="F7" s="4">
        <v>486.05551042710385</v>
      </c>
      <c r="G7" s="4">
        <v>681.0284130193927</v>
      </c>
      <c r="H7" s="4">
        <v>486.24482259331188</v>
      </c>
      <c r="I7" s="4"/>
      <c r="J7" s="4">
        <v>203.82222222222228</v>
      </c>
      <c r="K7" s="4">
        <v>283.9111111111111</v>
      </c>
      <c r="L7" s="4">
        <v>283.9111111111111</v>
      </c>
      <c r="M7" s="4"/>
      <c r="N7" s="4">
        <v>717.98136725415839</v>
      </c>
      <c r="O7" s="4">
        <v>902.468207733496</v>
      </c>
      <c r="P7" s="4">
        <v>725.36847406723598</v>
      </c>
      <c r="Q7" s="4"/>
      <c r="R7" s="4">
        <v>172.16</v>
      </c>
      <c r="S7" s="4">
        <v>235.63</v>
      </c>
      <c r="T7" s="4">
        <v>445.12</v>
      </c>
      <c r="U7" s="4"/>
      <c r="V7" s="4">
        <v>229.3</v>
      </c>
      <c r="W7" s="4">
        <v>319.39999999999998</v>
      </c>
      <c r="X7" s="4">
        <v>319.39999999999998</v>
      </c>
      <c r="Y7" s="4"/>
      <c r="Z7" s="4">
        <f t="shared" si="0"/>
        <v>231.92585682705453</v>
      </c>
      <c r="AA7" s="4">
        <f t="shared" si="1"/>
        <v>221.4397947141033</v>
      </c>
      <c r="AB7" s="4">
        <f t="shared" si="2"/>
        <v>239.1236514739241</v>
      </c>
    </row>
    <row r="8" spans="1:28" x14ac:dyDescent="0.2">
      <c r="A8" s="3">
        <v>2027</v>
      </c>
      <c r="B8" s="4">
        <v>277.67540380080845</v>
      </c>
      <c r="C8" s="4">
        <v>339.72845652632338</v>
      </c>
      <c r="D8" s="4">
        <v>436.94566446047446</v>
      </c>
      <c r="E8" s="4"/>
      <c r="F8" s="4">
        <v>479.52608986109112</v>
      </c>
      <c r="G8" s="4">
        <v>673.9623029930184</v>
      </c>
      <c r="H8" s="4">
        <v>494.06716800587805</v>
      </c>
      <c r="I8" s="4"/>
      <c r="J8" s="4">
        <v>200.56888888888892</v>
      </c>
      <c r="K8" s="4">
        <v>279.37777777777785</v>
      </c>
      <c r="L8" s="4">
        <v>279.37777777777785</v>
      </c>
      <c r="M8" s="4"/>
      <c r="N8" s="4">
        <v>719.36953459268432</v>
      </c>
      <c r="O8" s="4">
        <v>902.52863527704517</v>
      </c>
      <c r="P8" s="4">
        <v>739.2106620112213</v>
      </c>
      <c r="Q8" s="4"/>
      <c r="R8" s="4">
        <v>175.27</v>
      </c>
      <c r="S8" s="4">
        <v>239.63</v>
      </c>
      <c r="T8" s="4">
        <v>453.19</v>
      </c>
      <c r="U8" s="4"/>
      <c r="V8" s="4">
        <v>225.64</v>
      </c>
      <c r="W8" s="4">
        <v>314.3</v>
      </c>
      <c r="X8" s="4">
        <v>314.3</v>
      </c>
      <c r="Y8" s="4"/>
      <c r="Z8" s="4">
        <f t="shared" si="0"/>
        <v>239.84344473159319</v>
      </c>
      <c r="AA8" s="4">
        <f t="shared" si="1"/>
        <v>228.56633228402677</v>
      </c>
      <c r="AB8" s="4">
        <f t="shared" si="2"/>
        <v>245.14349400534326</v>
      </c>
    </row>
    <row r="9" spans="1:28" x14ac:dyDescent="0.2">
      <c r="A9" s="3">
        <v>2028</v>
      </c>
      <c r="B9" s="4">
        <v>279.700520099328</v>
      </c>
      <c r="C9" s="4">
        <v>342.48633106088073</v>
      </c>
      <c r="D9" s="4">
        <v>445.92195285193725</v>
      </c>
      <c r="E9" s="4"/>
      <c r="F9" s="4">
        <v>493.49290443344114</v>
      </c>
      <c r="G9" s="4">
        <v>689.69654175549931</v>
      </c>
      <c r="H9" s="4">
        <v>501.68885327771562</v>
      </c>
      <c r="I9" s="4"/>
      <c r="J9" s="4">
        <v>197.06666666666669</v>
      </c>
      <c r="K9" s="4">
        <v>274.48888888888894</v>
      </c>
      <c r="L9" s="4">
        <v>274.48888888888894</v>
      </c>
      <c r="M9" s="4"/>
      <c r="N9" s="4">
        <v>727.10655780465549</v>
      </c>
      <c r="O9" s="4">
        <v>911.25619111862534</v>
      </c>
      <c r="P9" s="4">
        <v>748.19117238091235</v>
      </c>
      <c r="Q9" s="4"/>
      <c r="R9" s="4">
        <v>178.86</v>
      </c>
      <c r="S9" s="4">
        <v>243.98</v>
      </c>
      <c r="T9" s="4">
        <v>462.5</v>
      </c>
      <c r="U9" s="4"/>
      <c r="V9" s="4">
        <v>221.7</v>
      </c>
      <c r="W9" s="4">
        <v>308.8</v>
      </c>
      <c r="X9" s="4">
        <v>308.8</v>
      </c>
      <c r="Y9" s="4"/>
      <c r="Z9" s="4">
        <f t="shared" si="0"/>
        <v>233.61365337121435</v>
      </c>
      <c r="AA9" s="4">
        <f t="shared" si="1"/>
        <v>221.55964936312603</v>
      </c>
      <c r="AB9" s="4">
        <f t="shared" si="2"/>
        <v>246.50231910319673</v>
      </c>
    </row>
    <row r="10" spans="1:28" x14ac:dyDescent="0.2">
      <c r="A10" s="3">
        <v>2029</v>
      </c>
      <c r="B10" s="4">
        <v>290.77847414106611</v>
      </c>
      <c r="C10" s="4">
        <v>355.0972924648558</v>
      </c>
      <c r="D10" s="4">
        <v>454.45472967948245</v>
      </c>
      <c r="E10" s="4"/>
      <c r="F10" s="4">
        <v>518.79150998702369</v>
      </c>
      <c r="G10" s="4">
        <v>723.93281920804395</v>
      </c>
      <c r="H10" s="4">
        <v>510.02792045585636</v>
      </c>
      <c r="I10" s="4"/>
      <c r="J10" s="4">
        <v>219.73333333333338</v>
      </c>
      <c r="K10" s="4">
        <v>306.13333333333333</v>
      </c>
      <c r="L10" s="4">
        <v>306.13333333333333</v>
      </c>
      <c r="M10" s="4"/>
      <c r="N10" s="4">
        <v>763.15736707070528</v>
      </c>
      <c r="O10" s="4">
        <v>965.22231907448645</v>
      </c>
      <c r="P10" s="4">
        <v>801.99743954310031</v>
      </c>
      <c r="Q10" s="4"/>
      <c r="R10" s="4">
        <v>182.28</v>
      </c>
      <c r="S10" s="4">
        <v>248.99</v>
      </c>
      <c r="T10" s="4">
        <v>471.35</v>
      </c>
      <c r="U10" s="4"/>
      <c r="V10" s="4">
        <v>247.2</v>
      </c>
      <c r="W10" s="4">
        <v>344.4</v>
      </c>
      <c r="X10" s="4">
        <v>344.4</v>
      </c>
      <c r="Y10" s="4"/>
      <c r="Z10" s="4">
        <f t="shared" si="0"/>
        <v>244.36585708368159</v>
      </c>
      <c r="AA10" s="4">
        <f t="shared" si="1"/>
        <v>241.2894998664425</v>
      </c>
      <c r="AB10" s="4">
        <f t="shared" si="2"/>
        <v>291.96951908724395</v>
      </c>
    </row>
    <row r="11" spans="1:28" x14ac:dyDescent="0.2">
      <c r="A11" s="3">
        <v>2030</v>
      </c>
      <c r="B11" s="4">
        <v>325.2811428443128</v>
      </c>
      <c r="C11" s="4">
        <v>390.89192963690596</v>
      </c>
      <c r="D11" s="4">
        <v>463.02607272997699</v>
      </c>
      <c r="E11" s="4"/>
      <c r="F11" s="4">
        <v>552.85820761008824</v>
      </c>
      <c r="G11" s="4">
        <v>751.64076024284554</v>
      </c>
      <c r="H11" s="4">
        <v>518.66252424011179</v>
      </c>
      <c r="I11" s="4"/>
      <c r="J11" s="4">
        <v>215.84888888888892</v>
      </c>
      <c r="K11" s="4">
        <v>300.71111111111117</v>
      </c>
      <c r="L11" s="4">
        <v>300.71111111111117</v>
      </c>
      <c r="M11" s="4"/>
      <c r="N11" s="4">
        <v>758.8625969037364</v>
      </c>
      <c r="O11" s="4">
        <v>953.48076697366264</v>
      </c>
      <c r="P11" s="4">
        <v>824.10214386895814</v>
      </c>
      <c r="Q11" s="4"/>
      <c r="R11" s="4">
        <v>185.7</v>
      </c>
      <c r="S11" s="4">
        <v>253.75</v>
      </c>
      <c r="T11" s="4">
        <v>480.24</v>
      </c>
      <c r="U11" s="4"/>
      <c r="V11" s="4">
        <v>242.83</v>
      </c>
      <c r="W11" s="4">
        <v>338.3</v>
      </c>
      <c r="X11" s="4">
        <v>338.3</v>
      </c>
      <c r="Y11" s="4"/>
      <c r="Z11" s="4">
        <f t="shared" si="0"/>
        <v>206.00438929364816</v>
      </c>
      <c r="AA11" s="4">
        <f t="shared" si="1"/>
        <v>201.84000673081709</v>
      </c>
      <c r="AB11" s="4">
        <f t="shared" si="2"/>
        <v>305.43961962884634</v>
      </c>
    </row>
    <row r="12" spans="1:28" x14ac:dyDescent="0.2">
      <c r="A12" s="3">
        <v>2031</v>
      </c>
      <c r="B12" s="4">
        <v>324.8416303103138</v>
      </c>
      <c r="C12" s="4">
        <v>391.76366868318507</v>
      </c>
      <c r="D12" s="4">
        <v>471.60705733620887</v>
      </c>
      <c r="E12" s="4"/>
      <c r="F12" s="4">
        <v>560.05033050642521</v>
      </c>
      <c r="G12" s="4">
        <v>755.08978371629883</v>
      </c>
      <c r="H12" s="4">
        <v>526.64572238006758</v>
      </c>
      <c r="I12" s="4"/>
      <c r="J12" s="4">
        <v>212.54222222222228</v>
      </c>
      <c r="K12" s="4">
        <v>296.08888888888896</v>
      </c>
      <c r="L12" s="4">
        <v>296.08888888888896</v>
      </c>
      <c r="M12" s="4"/>
      <c r="N12" s="4">
        <v>762.73864593620942</v>
      </c>
      <c r="O12" s="4">
        <v>952.54209979831853</v>
      </c>
      <c r="P12" s="4">
        <v>816.24383519270464</v>
      </c>
      <c r="Q12" s="4"/>
      <c r="R12" s="4">
        <v>189.13</v>
      </c>
      <c r="S12" s="4">
        <v>258.54000000000002</v>
      </c>
      <c r="T12" s="4">
        <v>489.14</v>
      </c>
      <c r="U12" s="4"/>
      <c r="V12" s="4">
        <v>239.11</v>
      </c>
      <c r="W12" s="4">
        <v>333.1</v>
      </c>
      <c r="X12" s="4">
        <v>333.1</v>
      </c>
      <c r="Y12" s="4"/>
      <c r="Z12" s="4">
        <f t="shared" si="0"/>
        <v>202.68831542978421</v>
      </c>
      <c r="AA12" s="4">
        <f t="shared" si="1"/>
        <v>197.45231608201971</v>
      </c>
      <c r="AB12" s="4">
        <f t="shared" si="2"/>
        <v>289.59811281263705</v>
      </c>
    </row>
    <row r="13" spans="1:28" x14ac:dyDescent="0.2">
      <c r="A13" s="3">
        <v>2032</v>
      </c>
      <c r="B13" s="4">
        <v>308.67266901008026</v>
      </c>
      <c r="C13" s="4">
        <v>376.90595896322958</v>
      </c>
      <c r="D13" s="4">
        <v>480.17840038670334</v>
      </c>
      <c r="E13" s="4"/>
      <c r="F13" s="4">
        <v>544.39451584579649</v>
      </c>
      <c r="G13" s="4">
        <v>736.88071137501299</v>
      </c>
      <c r="H13" s="4">
        <v>534.38547459027382</v>
      </c>
      <c r="I13" s="4"/>
      <c r="J13" s="4">
        <v>210.69333333333336</v>
      </c>
      <c r="K13" s="4">
        <v>293.51111111111112</v>
      </c>
      <c r="L13" s="4">
        <v>293.51111111111112</v>
      </c>
      <c r="M13" s="4"/>
      <c r="N13" s="4">
        <v>761.37271859047814</v>
      </c>
      <c r="O13" s="4">
        <v>948.09289862188643</v>
      </c>
      <c r="P13" s="4">
        <v>808.94611248285844</v>
      </c>
      <c r="Q13" s="4"/>
      <c r="R13" s="4">
        <v>192.56</v>
      </c>
      <c r="S13" s="4">
        <v>263.33</v>
      </c>
      <c r="T13" s="4">
        <v>498.03</v>
      </c>
      <c r="U13" s="4"/>
      <c r="V13" s="4">
        <v>237.03</v>
      </c>
      <c r="W13" s="4">
        <v>330.2</v>
      </c>
      <c r="X13" s="4">
        <v>330.2</v>
      </c>
      <c r="Y13" s="4"/>
      <c r="Z13" s="4">
        <f t="shared" si="0"/>
        <v>216.97820274468165</v>
      </c>
      <c r="AA13" s="4">
        <f t="shared" si="1"/>
        <v>211.21218724687344</v>
      </c>
      <c r="AB13" s="4">
        <f t="shared" si="2"/>
        <v>274.56063789258462</v>
      </c>
    </row>
    <row r="14" spans="1:28" x14ac:dyDescent="0.2">
      <c r="A14" s="3">
        <v>2033</v>
      </c>
      <c r="B14" s="4">
        <v>333.22095519037907</v>
      </c>
      <c r="C14" s="4">
        <v>402.76549672380656</v>
      </c>
      <c r="D14" s="4">
        <v>488.74974343719788</v>
      </c>
      <c r="E14" s="4"/>
      <c r="F14" s="4">
        <v>569.81314625173718</v>
      </c>
      <c r="G14" s="4">
        <v>763.26094049201924</v>
      </c>
      <c r="H14" s="4">
        <v>542.68709711066492</v>
      </c>
      <c r="I14" s="4"/>
      <c r="J14" s="4">
        <v>207.12888888888892</v>
      </c>
      <c r="K14" s="4">
        <v>288.53333333333336</v>
      </c>
      <c r="L14" s="4">
        <v>288.53333333333336</v>
      </c>
      <c r="M14" s="4"/>
      <c r="N14" s="4">
        <v>758.62742165252007</v>
      </c>
      <c r="O14" s="4">
        <v>945.47380428008114</v>
      </c>
      <c r="P14" s="4">
        <v>802.41251961554997</v>
      </c>
      <c r="Q14" s="4"/>
      <c r="R14" s="4">
        <v>195.99</v>
      </c>
      <c r="S14" s="4">
        <v>268.12</v>
      </c>
      <c r="T14" s="4">
        <v>506.92</v>
      </c>
      <c r="U14" s="4"/>
      <c r="V14" s="4">
        <v>233.02</v>
      </c>
      <c r="W14" s="4">
        <v>324.60000000000002</v>
      </c>
      <c r="X14" s="4">
        <v>324.60000000000002</v>
      </c>
      <c r="Y14" s="4"/>
      <c r="Z14" s="4">
        <f t="shared" si="0"/>
        <v>188.81427540078289</v>
      </c>
      <c r="AA14" s="4">
        <f t="shared" si="1"/>
        <v>182.2128637880619</v>
      </c>
      <c r="AB14" s="4">
        <f t="shared" si="2"/>
        <v>259.72542250488505</v>
      </c>
    </row>
    <row r="15" spans="1:28" x14ac:dyDescent="0.2">
      <c r="A15" s="3">
        <v>2034</v>
      </c>
      <c r="B15" s="4">
        <v>360.6260550475003</v>
      </c>
      <c r="C15" s="4">
        <v>431.47220660546867</v>
      </c>
      <c r="D15" s="4">
        <v>497.33072804342981</v>
      </c>
      <c r="E15" s="4"/>
      <c r="F15" s="4">
        <v>592.34377165400838</v>
      </c>
      <c r="G15" s="4">
        <v>791.94610603718274</v>
      </c>
      <c r="H15" s="4">
        <v>552.06334454943203</v>
      </c>
      <c r="I15" s="4"/>
      <c r="J15" s="4">
        <v>204.00888888888889</v>
      </c>
      <c r="K15" s="4">
        <v>284.17777777777781</v>
      </c>
      <c r="L15" s="4">
        <v>284.17777777777781</v>
      </c>
      <c r="M15" s="4"/>
      <c r="N15" s="4">
        <v>750.91968098913185</v>
      </c>
      <c r="O15" s="4">
        <v>944.39933753188097</v>
      </c>
      <c r="P15" s="4">
        <v>802.55067767747687</v>
      </c>
      <c r="Q15" s="4"/>
      <c r="R15" s="4">
        <v>199.42</v>
      </c>
      <c r="S15" s="4">
        <v>272.89999999999998</v>
      </c>
      <c r="T15" s="4">
        <v>515.82000000000005</v>
      </c>
      <c r="U15" s="4"/>
      <c r="V15" s="4">
        <v>229.51</v>
      </c>
      <c r="W15" s="4">
        <v>319.7</v>
      </c>
      <c r="X15" s="4">
        <v>319.7</v>
      </c>
      <c r="Y15" s="4"/>
      <c r="Z15" s="4">
        <f t="shared" si="0"/>
        <v>158.57590933512347</v>
      </c>
      <c r="AA15" s="4">
        <f t="shared" si="1"/>
        <v>152.45323149469823</v>
      </c>
      <c r="AB15" s="4">
        <f t="shared" si="2"/>
        <v>250.48733312804484</v>
      </c>
    </row>
    <row r="16" spans="1:28" x14ac:dyDescent="0.2">
      <c r="A16" s="3">
        <v>2035</v>
      </c>
      <c r="B16" s="4">
        <v>370.95214393050259</v>
      </c>
      <c r="C16" s="4">
        <v>443.10954706874912</v>
      </c>
      <c r="D16" s="4">
        <v>505.90207109392435</v>
      </c>
      <c r="E16" s="4"/>
      <c r="F16" s="4">
        <v>601.96198248318876</v>
      </c>
      <c r="G16" s="4">
        <v>797.61521910605529</v>
      </c>
      <c r="H16" s="4">
        <v>565.26395327673572</v>
      </c>
      <c r="I16" s="4"/>
      <c r="J16" s="4">
        <v>201.01333333333335</v>
      </c>
      <c r="K16" s="4">
        <v>280</v>
      </c>
      <c r="L16" s="4">
        <v>280</v>
      </c>
      <c r="M16" s="4"/>
      <c r="N16" s="4">
        <v>747.25788726527321</v>
      </c>
      <c r="O16" s="4">
        <v>935.76832469052761</v>
      </c>
      <c r="P16" s="4">
        <v>824.74727791119597</v>
      </c>
      <c r="Q16" s="4"/>
      <c r="R16" s="4">
        <v>202.85</v>
      </c>
      <c r="S16" s="4">
        <v>277.69</v>
      </c>
      <c r="T16" s="4">
        <v>524.71</v>
      </c>
      <c r="U16" s="4"/>
      <c r="V16" s="4">
        <v>226.14</v>
      </c>
      <c r="W16" s="4">
        <v>315</v>
      </c>
      <c r="X16" s="4">
        <v>315</v>
      </c>
      <c r="Y16" s="4"/>
      <c r="Z16" s="4">
        <f t="shared" si="0"/>
        <v>145.29590478208445</v>
      </c>
      <c r="AA16" s="4">
        <f t="shared" si="1"/>
        <v>138.15310558447231</v>
      </c>
      <c r="AB16" s="4">
        <f t="shared" si="2"/>
        <v>259.48332463446025</v>
      </c>
    </row>
    <row r="17" spans="1:28" x14ac:dyDescent="0.2">
      <c r="A17" s="3">
        <v>2036</v>
      </c>
      <c r="B17" s="4">
        <v>381.161459601822</v>
      </c>
      <c r="C17" s="4">
        <v>454.63011432034659</v>
      </c>
      <c r="D17" s="4">
        <v>514.47341414441883</v>
      </c>
      <c r="E17" s="4"/>
      <c r="F17" s="4">
        <v>604.43145960182198</v>
      </c>
      <c r="G17" s="4">
        <v>802.36180694709367</v>
      </c>
      <c r="H17" s="4">
        <v>571.47483484598183</v>
      </c>
      <c r="I17" s="4"/>
      <c r="J17" s="4">
        <v>198.6577777777778</v>
      </c>
      <c r="K17" s="4">
        <v>276.71111111111111</v>
      </c>
      <c r="L17" s="4">
        <v>276.71111111111111</v>
      </c>
      <c r="M17" s="4"/>
      <c r="N17" s="4">
        <v>737.61777777777786</v>
      </c>
      <c r="O17" s="4">
        <v>929.17168658086098</v>
      </c>
      <c r="P17" s="4">
        <v>808.02372967856877</v>
      </c>
      <c r="Q17" s="4"/>
      <c r="R17" s="4">
        <v>206.28</v>
      </c>
      <c r="S17" s="4">
        <v>282.48</v>
      </c>
      <c r="T17" s="4">
        <v>533.6</v>
      </c>
      <c r="U17" s="4"/>
      <c r="V17" s="4">
        <v>223.49</v>
      </c>
      <c r="W17" s="4">
        <v>311.3</v>
      </c>
      <c r="X17" s="4">
        <v>311.3</v>
      </c>
      <c r="Y17" s="4"/>
      <c r="Z17" s="4">
        <f t="shared" si="0"/>
        <v>133.18631817595588</v>
      </c>
      <c r="AA17" s="4">
        <f t="shared" si="1"/>
        <v>126.80987963376731</v>
      </c>
      <c r="AB17" s="4">
        <f t="shared" si="2"/>
        <v>236.54889483258694</v>
      </c>
    </row>
    <row r="18" spans="1:28" x14ac:dyDescent="0.2">
      <c r="A18" s="3">
        <v>2037</v>
      </c>
      <c r="B18" s="4">
        <v>343.20770621518579</v>
      </c>
      <c r="C18" s="4">
        <v>417.98761251398844</v>
      </c>
      <c r="D18" s="4">
        <v>523.05439875065076</v>
      </c>
      <c r="E18" s="4"/>
      <c r="F18" s="4">
        <v>566.13770621518574</v>
      </c>
      <c r="G18" s="4">
        <v>759.93405290313081</v>
      </c>
      <c r="H18" s="4">
        <v>582.78304596946657</v>
      </c>
      <c r="I18" s="4"/>
      <c r="J18" s="4">
        <v>195.41333333333336</v>
      </c>
      <c r="K18" s="4">
        <v>272.17777777777781</v>
      </c>
      <c r="L18" s="4">
        <v>272.17777777777781</v>
      </c>
      <c r="M18" s="4"/>
      <c r="N18" s="4">
        <v>734.0533333333334</v>
      </c>
      <c r="O18" s="4">
        <v>920.17481995954233</v>
      </c>
      <c r="P18" s="4">
        <v>819.00390322447311</v>
      </c>
      <c r="Q18" s="4"/>
      <c r="R18" s="4">
        <v>209.71</v>
      </c>
      <c r="S18" s="4">
        <v>287.27</v>
      </c>
      <c r="T18" s="4">
        <v>542.5</v>
      </c>
      <c r="U18" s="4"/>
      <c r="V18" s="4">
        <v>219.84</v>
      </c>
      <c r="W18" s="4">
        <v>306.2</v>
      </c>
      <c r="X18" s="4">
        <v>306.2</v>
      </c>
      <c r="Y18" s="4"/>
      <c r="Z18" s="4">
        <f t="shared" si="0"/>
        <v>167.91562711814765</v>
      </c>
      <c r="AA18" s="4">
        <f t="shared" si="1"/>
        <v>160.24076705641153</v>
      </c>
      <c r="AB18" s="4">
        <f t="shared" si="2"/>
        <v>236.22085725500654</v>
      </c>
    </row>
    <row r="19" spans="1:28" x14ac:dyDescent="0.2">
      <c r="A19" s="3">
        <v>2038</v>
      </c>
      <c r="B19" s="4">
        <v>352.24197299281462</v>
      </c>
      <c r="C19" s="4">
        <v>428.32348931615815</v>
      </c>
      <c r="D19" s="4">
        <v>531.62574180114518</v>
      </c>
      <c r="E19" s="4"/>
      <c r="F19" s="4">
        <v>572.11197299281457</v>
      </c>
      <c r="G19" s="4">
        <v>760.75596180953323</v>
      </c>
      <c r="H19" s="4">
        <v>589.64807357328959</v>
      </c>
      <c r="I19" s="4"/>
      <c r="J19" s="4">
        <v>192.35555555555558</v>
      </c>
      <c r="K19" s="4">
        <v>267.91111111111115</v>
      </c>
      <c r="L19" s="4">
        <v>267.91111111111115</v>
      </c>
      <c r="M19" s="4"/>
      <c r="N19" s="4">
        <v>728.1155555555556</v>
      </c>
      <c r="O19" s="4">
        <v>907.13763198094296</v>
      </c>
      <c r="P19" s="4">
        <v>805.02514322371565</v>
      </c>
      <c r="Q19" s="4"/>
      <c r="R19" s="4">
        <v>213.14</v>
      </c>
      <c r="S19" s="4">
        <v>292.05</v>
      </c>
      <c r="T19" s="4">
        <v>551.39</v>
      </c>
      <c r="U19" s="4"/>
      <c r="V19" s="4">
        <v>216.4</v>
      </c>
      <c r="W19" s="4">
        <v>301.39999999999998</v>
      </c>
      <c r="X19" s="4">
        <v>301.39999999999998</v>
      </c>
      <c r="Y19" s="4"/>
      <c r="Z19" s="4">
        <f t="shared" si="0"/>
        <v>156.00358256274103</v>
      </c>
      <c r="AA19" s="4">
        <f t="shared" si="1"/>
        <v>146.38167017140972</v>
      </c>
      <c r="AB19" s="4">
        <f t="shared" si="2"/>
        <v>215.37706965042605</v>
      </c>
    </row>
    <row r="20" spans="1:28" x14ac:dyDescent="0.2">
      <c r="A20" s="3">
        <v>2039</v>
      </c>
      <c r="B20" s="4">
        <v>338.03901777351865</v>
      </c>
      <c r="C20" s="4">
        <v>415.43178567714023</v>
      </c>
      <c r="D20" s="4">
        <v>540.19708485163972</v>
      </c>
      <c r="E20" s="4"/>
      <c r="F20" s="4">
        <v>553.14901777351861</v>
      </c>
      <c r="G20" s="4">
        <v>739.29976305753678</v>
      </c>
      <c r="H20" s="4">
        <v>595.22393204390755</v>
      </c>
      <c r="I20" s="4"/>
      <c r="J20" s="4">
        <v>189.9377777777778</v>
      </c>
      <c r="K20" s="4">
        <v>264.53333333333342</v>
      </c>
      <c r="L20" s="4">
        <v>264.53333333333342</v>
      </c>
      <c r="M20" s="4"/>
      <c r="N20" s="4">
        <v>721.21777777777788</v>
      </c>
      <c r="O20" s="4">
        <v>896.82460941370823</v>
      </c>
      <c r="P20" s="4">
        <v>784.60656776285532</v>
      </c>
      <c r="Q20" s="4"/>
      <c r="R20" s="4">
        <v>216.57</v>
      </c>
      <c r="S20" s="4">
        <v>296.83999999999997</v>
      </c>
      <c r="T20" s="4">
        <v>560.28</v>
      </c>
      <c r="U20" s="4"/>
      <c r="V20" s="4">
        <v>213.68</v>
      </c>
      <c r="W20" s="4">
        <v>297.60000000000002</v>
      </c>
      <c r="X20" s="4">
        <v>297.60000000000002</v>
      </c>
      <c r="Y20" s="4"/>
      <c r="Z20" s="4">
        <f t="shared" si="0"/>
        <v>168.06876000425927</v>
      </c>
      <c r="AA20" s="4">
        <f t="shared" si="1"/>
        <v>157.52484635617145</v>
      </c>
      <c r="AB20" s="4">
        <f t="shared" si="2"/>
        <v>189.38263571894777</v>
      </c>
    </row>
    <row r="21" spans="1:28" x14ac:dyDescent="0.2">
      <c r="A21" s="3">
        <v>2040</v>
      </c>
      <c r="B21" s="4">
        <v>332.37860555306185</v>
      </c>
      <c r="C21" s="4">
        <v>411.08262503696159</v>
      </c>
      <c r="D21" s="4">
        <v>548.77806945787154</v>
      </c>
      <c r="E21" s="4"/>
      <c r="F21" s="4">
        <v>548.84860555306182</v>
      </c>
      <c r="G21" s="4">
        <v>733.88570922338454</v>
      </c>
      <c r="H21" s="4">
        <v>603.58486379428757</v>
      </c>
      <c r="I21" s="4"/>
      <c r="J21" s="4">
        <v>189.75111111111113</v>
      </c>
      <c r="K21" s="4">
        <v>264.26666666666671</v>
      </c>
      <c r="L21" s="4">
        <v>264.26666666666671</v>
      </c>
      <c r="M21" s="4"/>
      <c r="N21" s="4">
        <v>722.31111111111113</v>
      </c>
      <c r="O21" s="4">
        <v>897.43440344748194</v>
      </c>
      <c r="P21" s="4">
        <v>783.08636350601876</v>
      </c>
      <c r="Q21" s="4"/>
      <c r="R21" s="4">
        <v>220</v>
      </c>
      <c r="S21" s="4">
        <v>301.63</v>
      </c>
      <c r="T21" s="4">
        <v>569.17999999999995</v>
      </c>
      <c r="U21" s="4"/>
      <c r="V21" s="4">
        <v>213.47</v>
      </c>
      <c r="W21" s="4">
        <v>297.3</v>
      </c>
      <c r="X21" s="4">
        <v>297.3</v>
      </c>
      <c r="Y21" s="4"/>
      <c r="Z21" s="4">
        <f t="shared" si="0"/>
        <v>173.46250555804932</v>
      </c>
      <c r="AA21" s="4">
        <f t="shared" si="1"/>
        <v>163.5486942240974</v>
      </c>
      <c r="AB21" s="4">
        <f t="shared" si="2"/>
        <v>179.50149971173119</v>
      </c>
    </row>
    <row r="22" spans="1:28" x14ac:dyDescent="0.2">
      <c r="A22" s="3">
        <v>2041</v>
      </c>
      <c r="B22" s="4">
        <v>350.70182977798834</v>
      </c>
      <c r="C22" s="4">
        <v>430.71710084216625</v>
      </c>
      <c r="D22" s="4">
        <v>557.34941250836619</v>
      </c>
      <c r="E22" s="4"/>
      <c r="F22" s="4">
        <v>573.29182977798837</v>
      </c>
      <c r="G22" s="4">
        <v>758.77347877274542</v>
      </c>
      <c r="H22" s="4">
        <v>613.88144545488763</v>
      </c>
      <c r="I22" s="4"/>
      <c r="J22" s="4">
        <v>188.85333333333338</v>
      </c>
      <c r="K22" s="4">
        <v>263.02222222222224</v>
      </c>
      <c r="L22" s="4">
        <v>263.02222222222224</v>
      </c>
      <c r="M22" s="4"/>
      <c r="N22" s="4">
        <v>727.1733333333334</v>
      </c>
      <c r="O22" s="4">
        <v>904.3733811272981</v>
      </c>
      <c r="P22" s="4">
        <v>791.65843400020344</v>
      </c>
      <c r="Q22" s="4"/>
      <c r="R22" s="4">
        <v>223.43</v>
      </c>
      <c r="S22" s="4">
        <v>306.42</v>
      </c>
      <c r="T22" s="4">
        <v>578.07000000000005</v>
      </c>
      <c r="U22" s="4"/>
      <c r="V22" s="4">
        <v>212.46</v>
      </c>
      <c r="W22" s="4">
        <v>295.89999999999998</v>
      </c>
      <c r="X22" s="4">
        <v>295.89999999999998</v>
      </c>
      <c r="Y22" s="4"/>
      <c r="Z22" s="4">
        <f t="shared" si="0"/>
        <v>153.88150355534503</v>
      </c>
      <c r="AA22" s="4">
        <f t="shared" si="1"/>
        <v>145.59990235455268</v>
      </c>
      <c r="AB22" s="4">
        <f t="shared" si="2"/>
        <v>177.77698854531582</v>
      </c>
    </row>
    <row r="23" spans="1:28" x14ac:dyDescent="0.2">
      <c r="A23" s="3">
        <v>2042</v>
      </c>
      <c r="B23" s="4">
        <v>371.1482009471116</v>
      </c>
      <c r="C23" s="4">
        <v>452.47472359156757</v>
      </c>
      <c r="D23" s="4">
        <v>565.92075555886072</v>
      </c>
      <c r="E23" s="4"/>
      <c r="F23" s="4">
        <v>584.21820094711165</v>
      </c>
      <c r="G23" s="4">
        <v>768.96548958453843</v>
      </c>
      <c r="H23" s="4">
        <v>623.02178481849808</v>
      </c>
      <c r="I23" s="4"/>
      <c r="J23" s="4">
        <v>188.16000000000003</v>
      </c>
      <c r="K23" s="4">
        <v>262.04444444444448</v>
      </c>
      <c r="L23" s="4">
        <v>262.04444444444448</v>
      </c>
      <c r="M23" s="4"/>
      <c r="N23" s="4">
        <v>717.52</v>
      </c>
      <c r="O23" s="4">
        <v>895.25955723357401</v>
      </c>
      <c r="P23" s="4">
        <v>793.91872181848203</v>
      </c>
      <c r="Q23" s="4"/>
      <c r="R23" s="4">
        <v>226.86</v>
      </c>
      <c r="S23" s="4">
        <v>311.20999999999998</v>
      </c>
      <c r="T23" s="4">
        <v>586.96</v>
      </c>
      <c r="U23" s="4"/>
      <c r="V23" s="4">
        <v>211.68</v>
      </c>
      <c r="W23" s="4">
        <v>294.8</v>
      </c>
      <c r="X23" s="4">
        <v>294.8</v>
      </c>
      <c r="Y23" s="4"/>
      <c r="Z23" s="4">
        <f t="shared" si="0"/>
        <v>133.30179905288833</v>
      </c>
      <c r="AA23" s="4">
        <f t="shared" si="1"/>
        <v>126.29406764903558</v>
      </c>
      <c r="AB23" s="4">
        <f t="shared" si="2"/>
        <v>170.89693699998395</v>
      </c>
    </row>
    <row r="24" spans="1:28" x14ac:dyDescent="0.2">
      <c r="A24" s="3">
        <v>2043</v>
      </c>
      <c r="B24" s="4">
        <v>371.6859235066911</v>
      </c>
      <c r="C24" s="4">
        <v>454.31405617568794</v>
      </c>
      <c r="D24" s="4">
        <v>574.50174016509266</v>
      </c>
      <c r="E24" s="4"/>
      <c r="F24" s="4">
        <v>586.45592350669108</v>
      </c>
      <c r="G24" s="4">
        <v>768.95300975462942</v>
      </c>
      <c r="H24" s="4">
        <v>633.29190636333885</v>
      </c>
      <c r="I24" s="4"/>
      <c r="J24" s="4">
        <v>186.4355555555556</v>
      </c>
      <c r="K24" s="4">
        <v>259.6444444444445</v>
      </c>
      <c r="L24" s="4">
        <v>259.6444444444445</v>
      </c>
      <c r="M24" s="4"/>
      <c r="N24" s="4">
        <v>717.39555555555557</v>
      </c>
      <c r="O24" s="4">
        <v>892.55922055871577</v>
      </c>
      <c r="P24" s="4">
        <v>801.13160706004908</v>
      </c>
      <c r="Q24" s="4"/>
      <c r="R24" s="4">
        <v>230.29</v>
      </c>
      <c r="S24" s="4">
        <v>315.99</v>
      </c>
      <c r="T24" s="4">
        <v>595.86</v>
      </c>
      <c r="U24" s="4"/>
      <c r="V24" s="4">
        <v>209.74</v>
      </c>
      <c r="W24" s="4">
        <v>292.10000000000002</v>
      </c>
      <c r="X24" s="4">
        <v>292.10000000000002</v>
      </c>
      <c r="Y24" s="4"/>
      <c r="Z24" s="4">
        <f t="shared" si="0"/>
        <v>130.9396320488645</v>
      </c>
      <c r="AA24" s="4">
        <f t="shared" si="1"/>
        <v>123.60621080408634</v>
      </c>
      <c r="AB24" s="4">
        <f t="shared" si="2"/>
        <v>167.83970069671022</v>
      </c>
    </row>
    <row r="25" spans="1:28" x14ac:dyDescent="0.2">
      <c r="A25" s="3">
        <v>2044</v>
      </c>
      <c r="B25" s="4">
        <v>386.87877400025928</v>
      </c>
      <c r="C25" s="4">
        <v>470.81815824953412</v>
      </c>
      <c r="D25" s="4">
        <v>583.07308321558719</v>
      </c>
      <c r="E25" s="4"/>
      <c r="F25" s="4">
        <v>592.63877400025933</v>
      </c>
      <c r="G25" s="4">
        <v>773.06915971265948</v>
      </c>
      <c r="H25" s="4">
        <v>639.97094614510343</v>
      </c>
      <c r="I25" s="4"/>
      <c r="J25" s="4">
        <v>184.3377777777778</v>
      </c>
      <c r="K25" s="4">
        <v>256.71111111111111</v>
      </c>
      <c r="L25" s="4">
        <v>256.71111111111111</v>
      </c>
      <c r="M25" s="4"/>
      <c r="N25" s="4">
        <v>706.81777777777779</v>
      </c>
      <c r="O25" s="4">
        <v>879.50359771411729</v>
      </c>
      <c r="P25" s="4">
        <v>787.4296319172845</v>
      </c>
      <c r="Q25" s="4"/>
      <c r="R25" s="4">
        <v>233.72</v>
      </c>
      <c r="S25" s="4">
        <v>320.77999999999997</v>
      </c>
      <c r="T25" s="4">
        <v>604.75</v>
      </c>
      <c r="U25" s="4"/>
      <c r="V25" s="4">
        <v>207.38</v>
      </c>
      <c r="W25" s="4">
        <v>288.8</v>
      </c>
      <c r="X25" s="4">
        <v>288.8</v>
      </c>
      <c r="Y25" s="4"/>
      <c r="Z25" s="4">
        <f t="shared" si="0"/>
        <v>114.17900377751846</v>
      </c>
      <c r="AA25" s="4">
        <f t="shared" si="1"/>
        <v>106.43443800145781</v>
      </c>
      <c r="AB25" s="4">
        <f t="shared" si="2"/>
        <v>147.45868577218107</v>
      </c>
    </row>
    <row r="26" spans="1:28" x14ac:dyDescent="0.2">
      <c r="A26" s="3">
        <v>2045</v>
      </c>
      <c r="B26" s="4">
        <v>389.55630195850614</v>
      </c>
      <c r="C26" s="4">
        <v>474.81657934379655</v>
      </c>
      <c r="D26" s="4">
        <v>591.64442626608172</v>
      </c>
      <c r="E26" s="4"/>
      <c r="F26" s="4">
        <v>601.09630195850616</v>
      </c>
      <c r="G26" s="4">
        <v>779.51844664420253</v>
      </c>
      <c r="H26" s="4">
        <v>649.71367104694559</v>
      </c>
      <c r="I26" s="4"/>
      <c r="J26" s="4">
        <v>183.06666666666666</v>
      </c>
      <c r="K26" s="4">
        <v>254.93333333333339</v>
      </c>
      <c r="L26" s="4">
        <v>254.93333333333339</v>
      </c>
      <c r="M26" s="4"/>
      <c r="N26" s="4">
        <v>710.98666666666668</v>
      </c>
      <c r="O26" s="4">
        <v>881.54478398041874</v>
      </c>
      <c r="P26" s="4">
        <v>792.31754339800477</v>
      </c>
      <c r="Q26" s="4"/>
      <c r="R26" s="4">
        <v>237.14</v>
      </c>
      <c r="S26" s="4">
        <v>325.57</v>
      </c>
      <c r="T26" s="4">
        <v>613.64</v>
      </c>
      <c r="U26" s="4"/>
      <c r="V26" s="4">
        <v>205.95</v>
      </c>
      <c r="W26" s="4">
        <v>286.8</v>
      </c>
      <c r="X26" s="4">
        <v>286.8</v>
      </c>
      <c r="Y26" s="4"/>
      <c r="Z26" s="4">
        <f t="shared" si="0"/>
        <v>109.89036470816052</v>
      </c>
      <c r="AA26" s="4">
        <f t="shared" si="1"/>
        <v>102.02633733621622</v>
      </c>
      <c r="AB26" s="4">
        <f t="shared" si="2"/>
        <v>142.60387235105918</v>
      </c>
    </row>
    <row r="27" spans="1:28" x14ac:dyDescent="0.2">
      <c r="A27" s="3">
        <v>2046</v>
      </c>
      <c r="B27" s="4">
        <v>385.56433703765049</v>
      </c>
      <c r="C27" s="4">
        <v>472.13586600321912</v>
      </c>
      <c r="D27" s="4">
        <v>600.22541087231355</v>
      </c>
      <c r="E27" s="4"/>
      <c r="F27" s="4">
        <v>588.26433703765042</v>
      </c>
      <c r="G27" s="4">
        <v>764.71451453953182</v>
      </c>
      <c r="H27" s="4">
        <v>656.5444024117711</v>
      </c>
      <c r="I27" s="4"/>
      <c r="J27" s="4">
        <v>180.57777777777781</v>
      </c>
      <c r="K27" s="4">
        <v>251.46666666666667</v>
      </c>
      <c r="L27" s="4">
        <v>251.46666666666667</v>
      </c>
      <c r="M27" s="4"/>
      <c r="N27" s="4">
        <v>700.17777777777781</v>
      </c>
      <c r="O27" s="4">
        <v>868.14946024638436</v>
      </c>
      <c r="P27" s="4">
        <v>778.8910483306106</v>
      </c>
      <c r="Q27" s="4"/>
      <c r="R27" s="4">
        <v>240.57</v>
      </c>
      <c r="S27" s="4">
        <v>330.36</v>
      </c>
      <c r="T27" s="4">
        <v>622.54</v>
      </c>
      <c r="U27" s="4"/>
      <c r="V27" s="4">
        <v>203.15</v>
      </c>
      <c r="W27" s="4">
        <v>282.89999999999998</v>
      </c>
      <c r="X27" s="4">
        <v>282.89999999999998</v>
      </c>
      <c r="Y27" s="4"/>
      <c r="Z27" s="4">
        <f t="shared" si="0"/>
        <v>111.91344074012738</v>
      </c>
      <c r="AA27" s="4">
        <f t="shared" si="1"/>
        <v>103.43494570685255</v>
      </c>
      <c r="AB27" s="4">
        <f t="shared" si="2"/>
        <v>122.3466459188395</v>
      </c>
    </row>
    <row r="28" spans="1:28" x14ac:dyDescent="0.2">
      <c r="A28" s="3">
        <v>2047</v>
      </c>
      <c r="B28" s="4">
        <v>390.14428023769705</v>
      </c>
      <c r="C28" s="4">
        <v>478.02706078354367</v>
      </c>
      <c r="D28" s="4">
        <v>608.79675392280808</v>
      </c>
      <c r="E28" s="4"/>
      <c r="F28" s="4">
        <v>598.45428023769705</v>
      </c>
      <c r="G28" s="4">
        <v>772.98137984497748</v>
      </c>
      <c r="H28" s="4">
        <v>666.25713650025352</v>
      </c>
      <c r="I28" s="4"/>
      <c r="J28" s="4">
        <v>180.57777777777781</v>
      </c>
      <c r="K28" s="4">
        <v>251.46666666666667</v>
      </c>
      <c r="L28" s="4">
        <v>251.46666666666667</v>
      </c>
      <c r="M28" s="4"/>
      <c r="N28" s="4">
        <v>705.45777777777778</v>
      </c>
      <c r="O28" s="4">
        <v>871.83901733387859</v>
      </c>
      <c r="P28" s="4">
        <v>785.38629164189547</v>
      </c>
      <c r="Q28" s="4"/>
      <c r="R28" s="4">
        <v>244</v>
      </c>
      <c r="S28" s="4">
        <v>335.15</v>
      </c>
      <c r="T28" s="4">
        <v>631.42999999999995</v>
      </c>
      <c r="U28" s="4"/>
      <c r="V28" s="4">
        <v>203.15</v>
      </c>
      <c r="W28" s="4">
        <v>282.89999999999998</v>
      </c>
      <c r="X28" s="4">
        <v>282.89999999999998</v>
      </c>
      <c r="Y28" s="4"/>
      <c r="Z28" s="4">
        <f t="shared" si="0"/>
        <v>107.00349754008073</v>
      </c>
      <c r="AA28" s="4">
        <f t="shared" si="1"/>
        <v>98.857637488901105</v>
      </c>
      <c r="AB28" s="4">
        <f t="shared" si="2"/>
        <v>119.12915514164195</v>
      </c>
    </row>
    <row r="29" spans="1:28" x14ac:dyDescent="0.2">
      <c r="A29" s="3">
        <v>2048</v>
      </c>
      <c r="B29" s="4">
        <v>385.90753729284381</v>
      </c>
      <c r="C29" s="4">
        <v>475.09192786323126</v>
      </c>
      <c r="D29" s="4">
        <v>617.36809697330273</v>
      </c>
      <c r="E29" s="4"/>
      <c r="F29" s="4">
        <v>585.5475372928438</v>
      </c>
      <c r="G29" s="4">
        <v>758.19222415621573</v>
      </c>
      <c r="H29" s="4">
        <v>673.08043579533887</v>
      </c>
      <c r="I29" s="4"/>
      <c r="J29" s="4">
        <v>179.3688888888889</v>
      </c>
      <c r="K29" s="4">
        <v>251.46666666666667</v>
      </c>
      <c r="L29" s="4">
        <v>251.46666666666667</v>
      </c>
      <c r="M29" s="4"/>
      <c r="N29" s="4">
        <v>696.08888888888896</v>
      </c>
      <c r="O29" s="4">
        <v>862.1114267531467</v>
      </c>
      <c r="P29" s="4">
        <v>775.43885752800975</v>
      </c>
      <c r="Q29" s="4"/>
      <c r="R29" s="4">
        <v>247.43</v>
      </c>
      <c r="S29" s="4">
        <v>339.93</v>
      </c>
      <c r="T29" s="4">
        <v>640.32000000000005</v>
      </c>
      <c r="U29" s="4"/>
      <c r="V29" s="4">
        <v>201.79</v>
      </c>
      <c r="W29" s="4">
        <v>282.89999999999998</v>
      </c>
      <c r="X29" s="4">
        <v>282.89999999999998</v>
      </c>
      <c r="Y29" s="4"/>
      <c r="Z29" s="4">
        <f t="shared" si="0"/>
        <v>110.54135159604516</v>
      </c>
      <c r="AA29" s="4">
        <f t="shared" si="1"/>
        <v>103.91920259693097</v>
      </c>
      <c r="AB29" s="4">
        <f t="shared" si="2"/>
        <v>102.35842173267088</v>
      </c>
    </row>
    <row r="30" spans="1:28" x14ac:dyDescent="0.2">
      <c r="A30" s="3">
        <v>2049</v>
      </c>
      <c r="B30" s="4">
        <v>424.35295264410831</v>
      </c>
      <c r="C30" s="4">
        <v>514.84859479477393</v>
      </c>
      <c r="D30" s="4">
        <v>625.94908157953455</v>
      </c>
      <c r="E30" s="4"/>
      <c r="F30" s="4">
        <v>629.43295264410835</v>
      </c>
      <c r="G30" s="4">
        <v>800.25574083197841</v>
      </c>
      <c r="H30" s="4">
        <v>682.77609173946144</v>
      </c>
      <c r="I30" s="4"/>
      <c r="J30" s="4">
        <v>177.20888888888894</v>
      </c>
      <c r="K30" s="4">
        <v>251.46666666666667</v>
      </c>
      <c r="L30" s="4">
        <v>251.46666666666667</v>
      </c>
      <c r="M30" s="4"/>
      <c r="N30" s="4">
        <v>699.048888888889</v>
      </c>
      <c r="O30" s="4">
        <v>865.69404493685124</v>
      </c>
      <c r="P30" s="4">
        <v>781.78195837087583</v>
      </c>
      <c r="Q30" s="4"/>
      <c r="R30" s="4">
        <v>250.86</v>
      </c>
      <c r="S30" s="4">
        <v>344.72</v>
      </c>
      <c r="T30" s="4">
        <v>649.22</v>
      </c>
      <c r="U30" s="4"/>
      <c r="V30" s="4">
        <v>199.36</v>
      </c>
      <c r="W30" s="4">
        <v>282.89999999999998</v>
      </c>
      <c r="X30" s="4">
        <v>282.89999999999998</v>
      </c>
      <c r="Y30" s="4"/>
      <c r="Z30" s="4">
        <f t="shared" si="0"/>
        <v>69.615936244780642</v>
      </c>
      <c r="AA30" s="4">
        <f t="shared" si="1"/>
        <v>65.438304104872827</v>
      </c>
      <c r="AB30" s="4">
        <f t="shared" si="2"/>
        <v>99.005866631414392</v>
      </c>
    </row>
    <row r="31" spans="1:28" x14ac:dyDescent="0.2">
      <c r="A31" s="3">
        <v>2050</v>
      </c>
      <c r="B31" s="4">
        <v>413.60271718809338</v>
      </c>
      <c r="C31" s="4">
        <v>505.39996936329965</v>
      </c>
      <c r="D31" s="4">
        <v>634.52042463002908</v>
      </c>
      <c r="E31" s="4"/>
      <c r="F31" s="4">
        <v>610.35271718809338</v>
      </c>
      <c r="G31" s="4">
        <v>779.39272135994895</v>
      </c>
      <c r="H31" s="4">
        <v>689.65058862438434</v>
      </c>
      <c r="I31" s="4"/>
      <c r="J31" s="4">
        <v>175.54666666666668</v>
      </c>
      <c r="K31" s="4">
        <v>251.46666666666667</v>
      </c>
      <c r="L31" s="4">
        <v>251.46666666666667</v>
      </c>
      <c r="M31" s="4"/>
      <c r="N31" s="4">
        <v>689.54666666666662</v>
      </c>
      <c r="O31" s="4">
        <v>856.34428227561898</v>
      </c>
      <c r="P31" s="4">
        <v>772.12597143262656</v>
      </c>
      <c r="Q31" s="4"/>
      <c r="R31" s="4">
        <v>254.3</v>
      </c>
      <c r="S31" s="4">
        <v>349.51</v>
      </c>
      <c r="T31" s="4">
        <v>658.11</v>
      </c>
      <c r="U31" s="4"/>
      <c r="V31" s="4">
        <v>197.49</v>
      </c>
      <c r="W31" s="4">
        <v>282.89999999999998</v>
      </c>
      <c r="X31" s="4">
        <v>282.89999999999998</v>
      </c>
      <c r="Y31" s="4"/>
      <c r="Z31" s="4">
        <f t="shared" si="0"/>
        <v>79.193949478573245</v>
      </c>
      <c r="AA31" s="4">
        <f t="shared" si="1"/>
        <v>76.951560915670029</v>
      </c>
      <c r="AB31" s="4">
        <f t="shared" si="2"/>
        <v>82.475382808242216</v>
      </c>
    </row>
    <row r="55" spans="1:4" x14ac:dyDescent="0.2">
      <c r="A55" s="3">
        <f>A3</f>
        <v>2022</v>
      </c>
      <c r="B55" s="4">
        <f>B3-B2</f>
        <v>168.45610123695502</v>
      </c>
      <c r="C55" s="4">
        <f>C3-C2</f>
        <v>176.05686100989067</v>
      </c>
      <c r="D55" s="4">
        <f>D3-D2</f>
        <v>127.84702907711767</v>
      </c>
    </row>
    <row r="56" spans="1:4" x14ac:dyDescent="0.2">
      <c r="A56" s="3">
        <f t="shared" ref="A56:A83" si="3">A4</f>
        <v>2023</v>
      </c>
      <c r="B56" s="4">
        <f t="shared" ref="B56:D83" si="4">B4-B3</f>
        <v>-69.989502367318664</v>
      </c>
      <c r="C56" s="4">
        <f t="shared" si="4"/>
        <v>-59.303444758434296</v>
      </c>
      <c r="D56" s="4">
        <f t="shared" si="4"/>
        <v>-82.64089796019141</v>
      </c>
    </row>
    <row r="57" spans="1:4" x14ac:dyDescent="0.2">
      <c r="A57" s="3">
        <f t="shared" si="3"/>
        <v>2024</v>
      </c>
      <c r="B57" s="4">
        <f t="shared" si="4"/>
        <v>-35.868871867330938</v>
      </c>
      <c r="C57" s="4">
        <f t="shared" si="4"/>
        <v>-46.514756327309726</v>
      </c>
      <c r="D57" s="4">
        <f t="shared" si="4"/>
        <v>23.510999463910935</v>
      </c>
    </row>
    <row r="58" spans="1:4" x14ac:dyDescent="0.2">
      <c r="A58" s="3">
        <f t="shared" si="3"/>
        <v>2025</v>
      </c>
      <c r="B58" s="4">
        <f t="shared" si="4"/>
        <v>74.846544414720995</v>
      </c>
      <c r="C58" s="4">
        <f t="shared" si="4"/>
        <v>75.465210907867004</v>
      </c>
      <c r="D58" s="4">
        <f t="shared" si="4"/>
        <v>-28.269706091601392</v>
      </c>
    </row>
    <row r="59" spans="1:4" x14ac:dyDescent="0.2">
      <c r="A59" s="3">
        <f t="shared" si="3"/>
        <v>2026</v>
      </c>
      <c r="B59" s="4">
        <f t="shared" si="4"/>
        <v>-174.27896064019569</v>
      </c>
      <c r="C59" s="4">
        <f t="shared" si="4"/>
        <v>-182.93707769232634</v>
      </c>
      <c r="D59" s="4">
        <f t="shared" si="4"/>
        <v>23.109710931304107</v>
      </c>
    </row>
    <row r="60" spans="1:4" x14ac:dyDescent="0.2">
      <c r="A60" s="3">
        <f t="shared" si="3"/>
        <v>2027</v>
      </c>
      <c r="B60" s="4">
        <f t="shared" si="4"/>
        <v>-11.46101502986329</v>
      </c>
      <c r="C60" s="4">
        <f t="shared" si="4"/>
        <v>-10.602916569240108</v>
      </c>
      <c r="D60" s="4">
        <f t="shared" si="4"/>
        <v>7.7807354800327175</v>
      </c>
    </row>
    <row r="61" spans="1:4" x14ac:dyDescent="0.2">
      <c r="A61" s="3">
        <f t="shared" si="3"/>
        <v>2028</v>
      </c>
      <c r="B61" s="4">
        <f t="shared" si="4"/>
        <v>2.0251162985195492</v>
      </c>
      <c r="C61" s="4">
        <f t="shared" si="4"/>
        <v>2.7578745345573452</v>
      </c>
      <c r="D61" s="4">
        <f t="shared" si="4"/>
        <v>8.9762883914627878</v>
      </c>
    </row>
    <row r="62" spans="1:4" x14ac:dyDescent="0.2">
      <c r="A62" s="3">
        <f t="shared" si="3"/>
        <v>2029</v>
      </c>
      <c r="B62" s="4">
        <f t="shared" si="4"/>
        <v>11.07795404173811</v>
      </c>
      <c r="C62" s="4">
        <f t="shared" si="4"/>
        <v>12.610961403975068</v>
      </c>
      <c r="D62" s="4">
        <f t="shared" si="4"/>
        <v>8.5327768275452058</v>
      </c>
    </row>
    <row r="63" spans="1:4" x14ac:dyDescent="0.2">
      <c r="A63" s="3">
        <f t="shared" si="3"/>
        <v>2030</v>
      </c>
      <c r="B63" s="4">
        <f t="shared" si="4"/>
        <v>34.502668703246684</v>
      </c>
      <c r="C63" s="4">
        <f t="shared" si="4"/>
        <v>35.794637172050159</v>
      </c>
      <c r="D63" s="4">
        <f t="shared" si="4"/>
        <v>8.5713430504945336</v>
      </c>
    </row>
    <row r="64" spans="1:4" x14ac:dyDescent="0.2">
      <c r="A64" s="3">
        <f t="shared" si="3"/>
        <v>2031</v>
      </c>
      <c r="B64" s="4">
        <f t="shared" si="4"/>
        <v>-0.43951253399899315</v>
      </c>
      <c r="C64" s="4">
        <f t="shared" si="4"/>
        <v>0.87173904627911725</v>
      </c>
      <c r="D64" s="4">
        <f t="shared" si="4"/>
        <v>8.5809846062318798</v>
      </c>
    </row>
    <row r="65" spans="1:4" x14ac:dyDescent="0.2">
      <c r="A65" s="3">
        <f t="shared" si="3"/>
        <v>2032</v>
      </c>
      <c r="B65" s="4">
        <f t="shared" si="4"/>
        <v>-16.168961300233548</v>
      </c>
      <c r="C65" s="4">
        <f t="shared" si="4"/>
        <v>-14.857709719955494</v>
      </c>
      <c r="D65" s="4">
        <f t="shared" si="4"/>
        <v>8.5713430504944768</v>
      </c>
    </row>
    <row r="66" spans="1:4" x14ac:dyDescent="0.2">
      <c r="A66" s="3">
        <f t="shared" si="3"/>
        <v>2033</v>
      </c>
      <c r="B66" s="4">
        <f t="shared" si="4"/>
        <v>24.548286180298817</v>
      </c>
      <c r="C66" s="4">
        <f t="shared" si="4"/>
        <v>25.859537760576984</v>
      </c>
      <c r="D66" s="4">
        <f t="shared" si="4"/>
        <v>8.5713430504945336</v>
      </c>
    </row>
    <row r="67" spans="1:4" x14ac:dyDescent="0.2">
      <c r="A67" s="3">
        <f t="shared" si="3"/>
        <v>2034</v>
      </c>
      <c r="B67" s="4">
        <f t="shared" si="4"/>
        <v>27.405099857121229</v>
      </c>
      <c r="C67" s="4">
        <f t="shared" si="4"/>
        <v>28.706709881662107</v>
      </c>
      <c r="D67" s="4">
        <f t="shared" si="4"/>
        <v>8.5809846062319366</v>
      </c>
    </row>
    <row r="68" spans="1:4" x14ac:dyDescent="0.2">
      <c r="A68" s="3">
        <f t="shared" si="3"/>
        <v>2035</v>
      </c>
      <c r="B68" s="4">
        <f t="shared" si="4"/>
        <v>10.326088883002285</v>
      </c>
      <c r="C68" s="4">
        <f t="shared" si="4"/>
        <v>11.637340463280452</v>
      </c>
      <c r="D68" s="4">
        <f t="shared" si="4"/>
        <v>8.5713430504945336</v>
      </c>
    </row>
    <row r="69" spans="1:4" x14ac:dyDescent="0.2">
      <c r="A69" s="3">
        <f t="shared" si="3"/>
        <v>2036</v>
      </c>
      <c r="B69" s="4">
        <f t="shared" si="4"/>
        <v>10.209315671319416</v>
      </c>
      <c r="C69" s="4">
        <f t="shared" si="4"/>
        <v>11.52056725159747</v>
      </c>
      <c r="D69" s="4">
        <f t="shared" si="4"/>
        <v>8.5713430504944768</v>
      </c>
    </row>
    <row r="70" spans="1:4" x14ac:dyDescent="0.2">
      <c r="A70" s="3">
        <f t="shared" si="3"/>
        <v>2037</v>
      </c>
      <c r="B70" s="4">
        <f t="shared" si="4"/>
        <v>-37.953753386636208</v>
      </c>
      <c r="C70" s="4">
        <f t="shared" si="4"/>
        <v>-36.642501806358155</v>
      </c>
      <c r="D70" s="4">
        <f t="shared" si="4"/>
        <v>8.5809846062319366</v>
      </c>
    </row>
    <row r="71" spans="1:4" x14ac:dyDescent="0.2">
      <c r="A71" s="3">
        <f t="shared" si="3"/>
        <v>2038</v>
      </c>
      <c r="B71" s="4">
        <f t="shared" si="4"/>
        <v>9.0342667776288295</v>
      </c>
      <c r="C71" s="4">
        <f t="shared" si="4"/>
        <v>10.335876802169707</v>
      </c>
      <c r="D71" s="4">
        <f t="shared" si="4"/>
        <v>8.5713430504944199</v>
      </c>
    </row>
    <row r="72" spans="1:4" x14ac:dyDescent="0.2">
      <c r="A72" s="3">
        <f t="shared" si="3"/>
        <v>2039</v>
      </c>
      <c r="B72" s="4">
        <f t="shared" si="4"/>
        <v>-14.202955219295973</v>
      </c>
      <c r="C72" s="4">
        <f t="shared" si="4"/>
        <v>-12.891703639017919</v>
      </c>
      <c r="D72" s="4">
        <f t="shared" si="4"/>
        <v>8.5713430504945336</v>
      </c>
    </row>
    <row r="73" spans="1:4" x14ac:dyDescent="0.2">
      <c r="A73" s="3">
        <f t="shared" si="3"/>
        <v>2040</v>
      </c>
      <c r="B73" s="4">
        <f t="shared" si="4"/>
        <v>-5.6604122204568057</v>
      </c>
      <c r="C73" s="4">
        <f t="shared" si="4"/>
        <v>-4.3491606401786385</v>
      </c>
      <c r="D73" s="4">
        <f t="shared" si="4"/>
        <v>8.5809846062318229</v>
      </c>
    </row>
    <row r="74" spans="1:4" x14ac:dyDescent="0.2">
      <c r="A74" s="3">
        <f t="shared" si="3"/>
        <v>2041</v>
      </c>
      <c r="B74" s="4">
        <f t="shared" si="4"/>
        <v>18.323224224926491</v>
      </c>
      <c r="C74" s="4">
        <f t="shared" si="4"/>
        <v>19.634475805204659</v>
      </c>
      <c r="D74" s="4">
        <f t="shared" si="4"/>
        <v>8.5713430504946473</v>
      </c>
    </row>
    <row r="75" spans="1:4" x14ac:dyDescent="0.2">
      <c r="A75" s="3">
        <f t="shared" si="3"/>
        <v>2042</v>
      </c>
      <c r="B75" s="4">
        <f t="shared" si="4"/>
        <v>20.446371169123267</v>
      </c>
      <c r="C75" s="4">
        <f t="shared" si="4"/>
        <v>21.757622749401321</v>
      </c>
      <c r="D75" s="4">
        <f t="shared" si="4"/>
        <v>8.5713430504945336</v>
      </c>
    </row>
    <row r="76" spans="1:4" x14ac:dyDescent="0.2">
      <c r="A76" s="3">
        <f t="shared" si="3"/>
        <v>2043</v>
      </c>
      <c r="B76" s="4">
        <f t="shared" si="4"/>
        <v>0.53772255957949255</v>
      </c>
      <c r="C76" s="4">
        <f t="shared" si="4"/>
        <v>1.8393325841203705</v>
      </c>
      <c r="D76" s="4">
        <f t="shared" si="4"/>
        <v>8.5809846062319366</v>
      </c>
    </row>
    <row r="77" spans="1:4" x14ac:dyDescent="0.2">
      <c r="A77" s="3">
        <f t="shared" si="3"/>
        <v>2044</v>
      </c>
      <c r="B77" s="4">
        <f t="shared" si="4"/>
        <v>15.192850493568187</v>
      </c>
      <c r="C77" s="4">
        <f t="shared" si="4"/>
        <v>16.504102073846184</v>
      </c>
      <c r="D77" s="4">
        <f t="shared" si="4"/>
        <v>8.5713430504945336</v>
      </c>
    </row>
    <row r="78" spans="1:4" x14ac:dyDescent="0.2">
      <c r="A78" s="3">
        <f t="shared" si="3"/>
        <v>2045</v>
      </c>
      <c r="B78" s="4">
        <f t="shared" si="4"/>
        <v>2.6775279582468556</v>
      </c>
      <c r="C78" s="4">
        <f t="shared" si="4"/>
        <v>3.9984210942624259</v>
      </c>
      <c r="D78" s="4">
        <f t="shared" si="4"/>
        <v>8.5713430504945336</v>
      </c>
    </row>
    <row r="79" spans="1:4" x14ac:dyDescent="0.2">
      <c r="A79" s="3">
        <f t="shared" si="3"/>
        <v>2046</v>
      </c>
      <c r="B79" s="4">
        <f t="shared" si="4"/>
        <v>-3.9919649208556507</v>
      </c>
      <c r="C79" s="4">
        <f t="shared" si="4"/>
        <v>-2.6807133405774266</v>
      </c>
      <c r="D79" s="4">
        <f t="shared" si="4"/>
        <v>8.5809846062318229</v>
      </c>
    </row>
    <row r="80" spans="1:4" x14ac:dyDescent="0.2">
      <c r="A80" s="3">
        <f t="shared" si="3"/>
        <v>2047</v>
      </c>
      <c r="B80" s="4">
        <f t="shared" si="4"/>
        <v>4.5799432000465572</v>
      </c>
      <c r="C80" s="4">
        <f t="shared" si="4"/>
        <v>5.8911947803245539</v>
      </c>
      <c r="D80" s="4">
        <f t="shared" si="4"/>
        <v>8.5713430504945336</v>
      </c>
    </row>
    <row r="81" spans="1:4" x14ac:dyDescent="0.2">
      <c r="A81" s="3">
        <f t="shared" si="3"/>
        <v>2048</v>
      </c>
      <c r="B81" s="4">
        <f t="shared" si="4"/>
        <v>-4.2367429448532334</v>
      </c>
      <c r="C81" s="4">
        <f t="shared" si="4"/>
        <v>-2.9351329203124124</v>
      </c>
      <c r="D81" s="4">
        <f t="shared" si="4"/>
        <v>8.5713430504946473</v>
      </c>
    </row>
    <row r="82" spans="1:4" x14ac:dyDescent="0.2">
      <c r="A82" s="3">
        <f t="shared" si="3"/>
        <v>2049</v>
      </c>
      <c r="B82" s="4">
        <f t="shared" si="4"/>
        <v>38.445415351264501</v>
      </c>
      <c r="C82" s="4">
        <f t="shared" si="4"/>
        <v>39.756666931542668</v>
      </c>
      <c r="D82" s="4">
        <f t="shared" si="4"/>
        <v>8.5809846062318229</v>
      </c>
    </row>
    <row r="83" spans="1:4" x14ac:dyDescent="0.2">
      <c r="A83" s="3">
        <f t="shared" si="3"/>
        <v>2050</v>
      </c>
      <c r="B83" s="4">
        <f t="shared" si="4"/>
        <v>-10.750235456014934</v>
      </c>
      <c r="C83" s="4">
        <f t="shared" si="4"/>
        <v>-9.4486254314742837</v>
      </c>
      <c r="D83" s="4">
        <f t="shared" si="4"/>
        <v>8.5713430504945336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5262-0E13-4461-8EC9-77BF1EA77C49}">
  <dimension ref="A1:I29"/>
  <sheetViews>
    <sheetView topLeftCell="A19" workbookViewId="0">
      <selection activeCell="A34" sqref="A34"/>
    </sheetView>
  </sheetViews>
  <sheetFormatPr defaultRowHeight="11.25" x14ac:dyDescent="0.2"/>
  <cols>
    <col min="1" max="1" width="14.85546875" style="2" customWidth="1"/>
    <col min="2" max="2" width="10.85546875" style="3" bestFit="1" customWidth="1"/>
    <col min="3" max="3" width="25.5703125" style="2" customWidth="1"/>
    <col min="4" max="4" width="11.5703125" style="3" bestFit="1" customWidth="1"/>
    <col min="5" max="5" width="9.140625" style="3"/>
    <col min="6" max="6" width="14.85546875" style="12" customWidth="1"/>
    <col min="7" max="7" width="9.140625" style="3"/>
    <col min="8" max="8" width="14.85546875" style="2" customWidth="1"/>
    <col min="9" max="16384" width="9.140625" style="3"/>
  </cols>
  <sheetData>
    <row r="1" spans="1:7" x14ac:dyDescent="0.2">
      <c r="A1" s="2" t="s">
        <v>47</v>
      </c>
    </row>
    <row r="2" spans="1:7" x14ac:dyDescent="0.2">
      <c r="A2" s="3" t="s">
        <v>68</v>
      </c>
      <c r="E2" s="3" t="s">
        <v>74</v>
      </c>
    </row>
    <row r="3" spans="1:7" x14ac:dyDescent="0.2">
      <c r="A3" s="3" t="s">
        <v>50</v>
      </c>
      <c r="B3" s="4">
        <v>317</v>
      </c>
      <c r="E3" s="3" t="s">
        <v>75</v>
      </c>
      <c r="G3" s="4">
        <v>93</v>
      </c>
    </row>
    <row r="4" spans="1:7" x14ac:dyDescent="0.2">
      <c r="A4" s="3" t="s">
        <v>51</v>
      </c>
      <c r="B4" s="4">
        <v>330</v>
      </c>
      <c r="E4" s="3" t="s">
        <v>54</v>
      </c>
      <c r="G4" s="4">
        <f>B6</f>
        <v>35</v>
      </c>
    </row>
    <row r="5" spans="1:7" x14ac:dyDescent="0.2">
      <c r="A5" s="3" t="s">
        <v>69</v>
      </c>
      <c r="B5" s="4"/>
      <c r="E5" s="3" t="s">
        <v>76</v>
      </c>
      <c r="G5" s="4">
        <v>89.8</v>
      </c>
    </row>
    <row r="6" spans="1:7" x14ac:dyDescent="0.2">
      <c r="A6" s="2" t="s">
        <v>50</v>
      </c>
      <c r="B6" s="4">
        <v>35</v>
      </c>
      <c r="E6" s="3" t="s">
        <v>77</v>
      </c>
      <c r="G6" s="4">
        <f>B7</f>
        <v>35</v>
      </c>
    </row>
    <row r="7" spans="1:7" x14ac:dyDescent="0.2">
      <c r="A7" s="2" t="s">
        <v>51</v>
      </c>
      <c r="B7" s="4">
        <v>35</v>
      </c>
    </row>
    <row r="8" spans="1:7" x14ac:dyDescent="0.2">
      <c r="A8" s="2" t="s">
        <v>49</v>
      </c>
      <c r="B8" s="4"/>
      <c r="E8" s="3" t="s">
        <v>78</v>
      </c>
    </row>
    <row r="9" spans="1:7" x14ac:dyDescent="0.2">
      <c r="A9" s="2" t="s">
        <v>50</v>
      </c>
      <c r="B9" s="4">
        <v>35.799999999999997</v>
      </c>
      <c r="C9" s="2" t="s">
        <v>52</v>
      </c>
      <c r="E9" s="3" t="s">
        <v>79</v>
      </c>
      <c r="F9" s="13">
        <f>[1]Diesel!J$12</f>
        <v>2.6914156329130072E-2</v>
      </c>
      <c r="G9" s="3" t="s">
        <v>81</v>
      </c>
    </row>
    <row r="10" spans="1:7" x14ac:dyDescent="0.2">
      <c r="A10" s="2" t="s">
        <v>51</v>
      </c>
      <c r="B10" s="4">
        <v>33.700000000000003</v>
      </c>
      <c r="E10" s="3" t="s">
        <v>51</v>
      </c>
      <c r="F10" s="13">
        <f>'[1]Jet Fuel'!$H$15</f>
        <v>2.5866024387317999E-3</v>
      </c>
      <c r="G10" s="3" t="s">
        <v>80</v>
      </c>
    </row>
    <row r="11" spans="1:7" ht="22.5" x14ac:dyDescent="0.2">
      <c r="A11" s="2" t="s">
        <v>64</v>
      </c>
      <c r="B11" s="4">
        <v>127.3</v>
      </c>
      <c r="C11" s="2" t="s">
        <v>65</v>
      </c>
    </row>
    <row r="12" spans="1:7" ht="22.5" x14ac:dyDescent="0.2">
      <c r="A12" s="2" t="s">
        <v>48</v>
      </c>
      <c r="B12" s="4"/>
    </row>
    <row r="13" spans="1:7" x14ac:dyDescent="0.2">
      <c r="A13" s="2">
        <v>2023</v>
      </c>
    </row>
    <row r="14" spans="1:7" x14ac:dyDescent="0.2">
      <c r="A14" s="2" t="s">
        <v>50</v>
      </c>
      <c r="B14" s="4">
        <v>89.5</v>
      </c>
    </row>
    <row r="15" spans="1:7" x14ac:dyDescent="0.2">
      <c r="A15" s="2" t="s">
        <v>51</v>
      </c>
      <c r="B15" s="4">
        <v>89.8</v>
      </c>
    </row>
    <row r="16" spans="1:7" x14ac:dyDescent="0.2">
      <c r="B16" s="4"/>
    </row>
    <row r="17" spans="1:9" x14ac:dyDescent="0.2">
      <c r="A17" s="2" t="s">
        <v>56</v>
      </c>
      <c r="B17" s="4" t="s">
        <v>50</v>
      </c>
      <c r="D17" s="3" t="s">
        <v>51</v>
      </c>
      <c r="G17" s="3" t="s">
        <v>50</v>
      </c>
      <c r="H17" s="3"/>
      <c r="I17" s="3" t="s">
        <v>51</v>
      </c>
    </row>
    <row r="18" spans="1:9" x14ac:dyDescent="0.2">
      <c r="A18" s="2" t="s">
        <v>55</v>
      </c>
      <c r="B18" s="5">
        <f>B14</f>
        <v>89.5</v>
      </c>
      <c r="D18" s="5">
        <f>B15</f>
        <v>89.8</v>
      </c>
      <c r="F18" s="12" t="str">
        <f>A18</f>
        <v>Target CI</v>
      </c>
      <c r="G18" s="5">
        <f>B14</f>
        <v>89.5</v>
      </c>
      <c r="I18" s="5">
        <f>B15</f>
        <v>89.8</v>
      </c>
    </row>
    <row r="19" spans="1:9" ht="23.25" thickBot="1" x14ac:dyDescent="0.25">
      <c r="A19" s="2" t="s">
        <v>54</v>
      </c>
      <c r="B19" s="6">
        <f>B6</f>
        <v>35</v>
      </c>
      <c r="C19" s="2" t="s">
        <v>57</v>
      </c>
      <c r="D19" s="6">
        <f>B7</f>
        <v>35</v>
      </c>
      <c r="F19" s="12" t="s">
        <v>82</v>
      </c>
      <c r="G19" s="6">
        <f>(G4*F9)+(G3*(1-F9))</f>
        <v>91.438978932910445</v>
      </c>
      <c r="H19" s="2" t="str">
        <f t="shared" ref="H19:H26" si="0">C19</f>
        <v>Subtract fuel CI from target</v>
      </c>
      <c r="I19" s="6">
        <f>(G6*F10)+(G5*(1-F10))</f>
        <v>89.658254186357496</v>
      </c>
    </row>
    <row r="20" spans="1:9" ht="23.25" thickTop="1" x14ac:dyDescent="0.2">
      <c r="A20" s="2" t="s">
        <v>53</v>
      </c>
      <c r="B20" s="5">
        <f>B18-B19</f>
        <v>54.5</v>
      </c>
      <c r="C20" s="2" t="s">
        <v>60</v>
      </c>
      <c r="D20" s="5">
        <f>D18-D19</f>
        <v>54.8</v>
      </c>
      <c r="F20" s="12" t="str">
        <f>A20</f>
        <v>Carbon reduction beyond target</v>
      </c>
      <c r="G20" s="5">
        <f>G18-G19</f>
        <v>-1.9389789329104445</v>
      </c>
      <c r="H20" s="2" t="str">
        <f t="shared" si="0"/>
        <v>gCO2e/MJ</v>
      </c>
      <c r="I20" s="5">
        <f>I18-I19</f>
        <v>0.14174581364250116</v>
      </c>
    </row>
    <row r="21" spans="1:9" ht="34.5" thickBot="1" x14ac:dyDescent="0.25">
      <c r="A21" s="2" t="s">
        <v>58</v>
      </c>
      <c r="B21" s="7">
        <f>B9*1000</f>
        <v>35800</v>
      </c>
      <c r="D21" s="7">
        <f>B10*1000</f>
        <v>33700</v>
      </c>
      <c r="F21" s="12" t="str">
        <f>A21</f>
        <v>Multiply by energy density converted to MJ/m3</v>
      </c>
      <c r="G21" s="7">
        <f>B9*1000</f>
        <v>35800</v>
      </c>
      <c r="I21" s="7">
        <f>B10*1000</f>
        <v>33700</v>
      </c>
    </row>
    <row r="22" spans="1:9" ht="12" thickTop="1" x14ac:dyDescent="0.2">
      <c r="B22" s="8">
        <f>B20*B21</f>
        <v>1951100</v>
      </c>
      <c r="C22" s="2" t="s">
        <v>61</v>
      </c>
      <c r="D22" s="8">
        <f>D20*D21</f>
        <v>1846760</v>
      </c>
      <c r="G22" s="8">
        <f>G20*G21</f>
        <v>-69415.445798193919</v>
      </c>
      <c r="H22" s="2" t="str">
        <f t="shared" si="0"/>
        <v>MJ/m3</v>
      </c>
      <c r="I22" s="8">
        <f>I20*I21</f>
        <v>4776.8339197522891</v>
      </c>
    </row>
    <row r="23" spans="1:9" ht="67.5" x14ac:dyDescent="0.2">
      <c r="A23" s="2" t="s">
        <v>59</v>
      </c>
      <c r="B23" s="9">
        <f>B22/1000000</f>
        <v>1.9511000000000001</v>
      </c>
      <c r="C23" s="2" t="s">
        <v>62</v>
      </c>
      <c r="D23" s="9">
        <f>D22/1000000</f>
        <v>1.84676</v>
      </c>
      <c r="F23" s="12" t="str">
        <f t="shared" ref="F23:F29" si="1">A23</f>
        <v>Divide by 1,000,000 to convert from grams of reduction to tonnes</v>
      </c>
      <c r="G23" s="9">
        <f>G22/1000000</f>
        <v>-6.941544579819392E-2</v>
      </c>
      <c r="H23" s="2" t="str">
        <f t="shared" si="0"/>
        <v>tonnes of carbon reduction</v>
      </c>
      <c r="I23" s="9">
        <f>I22/1000000</f>
        <v>4.7768339197522894E-3</v>
      </c>
    </row>
    <row r="24" spans="1:9" ht="23.25" thickBot="1" x14ac:dyDescent="0.25">
      <c r="A24" s="2" t="s">
        <v>63</v>
      </c>
      <c r="B24" s="10">
        <f>B11</f>
        <v>127.3</v>
      </c>
      <c r="C24" s="2" t="s">
        <v>72</v>
      </c>
      <c r="D24" s="10">
        <f>B11</f>
        <v>127.3</v>
      </c>
      <c r="F24" s="12" t="str">
        <f t="shared" si="1"/>
        <v>Multiply by average price</v>
      </c>
      <c r="G24" s="10">
        <f>B11</f>
        <v>127.3</v>
      </c>
      <c r="H24" s="2" t="str">
        <f t="shared" si="0"/>
        <v>C$/tonne</v>
      </c>
      <c r="I24" s="10">
        <f>B11</f>
        <v>127.3</v>
      </c>
    </row>
    <row r="25" spans="1:9" ht="12" thickTop="1" x14ac:dyDescent="0.2">
      <c r="A25" s="2" t="s">
        <v>66</v>
      </c>
      <c r="B25" s="9">
        <f>B11*B23</f>
        <v>248.37503000000001</v>
      </c>
      <c r="C25" s="2" t="s">
        <v>72</v>
      </c>
      <c r="D25" s="9">
        <f>D24*D23</f>
        <v>235.09254799999999</v>
      </c>
      <c r="F25" s="12" t="str">
        <f t="shared" si="1"/>
        <v xml:space="preserve">CFR Credit Value </v>
      </c>
      <c r="G25" s="9">
        <f>G24*G23</f>
        <v>-8.836586250110086</v>
      </c>
      <c r="H25" s="2" t="str">
        <f t="shared" si="0"/>
        <v>C$/tonne</v>
      </c>
      <c r="I25" s="9">
        <f>I24*I23</f>
        <v>0.60809095798446644</v>
      </c>
    </row>
    <row r="26" spans="1:9" x14ac:dyDescent="0.2">
      <c r="A26" s="2" t="s">
        <v>67</v>
      </c>
      <c r="B26" s="9">
        <f>B3</f>
        <v>317</v>
      </c>
      <c r="C26" s="2" t="s">
        <v>70</v>
      </c>
      <c r="D26" s="9">
        <f>B4</f>
        <v>330</v>
      </c>
      <c r="F26" s="12" t="str">
        <f t="shared" si="1"/>
        <v>Convert to C$/gal</v>
      </c>
      <c r="G26" s="9">
        <f>B3</f>
        <v>317</v>
      </c>
      <c r="H26" s="2" t="str">
        <f t="shared" si="0"/>
        <v>tonnes per gallon</v>
      </c>
      <c r="I26" s="9">
        <f>B4</f>
        <v>330</v>
      </c>
    </row>
    <row r="27" spans="1:9" x14ac:dyDescent="0.2">
      <c r="A27" s="2" t="s">
        <v>71</v>
      </c>
      <c r="B27" s="11">
        <f>B25/B26</f>
        <v>0.78351744479495267</v>
      </c>
      <c r="C27" s="2" t="s">
        <v>71</v>
      </c>
      <c r="D27" s="11">
        <f>D25/D26</f>
        <v>0.71240166060606058</v>
      </c>
      <c r="F27" s="12" t="str">
        <f t="shared" si="1"/>
        <v>C$/gal</v>
      </c>
      <c r="G27" s="11">
        <f>G25/G26</f>
        <v>-2.7875666404132762E-2</v>
      </c>
      <c r="H27" s="2" t="str">
        <f>C27</f>
        <v>C$/gal</v>
      </c>
      <c r="I27" s="11">
        <f>I25/I26</f>
        <v>1.8426998726802013E-3</v>
      </c>
    </row>
    <row r="28" spans="1:9" x14ac:dyDescent="0.2">
      <c r="A28" s="2" t="s">
        <v>83</v>
      </c>
      <c r="B28" s="11">
        <v>1.3494999999999999</v>
      </c>
      <c r="C28" s="2" t="s">
        <v>83</v>
      </c>
      <c r="D28" s="11">
        <v>1.3494999999999999</v>
      </c>
      <c r="F28" s="12" t="str">
        <f t="shared" si="1"/>
        <v>U$/C$</v>
      </c>
      <c r="G28" s="11">
        <v>1.3494999999999999</v>
      </c>
      <c r="I28" s="11">
        <v>1.3494999999999999</v>
      </c>
    </row>
    <row r="29" spans="1:9" x14ac:dyDescent="0.2">
      <c r="A29" s="2" t="s">
        <v>84</v>
      </c>
      <c r="B29" s="11">
        <f>B27*B28</f>
        <v>1.0573567917507887</v>
      </c>
      <c r="C29" s="2" t="s">
        <v>84</v>
      </c>
      <c r="D29" s="11">
        <f>D27*D28</f>
        <v>0.96138604098787872</v>
      </c>
      <c r="F29" s="12" t="str">
        <f t="shared" si="1"/>
        <v>U$/gal</v>
      </c>
      <c r="G29" s="11">
        <f>G27*G28</f>
        <v>-3.7618211812377157E-2</v>
      </c>
      <c r="I29" s="11">
        <f>I27*I28</f>
        <v>2.4867234781819313E-3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F4E54-7A74-4B1B-B5C6-7CBD459BED66}">
  <dimension ref="A2:D19"/>
  <sheetViews>
    <sheetView workbookViewId="0">
      <selection activeCell="K6" sqref="K6"/>
    </sheetView>
  </sheetViews>
  <sheetFormatPr defaultRowHeight="15" x14ac:dyDescent="0.25"/>
  <cols>
    <col min="1" max="1" width="20.85546875" bestFit="1" customWidth="1"/>
  </cols>
  <sheetData>
    <row r="2" spans="1:4" x14ac:dyDescent="0.25">
      <c r="A2" t="s">
        <v>37</v>
      </c>
    </row>
    <row r="3" spans="1:4" x14ac:dyDescent="0.25">
      <c r="A3" t="s">
        <v>25</v>
      </c>
      <c r="B3" s="1">
        <v>37.676111111111112</v>
      </c>
      <c r="C3" s="1">
        <f>B3*D3/100</f>
        <v>11.302833333333332</v>
      </c>
      <c r="D3">
        <v>30</v>
      </c>
    </row>
    <row r="4" spans="1:4" x14ac:dyDescent="0.25">
      <c r="A4" t="s">
        <v>26</v>
      </c>
      <c r="B4" s="1">
        <v>24.987142857142857</v>
      </c>
      <c r="C4" s="1">
        <f>B4*D4/100</f>
        <v>7.4961428571428561</v>
      </c>
      <c r="D4">
        <v>30</v>
      </c>
    </row>
    <row r="5" spans="1:4" x14ac:dyDescent="0.25">
      <c r="A5" t="s">
        <v>27</v>
      </c>
      <c r="B5" s="1">
        <v>36.087796610169491</v>
      </c>
      <c r="C5" s="1">
        <f>B5*D5/100</f>
        <v>7.2175593220338987</v>
      </c>
      <c r="D5">
        <v>20</v>
      </c>
    </row>
    <row r="6" spans="1:4" x14ac:dyDescent="0.25">
      <c r="A6" t="s">
        <v>28</v>
      </c>
      <c r="B6" s="1">
        <v>43.91</v>
      </c>
      <c r="C6" s="1">
        <f>B6*D6/100</f>
        <v>8.782</v>
      </c>
      <c r="D6">
        <v>20</v>
      </c>
    </row>
    <row r="7" spans="1:4" x14ac:dyDescent="0.25">
      <c r="B7" s="1"/>
      <c r="C7" s="1">
        <f>SUM(C3:C6)</f>
        <v>34.798535512510085</v>
      </c>
    </row>
    <row r="8" spans="1:4" x14ac:dyDescent="0.25">
      <c r="A8" t="s">
        <v>38</v>
      </c>
    </row>
    <row r="9" spans="1:4" x14ac:dyDescent="0.25">
      <c r="A9" t="s">
        <v>29</v>
      </c>
      <c r="B9" s="1">
        <v>78.599999999999994</v>
      </c>
      <c r="C9" s="1">
        <f>B9*D9/100</f>
        <v>23.58</v>
      </c>
      <c r="D9">
        <v>30</v>
      </c>
    </row>
    <row r="10" spans="1:4" x14ac:dyDescent="0.25">
      <c r="A10" t="s">
        <v>30</v>
      </c>
      <c r="B10" s="1">
        <v>35.72</v>
      </c>
      <c r="C10" s="1">
        <f>B10*D10/100</f>
        <v>10.715999999999999</v>
      </c>
      <c r="D10">
        <v>30</v>
      </c>
    </row>
    <row r="11" spans="1:4" x14ac:dyDescent="0.25">
      <c r="A11" t="s">
        <v>31</v>
      </c>
      <c r="B11" s="1">
        <v>51.9</v>
      </c>
      <c r="C11" s="1">
        <f>B11*D11/100</f>
        <v>10.38</v>
      </c>
      <c r="D11">
        <v>20</v>
      </c>
    </row>
    <row r="12" spans="1:4" x14ac:dyDescent="0.25">
      <c r="A12" t="s">
        <v>32</v>
      </c>
      <c r="B12" s="1">
        <v>51.9</v>
      </c>
      <c r="C12" s="1">
        <f>B12*D12/100</f>
        <v>10.38</v>
      </c>
      <c r="D12">
        <v>20</v>
      </c>
    </row>
    <row r="13" spans="1:4" x14ac:dyDescent="0.25">
      <c r="B13" s="1"/>
      <c r="C13" s="1">
        <f>SUM(C9:C12)</f>
        <v>55.056000000000004</v>
      </c>
    </row>
    <row r="14" spans="1:4" x14ac:dyDescent="0.25">
      <c r="A14" t="s">
        <v>39</v>
      </c>
    </row>
    <row r="15" spans="1:4" x14ac:dyDescent="0.25">
      <c r="A15" t="s">
        <v>33</v>
      </c>
      <c r="B15" s="1">
        <v>25.46</v>
      </c>
      <c r="C15" s="1">
        <f>B15*D15/100</f>
        <v>7.6380000000000008</v>
      </c>
      <c r="D15">
        <v>30</v>
      </c>
    </row>
    <row r="16" spans="1:4" x14ac:dyDescent="0.25">
      <c r="A16" t="s">
        <v>34</v>
      </c>
      <c r="B16" s="1">
        <v>17.920000000000002</v>
      </c>
      <c r="C16" s="1">
        <f>B16*D16/100</f>
        <v>5.3760000000000003</v>
      </c>
      <c r="D16">
        <v>30</v>
      </c>
    </row>
    <row r="17" spans="1:4" x14ac:dyDescent="0.25">
      <c r="A17" t="s">
        <v>35</v>
      </c>
      <c r="B17" s="1">
        <v>15.64</v>
      </c>
      <c r="C17" s="1">
        <f>B17*D17/100</f>
        <v>3.1280000000000001</v>
      </c>
      <c r="D17">
        <v>20</v>
      </c>
    </row>
    <row r="18" spans="1:4" x14ac:dyDescent="0.25">
      <c r="A18" t="s">
        <v>36</v>
      </c>
      <c r="B18" s="1">
        <v>38.75</v>
      </c>
      <c r="C18" s="1">
        <f>B18*D18/100</f>
        <v>7.75</v>
      </c>
      <c r="D18">
        <v>20</v>
      </c>
    </row>
    <row r="19" spans="1:4" x14ac:dyDescent="0.25">
      <c r="B19" s="1"/>
      <c r="C19" s="1">
        <f>SUM(C15:C18)</f>
        <v>23.892000000000003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x>
  <Cntr/>
</Prx>
</file>

<file path=customXml/itemProps1.xml><?xml version="1.0" encoding="utf-8"?>
<ds:datastoreItem xmlns:ds="http://schemas.openxmlformats.org/officeDocument/2006/customXml" ds:itemID="{EB34A9B7-1FAE-4852-94E2-3B8487574D5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Chicago Fuel Prices</vt:lpstr>
      <vt:lpstr>California Fuel Prices</vt:lpstr>
      <vt:lpstr>Canada Fuel Prices</vt:lpstr>
      <vt:lpstr>Comparison</vt:lpstr>
      <vt:lpstr>CFR Example</vt:lpstr>
      <vt:lpstr>CI Score Assumption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Alden, Tore (US)</dc:creator>
  <cp:lastModifiedBy>Tore Alden</cp:lastModifiedBy>
  <dcterms:created xsi:type="dcterms:W3CDTF">2025-05-14T16:16:37Z</dcterms:created>
  <dcterms:modified xsi:type="dcterms:W3CDTF">2025-07-15T09:56:20Z</dcterms:modified>
</cp:coreProperties>
</file>