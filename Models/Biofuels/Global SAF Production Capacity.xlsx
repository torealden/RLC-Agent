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drawings/drawing7.xml" ContentType="application/vnd.openxmlformats-officedocument.drawingml.chartshapes+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7.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4.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0.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1.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5.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4.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5.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6.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orem\Dropbox\RLC Documents\Models\Biofuels\"/>
    </mc:Choice>
  </mc:AlternateContent>
  <xr:revisionPtr revIDLastSave="0" documentId="8_{153EFC3A-EF1E-40E4-A366-A28CD6351734}" xr6:coauthVersionLast="47" xr6:coauthVersionMax="47" xr10:uidLastSave="{00000000-0000-0000-0000-000000000000}"/>
  <bookViews>
    <workbookView xWindow="3510" yWindow="1230" windowWidth="24795" windowHeight="14970" xr2:uid="{21D7FB4B-EF5C-4AB2-808F-5B3200AF7C12}"/>
  </bookViews>
  <sheets>
    <sheet name="Graph Dashboard" sheetId="1" r:id="rId1"/>
    <sheet name="Global Capacity Data" sheetId="2" r:id="rId2"/>
    <sheet name="NAm" sheetId="3" r:id="rId3"/>
    <sheet name="NAm Capacity Data" sheetId="4" r:id="rId4"/>
    <sheet name="SAm" sheetId="5" r:id="rId5"/>
    <sheet name="SAm Capacity Data" sheetId="6" r:id="rId6"/>
    <sheet name="Europe" sheetId="7" r:id="rId7"/>
    <sheet name="Europe Capacity Data" sheetId="8" r:id="rId8"/>
    <sheet name="Asia" sheetId="9" r:id="rId9"/>
    <sheet name="Asia Capacity Data" sheetId="10" r:id="rId10"/>
    <sheet name="MEA" sheetId="11" r:id="rId11"/>
    <sheet name="MEA Capacity Data" sheetId="12" r:id="rId12"/>
    <sheet name="Capacity by Region" sheetId="13" r:id="rId13"/>
    <sheet name="HEFA by Region" sheetId="14" r:id="rId14"/>
    <sheet name="AtJ by Region" sheetId="15" r:id="rId15"/>
    <sheet name="Non-HEFA or AtJ by Region" sheetId="16" r:id="rId16"/>
  </sheets>
  <externalReferences>
    <externalReference r:id="rId17"/>
  </externalReferences>
  <definedNames>
    <definedName name="_xlnm._FilterDatabase" localSheetId="8" hidden="1">Asia!$A$2:$X$57</definedName>
    <definedName name="_xlnm._FilterDatabase" localSheetId="6" hidden="1">Europe!$A$2:$X$126</definedName>
    <definedName name="_xlnm._FilterDatabase" localSheetId="2" hidden="1">NAm!$A$2:$X$84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6" i="13" l="1"/>
  <c r="N46" i="13"/>
  <c r="M46" i="13"/>
  <c r="L46" i="13"/>
  <c r="K46" i="13"/>
  <c r="J46" i="13"/>
  <c r="I46" i="13"/>
  <c r="H46" i="13"/>
  <c r="G46" i="13"/>
  <c r="F46" i="13"/>
  <c r="E46" i="13"/>
  <c r="D46" i="13"/>
  <c r="C46" i="13"/>
  <c r="A46" i="13"/>
  <c r="O45" i="13"/>
  <c r="N45" i="13"/>
  <c r="M45" i="13"/>
  <c r="L45" i="13"/>
  <c r="K45" i="13"/>
  <c r="J45" i="13"/>
  <c r="I45" i="13"/>
  <c r="H45" i="13"/>
  <c r="G45" i="13"/>
  <c r="F45" i="13"/>
  <c r="E45" i="13"/>
  <c r="D45" i="13"/>
  <c r="C45" i="13"/>
  <c r="A45" i="13"/>
  <c r="O44" i="13"/>
  <c r="N44" i="13"/>
  <c r="M44" i="13"/>
  <c r="L44" i="13"/>
  <c r="K44" i="13"/>
  <c r="J44" i="13"/>
  <c r="I44" i="13"/>
  <c r="H44" i="13"/>
  <c r="G44" i="13"/>
  <c r="F44" i="13"/>
  <c r="E44" i="13"/>
  <c r="D44" i="13"/>
  <c r="C44" i="13"/>
  <c r="A44" i="13"/>
  <c r="O43" i="13"/>
  <c r="N43" i="13"/>
  <c r="M43" i="13"/>
  <c r="L43" i="13"/>
  <c r="K43" i="13"/>
  <c r="J43" i="13"/>
  <c r="I43" i="13"/>
  <c r="H43" i="13"/>
  <c r="G43" i="13"/>
  <c r="F43" i="13"/>
  <c r="E43" i="13"/>
  <c r="D43" i="13"/>
  <c r="C43" i="13"/>
  <c r="A43" i="13"/>
  <c r="O42" i="13"/>
  <c r="N42" i="13"/>
  <c r="M42" i="13"/>
  <c r="L42" i="13"/>
  <c r="K42" i="13"/>
  <c r="J42" i="13"/>
  <c r="I42" i="13"/>
  <c r="H42" i="13"/>
  <c r="G42" i="13"/>
  <c r="F42" i="13"/>
  <c r="E42" i="13"/>
  <c r="D42" i="13"/>
  <c r="C42" i="13"/>
  <c r="A42" i="13"/>
  <c r="O41" i="13"/>
  <c r="N41" i="13"/>
  <c r="M41" i="13"/>
  <c r="L41" i="13"/>
  <c r="K41" i="13"/>
  <c r="J41" i="13"/>
  <c r="I41" i="13"/>
  <c r="H41" i="13"/>
  <c r="G41" i="13"/>
  <c r="F41" i="13"/>
  <c r="E41" i="13"/>
  <c r="D41" i="13"/>
  <c r="C41" i="13"/>
  <c r="O37" i="13"/>
  <c r="N37" i="13"/>
  <c r="M37" i="13"/>
  <c r="L37" i="13"/>
  <c r="K37" i="13"/>
  <c r="J37" i="13"/>
  <c r="I37" i="13"/>
  <c r="H37" i="13"/>
  <c r="G37" i="13"/>
  <c r="F37" i="13"/>
  <c r="E37" i="13"/>
  <c r="D37" i="13"/>
  <c r="C37" i="13"/>
  <c r="O36" i="13"/>
  <c r="N36" i="13"/>
  <c r="M36" i="13"/>
  <c r="L36" i="13"/>
  <c r="K36" i="13"/>
  <c r="J36" i="13"/>
  <c r="I36" i="13"/>
  <c r="H36" i="13"/>
  <c r="G36" i="13"/>
  <c r="F36" i="13"/>
  <c r="E36" i="13"/>
  <c r="D36" i="13"/>
  <c r="C36" i="13"/>
  <c r="O35" i="13"/>
  <c r="N35" i="13"/>
  <c r="M35" i="13"/>
  <c r="L35" i="13"/>
  <c r="K35" i="13"/>
  <c r="J35" i="13"/>
  <c r="I35" i="13"/>
  <c r="H35" i="13"/>
  <c r="G35" i="13"/>
  <c r="F35" i="13"/>
  <c r="E35" i="13"/>
  <c r="D35" i="13"/>
  <c r="C35" i="13"/>
  <c r="O34" i="13"/>
  <c r="N34" i="13"/>
  <c r="M34" i="13"/>
  <c r="L34" i="13"/>
  <c r="K34" i="13"/>
  <c r="J34" i="13"/>
  <c r="I34" i="13"/>
  <c r="H34" i="13"/>
  <c r="G34" i="13"/>
  <c r="F34" i="13"/>
  <c r="E34" i="13"/>
  <c r="D34" i="13"/>
  <c r="C34" i="13"/>
  <c r="O33" i="13"/>
  <c r="N33" i="13"/>
  <c r="M33" i="13"/>
  <c r="L33" i="13"/>
  <c r="K33" i="13"/>
  <c r="J33" i="13"/>
  <c r="I33" i="13"/>
  <c r="H33" i="13"/>
  <c r="G33" i="13"/>
  <c r="F33" i="13"/>
  <c r="E33" i="13"/>
  <c r="D33" i="13"/>
  <c r="C33" i="13"/>
  <c r="O32" i="13"/>
  <c r="N32" i="13"/>
  <c r="M32" i="13"/>
  <c r="L32" i="13"/>
  <c r="K32" i="13"/>
  <c r="J32" i="13"/>
  <c r="I32" i="13"/>
  <c r="H32" i="13"/>
  <c r="G32" i="13"/>
  <c r="F32" i="13"/>
  <c r="E32" i="13"/>
  <c r="D32" i="13"/>
  <c r="C32" i="13"/>
  <c r="O31" i="13"/>
  <c r="N31" i="13"/>
  <c r="M31" i="13"/>
  <c r="L31" i="13"/>
  <c r="K31" i="13"/>
  <c r="J31" i="13"/>
  <c r="I31" i="13"/>
  <c r="H31" i="13"/>
  <c r="G31" i="13"/>
  <c r="F31" i="13"/>
  <c r="E31" i="13"/>
  <c r="D31" i="13"/>
  <c r="C31" i="13"/>
  <c r="O30" i="13"/>
  <c r="N30" i="13"/>
  <c r="M30" i="13"/>
  <c r="L30" i="13"/>
  <c r="K30" i="13"/>
  <c r="J30" i="13"/>
  <c r="I30" i="13"/>
  <c r="H30" i="13"/>
  <c r="G30" i="13"/>
  <c r="F30" i="13"/>
  <c r="E30" i="13"/>
  <c r="D30" i="13"/>
  <c r="C30" i="13"/>
  <c r="O29" i="13"/>
  <c r="N29" i="13"/>
  <c r="M29" i="13"/>
  <c r="L29" i="13"/>
  <c r="K29" i="13"/>
  <c r="J29" i="13"/>
  <c r="I29" i="13"/>
  <c r="H29" i="13"/>
  <c r="G29" i="13"/>
  <c r="F29" i="13"/>
  <c r="E29" i="13"/>
  <c r="D29" i="13"/>
  <c r="C29" i="13"/>
  <c r="O28" i="13"/>
  <c r="N28" i="13"/>
  <c r="M28" i="13"/>
  <c r="L28" i="13"/>
  <c r="K28" i="13"/>
  <c r="J28" i="13"/>
  <c r="I28" i="13"/>
  <c r="H28" i="13"/>
  <c r="G28" i="13"/>
  <c r="F28" i="13"/>
  <c r="E28" i="13"/>
  <c r="D28" i="13"/>
  <c r="C28" i="13"/>
  <c r="O27" i="13"/>
  <c r="N27" i="13"/>
  <c r="M27" i="13"/>
  <c r="L27" i="13"/>
  <c r="K27" i="13"/>
  <c r="J27" i="13"/>
  <c r="I27" i="13"/>
  <c r="H27" i="13"/>
  <c r="G27" i="13"/>
  <c r="F27" i="13"/>
  <c r="E27" i="13"/>
  <c r="D27" i="13"/>
  <c r="C27" i="13"/>
  <c r="O26" i="13"/>
  <c r="N26" i="13"/>
  <c r="M26" i="13"/>
  <c r="L26" i="13"/>
  <c r="K26" i="13"/>
  <c r="J26" i="13"/>
  <c r="I26" i="13"/>
  <c r="H26" i="13"/>
  <c r="G26" i="13"/>
  <c r="F26" i="13"/>
  <c r="E26" i="13"/>
  <c r="D26" i="13"/>
  <c r="C26" i="13"/>
  <c r="O25" i="13"/>
  <c r="N25" i="13"/>
  <c r="M25" i="13"/>
  <c r="L25" i="13"/>
  <c r="K25" i="13"/>
  <c r="J25" i="13"/>
  <c r="I25" i="13"/>
  <c r="H25" i="13"/>
  <c r="G25" i="13"/>
  <c r="F25" i="13"/>
  <c r="E25" i="13"/>
  <c r="D25" i="13"/>
  <c r="C25" i="13"/>
  <c r="O24" i="13"/>
  <c r="N24" i="13"/>
  <c r="M24" i="13"/>
  <c r="L24" i="13"/>
  <c r="K24" i="13"/>
  <c r="J24" i="13"/>
  <c r="I24" i="13"/>
  <c r="H24" i="13"/>
  <c r="G24" i="13"/>
  <c r="F24" i="13"/>
  <c r="E24" i="13"/>
  <c r="D24" i="13"/>
  <c r="C24" i="13"/>
  <c r="O23" i="13"/>
  <c r="N23" i="13"/>
  <c r="M23" i="13"/>
  <c r="L23" i="13"/>
  <c r="K23" i="13"/>
  <c r="J23" i="13"/>
  <c r="I23" i="13"/>
  <c r="H23" i="13"/>
  <c r="G23" i="13"/>
  <c r="F23" i="13"/>
  <c r="E23" i="13"/>
  <c r="D23" i="13"/>
  <c r="C23" i="13"/>
  <c r="O22" i="13"/>
  <c r="N22" i="13"/>
  <c r="M22" i="13"/>
  <c r="L22" i="13"/>
  <c r="K22" i="13"/>
  <c r="J22" i="13"/>
  <c r="I22" i="13"/>
  <c r="H22" i="13"/>
  <c r="G22" i="13"/>
  <c r="F22" i="13"/>
  <c r="E22" i="13"/>
  <c r="D22" i="13"/>
  <c r="C22" i="13"/>
  <c r="O21" i="13"/>
  <c r="N21" i="13"/>
  <c r="M21" i="13"/>
  <c r="L21" i="13"/>
  <c r="K21" i="13"/>
  <c r="J21" i="13"/>
  <c r="I21" i="13"/>
  <c r="H21" i="13"/>
  <c r="G21" i="13"/>
  <c r="F21" i="13"/>
  <c r="E21" i="13"/>
  <c r="D21" i="13"/>
  <c r="C21" i="13"/>
  <c r="O20" i="13"/>
  <c r="N20" i="13"/>
  <c r="M20" i="13"/>
  <c r="L20" i="13"/>
  <c r="K20" i="13"/>
  <c r="J20" i="13"/>
  <c r="I20" i="13"/>
  <c r="H20" i="13"/>
  <c r="G20" i="13"/>
  <c r="F20" i="13"/>
  <c r="E20" i="13"/>
  <c r="D20" i="13"/>
  <c r="C20" i="13"/>
  <c r="O19" i="13"/>
  <c r="N19" i="13"/>
  <c r="M19" i="13"/>
  <c r="L19" i="13"/>
  <c r="K19" i="13"/>
  <c r="J19" i="13"/>
  <c r="I19" i="13"/>
  <c r="H19" i="13"/>
  <c r="G19" i="13"/>
  <c r="F19" i="13"/>
  <c r="E19" i="13"/>
  <c r="D19" i="13"/>
  <c r="C19" i="13"/>
  <c r="O18" i="13"/>
  <c r="N18" i="13"/>
  <c r="M18" i="13"/>
  <c r="L18" i="13"/>
  <c r="K18" i="13"/>
  <c r="J18" i="13"/>
  <c r="I18" i="13"/>
  <c r="H18" i="13"/>
  <c r="G18" i="13"/>
  <c r="F18" i="13"/>
  <c r="E18" i="13"/>
  <c r="D18" i="13"/>
  <c r="C18" i="13"/>
  <c r="O17" i="13"/>
  <c r="N17" i="13"/>
  <c r="M17" i="13"/>
  <c r="L17" i="13"/>
  <c r="K17" i="13"/>
  <c r="J17" i="13"/>
  <c r="I17" i="13"/>
  <c r="H17" i="13"/>
  <c r="G17" i="13"/>
  <c r="F17" i="13"/>
  <c r="E17" i="13"/>
  <c r="D17" i="13"/>
  <c r="C17" i="13"/>
  <c r="O16" i="13"/>
  <c r="N16" i="13"/>
  <c r="M16" i="13"/>
  <c r="L16" i="13"/>
  <c r="K16" i="13"/>
  <c r="J16" i="13"/>
  <c r="I16" i="13"/>
  <c r="H16" i="13"/>
  <c r="G16" i="13"/>
  <c r="F16" i="13"/>
  <c r="E16" i="13"/>
  <c r="D16" i="13"/>
  <c r="C16" i="13"/>
  <c r="O15" i="13"/>
  <c r="N15" i="13"/>
  <c r="M15" i="13"/>
  <c r="L15" i="13"/>
  <c r="K15" i="13"/>
  <c r="J15" i="13"/>
  <c r="I15" i="13"/>
  <c r="H15" i="13"/>
  <c r="G15" i="13"/>
  <c r="F15" i="13"/>
  <c r="E15" i="13"/>
  <c r="D15" i="13"/>
  <c r="C15" i="13"/>
  <c r="O14" i="13"/>
  <c r="N14" i="13"/>
  <c r="M14" i="13"/>
  <c r="L14" i="13"/>
  <c r="K14" i="13"/>
  <c r="J14" i="13"/>
  <c r="I14" i="13"/>
  <c r="H14" i="13"/>
  <c r="G14" i="13"/>
  <c r="F14" i="13"/>
  <c r="E14" i="13"/>
  <c r="D14" i="13"/>
  <c r="C14" i="13"/>
  <c r="O13" i="13"/>
  <c r="N13" i="13"/>
  <c r="M13" i="13"/>
  <c r="L13" i="13"/>
  <c r="K13" i="13"/>
  <c r="J13" i="13"/>
  <c r="I13" i="13"/>
  <c r="H13" i="13"/>
  <c r="G13" i="13"/>
  <c r="F13" i="13"/>
  <c r="E13" i="13"/>
  <c r="D13" i="13"/>
  <c r="C13" i="13"/>
  <c r="O12" i="13"/>
  <c r="N12" i="13"/>
  <c r="M12" i="13"/>
  <c r="L12" i="13"/>
  <c r="K12" i="13"/>
  <c r="J12" i="13"/>
  <c r="I12" i="13"/>
  <c r="H12" i="13"/>
  <c r="G12" i="13"/>
  <c r="F12" i="13"/>
  <c r="E12" i="13"/>
  <c r="D12" i="13"/>
  <c r="C12" i="13"/>
  <c r="O11" i="13"/>
  <c r="N11" i="13"/>
  <c r="M11" i="13"/>
  <c r="L11" i="13"/>
  <c r="K11" i="13"/>
  <c r="J11" i="13"/>
  <c r="I11" i="13"/>
  <c r="H11" i="13"/>
  <c r="G11" i="13"/>
  <c r="F11" i="13"/>
  <c r="E11" i="13"/>
  <c r="D11" i="13"/>
  <c r="C11" i="13"/>
  <c r="O10" i="13"/>
  <c r="N10" i="13"/>
  <c r="M10" i="13"/>
  <c r="L10" i="13"/>
  <c r="K10" i="13"/>
  <c r="J10" i="13"/>
  <c r="I10" i="13"/>
  <c r="H10" i="13"/>
  <c r="G10" i="13"/>
  <c r="F10" i="13"/>
  <c r="E10" i="13"/>
  <c r="D10" i="13"/>
  <c r="C10" i="13"/>
  <c r="AB9" i="13"/>
  <c r="AA9" i="13"/>
  <c r="Z9" i="13"/>
  <c r="Y9" i="13"/>
  <c r="X9" i="13"/>
  <c r="W9" i="13"/>
  <c r="V9" i="13"/>
  <c r="U9" i="13"/>
  <c r="T9" i="13"/>
  <c r="R9" i="13"/>
  <c r="O9" i="13"/>
  <c r="N9" i="13"/>
  <c r="M9" i="13"/>
  <c r="L9" i="13"/>
  <c r="K9" i="13"/>
  <c r="J9" i="13"/>
  <c r="I9" i="13"/>
  <c r="H9" i="13"/>
  <c r="G9" i="13"/>
  <c r="F9" i="13"/>
  <c r="E9" i="13"/>
  <c r="D9" i="13"/>
  <c r="C9" i="13"/>
  <c r="AD8" i="13"/>
  <c r="AC8" i="13"/>
  <c r="AB8" i="13"/>
  <c r="AA8" i="13"/>
  <c r="Z8" i="13"/>
  <c r="Y8" i="13"/>
  <c r="X8" i="13"/>
  <c r="W8" i="13"/>
  <c r="V8" i="13"/>
  <c r="U8" i="13"/>
  <c r="T8" i="13"/>
  <c r="S8" i="13"/>
  <c r="R8" i="13"/>
  <c r="Q8" i="13"/>
  <c r="O8" i="13"/>
  <c r="N8" i="13"/>
  <c r="M8" i="13"/>
  <c r="L8" i="13"/>
  <c r="K8" i="13"/>
  <c r="J8" i="13"/>
  <c r="I8" i="13"/>
  <c r="H8" i="13"/>
  <c r="G8" i="13"/>
  <c r="F8" i="13"/>
  <c r="E8" i="13"/>
  <c r="D8" i="13"/>
  <c r="C8" i="13"/>
  <c r="AD7" i="13"/>
  <c r="AC7" i="13"/>
  <c r="AB7" i="13"/>
  <c r="AA7" i="13"/>
  <c r="Z7" i="13"/>
  <c r="Y7" i="13"/>
  <c r="X7" i="13"/>
  <c r="W7" i="13"/>
  <c r="V7" i="13"/>
  <c r="U7" i="13"/>
  <c r="T7" i="13"/>
  <c r="S7" i="13"/>
  <c r="R7" i="13"/>
  <c r="Q7" i="13"/>
  <c r="O7" i="13"/>
  <c r="N7" i="13"/>
  <c r="M7" i="13"/>
  <c r="L7" i="13"/>
  <c r="K7" i="13"/>
  <c r="J7" i="13"/>
  <c r="I7" i="13"/>
  <c r="H7" i="13"/>
  <c r="G7" i="13"/>
  <c r="F7" i="13"/>
  <c r="E7" i="13"/>
  <c r="D7" i="13"/>
  <c r="C7" i="13"/>
  <c r="AD6" i="13"/>
  <c r="AC6" i="13"/>
  <c r="AB6" i="13"/>
  <c r="AA6" i="13"/>
  <c r="Z6" i="13"/>
  <c r="Y6" i="13"/>
  <c r="X6" i="13"/>
  <c r="W6" i="13"/>
  <c r="V6" i="13"/>
  <c r="U6" i="13"/>
  <c r="T6" i="13"/>
  <c r="S6" i="13"/>
  <c r="R6" i="13"/>
  <c r="Q6" i="13"/>
  <c r="O6" i="13"/>
  <c r="N6" i="13"/>
  <c r="M6" i="13"/>
  <c r="L6" i="13"/>
  <c r="K6" i="13"/>
  <c r="J6" i="13"/>
  <c r="I6" i="13"/>
  <c r="H6" i="13"/>
  <c r="G6" i="13"/>
  <c r="F6" i="13"/>
  <c r="E6" i="13"/>
  <c r="D6" i="13"/>
  <c r="C6" i="13"/>
  <c r="AD5" i="13"/>
  <c r="AC5" i="13"/>
  <c r="AB5" i="13"/>
  <c r="AA5" i="13"/>
  <c r="Z5" i="13"/>
  <c r="Y5" i="13"/>
  <c r="X5" i="13"/>
  <c r="W5" i="13"/>
  <c r="V5" i="13"/>
  <c r="U5" i="13"/>
  <c r="T5" i="13"/>
  <c r="S5" i="13"/>
  <c r="R5" i="13"/>
  <c r="Q5" i="13"/>
  <c r="O5" i="13"/>
  <c r="N5" i="13"/>
  <c r="M5" i="13"/>
  <c r="L5" i="13"/>
  <c r="K5" i="13"/>
  <c r="J5" i="13"/>
  <c r="I5" i="13"/>
  <c r="H5" i="13"/>
  <c r="G5" i="13"/>
  <c r="F5" i="13"/>
  <c r="E5" i="13"/>
  <c r="D5" i="13"/>
  <c r="C5" i="13"/>
  <c r="AD4" i="13"/>
  <c r="AC4" i="13"/>
  <c r="AB4" i="13"/>
  <c r="AA4" i="13"/>
  <c r="Z4" i="13"/>
  <c r="Y4" i="13"/>
  <c r="X4" i="13"/>
  <c r="W4" i="13"/>
  <c r="V4" i="13"/>
  <c r="U4" i="13"/>
  <c r="T4" i="13"/>
  <c r="S4" i="13"/>
  <c r="R4" i="13"/>
  <c r="Q4" i="13"/>
  <c r="O4" i="13"/>
  <c r="N4" i="13"/>
  <c r="M4" i="13"/>
  <c r="L4" i="13"/>
  <c r="K4" i="13"/>
  <c r="J4" i="13"/>
  <c r="I4" i="13"/>
  <c r="H4" i="13"/>
  <c r="G4" i="13"/>
  <c r="F4" i="13"/>
  <c r="E4" i="13"/>
  <c r="D4" i="13"/>
  <c r="C4" i="13"/>
  <c r="AD3" i="13"/>
  <c r="AC3" i="13"/>
  <c r="AB3" i="13"/>
  <c r="AA3" i="13"/>
  <c r="Z3" i="13"/>
  <c r="Y3" i="13"/>
  <c r="X3" i="13"/>
  <c r="W3" i="13"/>
  <c r="V3" i="13"/>
  <c r="U3" i="13"/>
  <c r="T3" i="13"/>
  <c r="S3" i="13"/>
  <c r="R3" i="13"/>
  <c r="O3" i="13"/>
  <c r="N3" i="13"/>
  <c r="M3" i="13"/>
  <c r="L3" i="13"/>
  <c r="K3" i="13"/>
  <c r="J3" i="13"/>
  <c r="I3" i="13"/>
  <c r="H3" i="13"/>
  <c r="G3" i="13"/>
  <c r="F3" i="13"/>
  <c r="E3" i="13"/>
  <c r="D3" i="13"/>
  <c r="C3" i="13"/>
  <c r="R105" i="12"/>
  <c r="Q105" i="12"/>
  <c r="P105" i="12"/>
  <c r="O105" i="12"/>
  <c r="N105" i="12"/>
  <c r="M105" i="12"/>
  <c r="L105" i="12"/>
  <c r="K105" i="12"/>
  <c r="J105" i="12"/>
  <c r="I105" i="12"/>
  <c r="H105" i="12"/>
  <c r="G105" i="12"/>
  <c r="F105" i="12"/>
  <c r="E105" i="12"/>
  <c r="D105" i="12"/>
  <c r="C105" i="12"/>
  <c r="B105" i="12"/>
  <c r="R100" i="12"/>
  <c r="L100" i="12"/>
  <c r="Q92" i="12"/>
  <c r="P92" i="12"/>
  <c r="O92" i="12"/>
  <c r="N92" i="12"/>
  <c r="M92" i="12"/>
  <c r="L92" i="12"/>
  <c r="K92" i="12"/>
  <c r="J92" i="12"/>
  <c r="I92" i="12"/>
  <c r="H92" i="12"/>
  <c r="G92" i="12"/>
  <c r="F92" i="12"/>
  <c r="E92" i="12"/>
  <c r="D92" i="12"/>
  <c r="C92" i="12"/>
  <c r="B92" i="12"/>
  <c r="A92" i="12"/>
  <c r="S80" i="12"/>
  <c r="Q80" i="12"/>
  <c r="P80" i="12"/>
  <c r="O80" i="12"/>
  <c r="N80" i="12"/>
  <c r="M80" i="12"/>
  <c r="L80" i="12"/>
  <c r="K80" i="12"/>
  <c r="J80" i="12"/>
  <c r="I80" i="12"/>
  <c r="H80" i="12"/>
  <c r="G80" i="12"/>
  <c r="F80" i="12"/>
  <c r="E80" i="12"/>
  <c r="D80" i="12"/>
  <c r="C80" i="12"/>
  <c r="B80" i="12"/>
  <c r="Q79" i="12"/>
  <c r="P79" i="12"/>
  <c r="O79" i="12"/>
  <c r="N79" i="12"/>
  <c r="M79" i="12"/>
  <c r="L79" i="12"/>
  <c r="K79" i="12"/>
  <c r="J79" i="12"/>
  <c r="I79" i="12"/>
  <c r="H79" i="12"/>
  <c r="G79" i="12"/>
  <c r="F79" i="12"/>
  <c r="E79" i="12"/>
  <c r="D79" i="12"/>
  <c r="C79" i="12"/>
  <c r="B79" i="12"/>
  <c r="Q78" i="12"/>
  <c r="P78" i="12"/>
  <c r="O78" i="12"/>
  <c r="N78" i="12"/>
  <c r="M78" i="12"/>
  <c r="L78" i="12"/>
  <c r="K78" i="12"/>
  <c r="J78" i="12"/>
  <c r="I78" i="12"/>
  <c r="H78" i="12"/>
  <c r="G78" i="12"/>
  <c r="F78" i="12"/>
  <c r="E78" i="12"/>
  <c r="D78" i="12"/>
  <c r="C78" i="12"/>
  <c r="B78" i="12"/>
  <c r="Q75" i="12"/>
  <c r="P75" i="12"/>
  <c r="O75" i="12"/>
  <c r="N75" i="12"/>
  <c r="M75" i="12"/>
  <c r="L75" i="12"/>
  <c r="K75" i="12"/>
  <c r="J75" i="12"/>
  <c r="I75" i="12"/>
  <c r="H75" i="12"/>
  <c r="G75" i="12"/>
  <c r="F75" i="12"/>
  <c r="E75" i="12"/>
  <c r="D75" i="12"/>
  <c r="C75" i="12"/>
  <c r="B75" i="12"/>
  <c r="Q74" i="12"/>
  <c r="P74" i="12"/>
  <c r="O74" i="12"/>
  <c r="N74" i="12"/>
  <c r="M74" i="12"/>
  <c r="L74" i="12"/>
  <c r="K74" i="12"/>
  <c r="J74" i="12"/>
  <c r="I74" i="12"/>
  <c r="H74" i="12"/>
  <c r="G74" i="12"/>
  <c r="F74" i="12"/>
  <c r="E74" i="12"/>
  <c r="D74" i="12"/>
  <c r="C74" i="12"/>
  <c r="B74" i="12"/>
  <c r="Q73" i="12"/>
  <c r="P73" i="12"/>
  <c r="O73" i="12"/>
  <c r="N73" i="12"/>
  <c r="M73" i="12"/>
  <c r="L73" i="12"/>
  <c r="K73" i="12"/>
  <c r="J73" i="12"/>
  <c r="I73" i="12"/>
  <c r="H73" i="12"/>
  <c r="G73" i="12"/>
  <c r="F73" i="12"/>
  <c r="E73" i="12"/>
  <c r="D73" i="12"/>
  <c r="C73" i="12"/>
  <c r="B73" i="12"/>
  <c r="S72" i="12"/>
  <c r="Q72" i="12"/>
  <c r="P72" i="12"/>
  <c r="O72" i="12"/>
  <c r="N72" i="12"/>
  <c r="M72" i="12"/>
  <c r="L72" i="12"/>
  <c r="K72" i="12"/>
  <c r="J72" i="12"/>
  <c r="I72" i="12"/>
  <c r="H72" i="12"/>
  <c r="G72" i="12"/>
  <c r="F72" i="12"/>
  <c r="E72" i="12"/>
  <c r="D72" i="12"/>
  <c r="C72" i="12"/>
  <c r="B72" i="12"/>
  <c r="Q71" i="12"/>
  <c r="P71" i="12"/>
  <c r="O71" i="12"/>
  <c r="N71" i="12"/>
  <c r="M71" i="12"/>
  <c r="L71" i="12"/>
  <c r="K71" i="12"/>
  <c r="J71" i="12"/>
  <c r="I71" i="12"/>
  <c r="H71" i="12"/>
  <c r="G71" i="12"/>
  <c r="F71" i="12"/>
  <c r="E71" i="12"/>
  <c r="D71" i="12"/>
  <c r="C71" i="12"/>
  <c r="B71" i="12"/>
  <c r="Q70" i="12"/>
  <c r="P70" i="12"/>
  <c r="O70" i="12"/>
  <c r="N70" i="12"/>
  <c r="M70" i="12"/>
  <c r="L70" i="12"/>
  <c r="K70" i="12"/>
  <c r="J70" i="12"/>
  <c r="I70" i="12"/>
  <c r="H70" i="12"/>
  <c r="G70" i="12"/>
  <c r="F70" i="12"/>
  <c r="E70" i="12"/>
  <c r="D70" i="12"/>
  <c r="C70" i="12"/>
  <c r="B70" i="12"/>
  <c r="A70" i="12"/>
  <c r="Q67" i="12"/>
  <c r="P67" i="12"/>
  <c r="O67" i="12"/>
  <c r="N67" i="12"/>
  <c r="M67" i="12"/>
  <c r="L67" i="12"/>
  <c r="K67" i="12"/>
  <c r="J67" i="12"/>
  <c r="I67" i="12"/>
  <c r="H67" i="12"/>
  <c r="G67" i="12"/>
  <c r="F67" i="12"/>
  <c r="E67" i="12"/>
  <c r="D67" i="12"/>
  <c r="C67" i="12"/>
  <c r="B67" i="12"/>
  <c r="Q66" i="12"/>
  <c r="P66" i="12"/>
  <c r="O66" i="12"/>
  <c r="N66" i="12"/>
  <c r="M66" i="12"/>
  <c r="L66" i="12"/>
  <c r="K66" i="12"/>
  <c r="J66" i="12"/>
  <c r="I66" i="12"/>
  <c r="H66" i="12"/>
  <c r="G66" i="12"/>
  <c r="F66" i="12"/>
  <c r="E66" i="12"/>
  <c r="D66" i="12"/>
  <c r="C66" i="12"/>
  <c r="B66" i="12"/>
  <c r="Q65" i="12"/>
  <c r="P65" i="12"/>
  <c r="O65" i="12"/>
  <c r="N65" i="12"/>
  <c r="M65" i="12"/>
  <c r="L65" i="12"/>
  <c r="K65" i="12"/>
  <c r="J65" i="12"/>
  <c r="I65" i="12"/>
  <c r="H65" i="12"/>
  <c r="G65" i="12"/>
  <c r="F65" i="12"/>
  <c r="E65" i="12"/>
  <c r="D65" i="12"/>
  <c r="C65" i="12"/>
  <c r="B65" i="12"/>
  <c r="Q64" i="12"/>
  <c r="P64" i="12"/>
  <c r="O64" i="12"/>
  <c r="N64" i="12"/>
  <c r="M64" i="12"/>
  <c r="L64" i="12"/>
  <c r="K64" i="12"/>
  <c r="J64" i="12"/>
  <c r="I64" i="12"/>
  <c r="H64" i="12"/>
  <c r="G64" i="12"/>
  <c r="F64" i="12"/>
  <c r="E64" i="12"/>
  <c r="D64" i="12"/>
  <c r="C64" i="12"/>
  <c r="B64" i="12"/>
  <c r="Q63" i="12"/>
  <c r="P63" i="12"/>
  <c r="O63" i="12"/>
  <c r="N63" i="12"/>
  <c r="M63" i="12"/>
  <c r="L63" i="12"/>
  <c r="K63" i="12"/>
  <c r="J63" i="12"/>
  <c r="I63" i="12"/>
  <c r="H63" i="12"/>
  <c r="G63" i="12"/>
  <c r="F63" i="12"/>
  <c r="E63" i="12"/>
  <c r="D63" i="12"/>
  <c r="C63" i="12"/>
  <c r="B63" i="12"/>
  <c r="Q62" i="12"/>
  <c r="P62" i="12"/>
  <c r="O62" i="12"/>
  <c r="N62" i="12"/>
  <c r="M62" i="12"/>
  <c r="L62" i="12"/>
  <c r="K62" i="12"/>
  <c r="J62" i="12"/>
  <c r="I62" i="12"/>
  <c r="H62" i="12"/>
  <c r="G62" i="12"/>
  <c r="F62" i="12"/>
  <c r="E62" i="12"/>
  <c r="D62" i="12"/>
  <c r="C62" i="12"/>
  <c r="B62" i="12"/>
  <c r="Q61" i="12"/>
  <c r="P61" i="12"/>
  <c r="O61" i="12"/>
  <c r="N61" i="12"/>
  <c r="M61" i="12"/>
  <c r="L61" i="12"/>
  <c r="K61" i="12"/>
  <c r="J61" i="12"/>
  <c r="I61" i="12"/>
  <c r="H61" i="12"/>
  <c r="G61" i="12"/>
  <c r="F61" i="12"/>
  <c r="E61" i="12"/>
  <c r="D61" i="12"/>
  <c r="C61" i="12"/>
  <c r="B61" i="12"/>
  <c r="A61" i="12"/>
  <c r="Q58" i="12"/>
  <c r="P58" i="12"/>
  <c r="O58" i="12"/>
  <c r="N58" i="12"/>
  <c r="M58" i="12"/>
  <c r="L58" i="12"/>
  <c r="K58" i="12"/>
  <c r="J58" i="12"/>
  <c r="I58" i="12"/>
  <c r="H58" i="12"/>
  <c r="G58" i="12"/>
  <c r="F58" i="12"/>
  <c r="E58" i="12"/>
  <c r="D58" i="12"/>
  <c r="C58" i="12"/>
  <c r="B58" i="12"/>
  <c r="Q57" i="12"/>
  <c r="P57" i="12"/>
  <c r="O57" i="12"/>
  <c r="N57" i="12"/>
  <c r="M57" i="12"/>
  <c r="L57" i="12"/>
  <c r="K57" i="12"/>
  <c r="J57" i="12"/>
  <c r="I57" i="12"/>
  <c r="H57" i="12"/>
  <c r="G57" i="12"/>
  <c r="F57" i="12"/>
  <c r="E57" i="12"/>
  <c r="D57" i="12"/>
  <c r="C57" i="12"/>
  <c r="B57" i="12"/>
  <c r="Q56" i="12"/>
  <c r="P56" i="12"/>
  <c r="O56" i="12"/>
  <c r="N56" i="12"/>
  <c r="M56" i="12"/>
  <c r="L56" i="12"/>
  <c r="K56" i="12"/>
  <c r="J56" i="12"/>
  <c r="I56" i="12"/>
  <c r="H56" i="12"/>
  <c r="G56" i="12"/>
  <c r="F56" i="12"/>
  <c r="E56" i="12"/>
  <c r="D56" i="12"/>
  <c r="C56" i="12"/>
  <c r="B56" i="12"/>
  <c r="Q55" i="12"/>
  <c r="P55" i="12"/>
  <c r="O55" i="12"/>
  <c r="N55" i="12"/>
  <c r="M55" i="12"/>
  <c r="L55" i="12"/>
  <c r="K55" i="12"/>
  <c r="J55" i="12"/>
  <c r="I55" i="12"/>
  <c r="H55" i="12"/>
  <c r="G55" i="12"/>
  <c r="F55" i="12"/>
  <c r="E55" i="12"/>
  <c r="D55" i="12"/>
  <c r="C55" i="12"/>
  <c r="B55" i="12"/>
  <c r="Q54" i="12"/>
  <c r="P54" i="12"/>
  <c r="O54" i="12"/>
  <c r="N54" i="12"/>
  <c r="M54" i="12"/>
  <c r="L54" i="12"/>
  <c r="K54" i="12"/>
  <c r="J54" i="12"/>
  <c r="I54" i="12"/>
  <c r="H54" i="12"/>
  <c r="G54" i="12"/>
  <c r="F54" i="12"/>
  <c r="E54" i="12"/>
  <c r="D54" i="12"/>
  <c r="C54" i="12"/>
  <c r="B54" i="12"/>
  <c r="Q53" i="12"/>
  <c r="P53" i="12"/>
  <c r="O53" i="12"/>
  <c r="N53" i="12"/>
  <c r="M53" i="12"/>
  <c r="L53" i="12"/>
  <c r="K53" i="12"/>
  <c r="J53" i="12"/>
  <c r="I53" i="12"/>
  <c r="H53" i="12"/>
  <c r="G53" i="12"/>
  <c r="F53" i="12"/>
  <c r="E53" i="12"/>
  <c r="D53" i="12"/>
  <c r="C53" i="12"/>
  <c r="B53" i="12"/>
  <c r="Q52" i="12"/>
  <c r="P52" i="12"/>
  <c r="O52" i="12"/>
  <c r="N52" i="12"/>
  <c r="M52" i="12"/>
  <c r="L52" i="12"/>
  <c r="K52" i="12"/>
  <c r="J52" i="12"/>
  <c r="I52" i="12"/>
  <c r="H52" i="12"/>
  <c r="G52" i="12"/>
  <c r="F52" i="12"/>
  <c r="E52" i="12"/>
  <c r="D52" i="12"/>
  <c r="C52" i="12"/>
  <c r="B52" i="12"/>
  <c r="A52" i="12"/>
  <c r="R49" i="12"/>
  <c r="Q49" i="12"/>
  <c r="P49" i="12"/>
  <c r="O49" i="12"/>
  <c r="N49" i="12"/>
  <c r="M49" i="12"/>
  <c r="L49" i="12"/>
  <c r="K49" i="12"/>
  <c r="J49" i="12"/>
  <c r="I49" i="12"/>
  <c r="H49" i="12"/>
  <c r="G49" i="12"/>
  <c r="F49" i="12"/>
  <c r="E49" i="12"/>
  <c r="D49" i="12"/>
  <c r="C49" i="12"/>
  <c r="B49" i="12"/>
  <c r="S48" i="12"/>
  <c r="R48" i="12"/>
  <c r="Q48" i="12"/>
  <c r="P48" i="12"/>
  <c r="O48" i="12"/>
  <c r="N48" i="12"/>
  <c r="M48" i="12"/>
  <c r="L48" i="12"/>
  <c r="K48" i="12"/>
  <c r="J48" i="12"/>
  <c r="I48" i="12"/>
  <c r="H48" i="12"/>
  <c r="G48" i="12"/>
  <c r="F48" i="12"/>
  <c r="E48" i="12"/>
  <c r="D48" i="12"/>
  <c r="C48" i="12"/>
  <c r="B48" i="12"/>
  <c r="S47" i="12"/>
  <c r="R47" i="12"/>
  <c r="Q47" i="12"/>
  <c r="P47" i="12"/>
  <c r="O47" i="12"/>
  <c r="N47" i="12"/>
  <c r="M47" i="12"/>
  <c r="L47" i="12"/>
  <c r="K47" i="12"/>
  <c r="J47" i="12"/>
  <c r="I47" i="12"/>
  <c r="H47" i="12"/>
  <c r="G47" i="12"/>
  <c r="F47" i="12"/>
  <c r="E47" i="12"/>
  <c r="D47" i="12"/>
  <c r="C47" i="12"/>
  <c r="B47" i="12"/>
  <c r="S46" i="12"/>
  <c r="R46" i="12"/>
  <c r="Q46" i="12"/>
  <c r="P46" i="12"/>
  <c r="O46" i="12"/>
  <c r="N46" i="12"/>
  <c r="M46" i="12"/>
  <c r="L46" i="12"/>
  <c r="K46" i="12"/>
  <c r="J46" i="12"/>
  <c r="I46" i="12"/>
  <c r="H46" i="12"/>
  <c r="G46" i="12"/>
  <c r="F46" i="12"/>
  <c r="E46" i="12"/>
  <c r="D46" i="12"/>
  <c r="C46" i="12"/>
  <c r="B46" i="12"/>
  <c r="S45" i="12"/>
  <c r="R45" i="12"/>
  <c r="Q45" i="12"/>
  <c r="P45" i="12"/>
  <c r="O45" i="12"/>
  <c r="N45" i="12"/>
  <c r="M45" i="12"/>
  <c r="L45" i="12"/>
  <c r="K45" i="12"/>
  <c r="J45" i="12"/>
  <c r="I45" i="12"/>
  <c r="H45" i="12"/>
  <c r="G45" i="12"/>
  <c r="F45" i="12"/>
  <c r="E45" i="12"/>
  <c r="D45" i="12"/>
  <c r="C45" i="12"/>
  <c r="B45" i="12"/>
  <c r="S44" i="12"/>
  <c r="R44" i="12"/>
  <c r="Q44" i="12"/>
  <c r="P44" i="12"/>
  <c r="O44" i="12"/>
  <c r="N44" i="12"/>
  <c r="M44" i="12"/>
  <c r="L44" i="12"/>
  <c r="K44" i="12"/>
  <c r="J44" i="12"/>
  <c r="I44" i="12"/>
  <c r="H44" i="12"/>
  <c r="G44" i="12"/>
  <c r="F44" i="12"/>
  <c r="E44" i="12"/>
  <c r="D44" i="12"/>
  <c r="C44" i="12"/>
  <c r="B44" i="12"/>
  <c r="S43" i="12"/>
  <c r="R43" i="12"/>
  <c r="Q43" i="12"/>
  <c r="P43" i="12"/>
  <c r="O43" i="12"/>
  <c r="N43" i="12"/>
  <c r="M43" i="12"/>
  <c r="L43" i="12"/>
  <c r="K43" i="12"/>
  <c r="J43" i="12"/>
  <c r="I43" i="12"/>
  <c r="H43" i="12"/>
  <c r="G43" i="12"/>
  <c r="F43" i="12"/>
  <c r="E43" i="12"/>
  <c r="D43" i="12"/>
  <c r="C43" i="12"/>
  <c r="B43" i="12"/>
  <c r="Q42" i="12"/>
  <c r="P42" i="12"/>
  <c r="O42" i="12"/>
  <c r="N42" i="12"/>
  <c r="M42" i="12"/>
  <c r="L42" i="12"/>
  <c r="K42" i="12"/>
  <c r="J42" i="12"/>
  <c r="I42" i="12"/>
  <c r="H42" i="12"/>
  <c r="G42" i="12"/>
  <c r="F42" i="12"/>
  <c r="E42" i="12"/>
  <c r="D42" i="12"/>
  <c r="C42" i="12"/>
  <c r="B42" i="12"/>
  <c r="Q39" i="12"/>
  <c r="P39" i="12"/>
  <c r="O39" i="12"/>
  <c r="N39" i="12"/>
  <c r="M39" i="12"/>
  <c r="L39" i="12"/>
  <c r="K39" i="12"/>
  <c r="J39" i="12"/>
  <c r="I39" i="12"/>
  <c r="H39" i="12"/>
  <c r="G39" i="12"/>
  <c r="F39" i="12"/>
  <c r="E39" i="12"/>
  <c r="D39" i="12"/>
  <c r="C39" i="12"/>
  <c r="B39" i="12"/>
  <c r="R38" i="12"/>
  <c r="Q38" i="12"/>
  <c r="P38" i="12"/>
  <c r="O38" i="12"/>
  <c r="N38" i="12"/>
  <c r="M38" i="12"/>
  <c r="L38" i="12"/>
  <c r="K38" i="12"/>
  <c r="J38" i="12"/>
  <c r="I38" i="12"/>
  <c r="H38" i="12"/>
  <c r="G38" i="12"/>
  <c r="F38" i="12"/>
  <c r="E38" i="12"/>
  <c r="D38" i="12"/>
  <c r="C38" i="12"/>
  <c r="B38" i="12"/>
  <c r="R37" i="12"/>
  <c r="Q37" i="12"/>
  <c r="P37" i="12"/>
  <c r="O37" i="12"/>
  <c r="N37" i="12"/>
  <c r="M37" i="12"/>
  <c r="L37" i="12"/>
  <c r="K37" i="12"/>
  <c r="J37" i="12"/>
  <c r="I37" i="12"/>
  <c r="H37" i="12"/>
  <c r="G37" i="12"/>
  <c r="F37" i="12"/>
  <c r="E37" i="12"/>
  <c r="D37" i="12"/>
  <c r="C37" i="12"/>
  <c r="B37" i="12"/>
  <c r="R36" i="12"/>
  <c r="Q36" i="12"/>
  <c r="P36" i="12"/>
  <c r="O36" i="12"/>
  <c r="N36" i="12"/>
  <c r="M36" i="12"/>
  <c r="L36" i="12"/>
  <c r="K36" i="12"/>
  <c r="J36" i="12"/>
  <c r="I36" i="12"/>
  <c r="H36" i="12"/>
  <c r="G36" i="12"/>
  <c r="F36" i="12"/>
  <c r="E36" i="12"/>
  <c r="D36" i="12"/>
  <c r="C36" i="12"/>
  <c r="B36" i="12"/>
  <c r="R35" i="12"/>
  <c r="Q35" i="12"/>
  <c r="P35" i="12"/>
  <c r="O35" i="12"/>
  <c r="N35" i="12"/>
  <c r="M35" i="12"/>
  <c r="L35" i="12"/>
  <c r="K35" i="12"/>
  <c r="J35" i="12"/>
  <c r="I35" i="12"/>
  <c r="H35" i="12"/>
  <c r="G35" i="12"/>
  <c r="F35" i="12"/>
  <c r="E35" i="12"/>
  <c r="D35" i="12"/>
  <c r="C35" i="12"/>
  <c r="B35" i="12"/>
  <c r="R34" i="12"/>
  <c r="Q34" i="12"/>
  <c r="P34" i="12"/>
  <c r="O34" i="12"/>
  <c r="N34" i="12"/>
  <c r="M34" i="12"/>
  <c r="L34" i="12"/>
  <c r="K34" i="12"/>
  <c r="J34" i="12"/>
  <c r="I34" i="12"/>
  <c r="H34" i="12"/>
  <c r="G34" i="12"/>
  <c r="F34" i="12"/>
  <c r="E34" i="12"/>
  <c r="D34" i="12"/>
  <c r="C34" i="12"/>
  <c r="B34" i="12"/>
  <c r="R33" i="12"/>
  <c r="Q33" i="12"/>
  <c r="P33" i="12"/>
  <c r="O33" i="12"/>
  <c r="N33" i="12"/>
  <c r="M33" i="12"/>
  <c r="L33" i="12"/>
  <c r="K33" i="12"/>
  <c r="J33" i="12"/>
  <c r="I33" i="12"/>
  <c r="H33" i="12"/>
  <c r="G33" i="12"/>
  <c r="F33" i="12"/>
  <c r="E33" i="12"/>
  <c r="D33" i="12"/>
  <c r="C33" i="12"/>
  <c r="B33" i="12"/>
  <c r="Q32" i="12"/>
  <c r="P32" i="12"/>
  <c r="O32" i="12"/>
  <c r="N32" i="12"/>
  <c r="M32" i="12"/>
  <c r="L32" i="12"/>
  <c r="K32" i="12"/>
  <c r="J32" i="12"/>
  <c r="I32" i="12"/>
  <c r="H32" i="12"/>
  <c r="G32" i="12"/>
  <c r="F32" i="12"/>
  <c r="E32" i="12"/>
  <c r="D32" i="12"/>
  <c r="C32" i="12"/>
  <c r="B32" i="12"/>
  <c r="Q30" i="12"/>
  <c r="P30" i="12"/>
  <c r="O30" i="12"/>
  <c r="N30" i="12"/>
  <c r="M30" i="12"/>
  <c r="L30" i="12"/>
  <c r="K30" i="12"/>
  <c r="J30" i="12"/>
  <c r="I30" i="12"/>
  <c r="H30" i="12"/>
  <c r="G30" i="12"/>
  <c r="F30" i="12"/>
  <c r="E30" i="12"/>
  <c r="D30" i="12"/>
  <c r="C30" i="12"/>
  <c r="B30" i="12"/>
  <c r="Q29" i="12"/>
  <c r="P29" i="12"/>
  <c r="O29" i="12"/>
  <c r="N29" i="12"/>
  <c r="M29" i="12"/>
  <c r="L29" i="12"/>
  <c r="K29" i="12"/>
  <c r="J29" i="12"/>
  <c r="I29" i="12"/>
  <c r="H29" i="12"/>
  <c r="G29" i="12"/>
  <c r="F29" i="12"/>
  <c r="E29" i="12"/>
  <c r="D29" i="12"/>
  <c r="C29" i="12"/>
  <c r="B29" i="12"/>
  <c r="Q28" i="12"/>
  <c r="P28" i="12"/>
  <c r="O28" i="12"/>
  <c r="N28" i="12"/>
  <c r="M28" i="12"/>
  <c r="L28" i="12"/>
  <c r="K28" i="12"/>
  <c r="J28" i="12"/>
  <c r="I28" i="12"/>
  <c r="H28" i="12"/>
  <c r="G28" i="12"/>
  <c r="F28" i="12"/>
  <c r="E28" i="12"/>
  <c r="D28" i="12"/>
  <c r="C28" i="12"/>
  <c r="B28" i="12"/>
  <c r="Q27" i="12"/>
  <c r="P27" i="12"/>
  <c r="O27" i="12"/>
  <c r="N27" i="12"/>
  <c r="M27" i="12"/>
  <c r="L27" i="12"/>
  <c r="K27" i="12"/>
  <c r="J27" i="12"/>
  <c r="I27" i="12"/>
  <c r="H27" i="12"/>
  <c r="G27" i="12"/>
  <c r="F27" i="12"/>
  <c r="E27" i="12"/>
  <c r="D27" i="12"/>
  <c r="C27" i="12"/>
  <c r="B27" i="12"/>
  <c r="Q26" i="12"/>
  <c r="P26" i="12"/>
  <c r="O26" i="12"/>
  <c r="N26" i="12"/>
  <c r="M26" i="12"/>
  <c r="L26" i="12"/>
  <c r="K26" i="12"/>
  <c r="J26" i="12"/>
  <c r="I26" i="12"/>
  <c r="H26" i="12"/>
  <c r="G26" i="12"/>
  <c r="F26" i="12"/>
  <c r="E26" i="12"/>
  <c r="D26" i="12"/>
  <c r="C26" i="12"/>
  <c r="B26" i="12"/>
  <c r="Q25" i="12"/>
  <c r="P25" i="12"/>
  <c r="O25" i="12"/>
  <c r="N25" i="12"/>
  <c r="M25" i="12"/>
  <c r="L25" i="12"/>
  <c r="K25" i="12"/>
  <c r="J25" i="12"/>
  <c r="I25" i="12"/>
  <c r="H25" i="12"/>
  <c r="G25" i="12"/>
  <c r="F25" i="12"/>
  <c r="E25" i="12"/>
  <c r="D25" i="12"/>
  <c r="C25" i="12"/>
  <c r="B25" i="12"/>
  <c r="Q24" i="12"/>
  <c r="P24" i="12"/>
  <c r="O24" i="12"/>
  <c r="N24" i="12"/>
  <c r="M24" i="12"/>
  <c r="L24" i="12"/>
  <c r="K24" i="12"/>
  <c r="J24" i="12"/>
  <c r="I24" i="12"/>
  <c r="H24" i="12"/>
  <c r="G24" i="12"/>
  <c r="F24" i="12"/>
  <c r="E24" i="12"/>
  <c r="D24" i="12"/>
  <c r="C24" i="12"/>
  <c r="B24" i="12"/>
  <c r="Q23" i="12"/>
  <c r="P23" i="12"/>
  <c r="O23" i="12"/>
  <c r="N23" i="12"/>
  <c r="M23" i="12"/>
  <c r="L23" i="12"/>
  <c r="K23" i="12"/>
  <c r="J23" i="12"/>
  <c r="I23" i="12"/>
  <c r="H23" i="12"/>
  <c r="G23" i="12"/>
  <c r="F23" i="12"/>
  <c r="E23" i="12"/>
  <c r="D23" i="12"/>
  <c r="C23" i="12"/>
  <c r="B23" i="12"/>
  <c r="Q22" i="12"/>
  <c r="P22" i="12"/>
  <c r="O22" i="12"/>
  <c r="N22" i="12"/>
  <c r="M22" i="12"/>
  <c r="L22" i="12"/>
  <c r="K22" i="12"/>
  <c r="J22" i="12"/>
  <c r="I22" i="12"/>
  <c r="H22" i="12"/>
  <c r="G22" i="12"/>
  <c r="F22" i="12"/>
  <c r="E22" i="12"/>
  <c r="D22" i="12"/>
  <c r="C22" i="12"/>
  <c r="B22" i="12"/>
  <c r="Q19" i="12"/>
  <c r="P19" i="12"/>
  <c r="O19" i="12"/>
  <c r="N19" i="12"/>
  <c r="M19" i="12"/>
  <c r="L19" i="12"/>
  <c r="K19" i="12"/>
  <c r="J19" i="12"/>
  <c r="I19" i="12"/>
  <c r="H19" i="12"/>
  <c r="G19" i="12"/>
  <c r="F19" i="12"/>
  <c r="E19" i="12"/>
  <c r="D19" i="12"/>
  <c r="C19" i="12"/>
  <c r="B19" i="12"/>
  <c r="Q18" i="12"/>
  <c r="P18" i="12"/>
  <c r="O18" i="12"/>
  <c r="N18" i="12"/>
  <c r="M18" i="12"/>
  <c r="L18" i="12"/>
  <c r="K18" i="12"/>
  <c r="J18" i="12"/>
  <c r="I18" i="12"/>
  <c r="H18" i="12"/>
  <c r="G18" i="12"/>
  <c r="F18" i="12"/>
  <c r="E18" i="12"/>
  <c r="D18" i="12"/>
  <c r="C18" i="12"/>
  <c r="B18" i="12"/>
  <c r="Q17" i="12"/>
  <c r="P17" i="12"/>
  <c r="O17" i="12"/>
  <c r="N17" i="12"/>
  <c r="M17" i="12"/>
  <c r="L17" i="12"/>
  <c r="K17" i="12"/>
  <c r="J17" i="12"/>
  <c r="I17" i="12"/>
  <c r="H17" i="12"/>
  <c r="G17" i="12"/>
  <c r="F17" i="12"/>
  <c r="E17" i="12"/>
  <c r="D17" i="12"/>
  <c r="C17" i="12"/>
  <c r="B17" i="12"/>
  <c r="Q16" i="12"/>
  <c r="P16" i="12"/>
  <c r="O16" i="12"/>
  <c r="N16" i="12"/>
  <c r="M16" i="12"/>
  <c r="L16" i="12"/>
  <c r="K16" i="12"/>
  <c r="J16" i="12"/>
  <c r="I16" i="12"/>
  <c r="H16" i="12"/>
  <c r="G16" i="12"/>
  <c r="F16" i="12"/>
  <c r="E16" i="12"/>
  <c r="D16" i="12"/>
  <c r="C16" i="12"/>
  <c r="B16" i="12"/>
  <c r="Q15" i="12"/>
  <c r="P15" i="12"/>
  <c r="O15" i="12"/>
  <c r="N15" i="12"/>
  <c r="M15" i="12"/>
  <c r="L15" i="12"/>
  <c r="K15" i="12"/>
  <c r="J15" i="12"/>
  <c r="I15" i="12"/>
  <c r="H15" i="12"/>
  <c r="G15" i="12"/>
  <c r="F15" i="12"/>
  <c r="E15" i="12"/>
  <c r="D15" i="12"/>
  <c r="C15" i="12"/>
  <c r="B15" i="12"/>
  <c r="Q14" i="12"/>
  <c r="P14" i="12"/>
  <c r="O14" i="12"/>
  <c r="N14" i="12"/>
  <c r="M14" i="12"/>
  <c r="L14" i="12"/>
  <c r="K14" i="12"/>
  <c r="J14" i="12"/>
  <c r="I14" i="12"/>
  <c r="H14" i="12"/>
  <c r="G14" i="12"/>
  <c r="F14" i="12"/>
  <c r="E14" i="12"/>
  <c r="D14" i="12"/>
  <c r="C14" i="12"/>
  <c r="B14" i="12"/>
  <c r="Q13" i="12"/>
  <c r="P13" i="12"/>
  <c r="O13" i="12"/>
  <c r="N13" i="12"/>
  <c r="M13" i="12"/>
  <c r="L13" i="12"/>
  <c r="K13" i="12"/>
  <c r="J13" i="12"/>
  <c r="I13" i="12"/>
  <c r="H13" i="12"/>
  <c r="G13" i="12"/>
  <c r="F13" i="12"/>
  <c r="E13" i="12"/>
  <c r="D13" i="12"/>
  <c r="C13" i="12"/>
  <c r="B13" i="12"/>
  <c r="Q12" i="12"/>
  <c r="P12" i="12"/>
  <c r="O12" i="12"/>
  <c r="N12" i="12"/>
  <c r="M12" i="12"/>
  <c r="L12" i="12"/>
  <c r="K12" i="12"/>
  <c r="J12" i="12"/>
  <c r="I12" i="12"/>
  <c r="H12" i="12"/>
  <c r="G12" i="12"/>
  <c r="F12" i="12"/>
  <c r="E12" i="12"/>
  <c r="D12" i="12"/>
  <c r="C12" i="12"/>
  <c r="B12" i="12"/>
  <c r="Q9" i="12"/>
  <c r="P9" i="12"/>
  <c r="O9" i="12"/>
  <c r="N9" i="12"/>
  <c r="M9" i="12"/>
  <c r="L9" i="12"/>
  <c r="K9" i="12"/>
  <c r="J9" i="12"/>
  <c r="I9" i="12"/>
  <c r="H9" i="12"/>
  <c r="G9" i="12"/>
  <c r="F9" i="12"/>
  <c r="E9" i="12"/>
  <c r="D9" i="12"/>
  <c r="C9" i="12"/>
  <c r="B9" i="12"/>
  <c r="Q8" i="12"/>
  <c r="P8" i="12"/>
  <c r="O8" i="12"/>
  <c r="N8" i="12"/>
  <c r="M8" i="12"/>
  <c r="L8" i="12"/>
  <c r="K8" i="12"/>
  <c r="J8" i="12"/>
  <c r="I8" i="12"/>
  <c r="H8" i="12"/>
  <c r="G8" i="12"/>
  <c r="F8" i="12"/>
  <c r="E8" i="12"/>
  <c r="D8" i="12"/>
  <c r="C8" i="12"/>
  <c r="B8" i="12"/>
  <c r="Q7" i="12"/>
  <c r="P7" i="12"/>
  <c r="O7" i="12"/>
  <c r="N7" i="12"/>
  <c r="M7" i="12"/>
  <c r="L7" i="12"/>
  <c r="K7" i="12"/>
  <c r="J7" i="12"/>
  <c r="I7" i="12"/>
  <c r="H7" i="12"/>
  <c r="G7" i="12"/>
  <c r="F7" i="12"/>
  <c r="E7" i="12"/>
  <c r="D7" i="12"/>
  <c r="C7" i="12"/>
  <c r="B7" i="12"/>
  <c r="Q6" i="12"/>
  <c r="P6" i="12"/>
  <c r="O6" i="12"/>
  <c r="N6" i="12"/>
  <c r="M6" i="12"/>
  <c r="L6" i="12"/>
  <c r="K6" i="12"/>
  <c r="J6" i="12"/>
  <c r="I6" i="12"/>
  <c r="H6" i="12"/>
  <c r="G6" i="12"/>
  <c r="F6" i="12"/>
  <c r="E6" i="12"/>
  <c r="D6" i="12"/>
  <c r="C6" i="12"/>
  <c r="B6" i="12"/>
  <c r="Q5" i="12"/>
  <c r="P5" i="12"/>
  <c r="O5" i="12"/>
  <c r="N5" i="12"/>
  <c r="M5" i="12"/>
  <c r="L5" i="12"/>
  <c r="K5" i="12"/>
  <c r="J5" i="12"/>
  <c r="I5" i="12"/>
  <c r="H5" i="12"/>
  <c r="G5" i="12"/>
  <c r="F5" i="12"/>
  <c r="E5" i="12"/>
  <c r="D5" i="12"/>
  <c r="C5" i="12"/>
  <c r="B5" i="12"/>
  <c r="Q4" i="12"/>
  <c r="P4" i="12"/>
  <c r="O4" i="12"/>
  <c r="N4" i="12"/>
  <c r="M4" i="12"/>
  <c r="L4" i="12"/>
  <c r="K4" i="12"/>
  <c r="J4" i="12"/>
  <c r="I4" i="12"/>
  <c r="H4" i="12"/>
  <c r="G4" i="12"/>
  <c r="F4" i="12"/>
  <c r="E4" i="12"/>
  <c r="D4" i="12"/>
  <c r="C4" i="12"/>
  <c r="B4" i="12"/>
  <c r="Q3" i="12"/>
  <c r="P3" i="12"/>
  <c r="O3" i="12"/>
  <c r="N3" i="12"/>
  <c r="M3" i="12"/>
  <c r="L3" i="12"/>
  <c r="K3" i="12"/>
  <c r="J3" i="12"/>
  <c r="I3" i="12"/>
  <c r="H3" i="12"/>
  <c r="G3" i="12"/>
  <c r="F3" i="12"/>
  <c r="E3" i="12"/>
  <c r="D3" i="12"/>
  <c r="C3" i="12"/>
  <c r="B3" i="12"/>
  <c r="T15" i="11"/>
  <c r="S15" i="11"/>
  <c r="R15" i="11"/>
  <c r="Q15" i="11"/>
  <c r="P15" i="11"/>
  <c r="O15" i="11"/>
  <c r="N15" i="11"/>
  <c r="M15" i="11"/>
  <c r="T14" i="11"/>
  <c r="S14" i="11"/>
  <c r="R14" i="11"/>
  <c r="Q14" i="11"/>
  <c r="P14" i="11"/>
  <c r="O14" i="11"/>
  <c r="N14" i="11"/>
  <c r="J14" i="11"/>
  <c r="T13" i="11"/>
  <c r="S13" i="11"/>
  <c r="R13" i="11"/>
  <c r="Q13" i="11"/>
  <c r="P13" i="11"/>
  <c r="O13" i="11"/>
  <c r="N13" i="11"/>
  <c r="T12" i="11"/>
  <c r="S12" i="11"/>
  <c r="R12" i="11"/>
  <c r="Q12" i="11"/>
  <c r="P12" i="11"/>
  <c r="O12" i="11"/>
  <c r="N12" i="11"/>
  <c r="M12" i="11"/>
  <c r="T11" i="11"/>
  <c r="S11" i="11"/>
  <c r="R11" i="11"/>
  <c r="Q11" i="11"/>
  <c r="P11" i="11"/>
  <c r="O11" i="11"/>
  <c r="N11" i="11"/>
  <c r="M11" i="11"/>
  <c r="T10" i="11"/>
  <c r="S10" i="11"/>
  <c r="R10" i="11"/>
  <c r="Q10" i="11"/>
  <c r="P10" i="11"/>
  <c r="O10" i="11"/>
  <c r="N10" i="11"/>
  <c r="M10" i="11"/>
  <c r="T9" i="11"/>
  <c r="S9" i="11"/>
  <c r="R9" i="11"/>
  <c r="Q9" i="11"/>
  <c r="P9" i="11"/>
  <c r="O9" i="11"/>
  <c r="N9" i="11"/>
  <c r="M9" i="11"/>
  <c r="T8" i="11"/>
  <c r="S8" i="11"/>
  <c r="R8" i="11"/>
  <c r="Q8" i="11"/>
  <c r="P8" i="11"/>
  <c r="O8" i="11"/>
  <c r="N8" i="11"/>
  <c r="T7" i="11"/>
  <c r="S7" i="11"/>
  <c r="R7" i="11"/>
  <c r="Q7" i="11"/>
  <c r="P7" i="11"/>
  <c r="O7" i="11"/>
  <c r="N7" i="11"/>
  <c r="M7" i="11"/>
  <c r="J7" i="11"/>
  <c r="T6" i="11"/>
  <c r="S6" i="11"/>
  <c r="R6" i="11"/>
  <c r="Q6" i="11"/>
  <c r="P6" i="11"/>
  <c r="O6" i="11"/>
  <c r="N6" i="11"/>
  <c r="J6" i="11"/>
  <c r="T5" i="11"/>
  <c r="S5" i="11"/>
  <c r="R5" i="11"/>
  <c r="Q5" i="11"/>
  <c r="P5" i="11"/>
  <c r="O5" i="11"/>
  <c r="N5" i="11"/>
  <c r="M5" i="11"/>
  <c r="J5" i="11"/>
  <c r="T4" i="11"/>
  <c r="S4" i="11"/>
  <c r="R4" i="11"/>
  <c r="Q4" i="11"/>
  <c r="P4" i="11"/>
  <c r="O4" i="11"/>
  <c r="N4" i="11"/>
  <c r="T3" i="11"/>
  <c r="S3" i="11"/>
  <c r="R3" i="11"/>
  <c r="Q3" i="11"/>
  <c r="P3" i="11"/>
  <c r="O3" i="11"/>
  <c r="N3" i="11"/>
  <c r="R105" i="10"/>
  <c r="Q105" i="10"/>
  <c r="P105" i="10"/>
  <c r="O105" i="10"/>
  <c r="N105" i="10"/>
  <c r="M105" i="10"/>
  <c r="L105" i="10"/>
  <c r="K105" i="10"/>
  <c r="J105" i="10"/>
  <c r="I105" i="10"/>
  <c r="H105" i="10"/>
  <c r="G105" i="10"/>
  <c r="F105" i="10"/>
  <c r="E105" i="10"/>
  <c r="D105" i="10"/>
  <c r="C105" i="10"/>
  <c r="B105" i="10"/>
  <c r="R100" i="10"/>
  <c r="L100" i="10"/>
  <c r="Q92" i="10"/>
  <c r="P92" i="10"/>
  <c r="O92" i="10"/>
  <c r="N92" i="10"/>
  <c r="M92" i="10"/>
  <c r="L92" i="10"/>
  <c r="K92" i="10"/>
  <c r="J92" i="10"/>
  <c r="I92" i="10"/>
  <c r="H92" i="10"/>
  <c r="G92" i="10"/>
  <c r="F92" i="10"/>
  <c r="E92" i="10"/>
  <c r="D92" i="10"/>
  <c r="C92" i="10"/>
  <c r="B92" i="10"/>
  <c r="A92" i="10"/>
  <c r="S80" i="10"/>
  <c r="Q80" i="10"/>
  <c r="P80" i="10"/>
  <c r="O80" i="10"/>
  <c r="N80" i="10"/>
  <c r="M80" i="10"/>
  <c r="L80" i="10"/>
  <c r="K80" i="10"/>
  <c r="J80" i="10"/>
  <c r="I80" i="10"/>
  <c r="H80" i="10"/>
  <c r="G80" i="10"/>
  <c r="F80" i="10"/>
  <c r="E80" i="10"/>
  <c r="D80" i="10"/>
  <c r="C80" i="10"/>
  <c r="B80" i="10"/>
  <c r="Q79" i="10"/>
  <c r="P79" i="10"/>
  <c r="O79" i="10"/>
  <c r="N79" i="10"/>
  <c r="M79" i="10"/>
  <c r="L79" i="10"/>
  <c r="K79" i="10"/>
  <c r="J79" i="10"/>
  <c r="I79" i="10"/>
  <c r="H79" i="10"/>
  <c r="G79" i="10"/>
  <c r="F79" i="10"/>
  <c r="E79" i="10"/>
  <c r="D79" i="10"/>
  <c r="C79" i="10"/>
  <c r="B79" i="10"/>
  <c r="Q78" i="10"/>
  <c r="P78" i="10"/>
  <c r="O78" i="10"/>
  <c r="N78" i="10"/>
  <c r="M78" i="10"/>
  <c r="L78" i="10"/>
  <c r="K78" i="10"/>
  <c r="J78" i="10"/>
  <c r="I78" i="10"/>
  <c r="H78" i="10"/>
  <c r="G78" i="10"/>
  <c r="F78" i="10"/>
  <c r="E78" i="10"/>
  <c r="D78" i="10"/>
  <c r="C78" i="10"/>
  <c r="B78" i="10"/>
  <c r="Q75" i="10"/>
  <c r="P75" i="10"/>
  <c r="O75" i="10"/>
  <c r="N75" i="10"/>
  <c r="M75" i="10"/>
  <c r="L75" i="10"/>
  <c r="K75" i="10"/>
  <c r="J75" i="10"/>
  <c r="I75" i="10"/>
  <c r="H75" i="10"/>
  <c r="G75" i="10"/>
  <c r="F75" i="10"/>
  <c r="E75" i="10"/>
  <c r="D75" i="10"/>
  <c r="C75" i="10"/>
  <c r="B75" i="10"/>
  <c r="Q74" i="10"/>
  <c r="P74" i="10"/>
  <c r="O74" i="10"/>
  <c r="N74" i="10"/>
  <c r="M74" i="10"/>
  <c r="L74" i="10"/>
  <c r="K74" i="10"/>
  <c r="J74" i="10"/>
  <c r="I74" i="10"/>
  <c r="H74" i="10"/>
  <c r="G74" i="10"/>
  <c r="F74" i="10"/>
  <c r="E74" i="10"/>
  <c r="D74" i="10"/>
  <c r="C74" i="10"/>
  <c r="B74" i="10"/>
  <c r="Q73" i="10"/>
  <c r="P73" i="10"/>
  <c r="O73" i="10"/>
  <c r="N73" i="10"/>
  <c r="M73" i="10"/>
  <c r="L73" i="10"/>
  <c r="K73" i="10"/>
  <c r="J73" i="10"/>
  <c r="I73" i="10"/>
  <c r="H73" i="10"/>
  <c r="G73" i="10"/>
  <c r="F73" i="10"/>
  <c r="E73" i="10"/>
  <c r="D73" i="10"/>
  <c r="C73" i="10"/>
  <c r="B73" i="10"/>
  <c r="S72" i="10"/>
  <c r="Q72" i="10"/>
  <c r="P72" i="10"/>
  <c r="O72" i="10"/>
  <c r="N72" i="10"/>
  <c r="M72" i="10"/>
  <c r="L72" i="10"/>
  <c r="K72" i="10"/>
  <c r="J72" i="10"/>
  <c r="I72" i="10"/>
  <c r="H72" i="10"/>
  <c r="G72" i="10"/>
  <c r="F72" i="10"/>
  <c r="E72" i="10"/>
  <c r="D72" i="10"/>
  <c r="C72" i="10"/>
  <c r="B72" i="10"/>
  <c r="Q71" i="10"/>
  <c r="P71" i="10"/>
  <c r="O71" i="10"/>
  <c r="N71" i="10"/>
  <c r="M71" i="10"/>
  <c r="L71" i="10"/>
  <c r="K71" i="10"/>
  <c r="J71" i="10"/>
  <c r="I71" i="10"/>
  <c r="H71" i="10"/>
  <c r="G71" i="10"/>
  <c r="F71" i="10"/>
  <c r="E71" i="10"/>
  <c r="D71" i="10"/>
  <c r="C71" i="10"/>
  <c r="B71" i="10"/>
  <c r="Q70" i="10"/>
  <c r="P70" i="10"/>
  <c r="O70" i="10"/>
  <c r="N70" i="10"/>
  <c r="M70" i="10"/>
  <c r="L70" i="10"/>
  <c r="K70" i="10"/>
  <c r="J70" i="10"/>
  <c r="I70" i="10"/>
  <c r="H70" i="10"/>
  <c r="G70" i="10"/>
  <c r="F70" i="10"/>
  <c r="E70" i="10"/>
  <c r="D70" i="10"/>
  <c r="C70" i="10"/>
  <c r="B70" i="10"/>
  <c r="A70" i="10"/>
  <c r="Q67" i="10"/>
  <c r="P67" i="10"/>
  <c r="O67" i="10"/>
  <c r="N67" i="10"/>
  <c r="M67" i="10"/>
  <c r="L67" i="10"/>
  <c r="K67" i="10"/>
  <c r="J67" i="10"/>
  <c r="I67" i="10"/>
  <c r="H67" i="10"/>
  <c r="G67" i="10"/>
  <c r="F67" i="10"/>
  <c r="E67" i="10"/>
  <c r="D67" i="10"/>
  <c r="C67" i="10"/>
  <c r="B67" i="10"/>
  <c r="Q66" i="10"/>
  <c r="P66" i="10"/>
  <c r="O66" i="10"/>
  <c r="N66" i="10"/>
  <c r="M66" i="10"/>
  <c r="L66" i="10"/>
  <c r="K66" i="10"/>
  <c r="J66" i="10"/>
  <c r="I66" i="10"/>
  <c r="H66" i="10"/>
  <c r="G66" i="10"/>
  <c r="F66" i="10"/>
  <c r="E66" i="10"/>
  <c r="D66" i="10"/>
  <c r="C66" i="10"/>
  <c r="B66" i="10"/>
  <c r="Q65" i="10"/>
  <c r="P65" i="10"/>
  <c r="O65" i="10"/>
  <c r="N65" i="10"/>
  <c r="M65" i="10"/>
  <c r="L65" i="10"/>
  <c r="K65" i="10"/>
  <c r="J65" i="10"/>
  <c r="I65" i="10"/>
  <c r="H65" i="10"/>
  <c r="G65" i="10"/>
  <c r="F65" i="10"/>
  <c r="E65" i="10"/>
  <c r="D65" i="10"/>
  <c r="C65" i="10"/>
  <c r="B65" i="10"/>
  <c r="Q64" i="10"/>
  <c r="P64" i="10"/>
  <c r="O64" i="10"/>
  <c r="N64" i="10"/>
  <c r="M64" i="10"/>
  <c r="L64" i="10"/>
  <c r="K64" i="10"/>
  <c r="J64" i="10"/>
  <c r="I64" i="10"/>
  <c r="H64" i="10"/>
  <c r="G64" i="10"/>
  <c r="F64" i="10"/>
  <c r="E64" i="10"/>
  <c r="D64" i="10"/>
  <c r="C64" i="10"/>
  <c r="B64" i="10"/>
  <c r="Q63" i="10"/>
  <c r="P63" i="10"/>
  <c r="O63" i="10"/>
  <c r="N63" i="10"/>
  <c r="M63" i="10"/>
  <c r="L63" i="10"/>
  <c r="K63" i="10"/>
  <c r="J63" i="10"/>
  <c r="I63" i="10"/>
  <c r="H63" i="10"/>
  <c r="G63" i="10"/>
  <c r="F63" i="10"/>
  <c r="E63" i="10"/>
  <c r="D63" i="10"/>
  <c r="C63" i="10"/>
  <c r="B63" i="10"/>
  <c r="Q62" i="10"/>
  <c r="P62" i="10"/>
  <c r="O62" i="10"/>
  <c r="N62" i="10"/>
  <c r="M62" i="10"/>
  <c r="L62" i="10"/>
  <c r="K62" i="10"/>
  <c r="J62" i="10"/>
  <c r="I62" i="10"/>
  <c r="H62" i="10"/>
  <c r="G62" i="10"/>
  <c r="F62" i="10"/>
  <c r="E62" i="10"/>
  <c r="D62" i="10"/>
  <c r="C62" i="10"/>
  <c r="B62" i="10"/>
  <c r="Q61" i="10"/>
  <c r="P61" i="10"/>
  <c r="O61" i="10"/>
  <c r="N61" i="10"/>
  <c r="M61" i="10"/>
  <c r="L61" i="10"/>
  <c r="K61" i="10"/>
  <c r="J61" i="10"/>
  <c r="I61" i="10"/>
  <c r="H61" i="10"/>
  <c r="G61" i="10"/>
  <c r="F61" i="10"/>
  <c r="E61" i="10"/>
  <c r="D61" i="10"/>
  <c r="C61" i="10"/>
  <c r="B61" i="10"/>
  <c r="A61" i="10"/>
  <c r="Q58" i="10"/>
  <c r="P58" i="10"/>
  <c r="O58" i="10"/>
  <c r="N58" i="10"/>
  <c r="M58" i="10"/>
  <c r="L58" i="10"/>
  <c r="K58" i="10"/>
  <c r="J58" i="10"/>
  <c r="I58" i="10"/>
  <c r="H58" i="10"/>
  <c r="G58" i="10"/>
  <c r="F58" i="10"/>
  <c r="E58" i="10"/>
  <c r="D58" i="10"/>
  <c r="C58" i="10"/>
  <c r="B58" i="10"/>
  <c r="Q57" i="10"/>
  <c r="P57" i="10"/>
  <c r="O57" i="10"/>
  <c r="N57" i="10"/>
  <c r="M57" i="10"/>
  <c r="L57" i="10"/>
  <c r="K57" i="10"/>
  <c r="J57" i="10"/>
  <c r="I57" i="10"/>
  <c r="H57" i="10"/>
  <c r="G57" i="10"/>
  <c r="F57" i="10"/>
  <c r="E57" i="10"/>
  <c r="D57" i="10"/>
  <c r="C57" i="10"/>
  <c r="B57" i="10"/>
  <c r="Q56" i="10"/>
  <c r="P56" i="10"/>
  <c r="O56" i="10"/>
  <c r="N56" i="10"/>
  <c r="M56" i="10"/>
  <c r="L56" i="10"/>
  <c r="K56" i="10"/>
  <c r="J56" i="10"/>
  <c r="I56" i="10"/>
  <c r="H56" i="10"/>
  <c r="G56" i="10"/>
  <c r="F56" i="10"/>
  <c r="E56" i="10"/>
  <c r="D56" i="10"/>
  <c r="C56" i="10"/>
  <c r="B56" i="10"/>
  <c r="Q55" i="10"/>
  <c r="P55" i="10"/>
  <c r="O55" i="10"/>
  <c r="N55" i="10"/>
  <c r="M55" i="10"/>
  <c r="L55" i="10"/>
  <c r="K55" i="10"/>
  <c r="J55" i="10"/>
  <c r="I55" i="10"/>
  <c r="H55" i="10"/>
  <c r="G55" i="10"/>
  <c r="F55" i="10"/>
  <c r="E55" i="10"/>
  <c r="D55" i="10"/>
  <c r="C55" i="10"/>
  <c r="B55" i="10"/>
  <c r="Q54" i="10"/>
  <c r="P54" i="10"/>
  <c r="O54" i="10"/>
  <c r="N54" i="10"/>
  <c r="M54" i="10"/>
  <c r="L54" i="10"/>
  <c r="K54" i="10"/>
  <c r="J54" i="10"/>
  <c r="I54" i="10"/>
  <c r="H54" i="10"/>
  <c r="G54" i="10"/>
  <c r="F54" i="10"/>
  <c r="E54" i="10"/>
  <c r="D54" i="10"/>
  <c r="C54" i="10"/>
  <c r="B54" i="10"/>
  <c r="Q53" i="10"/>
  <c r="P53" i="10"/>
  <c r="O53" i="10"/>
  <c r="N53" i="10"/>
  <c r="M53" i="10"/>
  <c r="L53" i="10"/>
  <c r="K53" i="10"/>
  <c r="J53" i="10"/>
  <c r="I53" i="10"/>
  <c r="H53" i="10"/>
  <c r="G53" i="10"/>
  <c r="F53" i="10"/>
  <c r="E53" i="10"/>
  <c r="D53" i="10"/>
  <c r="C53" i="10"/>
  <c r="B53" i="10"/>
  <c r="Q52" i="10"/>
  <c r="P52" i="10"/>
  <c r="O52" i="10"/>
  <c r="N52" i="10"/>
  <c r="M52" i="10"/>
  <c r="L52" i="10"/>
  <c r="K52" i="10"/>
  <c r="J52" i="10"/>
  <c r="I52" i="10"/>
  <c r="H52" i="10"/>
  <c r="G52" i="10"/>
  <c r="F52" i="10"/>
  <c r="E52" i="10"/>
  <c r="D52" i="10"/>
  <c r="C52" i="10"/>
  <c r="B52" i="10"/>
  <c r="A52" i="10"/>
  <c r="R49" i="10"/>
  <c r="Q49" i="10"/>
  <c r="P49" i="10"/>
  <c r="O49" i="10"/>
  <c r="N49" i="10"/>
  <c r="M49" i="10"/>
  <c r="L49" i="10"/>
  <c r="K49" i="10"/>
  <c r="J49" i="10"/>
  <c r="I49" i="10"/>
  <c r="H49" i="10"/>
  <c r="G49" i="10"/>
  <c r="F49" i="10"/>
  <c r="E49" i="10"/>
  <c r="D49" i="10"/>
  <c r="C49" i="10"/>
  <c r="B49" i="10"/>
  <c r="S48" i="10"/>
  <c r="R48" i="10"/>
  <c r="Q48" i="10"/>
  <c r="P48" i="10"/>
  <c r="O48" i="10"/>
  <c r="N48" i="10"/>
  <c r="M48" i="10"/>
  <c r="L48" i="10"/>
  <c r="K48" i="10"/>
  <c r="J48" i="10"/>
  <c r="I48" i="10"/>
  <c r="H48" i="10"/>
  <c r="G48" i="10"/>
  <c r="F48" i="10"/>
  <c r="E48" i="10"/>
  <c r="D48" i="10"/>
  <c r="C48" i="10"/>
  <c r="B48" i="10"/>
  <c r="S47" i="10"/>
  <c r="R47" i="10"/>
  <c r="Q47" i="10"/>
  <c r="P47" i="10"/>
  <c r="O47" i="10"/>
  <c r="N47" i="10"/>
  <c r="M47" i="10"/>
  <c r="L47" i="10"/>
  <c r="K47" i="10"/>
  <c r="J47" i="10"/>
  <c r="I47" i="10"/>
  <c r="H47" i="10"/>
  <c r="G47" i="10"/>
  <c r="F47" i="10"/>
  <c r="E47" i="10"/>
  <c r="D47" i="10"/>
  <c r="C47" i="10"/>
  <c r="B47" i="10"/>
  <c r="S46" i="10"/>
  <c r="R46" i="10"/>
  <c r="Q46" i="10"/>
  <c r="P46" i="10"/>
  <c r="O46" i="10"/>
  <c r="N46" i="10"/>
  <c r="M46" i="10"/>
  <c r="L46" i="10"/>
  <c r="K46" i="10"/>
  <c r="J46" i="10"/>
  <c r="I46" i="10"/>
  <c r="H46" i="10"/>
  <c r="G46" i="10"/>
  <c r="F46" i="10"/>
  <c r="E46" i="10"/>
  <c r="D46" i="10"/>
  <c r="C46" i="10"/>
  <c r="B46" i="10"/>
  <c r="S45" i="10"/>
  <c r="R45" i="10"/>
  <c r="Q45" i="10"/>
  <c r="P45" i="10"/>
  <c r="O45" i="10"/>
  <c r="N45" i="10"/>
  <c r="M45" i="10"/>
  <c r="L45" i="10"/>
  <c r="K45" i="10"/>
  <c r="J45" i="10"/>
  <c r="I45" i="10"/>
  <c r="H45" i="10"/>
  <c r="G45" i="10"/>
  <c r="F45" i="10"/>
  <c r="E45" i="10"/>
  <c r="D45" i="10"/>
  <c r="C45" i="10"/>
  <c r="B45" i="10"/>
  <c r="S44" i="10"/>
  <c r="R44" i="10"/>
  <c r="Q44" i="10"/>
  <c r="P44" i="10"/>
  <c r="O44" i="10"/>
  <c r="N44" i="10"/>
  <c r="M44" i="10"/>
  <c r="L44" i="10"/>
  <c r="K44" i="10"/>
  <c r="J44" i="10"/>
  <c r="I44" i="10"/>
  <c r="H44" i="10"/>
  <c r="G44" i="10"/>
  <c r="F44" i="10"/>
  <c r="E44" i="10"/>
  <c r="D44" i="10"/>
  <c r="C44" i="10"/>
  <c r="B44" i="10"/>
  <c r="S43" i="10"/>
  <c r="R43" i="10"/>
  <c r="Q43" i="10"/>
  <c r="P43" i="10"/>
  <c r="O43" i="10"/>
  <c r="N43" i="10"/>
  <c r="M43" i="10"/>
  <c r="L43" i="10"/>
  <c r="K43" i="10"/>
  <c r="J43" i="10"/>
  <c r="I43" i="10"/>
  <c r="H43" i="10"/>
  <c r="G43" i="10"/>
  <c r="F43" i="10"/>
  <c r="E43" i="10"/>
  <c r="D43" i="10"/>
  <c r="C43" i="10"/>
  <c r="B43" i="10"/>
  <c r="Q42" i="10"/>
  <c r="P42" i="10"/>
  <c r="O42" i="10"/>
  <c r="N42" i="10"/>
  <c r="M42" i="10"/>
  <c r="L42" i="10"/>
  <c r="K42" i="10"/>
  <c r="J42" i="10"/>
  <c r="I42" i="10"/>
  <c r="H42" i="10"/>
  <c r="G42" i="10"/>
  <c r="F42" i="10"/>
  <c r="E42" i="10"/>
  <c r="D42" i="10"/>
  <c r="C42" i="10"/>
  <c r="B42" i="10"/>
  <c r="Q39" i="10"/>
  <c r="P39" i="10"/>
  <c r="O39" i="10"/>
  <c r="N39" i="10"/>
  <c r="M39" i="10"/>
  <c r="L39" i="10"/>
  <c r="K39" i="10"/>
  <c r="J39" i="10"/>
  <c r="I39" i="10"/>
  <c r="H39" i="10"/>
  <c r="G39" i="10"/>
  <c r="F39" i="10"/>
  <c r="E39" i="10"/>
  <c r="D39" i="10"/>
  <c r="C39" i="10"/>
  <c r="B39" i="10"/>
  <c r="R38" i="10"/>
  <c r="Q38" i="10"/>
  <c r="P38" i="10"/>
  <c r="O38" i="10"/>
  <c r="N38" i="10"/>
  <c r="M38" i="10"/>
  <c r="L38" i="10"/>
  <c r="K38" i="10"/>
  <c r="J38" i="10"/>
  <c r="I38" i="10"/>
  <c r="H38" i="10"/>
  <c r="G38" i="10"/>
  <c r="F38" i="10"/>
  <c r="E38" i="10"/>
  <c r="D38" i="10"/>
  <c r="C38" i="10"/>
  <c r="B38" i="10"/>
  <c r="R37" i="10"/>
  <c r="Q37" i="10"/>
  <c r="P37" i="10"/>
  <c r="O37" i="10"/>
  <c r="N37" i="10"/>
  <c r="M37" i="10"/>
  <c r="L37" i="10"/>
  <c r="K37" i="10"/>
  <c r="J37" i="10"/>
  <c r="I37" i="10"/>
  <c r="H37" i="10"/>
  <c r="G37" i="10"/>
  <c r="F37" i="10"/>
  <c r="E37" i="10"/>
  <c r="D37" i="10"/>
  <c r="C37" i="10"/>
  <c r="B37" i="10"/>
  <c r="R36" i="10"/>
  <c r="Q36" i="10"/>
  <c r="P36" i="10"/>
  <c r="O36" i="10"/>
  <c r="N36" i="10"/>
  <c r="M36" i="10"/>
  <c r="L36" i="10"/>
  <c r="K36" i="10"/>
  <c r="J36" i="10"/>
  <c r="I36" i="10"/>
  <c r="H36" i="10"/>
  <c r="G36" i="10"/>
  <c r="F36" i="10"/>
  <c r="E36" i="10"/>
  <c r="D36" i="10"/>
  <c r="C36" i="10"/>
  <c r="B36" i="10"/>
  <c r="R35" i="10"/>
  <c r="Q35" i="10"/>
  <c r="P35" i="10"/>
  <c r="O35" i="10"/>
  <c r="N35" i="10"/>
  <c r="M35" i="10"/>
  <c r="L35" i="10"/>
  <c r="K35" i="10"/>
  <c r="J35" i="10"/>
  <c r="I35" i="10"/>
  <c r="H35" i="10"/>
  <c r="G35" i="10"/>
  <c r="F35" i="10"/>
  <c r="E35" i="10"/>
  <c r="D35" i="10"/>
  <c r="C35" i="10"/>
  <c r="B35" i="10"/>
  <c r="R34" i="10"/>
  <c r="Q34" i="10"/>
  <c r="P34" i="10"/>
  <c r="O34" i="10"/>
  <c r="N34" i="10"/>
  <c r="M34" i="10"/>
  <c r="L34" i="10"/>
  <c r="K34" i="10"/>
  <c r="J34" i="10"/>
  <c r="I34" i="10"/>
  <c r="H34" i="10"/>
  <c r="G34" i="10"/>
  <c r="F34" i="10"/>
  <c r="E34" i="10"/>
  <c r="D34" i="10"/>
  <c r="C34" i="10"/>
  <c r="B34" i="10"/>
  <c r="R33" i="10"/>
  <c r="Q33" i="10"/>
  <c r="P33" i="10"/>
  <c r="O33" i="10"/>
  <c r="N33" i="10"/>
  <c r="M33" i="10"/>
  <c r="L33" i="10"/>
  <c r="K33" i="10"/>
  <c r="J33" i="10"/>
  <c r="I33" i="10"/>
  <c r="H33" i="10"/>
  <c r="G33" i="10"/>
  <c r="F33" i="10"/>
  <c r="E33" i="10"/>
  <c r="D33" i="10"/>
  <c r="C33" i="10"/>
  <c r="B33" i="10"/>
  <c r="Q32" i="10"/>
  <c r="P32" i="10"/>
  <c r="O32" i="10"/>
  <c r="N32" i="10"/>
  <c r="M32" i="10"/>
  <c r="L32" i="10"/>
  <c r="K32" i="10"/>
  <c r="J32" i="10"/>
  <c r="I32" i="10"/>
  <c r="H32" i="10"/>
  <c r="G32" i="10"/>
  <c r="F32" i="10"/>
  <c r="E32" i="10"/>
  <c r="D32" i="10"/>
  <c r="C32" i="10"/>
  <c r="B32" i="10"/>
  <c r="Q30" i="10"/>
  <c r="P30" i="10"/>
  <c r="O30" i="10"/>
  <c r="N30" i="10"/>
  <c r="M30" i="10"/>
  <c r="L30" i="10"/>
  <c r="K30" i="10"/>
  <c r="J30" i="10"/>
  <c r="I30" i="10"/>
  <c r="H30" i="10"/>
  <c r="G30" i="10"/>
  <c r="F30" i="10"/>
  <c r="E30" i="10"/>
  <c r="D30" i="10"/>
  <c r="C30" i="10"/>
  <c r="B30" i="10"/>
  <c r="Q29" i="10"/>
  <c r="P29" i="10"/>
  <c r="O29" i="10"/>
  <c r="N29" i="10"/>
  <c r="M29" i="10"/>
  <c r="L29" i="10"/>
  <c r="K29" i="10"/>
  <c r="J29" i="10"/>
  <c r="I29" i="10"/>
  <c r="H29" i="10"/>
  <c r="G29" i="10"/>
  <c r="F29" i="10"/>
  <c r="E29" i="10"/>
  <c r="D29" i="10"/>
  <c r="C29" i="10"/>
  <c r="B29" i="10"/>
  <c r="Q28" i="10"/>
  <c r="P28" i="10"/>
  <c r="O28" i="10"/>
  <c r="N28" i="10"/>
  <c r="M28" i="10"/>
  <c r="L28" i="10"/>
  <c r="K28" i="10"/>
  <c r="J28" i="10"/>
  <c r="I28" i="10"/>
  <c r="H28" i="10"/>
  <c r="G28" i="10"/>
  <c r="F28" i="10"/>
  <c r="E28" i="10"/>
  <c r="D28" i="10"/>
  <c r="C28" i="10"/>
  <c r="B28" i="10"/>
  <c r="Q27" i="10"/>
  <c r="P27" i="10"/>
  <c r="O27" i="10"/>
  <c r="N27" i="10"/>
  <c r="M27" i="10"/>
  <c r="L27" i="10"/>
  <c r="K27" i="10"/>
  <c r="J27" i="10"/>
  <c r="I27" i="10"/>
  <c r="H27" i="10"/>
  <c r="G27" i="10"/>
  <c r="F27" i="10"/>
  <c r="E27" i="10"/>
  <c r="D27" i="10"/>
  <c r="C27" i="10"/>
  <c r="B27" i="10"/>
  <c r="Q26" i="10"/>
  <c r="P26" i="10"/>
  <c r="O26" i="10"/>
  <c r="N26" i="10"/>
  <c r="M26" i="10"/>
  <c r="L26" i="10"/>
  <c r="K26" i="10"/>
  <c r="J26" i="10"/>
  <c r="I26" i="10"/>
  <c r="H26" i="10"/>
  <c r="G26" i="10"/>
  <c r="F26" i="10"/>
  <c r="E26" i="10"/>
  <c r="D26" i="10"/>
  <c r="C26" i="10"/>
  <c r="B26" i="10"/>
  <c r="Q25" i="10"/>
  <c r="P25" i="10"/>
  <c r="O25" i="10"/>
  <c r="N25" i="10"/>
  <c r="M25" i="10"/>
  <c r="L25" i="10"/>
  <c r="K25" i="10"/>
  <c r="J25" i="10"/>
  <c r="I25" i="10"/>
  <c r="H25" i="10"/>
  <c r="G25" i="10"/>
  <c r="F25" i="10"/>
  <c r="E25" i="10"/>
  <c r="D25" i="10"/>
  <c r="C25" i="10"/>
  <c r="B25" i="10"/>
  <c r="Q24" i="10"/>
  <c r="P24" i="10"/>
  <c r="O24" i="10"/>
  <c r="N24" i="10"/>
  <c r="M24" i="10"/>
  <c r="L24" i="10"/>
  <c r="K24" i="10"/>
  <c r="J24" i="10"/>
  <c r="I24" i="10"/>
  <c r="H24" i="10"/>
  <c r="G24" i="10"/>
  <c r="F24" i="10"/>
  <c r="E24" i="10"/>
  <c r="D24" i="10"/>
  <c r="C24" i="10"/>
  <c r="B24" i="10"/>
  <c r="Q23" i="10"/>
  <c r="P23" i="10"/>
  <c r="O23" i="10"/>
  <c r="N23" i="10"/>
  <c r="M23" i="10"/>
  <c r="L23" i="10"/>
  <c r="K23" i="10"/>
  <c r="J23" i="10"/>
  <c r="I23" i="10"/>
  <c r="H23" i="10"/>
  <c r="G23" i="10"/>
  <c r="F23" i="10"/>
  <c r="E23" i="10"/>
  <c r="D23" i="10"/>
  <c r="C23" i="10"/>
  <c r="B23" i="10"/>
  <c r="Q22" i="10"/>
  <c r="P22" i="10"/>
  <c r="O22" i="10"/>
  <c r="N22" i="10"/>
  <c r="M22" i="10"/>
  <c r="L22" i="10"/>
  <c r="K22" i="10"/>
  <c r="J22" i="10"/>
  <c r="I22" i="10"/>
  <c r="H22" i="10"/>
  <c r="G22" i="10"/>
  <c r="F22" i="10"/>
  <c r="E22" i="10"/>
  <c r="D22" i="10"/>
  <c r="C22" i="10"/>
  <c r="B22" i="10"/>
  <c r="Q19" i="10"/>
  <c r="P19" i="10"/>
  <c r="O19" i="10"/>
  <c r="N19" i="10"/>
  <c r="M19" i="10"/>
  <c r="L19" i="10"/>
  <c r="K19" i="10"/>
  <c r="J19" i="10"/>
  <c r="I19" i="10"/>
  <c r="H19" i="10"/>
  <c r="G19" i="10"/>
  <c r="F19" i="10"/>
  <c r="E19" i="10"/>
  <c r="D19" i="10"/>
  <c r="C19" i="10"/>
  <c r="B19" i="10"/>
  <c r="Q18" i="10"/>
  <c r="P18" i="10"/>
  <c r="O18" i="10"/>
  <c r="N18" i="10"/>
  <c r="M18" i="10"/>
  <c r="L18" i="10"/>
  <c r="K18" i="10"/>
  <c r="J18" i="10"/>
  <c r="I18" i="10"/>
  <c r="H18" i="10"/>
  <c r="G18" i="10"/>
  <c r="F18" i="10"/>
  <c r="E18" i="10"/>
  <c r="D18" i="10"/>
  <c r="C18" i="10"/>
  <c r="B18" i="10"/>
  <c r="Q17" i="10"/>
  <c r="P17" i="10"/>
  <c r="O17" i="10"/>
  <c r="N17" i="10"/>
  <c r="M17" i="10"/>
  <c r="L17" i="10"/>
  <c r="K17" i="10"/>
  <c r="J17" i="10"/>
  <c r="I17" i="10"/>
  <c r="H17" i="10"/>
  <c r="G17" i="10"/>
  <c r="F17" i="10"/>
  <c r="E17" i="10"/>
  <c r="D17" i="10"/>
  <c r="C17" i="10"/>
  <c r="B17" i="10"/>
  <c r="Q16" i="10"/>
  <c r="P16" i="10"/>
  <c r="O16" i="10"/>
  <c r="N16" i="10"/>
  <c r="M16" i="10"/>
  <c r="L16" i="10"/>
  <c r="K16" i="10"/>
  <c r="J16" i="10"/>
  <c r="I16" i="10"/>
  <c r="H16" i="10"/>
  <c r="G16" i="10"/>
  <c r="F16" i="10"/>
  <c r="E16" i="10"/>
  <c r="D16" i="10"/>
  <c r="C16" i="10"/>
  <c r="B16" i="10"/>
  <c r="Q15" i="10"/>
  <c r="P15" i="10"/>
  <c r="O15" i="10"/>
  <c r="N15" i="10"/>
  <c r="M15" i="10"/>
  <c r="L15" i="10"/>
  <c r="K15" i="10"/>
  <c r="J15" i="10"/>
  <c r="I15" i="10"/>
  <c r="H15" i="10"/>
  <c r="G15" i="10"/>
  <c r="F15" i="10"/>
  <c r="E15" i="10"/>
  <c r="D15" i="10"/>
  <c r="C15" i="10"/>
  <c r="B15" i="10"/>
  <c r="Q14" i="10"/>
  <c r="P14" i="10"/>
  <c r="O14" i="10"/>
  <c r="N14" i="10"/>
  <c r="M14" i="10"/>
  <c r="L14" i="10"/>
  <c r="K14" i="10"/>
  <c r="J14" i="10"/>
  <c r="I14" i="10"/>
  <c r="H14" i="10"/>
  <c r="G14" i="10"/>
  <c r="F14" i="10"/>
  <c r="E14" i="10"/>
  <c r="D14" i="10"/>
  <c r="C14" i="10"/>
  <c r="B14" i="10"/>
  <c r="Q13" i="10"/>
  <c r="P13" i="10"/>
  <c r="O13" i="10"/>
  <c r="N13" i="10"/>
  <c r="M13" i="10"/>
  <c r="L13" i="10"/>
  <c r="K13" i="10"/>
  <c r="J13" i="10"/>
  <c r="I13" i="10"/>
  <c r="H13" i="10"/>
  <c r="G13" i="10"/>
  <c r="F13" i="10"/>
  <c r="E13" i="10"/>
  <c r="D13" i="10"/>
  <c r="C13" i="10"/>
  <c r="B13" i="10"/>
  <c r="Q12" i="10"/>
  <c r="P12" i="10"/>
  <c r="O12" i="10"/>
  <c r="N12" i="10"/>
  <c r="M12" i="10"/>
  <c r="L12" i="10"/>
  <c r="K12" i="10"/>
  <c r="J12" i="10"/>
  <c r="I12" i="10"/>
  <c r="H12" i="10"/>
  <c r="G12" i="10"/>
  <c r="F12" i="10"/>
  <c r="E12" i="10"/>
  <c r="D12" i="10"/>
  <c r="C12" i="10"/>
  <c r="B12" i="10"/>
  <c r="Q9" i="10"/>
  <c r="P9" i="10"/>
  <c r="O9" i="10"/>
  <c r="N9" i="10"/>
  <c r="M9" i="10"/>
  <c r="L9" i="10"/>
  <c r="K9" i="10"/>
  <c r="J9" i="10"/>
  <c r="I9" i="10"/>
  <c r="H9" i="10"/>
  <c r="G9" i="10"/>
  <c r="F9" i="10"/>
  <c r="E9" i="10"/>
  <c r="D9" i="10"/>
  <c r="C9" i="10"/>
  <c r="B9" i="10"/>
  <c r="Q8" i="10"/>
  <c r="P8" i="10"/>
  <c r="O8" i="10"/>
  <c r="N8" i="10"/>
  <c r="M8" i="10"/>
  <c r="L8" i="10"/>
  <c r="K8" i="10"/>
  <c r="J8" i="10"/>
  <c r="I8" i="10"/>
  <c r="H8" i="10"/>
  <c r="G8" i="10"/>
  <c r="F8" i="10"/>
  <c r="E8" i="10"/>
  <c r="D8" i="10"/>
  <c r="C8" i="10"/>
  <c r="B8" i="10"/>
  <c r="Q7" i="10"/>
  <c r="P7" i="10"/>
  <c r="O7" i="10"/>
  <c r="N7" i="10"/>
  <c r="M7" i="10"/>
  <c r="L7" i="10"/>
  <c r="K7" i="10"/>
  <c r="J7" i="10"/>
  <c r="I7" i="10"/>
  <c r="H7" i="10"/>
  <c r="G7" i="10"/>
  <c r="F7" i="10"/>
  <c r="E7" i="10"/>
  <c r="D7" i="10"/>
  <c r="C7" i="10"/>
  <c r="B7" i="10"/>
  <c r="Q6" i="10"/>
  <c r="P6" i="10"/>
  <c r="O6" i="10"/>
  <c r="N6" i="10"/>
  <c r="M6" i="10"/>
  <c r="L6" i="10"/>
  <c r="K6" i="10"/>
  <c r="J6" i="10"/>
  <c r="I6" i="10"/>
  <c r="H6" i="10"/>
  <c r="G6" i="10"/>
  <c r="F6" i="10"/>
  <c r="E6" i="10"/>
  <c r="D6" i="10"/>
  <c r="C6" i="10"/>
  <c r="B6" i="10"/>
  <c r="Q5" i="10"/>
  <c r="P5" i="10"/>
  <c r="O5" i="10"/>
  <c r="N5" i="10"/>
  <c r="M5" i="10"/>
  <c r="L5" i="10"/>
  <c r="K5" i="10"/>
  <c r="J5" i="10"/>
  <c r="I5" i="10"/>
  <c r="H5" i="10"/>
  <c r="G5" i="10"/>
  <c r="F5" i="10"/>
  <c r="E5" i="10"/>
  <c r="D5" i="10"/>
  <c r="C5" i="10"/>
  <c r="B5" i="10"/>
  <c r="Q4" i="10"/>
  <c r="P4" i="10"/>
  <c r="O4" i="10"/>
  <c r="N4" i="10"/>
  <c r="M4" i="10"/>
  <c r="L4" i="10"/>
  <c r="K4" i="10"/>
  <c r="J4" i="10"/>
  <c r="I4" i="10"/>
  <c r="H4" i="10"/>
  <c r="G4" i="10"/>
  <c r="F4" i="10"/>
  <c r="E4" i="10"/>
  <c r="D4" i="10"/>
  <c r="C4" i="10"/>
  <c r="B4" i="10"/>
  <c r="Q3" i="10"/>
  <c r="P3" i="10"/>
  <c r="O3" i="10"/>
  <c r="N3" i="10"/>
  <c r="M3" i="10"/>
  <c r="L3" i="10"/>
  <c r="K3" i="10"/>
  <c r="J3" i="10"/>
  <c r="I3" i="10"/>
  <c r="H3" i="10"/>
  <c r="G3" i="10"/>
  <c r="F3" i="10"/>
  <c r="E3" i="10"/>
  <c r="D3" i="10"/>
  <c r="C3" i="10"/>
  <c r="B3" i="10"/>
  <c r="T58" i="9"/>
  <c r="S58" i="9"/>
  <c r="R58" i="9"/>
  <c r="Q58" i="9"/>
  <c r="L58" i="9"/>
  <c r="T56" i="9"/>
  <c r="S56" i="9"/>
  <c r="R56" i="9"/>
  <c r="Q56" i="9"/>
  <c r="P56" i="9"/>
  <c r="O56" i="9"/>
  <c r="N56" i="9"/>
  <c r="M56" i="9"/>
  <c r="T55" i="9"/>
  <c r="S55" i="9"/>
  <c r="R55" i="9"/>
  <c r="Q55" i="9"/>
  <c r="P55" i="9"/>
  <c r="O55" i="9"/>
  <c r="N55" i="9"/>
  <c r="M55" i="9"/>
  <c r="T54" i="9"/>
  <c r="S54" i="9"/>
  <c r="R54" i="9"/>
  <c r="Q54" i="9"/>
  <c r="P54" i="9"/>
  <c r="O54" i="9"/>
  <c r="N54" i="9"/>
  <c r="M54" i="9"/>
  <c r="T53" i="9"/>
  <c r="S53" i="9"/>
  <c r="R53" i="9"/>
  <c r="Q53" i="9"/>
  <c r="P53" i="9"/>
  <c r="O53" i="9"/>
  <c r="N53" i="9"/>
  <c r="M53" i="9"/>
  <c r="T52" i="9"/>
  <c r="S52" i="9"/>
  <c r="R52" i="9"/>
  <c r="Q52" i="9"/>
  <c r="P52" i="9"/>
  <c r="O52" i="9"/>
  <c r="N52" i="9"/>
  <c r="M52" i="9"/>
  <c r="T51" i="9"/>
  <c r="S51" i="9"/>
  <c r="R51" i="9"/>
  <c r="Q51" i="9"/>
  <c r="P51" i="9"/>
  <c r="O51" i="9"/>
  <c r="N51" i="9"/>
  <c r="M51" i="9"/>
  <c r="T50" i="9"/>
  <c r="S50" i="9"/>
  <c r="R50" i="9"/>
  <c r="Q50" i="9"/>
  <c r="P50" i="9"/>
  <c r="O50" i="9"/>
  <c r="N50" i="9"/>
  <c r="M50" i="9"/>
  <c r="T49" i="9"/>
  <c r="S49" i="9"/>
  <c r="R49" i="9"/>
  <c r="Q49" i="9"/>
  <c r="P49" i="9"/>
  <c r="O49" i="9"/>
  <c r="N49" i="9"/>
  <c r="M49" i="9"/>
  <c r="T48" i="9"/>
  <c r="S48" i="9"/>
  <c r="R48" i="9"/>
  <c r="Q48" i="9"/>
  <c r="P48" i="9"/>
  <c r="O48" i="9"/>
  <c r="N48" i="9"/>
  <c r="M48" i="9"/>
  <c r="T47" i="9"/>
  <c r="S47" i="9"/>
  <c r="R47" i="9"/>
  <c r="Q47" i="9"/>
  <c r="P47" i="9"/>
  <c r="O47" i="9"/>
  <c r="N47" i="9"/>
  <c r="M47" i="9"/>
  <c r="T46" i="9"/>
  <c r="S46" i="9"/>
  <c r="R46" i="9"/>
  <c r="Q46" i="9"/>
  <c r="P46" i="9"/>
  <c r="O46" i="9"/>
  <c r="N46" i="9"/>
  <c r="M46" i="9"/>
  <c r="T45" i="9"/>
  <c r="S45" i="9"/>
  <c r="R45" i="9"/>
  <c r="Q45" i="9"/>
  <c r="P45" i="9"/>
  <c r="O45" i="9"/>
  <c r="M45" i="9"/>
  <c r="T44" i="9"/>
  <c r="S44" i="9"/>
  <c r="R44" i="9"/>
  <c r="Q44" i="9"/>
  <c r="P44" i="9"/>
  <c r="O44" i="9"/>
  <c r="N44" i="9"/>
  <c r="T43" i="9"/>
  <c r="S43" i="9"/>
  <c r="R43" i="9"/>
  <c r="Q43" i="9"/>
  <c r="P43" i="9"/>
  <c r="O43" i="9"/>
  <c r="N43" i="9"/>
  <c r="T42" i="9"/>
  <c r="S42" i="9"/>
  <c r="R42" i="9"/>
  <c r="Q42" i="9"/>
  <c r="P42" i="9"/>
  <c r="O42" i="9"/>
  <c r="N42" i="9"/>
  <c r="M42" i="9"/>
  <c r="T41" i="9"/>
  <c r="S41" i="9"/>
  <c r="R41" i="9"/>
  <c r="Q41" i="9"/>
  <c r="P41" i="9"/>
  <c r="O41" i="9"/>
  <c r="T40" i="9"/>
  <c r="S40" i="9"/>
  <c r="R40" i="9"/>
  <c r="Q40" i="9"/>
  <c r="P40" i="9"/>
  <c r="O40" i="9"/>
  <c r="N40" i="9"/>
  <c r="M40" i="9"/>
  <c r="T39" i="9"/>
  <c r="S39" i="9"/>
  <c r="R39" i="9"/>
  <c r="Q39" i="9"/>
  <c r="P39" i="9"/>
  <c r="O39" i="9"/>
  <c r="N39" i="9"/>
  <c r="M39" i="9"/>
  <c r="T37" i="9"/>
  <c r="S37" i="9"/>
  <c r="R37" i="9"/>
  <c r="Q37" i="9"/>
  <c r="P37" i="9"/>
  <c r="O37" i="9"/>
  <c r="N37" i="9"/>
  <c r="T36" i="9"/>
  <c r="S36" i="9"/>
  <c r="R36" i="9"/>
  <c r="Q36" i="9"/>
  <c r="P36" i="9"/>
  <c r="O36" i="9"/>
  <c r="N36" i="9"/>
  <c r="T35" i="9"/>
  <c r="S35" i="9"/>
  <c r="R35" i="9"/>
  <c r="Q35" i="9"/>
  <c r="P35" i="9"/>
  <c r="O35" i="9"/>
  <c r="N35" i="9"/>
  <c r="T34" i="9"/>
  <c r="S34" i="9"/>
  <c r="R34" i="9"/>
  <c r="Q34" i="9"/>
  <c r="P34" i="9"/>
  <c r="O34" i="9"/>
  <c r="N34" i="9"/>
  <c r="T33" i="9"/>
  <c r="S33" i="9"/>
  <c r="R33" i="9"/>
  <c r="Q33" i="9"/>
  <c r="P33" i="9"/>
  <c r="O33" i="9"/>
  <c r="N33" i="9"/>
  <c r="T32" i="9"/>
  <c r="S32" i="9"/>
  <c r="R32" i="9"/>
  <c r="Q32" i="9"/>
  <c r="P32" i="9"/>
  <c r="O32" i="9"/>
  <c r="N32" i="9"/>
  <c r="M32" i="9"/>
  <c r="T31" i="9"/>
  <c r="S31" i="9"/>
  <c r="R31" i="9"/>
  <c r="Q31" i="9"/>
  <c r="P31" i="9"/>
  <c r="O31" i="9"/>
  <c r="N31" i="9"/>
  <c r="T30" i="9"/>
  <c r="S30" i="9"/>
  <c r="R30" i="9"/>
  <c r="Q30" i="9"/>
  <c r="P30" i="9"/>
  <c r="N30" i="9"/>
  <c r="M30" i="9"/>
  <c r="K30" i="9"/>
  <c r="T29" i="9"/>
  <c r="S29" i="9"/>
  <c r="R29" i="9"/>
  <c r="Q29" i="9"/>
  <c r="P29" i="9"/>
  <c r="O29" i="9"/>
  <c r="N29" i="9"/>
  <c r="M29" i="9"/>
  <c r="T28" i="9"/>
  <c r="S28" i="9"/>
  <c r="R28" i="9"/>
  <c r="Q28" i="9"/>
  <c r="P28" i="9"/>
  <c r="O28" i="9"/>
  <c r="N28" i="9"/>
  <c r="M28" i="9"/>
  <c r="T27" i="9"/>
  <c r="S27" i="9"/>
  <c r="R27" i="9"/>
  <c r="Q27" i="9"/>
  <c r="P27" i="9"/>
  <c r="O27" i="9"/>
  <c r="N27" i="9"/>
  <c r="M27" i="9"/>
  <c r="T26" i="9"/>
  <c r="S26" i="9"/>
  <c r="R26" i="9"/>
  <c r="Q26" i="9"/>
  <c r="P26" i="9"/>
  <c r="O26" i="9"/>
  <c r="N26" i="9"/>
  <c r="M26" i="9"/>
  <c r="T25" i="9"/>
  <c r="S25" i="9"/>
  <c r="R25" i="9"/>
  <c r="Q25" i="9"/>
  <c r="P25" i="9"/>
  <c r="O25" i="9"/>
  <c r="N25" i="9"/>
  <c r="M25" i="9"/>
  <c r="T24" i="9"/>
  <c r="S24" i="9"/>
  <c r="R24" i="9"/>
  <c r="Q24" i="9"/>
  <c r="P24" i="9"/>
  <c r="O24" i="9"/>
  <c r="N24" i="9"/>
  <c r="T23" i="9"/>
  <c r="S23" i="9"/>
  <c r="R23" i="9"/>
  <c r="Q23" i="9"/>
  <c r="P23" i="9"/>
  <c r="O23" i="9"/>
  <c r="N23" i="9"/>
  <c r="M23" i="9"/>
  <c r="T22" i="9"/>
  <c r="S22" i="9"/>
  <c r="R22" i="9"/>
  <c r="Q22" i="9"/>
  <c r="P22" i="9"/>
  <c r="O22" i="9"/>
  <c r="N22" i="9"/>
  <c r="M22" i="9"/>
  <c r="J22" i="9"/>
  <c r="T21" i="9"/>
  <c r="S21" i="9"/>
  <c r="R21" i="9"/>
  <c r="Q21" i="9"/>
  <c r="P21" i="9"/>
  <c r="O21" i="9"/>
  <c r="N21" i="9"/>
  <c r="T20" i="9"/>
  <c r="S20" i="9"/>
  <c r="R20" i="9"/>
  <c r="Q20" i="9"/>
  <c r="P20" i="9"/>
  <c r="O20" i="9"/>
  <c r="N20" i="9"/>
  <c r="M20" i="9"/>
  <c r="T19" i="9"/>
  <c r="S19" i="9"/>
  <c r="R19" i="9"/>
  <c r="Q19" i="9"/>
  <c r="P19" i="9"/>
  <c r="O19" i="9"/>
  <c r="N19" i="9"/>
  <c r="M19" i="9"/>
  <c r="T18" i="9"/>
  <c r="S18" i="9"/>
  <c r="R18" i="9"/>
  <c r="Q18" i="9"/>
  <c r="P18" i="9"/>
  <c r="O18" i="9"/>
  <c r="N18" i="9"/>
  <c r="T17" i="9"/>
  <c r="S17" i="9"/>
  <c r="R17" i="9"/>
  <c r="Q17" i="9"/>
  <c r="P17" i="9"/>
  <c r="O17" i="9"/>
  <c r="N17" i="9"/>
  <c r="L17" i="9"/>
  <c r="T16" i="9"/>
  <c r="S16" i="9"/>
  <c r="R16" i="9"/>
  <c r="Q16" i="9"/>
  <c r="P16" i="9"/>
  <c r="O16" i="9"/>
  <c r="N16" i="9"/>
  <c r="T15" i="9"/>
  <c r="S15" i="9"/>
  <c r="R15" i="9"/>
  <c r="Q15" i="9"/>
  <c r="P15" i="9"/>
  <c r="O15" i="9"/>
  <c r="N15" i="9"/>
  <c r="M15" i="9"/>
  <c r="T14" i="9"/>
  <c r="S14" i="9"/>
  <c r="R14" i="9"/>
  <c r="Q14" i="9"/>
  <c r="P14" i="9"/>
  <c r="O14" i="9"/>
  <c r="N14" i="9"/>
  <c r="T13" i="9"/>
  <c r="S13" i="9"/>
  <c r="R13" i="9"/>
  <c r="Q13" i="9"/>
  <c r="P13" i="9"/>
  <c r="O13" i="9"/>
  <c r="N13" i="9"/>
  <c r="M13" i="9"/>
  <c r="T12" i="9"/>
  <c r="S12" i="9"/>
  <c r="R12" i="9"/>
  <c r="Q12" i="9"/>
  <c r="P12" i="9"/>
  <c r="O12" i="9"/>
  <c r="N12" i="9"/>
  <c r="M12" i="9"/>
  <c r="T11" i="9"/>
  <c r="S11" i="9"/>
  <c r="R11" i="9"/>
  <c r="Q11" i="9"/>
  <c r="P11" i="9"/>
  <c r="O11" i="9"/>
  <c r="N11" i="9"/>
  <c r="M11" i="9"/>
  <c r="T10" i="9"/>
  <c r="S10" i="9"/>
  <c r="R10" i="9"/>
  <c r="Q10" i="9"/>
  <c r="P10" i="9"/>
  <c r="O10" i="9"/>
  <c r="N10" i="9"/>
  <c r="M10" i="9"/>
  <c r="T9" i="9"/>
  <c r="S9" i="9"/>
  <c r="R9" i="9"/>
  <c r="Q9" i="9"/>
  <c r="P9" i="9"/>
  <c r="O9" i="9"/>
  <c r="N9" i="9"/>
  <c r="M9" i="9"/>
  <c r="T8" i="9"/>
  <c r="S8" i="9"/>
  <c r="R8" i="9"/>
  <c r="Q8" i="9"/>
  <c r="P8" i="9"/>
  <c r="O8" i="9"/>
  <c r="N8" i="9"/>
  <c r="T7" i="9"/>
  <c r="S7" i="9"/>
  <c r="R7" i="9"/>
  <c r="Q7" i="9"/>
  <c r="P7" i="9"/>
  <c r="O7" i="9"/>
  <c r="N7" i="9"/>
  <c r="M7" i="9"/>
  <c r="T6" i="9"/>
  <c r="S6" i="9"/>
  <c r="R6" i="9"/>
  <c r="Q6" i="9"/>
  <c r="P6" i="9"/>
  <c r="O6" i="9"/>
  <c r="N6" i="9"/>
  <c r="T5" i="9"/>
  <c r="S5" i="9"/>
  <c r="R5" i="9"/>
  <c r="Q5" i="9"/>
  <c r="P5" i="9"/>
  <c r="O5" i="9"/>
  <c r="N5" i="9"/>
  <c r="M5" i="9"/>
  <c r="T4" i="9"/>
  <c r="S4" i="9"/>
  <c r="R4" i="9"/>
  <c r="Q4" i="9"/>
  <c r="P4" i="9"/>
  <c r="O4" i="9"/>
  <c r="N4" i="9"/>
  <c r="M4" i="9"/>
  <c r="T3" i="9"/>
  <c r="S3" i="9"/>
  <c r="R3" i="9"/>
  <c r="Q3" i="9"/>
  <c r="P3" i="9"/>
  <c r="O3" i="9"/>
  <c r="N3" i="9"/>
  <c r="M3" i="9"/>
  <c r="R105" i="8"/>
  <c r="Q105" i="8"/>
  <c r="P105" i="8"/>
  <c r="O105" i="8"/>
  <c r="N105" i="8"/>
  <c r="M105" i="8"/>
  <c r="L105" i="8"/>
  <c r="K105" i="8"/>
  <c r="J105" i="8"/>
  <c r="I105" i="8"/>
  <c r="H105" i="8"/>
  <c r="G105" i="8"/>
  <c r="F105" i="8"/>
  <c r="E105" i="8"/>
  <c r="D105" i="8"/>
  <c r="C105" i="8"/>
  <c r="B105" i="8"/>
  <c r="R100" i="8"/>
  <c r="L100" i="8"/>
  <c r="Q92" i="8"/>
  <c r="P92" i="8"/>
  <c r="O92" i="8"/>
  <c r="N92" i="8"/>
  <c r="M92" i="8"/>
  <c r="L92" i="8"/>
  <c r="K92" i="8"/>
  <c r="J92" i="8"/>
  <c r="I92" i="8"/>
  <c r="H92" i="8"/>
  <c r="G92" i="8"/>
  <c r="F92" i="8"/>
  <c r="E92" i="8"/>
  <c r="D92" i="8"/>
  <c r="C92" i="8"/>
  <c r="B92" i="8"/>
  <c r="A92" i="8"/>
  <c r="S80" i="8"/>
  <c r="Q80" i="8"/>
  <c r="P80" i="8"/>
  <c r="O80" i="8"/>
  <c r="N80" i="8"/>
  <c r="M80" i="8"/>
  <c r="L80" i="8"/>
  <c r="K80" i="8"/>
  <c r="J80" i="8"/>
  <c r="I80" i="8"/>
  <c r="H80" i="8"/>
  <c r="G80" i="8"/>
  <c r="F80" i="8"/>
  <c r="E80" i="8"/>
  <c r="D80" i="8"/>
  <c r="C80" i="8"/>
  <c r="B80" i="8"/>
  <c r="Q79" i="8"/>
  <c r="P79" i="8"/>
  <c r="O79" i="8"/>
  <c r="N79" i="8"/>
  <c r="M79" i="8"/>
  <c r="L79" i="8"/>
  <c r="K79" i="8"/>
  <c r="J79" i="8"/>
  <c r="I79" i="8"/>
  <c r="H79" i="8"/>
  <c r="G79" i="8"/>
  <c r="F79" i="8"/>
  <c r="E79" i="8"/>
  <c r="D79" i="8"/>
  <c r="C79" i="8"/>
  <c r="B79" i="8"/>
  <c r="Q78" i="8"/>
  <c r="P78" i="8"/>
  <c r="O78" i="8"/>
  <c r="N78" i="8"/>
  <c r="M78" i="8"/>
  <c r="L78" i="8"/>
  <c r="K78" i="8"/>
  <c r="J78" i="8"/>
  <c r="I78" i="8"/>
  <c r="H78" i="8"/>
  <c r="G78" i="8"/>
  <c r="F78" i="8"/>
  <c r="E78" i="8"/>
  <c r="D78" i="8"/>
  <c r="C78" i="8"/>
  <c r="B78" i="8"/>
  <c r="Q75" i="8"/>
  <c r="P75" i="8"/>
  <c r="O75" i="8"/>
  <c r="N75" i="8"/>
  <c r="M75" i="8"/>
  <c r="L75" i="8"/>
  <c r="K75" i="8"/>
  <c r="J75" i="8"/>
  <c r="I75" i="8"/>
  <c r="H75" i="8"/>
  <c r="G75" i="8"/>
  <c r="F75" i="8"/>
  <c r="E75" i="8"/>
  <c r="D75" i="8"/>
  <c r="C75" i="8"/>
  <c r="B75" i="8"/>
  <c r="Q74" i="8"/>
  <c r="P74" i="8"/>
  <c r="O74" i="8"/>
  <c r="N74" i="8"/>
  <c r="M74" i="8"/>
  <c r="L74" i="8"/>
  <c r="K74" i="8"/>
  <c r="J74" i="8"/>
  <c r="I74" i="8"/>
  <c r="H74" i="8"/>
  <c r="G74" i="8"/>
  <c r="F74" i="8"/>
  <c r="E74" i="8"/>
  <c r="D74" i="8"/>
  <c r="C74" i="8"/>
  <c r="B74" i="8"/>
  <c r="Q73" i="8"/>
  <c r="P73" i="8"/>
  <c r="O73" i="8"/>
  <c r="N73" i="8"/>
  <c r="M73" i="8"/>
  <c r="L73" i="8"/>
  <c r="K73" i="8"/>
  <c r="J73" i="8"/>
  <c r="I73" i="8"/>
  <c r="H73" i="8"/>
  <c r="G73" i="8"/>
  <c r="F73" i="8"/>
  <c r="E73" i="8"/>
  <c r="D73" i="8"/>
  <c r="C73" i="8"/>
  <c r="B73" i="8"/>
  <c r="S72" i="8"/>
  <c r="Q72" i="8"/>
  <c r="P72" i="8"/>
  <c r="O72" i="8"/>
  <c r="N72" i="8"/>
  <c r="M72" i="8"/>
  <c r="L72" i="8"/>
  <c r="K72" i="8"/>
  <c r="J72" i="8"/>
  <c r="I72" i="8"/>
  <c r="H72" i="8"/>
  <c r="G72" i="8"/>
  <c r="F72" i="8"/>
  <c r="E72" i="8"/>
  <c r="D72" i="8"/>
  <c r="C72" i="8"/>
  <c r="B72" i="8"/>
  <c r="Q71" i="8"/>
  <c r="P71" i="8"/>
  <c r="O71" i="8"/>
  <c r="N71" i="8"/>
  <c r="M71" i="8"/>
  <c r="L71" i="8"/>
  <c r="K71" i="8"/>
  <c r="J71" i="8"/>
  <c r="I71" i="8"/>
  <c r="H71" i="8"/>
  <c r="G71" i="8"/>
  <c r="F71" i="8"/>
  <c r="E71" i="8"/>
  <c r="D71" i="8"/>
  <c r="C71" i="8"/>
  <c r="B71" i="8"/>
  <c r="Q70" i="8"/>
  <c r="P70" i="8"/>
  <c r="O70" i="8"/>
  <c r="N70" i="8"/>
  <c r="M70" i="8"/>
  <c r="L70" i="8"/>
  <c r="K70" i="8"/>
  <c r="J70" i="8"/>
  <c r="I70" i="8"/>
  <c r="H70" i="8"/>
  <c r="G70" i="8"/>
  <c r="F70" i="8"/>
  <c r="E70" i="8"/>
  <c r="D70" i="8"/>
  <c r="C70" i="8"/>
  <c r="B70" i="8"/>
  <c r="A70" i="8"/>
  <c r="Q67" i="8"/>
  <c r="P67" i="8"/>
  <c r="O67" i="8"/>
  <c r="N67" i="8"/>
  <c r="M67" i="8"/>
  <c r="L67" i="8"/>
  <c r="K67" i="8"/>
  <c r="J67" i="8"/>
  <c r="I67" i="8"/>
  <c r="H67" i="8"/>
  <c r="G67" i="8"/>
  <c r="F67" i="8"/>
  <c r="E67" i="8"/>
  <c r="D67" i="8"/>
  <c r="C67" i="8"/>
  <c r="B67" i="8"/>
  <c r="Q66" i="8"/>
  <c r="P66" i="8"/>
  <c r="O66" i="8"/>
  <c r="N66" i="8"/>
  <c r="M66" i="8"/>
  <c r="L66" i="8"/>
  <c r="K66" i="8"/>
  <c r="J66" i="8"/>
  <c r="I66" i="8"/>
  <c r="H66" i="8"/>
  <c r="G66" i="8"/>
  <c r="F66" i="8"/>
  <c r="E66" i="8"/>
  <c r="D66" i="8"/>
  <c r="C66" i="8"/>
  <c r="B66" i="8"/>
  <c r="Q65" i="8"/>
  <c r="P65" i="8"/>
  <c r="O65" i="8"/>
  <c r="N65" i="8"/>
  <c r="M65" i="8"/>
  <c r="L65" i="8"/>
  <c r="K65" i="8"/>
  <c r="J65" i="8"/>
  <c r="I65" i="8"/>
  <c r="H65" i="8"/>
  <c r="G65" i="8"/>
  <c r="F65" i="8"/>
  <c r="E65" i="8"/>
  <c r="D65" i="8"/>
  <c r="C65" i="8"/>
  <c r="B65" i="8"/>
  <c r="Q64" i="8"/>
  <c r="P64" i="8"/>
  <c r="O64" i="8"/>
  <c r="N64" i="8"/>
  <c r="M64" i="8"/>
  <c r="L64" i="8"/>
  <c r="K64" i="8"/>
  <c r="J64" i="8"/>
  <c r="I64" i="8"/>
  <c r="H64" i="8"/>
  <c r="G64" i="8"/>
  <c r="F64" i="8"/>
  <c r="E64" i="8"/>
  <c r="D64" i="8"/>
  <c r="C64" i="8"/>
  <c r="B64" i="8"/>
  <c r="Q63" i="8"/>
  <c r="P63" i="8"/>
  <c r="O63" i="8"/>
  <c r="N63" i="8"/>
  <c r="M63" i="8"/>
  <c r="L63" i="8"/>
  <c r="K63" i="8"/>
  <c r="J63" i="8"/>
  <c r="I63" i="8"/>
  <c r="H63" i="8"/>
  <c r="G63" i="8"/>
  <c r="F63" i="8"/>
  <c r="E63" i="8"/>
  <c r="D63" i="8"/>
  <c r="C63" i="8"/>
  <c r="B63" i="8"/>
  <c r="Q62" i="8"/>
  <c r="P62" i="8"/>
  <c r="O62" i="8"/>
  <c r="N62" i="8"/>
  <c r="M62" i="8"/>
  <c r="L62" i="8"/>
  <c r="K62" i="8"/>
  <c r="J62" i="8"/>
  <c r="I62" i="8"/>
  <c r="H62" i="8"/>
  <c r="G62" i="8"/>
  <c r="F62" i="8"/>
  <c r="E62" i="8"/>
  <c r="D62" i="8"/>
  <c r="C62" i="8"/>
  <c r="B62" i="8"/>
  <c r="Q61" i="8"/>
  <c r="P61" i="8"/>
  <c r="O61" i="8"/>
  <c r="N61" i="8"/>
  <c r="M61" i="8"/>
  <c r="L61" i="8"/>
  <c r="K61" i="8"/>
  <c r="J61" i="8"/>
  <c r="I61" i="8"/>
  <c r="H61" i="8"/>
  <c r="G61" i="8"/>
  <c r="F61" i="8"/>
  <c r="E61" i="8"/>
  <c r="D61" i="8"/>
  <c r="C61" i="8"/>
  <c r="B61" i="8"/>
  <c r="A61" i="8"/>
  <c r="Q58" i="8"/>
  <c r="P58" i="8"/>
  <c r="O58" i="8"/>
  <c r="N58" i="8"/>
  <c r="M58" i="8"/>
  <c r="L58" i="8"/>
  <c r="K58" i="8"/>
  <c r="J58" i="8"/>
  <c r="I58" i="8"/>
  <c r="H58" i="8"/>
  <c r="G58" i="8"/>
  <c r="F58" i="8"/>
  <c r="E58" i="8"/>
  <c r="D58" i="8"/>
  <c r="C58" i="8"/>
  <c r="B58" i="8"/>
  <c r="Q57" i="8"/>
  <c r="P57" i="8"/>
  <c r="O57" i="8"/>
  <c r="N57" i="8"/>
  <c r="M57" i="8"/>
  <c r="L57" i="8"/>
  <c r="K57" i="8"/>
  <c r="J57" i="8"/>
  <c r="I57" i="8"/>
  <c r="H57" i="8"/>
  <c r="G57" i="8"/>
  <c r="F57" i="8"/>
  <c r="E57" i="8"/>
  <c r="D57" i="8"/>
  <c r="C57" i="8"/>
  <c r="B57" i="8"/>
  <c r="Q56" i="8"/>
  <c r="P56" i="8"/>
  <c r="O56" i="8"/>
  <c r="N56" i="8"/>
  <c r="M56" i="8"/>
  <c r="L56" i="8"/>
  <c r="K56" i="8"/>
  <c r="J56" i="8"/>
  <c r="I56" i="8"/>
  <c r="H56" i="8"/>
  <c r="G56" i="8"/>
  <c r="F56" i="8"/>
  <c r="E56" i="8"/>
  <c r="D56" i="8"/>
  <c r="C56" i="8"/>
  <c r="B56" i="8"/>
  <c r="Q55" i="8"/>
  <c r="P55" i="8"/>
  <c r="O55" i="8"/>
  <c r="N55" i="8"/>
  <c r="M55" i="8"/>
  <c r="L55" i="8"/>
  <c r="K55" i="8"/>
  <c r="J55" i="8"/>
  <c r="I55" i="8"/>
  <c r="H55" i="8"/>
  <c r="G55" i="8"/>
  <c r="F55" i="8"/>
  <c r="E55" i="8"/>
  <c r="D55" i="8"/>
  <c r="C55" i="8"/>
  <c r="B55" i="8"/>
  <c r="Q54" i="8"/>
  <c r="P54" i="8"/>
  <c r="O54" i="8"/>
  <c r="N54" i="8"/>
  <c r="M54" i="8"/>
  <c r="L54" i="8"/>
  <c r="K54" i="8"/>
  <c r="J54" i="8"/>
  <c r="I54" i="8"/>
  <c r="H54" i="8"/>
  <c r="G54" i="8"/>
  <c r="F54" i="8"/>
  <c r="E54" i="8"/>
  <c r="D54" i="8"/>
  <c r="C54" i="8"/>
  <c r="B54" i="8"/>
  <c r="Q53" i="8"/>
  <c r="P53" i="8"/>
  <c r="O53" i="8"/>
  <c r="N53" i="8"/>
  <c r="M53" i="8"/>
  <c r="L53" i="8"/>
  <c r="K53" i="8"/>
  <c r="J53" i="8"/>
  <c r="I53" i="8"/>
  <c r="H53" i="8"/>
  <c r="G53" i="8"/>
  <c r="F53" i="8"/>
  <c r="E53" i="8"/>
  <c r="D53" i="8"/>
  <c r="C53" i="8"/>
  <c r="B53" i="8"/>
  <c r="Q52" i="8"/>
  <c r="P52" i="8"/>
  <c r="O52" i="8"/>
  <c r="N52" i="8"/>
  <c r="M52" i="8"/>
  <c r="L52" i="8"/>
  <c r="K52" i="8"/>
  <c r="J52" i="8"/>
  <c r="I52" i="8"/>
  <c r="H52" i="8"/>
  <c r="G52" i="8"/>
  <c r="F52" i="8"/>
  <c r="E52" i="8"/>
  <c r="D52" i="8"/>
  <c r="C52" i="8"/>
  <c r="B52" i="8"/>
  <c r="A52" i="8"/>
  <c r="R49" i="8"/>
  <c r="Q49" i="8"/>
  <c r="P49" i="8"/>
  <c r="O49" i="8"/>
  <c r="N49" i="8"/>
  <c r="M49" i="8"/>
  <c r="L49" i="8"/>
  <c r="K49" i="8"/>
  <c r="J49" i="8"/>
  <c r="I49" i="8"/>
  <c r="H49" i="8"/>
  <c r="G49" i="8"/>
  <c r="F49" i="8"/>
  <c r="E49" i="8"/>
  <c r="D49" i="8"/>
  <c r="C49" i="8"/>
  <c r="B49" i="8"/>
  <c r="S48" i="8"/>
  <c r="R48" i="8"/>
  <c r="Q48" i="8"/>
  <c r="P48" i="8"/>
  <c r="O48" i="8"/>
  <c r="N48" i="8"/>
  <c r="M48" i="8"/>
  <c r="L48" i="8"/>
  <c r="K48" i="8"/>
  <c r="J48" i="8"/>
  <c r="I48" i="8"/>
  <c r="H48" i="8"/>
  <c r="G48" i="8"/>
  <c r="F48" i="8"/>
  <c r="E48" i="8"/>
  <c r="D48" i="8"/>
  <c r="C48" i="8"/>
  <c r="B48" i="8"/>
  <c r="S47" i="8"/>
  <c r="R47" i="8"/>
  <c r="Q47" i="8"/>
  <c r="P47" i="8"/>
  <c r="O47" i="8"/>
  <c r="N47" i="8"/>
  <c r="M47" i="8"/>
  <c r="L47" i="8"/>
  <c r="K47" i="8"/>
  <c r="J47" i="8"/>
  <c r="I47" i="8"/>
  <c r="H47" i="8"/>
  <c r="G47" i="8"/>
  <c r="F47" i="8"/>
  <c r="E47" i="8"/>
  <c r="D47" i="8"/>
  <c r="C47" i="8"/>
  <c r="B47" i="8"/>
  <c r="S46" i="8"/>
  <c r="R46" i="8"/>
  <c r="Q46" i="8"/>
  <c r="P46" i="8"/>
  <c r="O46" i="8"/>
  <c r="N46" i="8"/>
  <c r="M46" i="8"/>
  <c r="L46" i="8"/>
  <c r="K46" i="8"/>
  <c r="J46" i="8"/>
  <c r="I46" i="8"/>
  <c r="H46" i="8"/>
  <c r="G46" i="8"/>
  <c r="F46" i="8"/>
  <c r="E46" i="8"/>
  <c r="D46" i="8"/>
  <c r="C46" i="8"/>
  <c r="B46" i="8"/>
  <c r="S45" i="8"/>
  <c r="R45" i="8"/>
  <c r="Q45" i="8"/>
  <c r="P45" i="8"/>
  <c r="O45" i="8"/>
  <c r="N45" i="8"/>
  <c r="M45" i="8"/>
  <c r="L45" i="8"/>
  <c r="K45" i="8"/>
  <c r="J45" i="8"/>
  <c r="I45" i="8"/>
  <c r="H45" i="8"/>
  <c r="G45" i="8"/>
  <c r="F45" i="8"/>
  <c r="E45" i="8"/>
  <c r="D45" i="8"/>
  <c r="C45" i="8"/>
  <c r="B45" i="8"/>
  <c r="S44" i="8"/>
  <c r="R44" i="8"/>
  <c r="Q44" i="8"/>
  <c r="P44" i="8"/>
  <c r="O44" i="8"/>
  <c r="N44" i="8"/>
  <c r="M44" i="8"/>
  <c r="L44" i="8"/>
  <c r="K44" i="8"/>
  <c r="J44" i="8"/>
  <c r="I44" i="8"/>
  <c r="H44" i="8"/>
  <c r="G44" i="8"/>
  <c r="F44" i="8"/>
  <c r="E44" i="8"/>
  <c r="D44" i="8"/>
  <c r="C44" i="8"/>
  <c r="B44" i="8"/>
  <c r="S43" i="8"/>
  <c r="R43" i="8"/>
  <c r="Q43" i="8"/>
  <c r="P43" i="8"/>
  <c r="O43" i="8"/>
  <c r="N43" i="8"/>
  <c r="M43" i="8"/>
  <c r="L43" i="8"/>
  <c r="K43" i="8"/>
  <c r="J43" i="8"/>
  <c r="I43" i="8"/>
  <c r="H43" i="8"/>
  <c r="G43" i="8"/>
  <c r="F43" i="8"/>
  <c r="E43" i="8"/>
  <c r="D43" i="8"/>
  <c r="C43" i="8"/>
  <c r="B43" i="8"/>
  <c r="Q42" i="8"/>
  <c r="P42" i="8"/>
  <c r="O42" i="8"/>
  <c r="N42" i="8"/>
  <c r="M42" i="8"/>
  <c r="L42" i="8"/>
  <c r="K42" i="8"/>
  <c r="J42" i="8"/>
  <c r="I42" i="8"/>
  <c r="H42" i="8"/>
  <c r="G42" i="8"/>
  <c r="F42" i="8"/>
  <c r="E42" i="8"/>
  <c r="D42" i="8"/>
  <c r="C42" i="8"/>
  <c r="B42" i="8"/>
  <c r="Q39" i="8"/>
  <c r="P39" i="8"/>
  <c r="O39" i="8"/>
  <c r="N39" i="8"/>
  <c r="M39" i="8"/>
  <c r="L39" i="8"/>
  <c r="K39" i="8"/>
  <c r="J39" i="8"/>
  <c r="I39" i="8"/>
  <c r="H39" i="8"/>
  <c r="G39" i="8"/>
  <c r="F39" i="8"/>
  <c r="E39" i="8"/>
  <c r="D39" i="8"/>
  <c r="C39" i="8"/>
  <c r="B39" i="8"/>
  <c r="R38" i="8"/>
  <c r="Q38" i="8"/>
  <c r="P38" i="8"/>
  <c r="O38" i="8"/>
  <c r="N38" i="8"/>
  <c r="M38" i="8"/>
  <c r="L38" i="8"/>
  <c r="K38" i="8"/>
  <c r="J38" i="8"/>
  <c r="I38" i="8"/>
  <c r="H38" i="8"/>
  <c r="G38" i="8"/>
  <c r="F38" i="8"/>
  <c r="E38" i="8"/>
  <c r="D38" i="8"/>
  <c r="C38" i="8"/>
  <c r="B38" i="8"/>
  <c r="R37" i="8"/>
  <c r="Q37" i="8"/>
  <c r="P37" i="8"/>
  <c r="O37" i="8"/>
  <c r="N37" i="8"/>
  <c r="M37" i="8"/>
  <c r="L37" i="8"/>
  <c r="K37" i="8"/>
  <c r="J37" i="8"/>
  <c r="I37" i="8"/>
  <c r="H37" i="8"/>
  <c r="G37" i="8"/>
  <c r="F37" i="8"/>
  <c r="E37" i="8"/>
  <c r="D37" i="8"/>
  <c r="C37" i="8"/>
  <c r="B37" i="8"/>
  <c r="R36" i="8"/>
  <c r="Q36" i="8"/>
  <c r="P36" i="8"/>
  <c r="O36" i="8"/>
  <c r="N36" i="8"/>
  <c r="M36" i="8"/>
  <c r="L36" i="8"/>
  <c r="K36" i="8"/>
  <c r="J36" i="8"/>
  <c r="I36" i="8"/>
  <c r="H36" i="8"/>
  <c r="G36" i="8"/>
  <c r="F36" i="8"/>
  <c r="E36" i="8"/>
  <c r="D36" i="8"/>
  <c r="C36" i="8"/>
  <c r="B36" i="8"/>
  <c r="R35" i="8"/>
  <c r="Q35" i="8"/>
  <c r="P35" i="8"/>
  <c r="O35" i="8"/>
  <c r="N35" i="8"/>
  <c r="M35" i="8"/>
  <c r="L35" i="8"/>
  <c r="K35" i="8"/>
  <c r="J35" i="8"/>
  <c r="I35" i="8"/>
  <c r="H35" i="8"/>
  <c r="G35" i="8"/>
  <c r="F35" i="8"/>
  <c r="E35" i="8"/>
  <c r="D35" i="8"/>
  <c r="C35" i="8"/>
  <c r="B35" i="8"/>
  <c r="R34" i="8"/>
  <c r="Q34" i="8"/>
  <c r="P34" i="8"/>
  <c r="O34" i="8"/>
  <c r="N34" i="8"/>
  <c r="M34" i="8"/>
  <c r="L34" i="8"/>
  <c r="K34" i="8"/>
  <c r="J34" i="8"/>
  <c r="I34" i="8"/>
  <c r="H34" i="8"/>
  <c r="G34" i="8"/>
  <c r="F34" i="8"/>
  <c r="E34" i="8"/>
  <c r="D34" i="8"/>
  <c r="C34" i="8"/>
  <c r="B34" i="8"/>
  <c r="R33" i="8"/>
  <c r="Q33" i="8"/>
  <c r="P33" i="8"/>
  <c r="O33" i="8"/>
  <c r="N33" i="8"/>
  <c r="M33" i="8"/>
  <c r="L33" i="8"/>
  <c r="K33" i="8"/>
  <c r="J33" i="8"/>
  <c r="I33" i="8"/>
  <c r="H33" i="8"/>
  <c r="G33" i="8"/>
  <c r="F33" i="8"/>
  <c r="E33" i="8"/>
  <c r="D33" i="8"/>
  <c r="C33" i="8"/>
  <c r="B33" i="8"/>
  <c r="Q32" i="8"/>
  <c r="P32" i="8"/>
  <c r="O32" i="8"/>
  <c r="N32" i="8"/>
  <c r="M32" i="8"/>
  <c r="L32" i="8"/>
  <c r="K32" i="8"/>
  <c r="J32" i="8"/>
  <c r="I32" i="8"/>
  <c r="H32" i="8"/>
  <c r="G32" i="8"/>
  <c r="F32" i="8"/>
  <c r="E32" i="8"/>
  <c r="D32" i="8"/>
  <c r="C32" i="8"/>
  <c r="B32" i="8"/>
  <c r="Q30" i="8"/>
  <c r="P30" i="8"/>
  <c r="O30" i="8"/>
  <c r="N30" i="8"/>
  <c r="M30" i="8"/>
  <c r="L30" i="8"/>
  <c r="K30" i="8"/>
  <c r="J30" i="8"/>
  <c r="I30" i="8"/>
  <c r="H30" i="8"/>
  <c r="G30" i="8"/>
  <c r="F30" i="8"/>
  <c r="E30" i="8"/>
  <c r="D30" i="8"/>
  <c r="C30" i="8"/>
  <c r="B30" i="8"/>
  <c r="Q29" i="8"/>
  <c r="P29" i="8"/>
  <c r="O29" i="8"/>
  <c r="N29" i="8"/>
  <c r="M29" i="8"/>
  <c r="L29" i="8"/>
  <c r="K29" i="8"/>
  <c r="J29" i="8"/>
  <c r="I29" i="8"/>
  <c r="H29" i="8"/>
  <c r="G29" i="8"/>
  <c r="F29" i="8"/>
  <c r="E29" i="8"/>
  <c r="D29" i="8"/>
  <c r="C29" i="8"/>
  <c r="B29" i="8"/>
  <c r="Q28" i="8"/>
  <c r="P28" i="8"/>
  <c r="O28" i="8"/>
  <c r="N28" i="8"/>
  <c r="M28" i="8"/>
  <c r="L28" i="8"/>
  <c r="K28" i="8"/>
  <c r="J28" i="8"/>
  <c r="I28" i="8"/>
  <c r="H28" i="8"/>
  <c r="G28" i="8"/>
  <c r="F28" i="8"/>
  <c r="E28" i="8"/>
  <c r="D28" i="8"/>
  <c r="C28" i="8"/>
  <c r="B28" i="8"/>
  <c r="Q27" i="8"/>
  <c r="P27" i="8"/>
  <c r="O27" i="8"/>
  <c r="N27" i="8"/>
  <c r="M27" i="8"/>
  <c r="L27" i="8"/>
  <c r="K27" i="8"/>
  <c r="J27" i="8"/>
  <c r="I27" i="8"/>
  <c r="H27" i="8"/>
  <c r="G27" i="8"/>
  <c r="F27" i="8"/>
  <c r="E27" i="8"/>
  <c r="D27" i="8"/>
  <c r="C27" i="8"/>
  <c r="B27" i="8"/>
  <c r="Q26" i="8"/>
  <c r="P26" i="8"/>
  <c r="O26" i="8"/>
  <c r="N26" i="8"/>
  <c r="M26" i="8"/>
  <c r="L26" i="8"/>
  <c r="K26" i="8"/>
  <c r="J26" i="8"/>
  <c r="I26" i="8"/>
  <c r="H26" i="8"/>
  <c r="G26" i="8"/>
  <c r="F26" i="8"/>
  <c r="E26" i="8"/>
  <c r="D26" i="8"/>
  <c r="C26" i="8"/>
  <c r="B26" i="8"/>
  <c r="Q25" i="8"/>
  <c r="P25" i="8"/>
  <c r="O25" i="8"/>
  <c r="N25" i="8"/>
  <c r="M25" i="8"/>
  <c r="L25" i="8"/>
  <c r="K25" i="8"/>
  <c r="J25" i="8"/>
  <c r="I25" i="8"/>
  <c r="H25" i="8"/>
  <c r="G25" i="8"/>
  <c r="F25" i="8"/>
  <c r="E25" i="8"/>
  <c r="D25" i="8"/>
  <c r="C25" i="8"/>
  <c r="B25" i="8"/>
  <c r="Q24" i="8"/>
  <c r="P24" i="8"/>
  <c r="O24" i="8"/>
  <c r="N24" i="8"/>
  <c r="M24" i="8"/>
  <c r="L24" i="8"/>
  <c r="K24" i="8"/>
  <c r="J24" i="8"/>
  <c r="I24" i="8"/>
  <c r="H24" i="8"/>
  <c r="G24" i="8"/>
  <c r="F24" i="8"/>
  <c r="E24" i="8"/>
  <c r="D24" i="8"/>
  <c r="C24" i="8"/>
  <c r="B24" i="8"/>
  <c r="Q23" i="8"/>
  <c r="P23" i="8"/>
  <c r="O23" i="8"/>
  <c r="N23" i="8"/>
  <c r="M23" i="8"/>
  <c r="L23" i="8"/>
  <c r="K23" i="8"/>
  <c r="J23" i="8"/>
  <c r="I23" i="8"/>
  <c r="H23" i="8"/>
  <c r="G23" i="8"/>
  <c r="F23" i="8"/>
  <c r="E23" i="8"/>
  <c r="D23" i="8"/>
  <c r="C23" i="8"/>
  <c r="B23" i="8"/>
  <c r="Q22" i="8"/>
  <c r="P22" i="8"/>
  <c r="O22" i="8"/>
  <c r="N22" i="8"/>
  <c r="M22" i="8"/>
  <c r="L22" i="8"/>
  <c r="K22" i="8"/>
  <c r="J22" i="8"/>
  <c r="I22" i="8"/>
  <c r="H22" i="8"/>
  <c r="G22" i="8"/>
  <c r="F22" i="8"/>
  <c r="E22" i="8"/>
  <c r="D22" i="8"/>
  <c r="C22" i="8"/>
  <c r="B22" i="8"/>
  <c r="Q19" i="8"/>
  <c r="P19" i="8"/>
  <c r="O19" i="8"/>
  <c r="N19" i="8"/>
  <c r="M19" i="8"/>
  <c r="L19" i="8"/>
  <c r="K19" i="8"/>
  <c r="J19" i="8"/>
  <c r="I19" i="8"/>
  <c r="H19" i="8"/>
  <c r="G19" i="8"/>
  <c r="F19" i="8"/>
  <c r="E19" i="8"/>
  <c r="D19" i="8"/>
  <c r="C19" i="8"/>
  <c r="B19" i="8"/>
  <c r="Q18" i="8"/>
  <c r="P18" i="8"/>
  <c r="O18" i="8"/>
  <c r="N18" i="8"/>
  <c r="M18" i="8"/>
  <c r="L18" i="8"/>
  <c r="K18" i="8"/>
  <c r="J18" i="8"/>
  <c r="I18" i="8"/>
  <c r="H18" i="8"/>
  <c r="G18" i="8"/>
  <c r="F18" i="8"/>
  <c r="E18" i="8"/>
  <c r="D18" i="8"/>
  <c r="C18" i="8"/>
  <c r="B18" i="8"/>
  <c r="Q17" i="8"/>
  <c r="P17" i="8"/>
  <c r="O17" i="8"/>
  <c r="N17" i="8"/>
  <c r="M17" i="8"/>
  <c r="L17" i="8"/>
  <c r="K17" i="8"/>
  <c r="J17" i="8"/>
  <c r="I17" i="8"/>
  <c r="H17" i="8"/>
  <c r="G17" i="8"/>
  <c r="F17" i="8"/>
  <c r="E17" i="8"/>
  <c r="D17" i="8"/>
  <c r="C17" i="8"/>
  <c r="B17" i="8"/>
  <c r="Q16" i="8"/>
  <c r="P16" i="8"/>
  <c r="O16" i="8"/>
  <c r="N16" i="8"/>
  <c r="M16" i="8"/>
  <c r="L16" i="8"/>
  <c r="K16" i="8"/>
  <c r="J16" i="8"/>
  <c r="I16" i="8"/>
  <c r="H16" i="8"/>
  <c r="G16" i="8"/>
  <c r="F16" i="8"/>
  <c r="E16" i="8"/>
  <c r="D16" i="8"/>
  <c r="C16" i="8"/>
  <c r="B16" i="8"/>
  <c r="Q15" i="8"/>
  <c r="P15" i="8"/>
  <c r="O15" i="8"/>
  <c r="N15" i="8"/>
  <c r="M15" i="8"/>
  <c r="L15" i="8"/>
  <c r="K15" i="8"/>
  <c r="J15" i="8"/>
  <c r="I15" i="8"/>
  <c r="H15" i="8"/>
  <c r="G15" i="8"/>
  <c r="F15" i="8"/>
  <c r="E15" i="8"/>
  <c r="D15" i="8"/>
  <c r="C15" i="8"/>
  <c r="B15" i="8"/>
  <c r="Q14" i="8"/>
  <c r="P14" i="8"/>
  <c r="O14" i="8"/>
  <c r="N14" i="8"/>
  <c r="M14" i="8"/>
  <c r="L14" i="8"/>
  <c r="K14" i="8"/>
  <c r="J14" i="8"/>
  <c r="I14" i="8"/>
  <c r="H14" i="8"/>
  <c r="G14" i="8"/>
  <c r="F14" i="8"/>
  <c r="E14" i="8"/>
  <c r="D14" i="8"/>
  <c r="C14" i="8"/>
  <c r="B14" i="8"/>
  <c r="Q13" i="8"/>
  <c r="P13" i="8"/>
  <c r="O13" i="8"/>
  <c r="N13" i="8"/>
  <c r="M13" i="8"/>
  <c r="L13" i="8"/>
  <c r="K13" i="8"/>
  <c r="J13" i="8"/>
  <c r="I13" i="8"/>
  <c r="H13" i="8"/>
  <c r="G13" i="8"/>
  <c r="F13" i="8"/>
  <c r="E13" i="8"/>
  <c r="D13" i="8"/>
  <c r="C13" i="8"/>
  <c r="B13" i="8"/>
  <c r="Q12" i="8"/>
  <c r="P12" i="8"/>
  <c r="O12" i="8"/>
  <c r="N12" i="8"/>
  <c r="M12" i="8"/>
  <c r="L12" i="8"/>
  <c r="K12" i="8"/>
  <c r="J12" i="8"/>
  <c r="I12" i="8"/>
  <c r="H12" i="8"/>
  <c r="G12" i="8"/>
  <c r="F12" i="8"/>
  <c r="E12" i="8"/>
  <c r="D12" i="8"/>
  <c r="C12" i="8"/>
  <c r="B12" i="8"/>
  <c r="Q9" i="8"/>
  <c r="P9" i="8"/>
  <c r="O9" i="8"/>
  <c r="N9" i="8"/>
  <c r="M9" i="8"/>
  <c r="L9" i="8"/>
  <c r="K9" i="8"/>
  <c r="J9" i="8"/>
  <c r="I9" i="8"/>
  <c r="H9" i="8"/>
  <c r="G9" i="8"/>
  <c r="F9" i="8"/>
  <c r="E9" i="8"/>
  <c r="D9" i="8"/>
  <c r="C9" i="8"/>
  <c r="B9" i="8"/>
  <c r="Q8" i="8"/>
  <c r="P8" i="8"/>
  <c r="O8" i="8"/>
  <c r="N8" i="8"/>
  <c r="M8" i="8"/>
  <c r="L8" i="8"/>
  <c r="K8" i="8"/>
  <c r="J8" i="8"/>
  <c r="I8" i="8"/>
  <c r="H8" i="8"/>
  <c r="G8" i="8"/>
  <c r="F8" i="8"/>
  <c r="E8" i="8"/>
  <c r="D8" i="8"/>
  <c r="C8" i="8"/>
  <c r="B8" i="8"/>
  <c r="Q7" i="8"/>
  <c r="P7" i="8"/>
  <c r="O7" i="8"/>
  <c r="N7" i="8"/>
  <c r="M7" i="8"/>
  <c r="L7" i="8"/>
  <c r="K7" i="8"/>
  <c r="J7" i="8"/>
  <c r="I7" i="8"/>
  <c r="H7" i="8"/>
  <c r="G7" i="8"/>
  <c r="F7" i="8"/>
  <c r="E7" i="8"/>
  <c r="D7" i="8"/>
  <c r="C7" i="8"/>
  <c r="B7" i="8"/>
  <c r="Q6" i="8"/>
  <c r="P6" i="8"/>
  <c r="O6" i="8"/>
  <c r="N6" i="8"/>
  <c r="M6" i="8"/>
  <c r="L6" i="8"/>
  <c r="K6" i="8"/>
  <c r="J6" i="8"/>
  <c r="H6" i="8"/>
  <c r="G6" i="8"/>
  <c r="F6" i="8"/>
  <c r="E6" i="8"/>
  <c r="D6" i="8"/>
  <c r="C6" i="8"/>
  <c r="B6" i="8"/>
  <c r="Q5" i="8"/>
  <c r="P5" i="8"/>
  <c r="O5" i="8"/>
  <c r="N5" i="8"/>
  <c r="M5" i="8"/>
  <c r="L5" i="8"/>
  <c r="K5" i="8"/>
  <c r="J5" i="8"/>
  <c r="I5" i="8"/>
  <c r="H5" i="8"/>
  <c r="G5" i="8"/>
  <c r="F5" i="8"/>
  <c r="E5" i="8"/>
  <c r="D5" i="8"/>
  <c r="C5" i="8"/>
  <c r="B5" i="8"/>
  <c r="Q4" i="8"/>
  <c r="P4" i="8"/>
  <c r="O4" i="8"/>
  <c r="N4" i="8"/>
  <c r="M4" i="8"/>
  <c r="L4" i="8"/>
  <c r="K4" i="8"/>
  <c r="J4" i="8"/>
  <c r="I4" i="8"/>
  <c r="H4" i="8"/>
  <c r="G4" i="8"/>
  <c r="F4" i="8"/>
  <c r="E4" i="8"/>
  <c r="D4" i="8"/>
  <c r="C4" i="8"/>
  <c r="B4" i="8"/>
  <c r="Q3" i="8"/>
  <c r="P3" i="8"/>
  <c r="O3" i="8"/>
  <c r="N3" i="8"/>
  <c r="M3" i="8"/>
  <c r="L3" i="8"/>
  <c r="K3" i="8"/>
  <c r="J3" i="8"/>
  <c r="I3" i="8"/>
  <c r="H3" i="8"/>
  <c r="G3" i="8"/>
  <c r="F3" i="8"/>
  <c r="E3" i="8"/>
  <c r="D3" i="8"/>
  <c r="C3" i="8"/>
  <c r="B3" i="8"/>
  <c r="T124" i="7"/>
  <c r="S124" i="7"/>
  <c r="R124" i="7"/>
  <c r="Q124" i="7"/>
  <c r="P124" i="7"/>
  <c r="O124" i="7"/>
  <c r="N124" i="7"/>
  <c r="M124" i="7"/>
  <c r="T123" i="7"/>
  <c r="S123" i="7"/>
  <c r="R123" i="7"/>
  <c r="Q123" i="7"/>
  <c r="P123" i="7"/>
  <c r="O123" i="7"/>
  <c r="N123" i="7"/>
  <c r="T122" i="7"/>
  <c r="S122" i="7"/>
  <c r="R122" i="7"/>
  <c r="Q122" i="7"/>
  <c r="P122" i="7"/>
  <c r="O122" i="7"/>
  <c r="N122" i="7"/>
  <c r="M122" i="7"/>
  <c r="T121" i="7"/>
  <c r="S121" i="7"/>
  <c r="R121" i="7"/>
  <c r="Q121" i="7"/>
  <c r="P121" i="7"/>
  <c r="O121" i="7"/>
  <c r="N121" i="7"/>
  <c r="T120" i="7"/>
  <c r="S120" i="7"/>
  <c r="R120" i="7"/>
  <c r="Q120" i="7"/>
  <c r="P120" i="7"/>
  <c r="O120" i="7"/>
  <c r="N120" i="7"/>
  <c r="M120" i="7"/>
  <c r="T119" i="7"/>
  <c r="S119" i="7"/>
  <c r="R119" i="7"/>
  <c r="Q119" i="7"/>
  <c r="P119" i="7"/>
  <c r="O119" i="7"/>
  <c r="N119" i="7"/>
  <c r="M119" i="7"/>
  <c r="T118" i="7"/>
  <c r="S118" i="7"/>
  <c r="R118" i="7"/>
  <c r="Q118" i="7"/>
  <c r="P118" i="7"/>
  <c r="O118" i="7"/>
  <c r="N118" i="7"/>
  <c r="M118" i="7"/>
  <c r="T117" i="7"/>
  <c r="S117" i="7"/>
  <c r="R117" i="7"/>
  <c r="Q117" i="7"/>
  <c r="P117" i="7"/>
  <c r="O117" i="7"/>
  <c r="N117" i="7"/>
  <c r="M117" i="7"/>
  <c r="T116" i="7"/>
  <c r="S116" i="7"/>
  <c r="R116" i="7"/>
  <c r="Q116" i="7"/>
  <c r="P116" i="7"/>
  <c r="O116" i="7"/>
  <c r="N116" i="7"/>
  <c r="T115" i="7"/>
  <c r="S115" i="7"/>
  <c r="R115" i="7"/>
  <c r="Q115" i="7"/>
  <c r="P115" i="7"/>
  <c r="O115" i="7"/>
  <c r="N115" i="7"/>
  <c r="T114" i="7"/>
  <c r="S114" i="7"/>
  <c r="R114" i="7"/>
  <c r="Q114" i="7"/>
  <c r="P114" i="7"/>
  <c r="O114" i="7"/>
  <c r="N114" i="7"/>
  <c r="T113" i="7"/>
  <c r="S113" i="7"/>
  <c r="R113" i="7"/>
  <c r="Q113" i="7"/>
  <c r="P113" i="7"/>
  <c r="O113" i="7"/>
  <c r="N113" i="7"/>
  <c r="T112" i="7"/>
  <c r="S112" i="7"/>
  <c r="R112" i="7"/>
  <c r="Q112" i="7"/>
  <c r="P112" i="7"/>
  <c r="O112" i="7"/>
  <c r="N112" i="7"/>
  <c r="T111" i="7"/>
  <c r="S111" i="7"/>
  <c r="R111" i="7"/>
  <c r="Q111" i="7"/>
  <c r="P111" i="7"/>
  <c r="O111" i="7"/>
  <c r="N111" i="7"/>
  <c r="L111" i="7"/>
  <c r="T110" i="7"/>
  <c r="S110" i="7"/>
  <c r="R110" i="7"/>
  <c r="Q110" i="7"/>
  <c r="P110" i="7"/>
  <c r="O110" i="7"/>
  <c r="N110" i="7"/>
  <c r="L110" i="7"/>
  <c r="T109" i="7"/>
  <c r="S109" i="7"/>
  <c r="R109" i="7"/>
  <c r="Q109" i="7"/>
  <c r="P109" i="7"/>
  <c r="O109" i="7"/>
  <c r="N109" i="7"/>
  <c r="M109" i="7"/>
  <c r="T108" i="7"/>
  <c r="S108" i="7"/>
  <c r="R108" i="7"/>
  <c r="Q108" i="7"/>
  <c r="P108" i="7"/>
  <c r="O108" i="7"/>
  <c r="N108" i="7"/>
  <c r="T107" i="7"/>
  <c r="S107" i="7"/>
  <c r="R107" i="7"/>
  <c r="Q107" i="7"/>
  <c r="P107" i="7"/>
  <c r="O107" i="7"/>
  <c r="N107" i="7"/>
  <c r="M107" i="7"/>
  <c r="T106" i="7"/>
  <c r="S106" i="7"/>
  <c r="R106" i="7"/>
  <c r="Q106" i="7"/>
  <c r="P106" i="7"/>
  <c r="O106" i="7"/>
  <c r="N106" i="7"/>
  <c r="T105" i="7"/>
  <c r="S105" i="7"/>
  <c r="R105" i="7"/>
  <c r="Q105" i="7"/>
  <c r="P105" i="7"/>
  <c r="O105" i="7"/>
  <c r="N105" i="7"/>
  <c r="T104" i="7"/>
  <c r="S104" i="7"/>
  <c r="R104" i="7"/>
  <c r="Q104" i="7"/>
  <c r="P104" i="7"/>
  <c r="O104" i="7"/>
  <c r="N104" i="7"/>
  <c r="T103" i="7"/>
  <c r="S103" i="7"/>
  <c r="R103" i="7"/>
  <c r="Q103" i="7"/>
  <c r="P103" i="7"/>
  <c r="O103" i="7"/>
  <c r="N103" i="7"/>
  <c r="T102" i="7"/>
  <c r="S102" i="7"/>
  <c r="R102" i="7"/>
  <c r="Q102" i="7"/>
  <c r="P102" i="7"/>
  <c r="O102" i="7"/>
  <c r="N102" i="7"/>
  <c r="T101" i="7"/>
  <c r="S101" i="7"/>
  <c r="R101" i="7"/>
  <c r="Q101" i="7"/>
  <c r="P101" i="7"/>
  <c r="O101" i="7"/>
  <c r="N101" i="7"/>
  <c r="T100" i="7"/>
  <c r="S100" i="7"/>
  <c r="R100" i="7"/>
  <c r="Q100" i="7"/>
  <c r="P100" i="7"/>
  <c r="O100" i="7"/>
  <c r="N100" i="7"/>
  <c r="T99" i="7"/>
  <c r="S99" i="7"/>
  <c r="R99" i="7"/>
  <c r="Q99" i="7"/>
  <c r="P99" i="7"/>
  <c r="O99" i="7"/>
  <c r="N99" i="7"/>
  <c r="T98" i="7"/>
  <c r="S98" i="7"/>
  <c r="R98" i="7"/>
  <c r="Q98" i="7"/>
  <c r="P98" i="7"/>
  <c r="O98" i="7"/>
  <c r="N98" i="7"/>
  <c r="T97" i="7"/>
  <c r="S97" i="7"/>
  <c r="R97" i="7"/>
  <c r="Q97" i="7"/>
  <c r="P97" i="7"/>
  <c r="O97" i="7"/>
  <c r="N97" i="7"/>
  <c r="M97" i="7"/>
  <c r="T96" i="7"/>
  <c r="S96" i="7"/>
  <c r="R96" i="7"/>
  <c r="Q96" i="7"/>
  <c r="P96" i="7"/>
  <c r="O96" i="7"/>
  <c r="N96" i="7"/>
  <c r="T95" i="7"/>
  <c r="S95" i="7"/>
  <c r="R95" i="7"/>
  <c r="Q95" i="7"/>
  <c r="P95" i="7"/>
  <c r="O95" i="7"/>
  <c r="N95" i="7"/>
  <c r="T94" i="7"/>
  <c r="S94" i="7"/>
  <c r="R94" i="7"/>
  <c r="Q94" i="7"/>
  <c r="P94" i="7"/>
  <c r="O94" i="7"/>
  <c r="N94" i="7"/>
  <c r="T93" i="7"/>
  <c r="S93" i="7"/>
  <c r="R93" i="7"/>
  <c r="Q93" i="7"/>
  <c r="P93" i="7"/>
  <c r="O93" i="7"/>
  <c r="N93" i="7"/>
  <c r="M93" i="7"/>
  <c r="T92" i="7"/>
  <c r="S92" i="7"/>
  <c r="R92" i="7"/>
  <c r="Q92" i="7"/>
  <c r="P92" i="7"/>
  <c r="O92" i="7"/>
  <c r="N92" i="7"/>
  <c r="T91" i="7"/>
  <c r="S91" i="7"/>
  <c r="R91" i="7"/>
  <c r="Q91" i="7"/>
  <c r="P91" i="7"/>
  <c r="O91" i="7"/>
  <c r="N91" i="7"/>
  <c r="M91" i="7"/>
  <c r="T90" i="7"/>
  <c r="S90" i="7"/>
  <c r="R90" i="7"/>
  <c r="Q90" i="7"/>
  <c r="P90" i="7"/>
  <c r="O90" i="7"/>
  <c r="N90" i="7"/>
  <c r="T89" i="7"/>
  <c r="S89" i="7"/>
  <c r="R89" i="7"/>
  <c r="Q89" i="7"/>
  <c r="P89" i="7"/>
  <c r="O89" i="7"/>
  <c r="N89" i="7"/>
  <c r="T88" i="7"/>
  <c r="S88" i="7"/>
  <c r="R88" i="7"/>
  <c r="Q88" i="7"/>
  <c r="P88" i="7"/>
  <c r="O88" i="7"/>
  <c r="N88" i="7"/>
  <c r="M88" i="7"/>
  <c r="T87" i="7"/>
  <c r="S87" i="7"/>
  <c r="R87" i="7"/>
  <c r="Q87" i="7"/>
  <c r="P87" i="7"/>
  <c r="O87" i="7"/>
  <c r="N87" i="7"/>
  <c r="T86" i="7"/>
  <c r="S86" i="7"/>
  <c r="R86" i="7"/>
  <c r="Q86" i="7"/>
  <c r="P86" i="7"/>
  <c r="O86" i="7"/>
  <c r="M86" i="7"/>
  <c r="K86" i="7"/>
  <c r="J86" i="7"/>
  <c r="T85" i="7"/>
  <c r="S85" i="7"/>
  <c r="R85" i="7"/>
  <c r="Q85" i="7"/>
  <c r="P85" i="7"/>
  <c r="O85" i="7"/>
  <c r="N85" i="7"/>
  <c r="M85" i="7"/>
  <c r="T84" i="7"/>
  <c r="S84" i="7"/>
  <c r="R84" i="7"/>
  <c r="Q84" i="7"/>
  <c r="P84" i="7"/>
  <c r="O84" i="7"/>
  <c r="N84" i="7"/>
  <c r="M84" i="7"/>
  <c r="T83" i="7"/>
  <c r="S83" i="7"/>
  <c r="R83" i="7"/>
  <c r="Q83" i="7"/>
  <c r="P83" i="7"/>
  <c r="O83" i="7"/>
  <c r="N83" i="7"/>
  <c r="M83" i="7"/>
  <c r="T82" i="7"/>
  <c r="S82" i="7"/>
  <c r="R82" i="7"/>
  <c r="Q82" i="7"/>
  <c r="P82" i="7"/>
  <c r="O82" i="7"/>
  <c r="N82" i="7"/>
  <c r="T81" i="7"/>
  <c r="S81" i="7"/>
  <c r="R81" i="7"/>
  <c r="Q81" i="7"/>
  <c r="P81" i="7"/>
  <c r="O81" i="7"/>
  <c r="N81" i="7"/>
  <c r="M81" i="7"/>
  <c r="J81" i="7"/>
  <c r="T80" i="7"/>
  <c r="S80" i="7"/>
  <c r="R80" i="7"/>
  <c r="Q80" i="7"/>
  <c r="P80" i="7"/>
  <c r="O80" i="7"/>
  <c r="N80" i="7"/>
  <c r="M80" i="7"/>
  <c r="T79" i="7"/>
  <c r="S79" i="7"/>
  <c r="R79" i="7"/>
  <c r="Q79" i="7"/>
  <c r="P79" i="7"/>
  <c r="O79" i="7"/>
  <c r="N79" i="7"/>
  <c r="T78" i="7"/>
  <c r="S78" i="7"/>
  <c r="R78" i="7"/>
  <c r="Q78" i="7"/>
  <c r="P78" i="7"/>
  <c r="O78" i="7"/>
  <c r="N78" i="7"/>
  <c r="T77" i="7"/>
  <c r="S77" i="7"/>
  <c r="R77" i="7"/>
  <c r="Q77" i="7"/>
  <c r="P77" i="7"/>
  <c r="O77" i="7"/>
  <c r="N77" i="7"/>
  <c r="T76" i="7"/>
  <c r="S76" i="7"/>
  <c r="R76" i="7"/>
  <c r="Q76" i="7"/>
  <c r="P76" i="7"/>
  <c r="O76" i="7"/>
  <c r="N76" i="7"/>
  <c r="M76" i="7"/>
  <c r="T75" i="7"/>
  <c r="S75" i="7"/>
  <c r="R75" i="7"/>
  <c r="Q75" i="7"/>
  <c r="P75" i="7"/>
  <c r="O75" i="7"/>
  <c r="N75" i="7"/>
  <c r="M75" i="7"/>
  <c r="T74" i="7"/>
  <c r="S74" i="7"/>
  <c r="R74" i="7"/>
  <c r="Q74" i="7"/>
  <c r="P74" i="7"/>
  <c r="O74" i="7"/>
  <c r="N74" i="7"/>
  <c r="T73" i="7"/>
  <c r="S73" i="7"/>
  <c r="R73" i="7"/>
  <c r="Q73" i="7"/>
  <c r="P73" i="7"/>
  <c r="O73" i="7"/>
  <c r="N73" i="7"/>
  <c r="T72" i="7"/>
  <c r="S72" i="7"/>
  <c r="R72" i="7"/>
  <c r="Q72" i="7"/>
  <c r="P72" i="7"/>
  <c r="O72" i="7"/>
  <c r="N72" i="7"/>
  <c r="T71" i="7"/>
  <c r="S71" i="7"/>
  <c r="R71" i="7"/>
  <c r="Q71" i="7"/>
  <c r="P71" i="7"/>
  <c r="O71" i="7"/>
  <c r="N71" i="7"/>
  <c r="J71" i="7"/>
  <c r="T70" i="7"/>
  <c r="S70" i="7"/>
  <c r="R70" i="7"/>
  <c r="Q70" i="7"/>
  <c r="P70" i="7"/>
  <c r="O70" i="7"/>
  <c r="N70" i="7"/>
  <c r="M70" i="7"/>
  <c r="T69" i="7"/>
  <c r="S69" i="7"/>
  <c r="R69" i="7"/>
  <c r="Q69" i="7"/>
  <c r="P69" i="7"/>
  <c r="N69" i="7"/>
  <c r="K69" i="7"/>
  <c r="J69" i="7"/>
  <c r="T68" i="7"/>
  <c r="S68" i="7"/>
  <c r="R68" i="7"/>
  <c r="Q68" i="7"/>
  <c r="P68" i="7"/>
  <c r="O68" i="7"/>
  <c r="N68" i="7"/>
  <c r="M68" i="7"/>
  <c r="T67" i="7"/>
  <c r="S67" i="7"/>
  <c r="R67" i="7"/>
  <c r="Q67" i="7"/>
  <c r="P67" i="7"/>
  <c r="O67" i="7"/>
  <c r="N67" i="7"/>
  <c r="M67" i="7"/>
  <c r="T66" i="7"/>
  <c r="S66" i="7"/>
  <c r="R66" i="7"/>
  <c r="Q66" i="7"/>
  <c r="P66" i="7"/>
  <c r="O66" i="7"/>
  <c r="N66" i="7"/>
  <c r="M66" i="7"/>
  <c r="J66" i="7"/>
  <c r="T65" i="7"/>
  <c r="S65" i="7"/>
  <c r="R65" i="7"/>
  <c r="Q65" i="7"/>
  <c r="P65" i="7"/>
  <c r="O65" i="7"/>
  <c r="N65" i="7"/>
  <c r="M65" i="7"/>
  <c r="T64" i="7"/>
  <c r="S64" i="7"/>
  <c r="R64" i="7"/>
  <c r="Q64" i="7"/>
  <c r="P64" i="7"/>
  <c r="O64" i="7"/>
  <c r="N64" i="7"/>
  <c r="T63" i="7"/>
  <c r="S63" i="7"/>
  <c r="R63" i="7"/>
  <c r="Q63" i="7"/>
  <c r="P63" i="7"/>
  <c r="O63" i="7"/>
  <c r="N63" i="7"/>
  <c r="T62" i="7"/>
  <c r="S62" i="7"/>
  <c r="R62" i="7"/>
  <c r="Q62" i="7"/>
  <c r="P62" i="7"/>
  <c r="O62" i="7"/>
  <c r="N62" i="7"/>
  <c r="T61" i="7"/>
  <c r="S61" i="7"/>
  <c r="R61" i="7"/>
  <c r="Q61" i="7"/>
  <c r="P61" i="7"/>
  <c r="O61" i="7"/>
  <c r="N61" i="7"/>
  <c r="M61" i="7"/>
  <c r="T60" i="7"/>
  <c r="S60" i="7"/>
  <c r="R60" i="7"/>
  <c r="Q60" i="7"/>
  <c r="P60" i="7"/>
  <c r="O60" i="7"/>
  <c r="N60" i="7"/>
  <c r="M60" i="7"/>
  <c r="T59" i="7"/>
  <c r="S59" i="7"/>
  <c r="R59" i="7"/>
  <c r="Q59" i="7"/>
  <c r="P59" i="7"/>
  <c r="O59" i="7"/>
  <c r="N59" i="7"/>
  <c r="M59" i="7"/>
  <c r="T58" i="7"/>
  <c r="S58" i="7"/>
  <c r="R58" i="7"/>
  <c r="Q58" i="7"/>
  <c r="P58" i="7"/>
  <c r="O58" i="7"/>
  <c r="N58" i="7"/>
  <c r="T57" i="7"/>
  <c r="S57" i="7"/>
  <c r="R57" i="7"/>
  <c r="Q57" i="7"/>
  <c r="P57" i="7"/>
  <c r="O57" i="7"/>
  <c r="N57" i="7"/>
  <c r="M57" i="7"/>
  <c r="J57" i="7"/>
  <c r="T56" i="7"/>
  <c r="S56" i="7"/>
  <c r="R56" i="7"/>
  <c r="Q56" i="7"/>
  <c r="P56" i="7"/>
  <c r="O56" i="7"/>
  <c r="N56" i="7"/>
  <c r="M56" i="7"/>
  <c r="J56" i="7"/>
  <c r="T55" i="7"/>
  <c r="S55" i="7"/>
  <c r="R55" i="7"/>
  <c r="Q55" i="7"/>
  <c r="P55" i="7"/>
  <c r="O55" i="7"/>
  <c r="N55" i="7"/>
  <c r="M55" i="7"/>
  <c r="J55" i="7"/>
  <c r="T54" i="7"/>
  <c r="S54" i="7"/>
  <c r="R54" i="7"/>
  <c r="Q54" i="7"/>
  <c r="P54" i="7"/>
  <c r="O54" i="7"/>
  <c r="N54" i="7"/>
  <c r="M54" i="7"/>
  <c r="J54" i="7"/>
  <c r="T53" i="7"/>
  <c r="S53" i="7"/>
  <c r="R53" i="7"/>
  <c r="Q53" i="7"/>
  <c r="P53" i="7"/>
  <c r="O53" i="7"/>
  <c r="N53" i="7"/>
  <c r="T52" i="7"/>
  <c r="S52" i="7"/>
  <c r="R52" i="7"/>
  <c r="Q52" i="7"/>
  <c r="P52" i="7"/>
  <c r="O52" i="7"/>
  <c r="N52" i="7"/>
  <c r="T51" i="7"/>
  <c r="S51" i="7"/>
  <c r="R51" i="7"/>
  <c r="Q51" i="7"/>
  <c r="P51" i="7"/>
  <c r="O51" i="7"/>
  <c r="N51" i="7"/>
  <c r="T50" i="7"/>
  <c r="S50" i="7"/>
  <c r="R50" i="7"/>
  <c r="Q50" i="7"/>
  <c r="P50" i="7"/>
  <c r="O50" i="7"/>
  <c r="N50" i="7"/>
  <c r="T49" i="7"/>
  <c r="S49" i="7"/>
  <c r="R49" i="7"/>
  <c r="Q49" i="7"/>
  <c r="P49" i="7"/>
  <c r="O49" i="7"/>
  <c r="N49" i="7"/>
  <c r="M49" i="7"/>
  <c r="T48" i="7"/>
  <c r="S48" i="7"/>
  <c r="R48" i="7"/>
  <c r="Q48" i="7"/>
  <c r="P48" i="7"/>
  <c r="O48" i="7"/>
  <c r="N48" i="7"/>
  <c r="T47" i="7"/>
  <c r="S47" i="7"/>
  <c r="R47" i="7"/>
  <c r="Q47" i="7"/>
  <c r="P47" i="7"/>
  <c r="O47" i="7"/>
  <c r="N47" i="7"/>
  <c r="T46" i="7"/>
  <c r="S46" i="7"/>
  <c r="R46" i="7"/>
  <c r="Q46" i="7"/>
  <c r="P46" i="7"/>
  <c r="O46" i="7"/>
  <c r="N46" i="7"/>
  <c r="T45" i="7"/>
  <c r="S45" i="7"/>
  <c r="R45" i="7"/>
  <c r="Q45" i="7"/>
  <c r="P45" i="7"/>
  <c r="O45" i="7"/>
  <c r="N45" i="7"/>
  <c r="T44" i="7"/>
  <c r="S44" i="7"/>
  <c r="R44" i="7"/>
  <c r="Q44" i="7"/>
  <c r="P44" i="7"/>
  <c r="O44" i="7"/>
  <c r="N44" i="7"/>
  <c r="T43" i="7"/>
  <c r="S43" i="7"/>
  <c r="R43" i="7"/>
  <c r="Q43" i="7"/>
  <c r="P43" i="7"/>
  <c r="O43" i="7"/>
  <c r="N43" i="7"/>
  <c r="M43" i="7"/>
  <c r="J43" i="7"/>
  <c r="T42" i="7"/>
  <c r="S42" i="7"/>
  <c r="R42" i="7"/>
  <c r="Q42" i="7"/>
  <c r="P42" i="7"/>
  <c r="O42" i="7"/>
  <c r="N42" i="7"/>
  <c r="M42" i="7"/>
  <c r="J42" i="7"/>
  <c r="T41" i="7"/>
  <c r="S41" i="7"/>
  <c r="R41" i="7"/>
  <c r="Q41" i="7"/>
  <c r="P41" i="7"/>
  <c r="O41" i="7"/>
  <c r="N41" i="7"/>
  <c r="T40" i="7"/>
  <c r="S40" i="7"/>
  <c r="R40" i="7"/>
  <c r="Q40" i="7"/>
  <c r="P40" i="7"/>
  <c r="O40" i="7"/>
  <c r="N40" i="7"/>
  <c r="T39" i="7"/>
  <c r="S39" i="7"/>
  <c r="R39" i="7"/>
  <c r="Q39" i="7"/>
  <c r="P39" i="7"/>
  <c r="O39" i="7"/>
  <c r="N39" i="7"/>
  <c r="T38" i="7"/>
  <c r="S38" i="7"/>
  <c r="R38" i="7"/>
  <c r="Q38" i="7"/>
  <c r="P38" i="7"/>
  <c r="O38" i="7"/>
  <c r="N38" i="7"/>
  <c r="M38" i="7"/>
  <c r="T37" i="7"/>
  <c r="S37" i="7"/>
  <c r="R37" i="7"/>
  <c r="Q37" i="7"/>
  <c r="P37" i="7"/>
  <c r="O37" i="7"/>
  <c r="N37" i="7"/>
  <c r="T36" i="7"/>
  <c r="S36" i="7"/>
  <c r="R36" i="7"/>
  <c r="Q36" i="7"/>
  <c r="P36" i="7"/>
  <c r="O36" i="7"/>
  <c r="N36" i="7"/>
  <c r="T35" i="7"/>
  <c r="S35" i="7"/>
  <c r="R35" i="7"/>
  <c r="Q35" i="7"/>
  <c r="P35" i="7"/>
  <c r="O35" i="7"/>
  <c r="N35" i="7"/>
  <c r="T34" i="7"/>
  <c r="S34" i="7"/>
  <c r="R34" i="7"/>
  <c r="Q34" i="7"/>
  <c r="P34" i="7"/>
  <c r="O34" i="7"/>
  <c r="N34" i="7"/>
  <c r="T33" i="7"/>
  <c r="S33" i="7"/>
  <c r="R33" i="7"/>
  <c r="Q33" i="7"/>
  <c r="P33" i="7"/>
  <c r="O33" i="7"/>
  <c r="N33" i="7"/>
  <c r="T32" i="7"/>
  <c r="S32" i="7"/>
  <c r="R32" i="7"/>
  <c r="Q32" i="7"/>
  <c r="P32" i="7"/>
  <c r="O32" i="7"/>
  <c r="N32" i="7"/>
  <c r="T31" i="7"/>
  <c r="S31" i="7"/>
  <c r="R31" i="7"/>
  <c r="Q31" i="7"/>
  <c r="P31" i="7"/>
  <c r="O31" i="7"/>
  <c r="N31" i="7"/>
  <c r="M31" i="7"/>
  <c r="T30" i="7"/>
  <c r="S30" i="7"/>
  <c r="R30" i="7"/>
  <c r="Q30" i="7"/>
  <c r="P30" i="7"/>
  <c r="O30" i="7"/>
  <c r="N30" i="7"/>
  <c r="M30" i="7"/>
  <c r="T29" i="7"/>
  <c r="S29" i="7"/>
  <c r="R29" i="7"/>
  <c r="Q29" i="7"/>
  <c r="P29" i="7"/>
  <c r="O29" i="7"/>
  <c r="N29" i="7"/>
  <c r="T28" i="7"/>
  <c r="S28" i="7"/>
  <c r="R28" i="7"/>
  <c r="Q28" i="7"/>
  <c r="P28" i="7"/>
  <c r="O28" i="7"/>
  <c r="N28" i="7"/>
  <c r="T27" i="7"/>
  <c r="S27" i="7"/>
  <c r="R27" i="7"/>
  <c r="Q27" i="7"/>
  <c r="P27" i="7"/>
  <c r="O27" i="7"/>
  <c r="N27" i="7"/>
  <c r="J27" i="7"/>
  <c r="T26" i="7"/>
  <c r="S26" i="7"/>
  <c r="R26" i="7"/>
  <c r="Q26" i="7"/>
  <c r="P26" i="7"/>
  <c r="O26" i="7"/>
  <c r="N26" i="7"/>
  <c r="T25" i="7"/>
  <c r="S25" i="7"/>
  <c r="R25" i="7"/>
  <c r="Q25" i="7"/>
  <c r="P25" i="7"/>
  <c r="O25" i="7"/>
  <c r="N25" i="7"/>
  <c r="J25" i="7"/>
  <c r="T24" i="7"/>
  <c r="S24" i="7"/>
  <c r="R24" i="7"/>
  <c r="Q24" i="7"/>
  <c r="P24" i="7"/>
  <c r="O24" i="7"/>
  <c r="N24" i="7"/>
  <c r="M24" i="7"/>
  <c r="J24" i="7"/>
  <c r="T23" i="7"/>
  <c r="S23" i="7"/>
  <c r="R23" i="7"/>
  <c r="Q23" i="7"/>
  <c r="P23" i="7"/>
  <c r="O23" i="7"/>
  <c r="N23" i="7"/>
  <c r="T22" i="7"/>
  <c r="S22" i="7"/>
  <c r="R22" i="7"/>
  <c r="Q22" i="7"/>
  <c r="P22" i="7"/>
  <c r="O22" i="7"/>
  <c r="N22" i="7"/>
  <c r="M22" i="7"/>
  <c r="J22" i="7"/>
  <c r="T21" i="7"/>
  <c r="S21" i="7"/>
  <c r="R21" i="7"/>
  <c r="Q21" i="7"/>
  <c r="P21" i="7"/>
  <c r="O21" i="7"/>
  <c r="N21" i="7"/>
  <c r="M21" i="7"/>
  <c r="J21" i="7"/>
  <c r="T20" i="7"/>
  <c r="S20" i="7"/>
  <c r="R20" i="7"/>
  <c r="Q20" i="7"/>
  <c r="P20" i="7"/>
  <c r="O20" i="7"/>
  <c r="N20" i="7"/>
  <c r="M20" i="7"/>
  <c r="T19" i="7"/>
  <c r="S19" i="7"/>
  <c r="R19" i="7"/>
  <c r="Q19" i="7"/>
  <c r="P19" i="7"/>
  <c r="O19" i="7"/>
  <c r="N19" i="7"/>
  <c r="L19" i="7"/>
  <c r="T18" i="7"/>
  <c r="S18" i="7"/>
  <c r="R18" i="7"/>
  <c r="Q18" i="7"/>
  <c r="P18" i="7"/>
  <c r="O18" i="7"/>
  <c r="N18" i="7"/>
  <c r="L18" i="7"/>
  <c r="T17" i="7"/>
  <c r="S17" i="7"/>
  <c r="R17" i="7"/>
  <c r="Q17" i="7"/>
  <c r="P17" i="7"/>
  <c r="O17" i="7"/>
  <c r="N17" i="7"/>
  <c r="L17" i="7"/>
  <c r="T16" i="7"/>
  <c r="S16" i="7"/>
  <c r="R16" i="7"/>
  <c r="Q16" i="7"/>
  <c r="P16" i="7"/>
  <c r="O16" i="7"/>
  <c r="N16" i="7"/>
  <c r="L16" i="7"/>
  <c r="T15" i="7"/>
  <c r="S15" i="7"/>
  <c r="R15" i="7"/>
  <c r="Q15" i="7"/>
  <c r="P15" i="7"/>
  <c r="O15" i="7"/>
  <c r="N15" i="7"/>
  <c r="T14" i="7"/>
  <c r="S14" i="7"/>
  <c r="R14" i="7"/>
  <c r="Q14" i="7"/>
  <c r="P14" i="7"/>
  <c r="O14" i="7"/>
  <c r="N14" i="7"/>
  <c r="T13" i="7"/>
  <c r="S13" i="7"/>
  <c r="R13" i="7"/>
  <c r="Q13" i="7"/>
  <c r="P13" i="7"/>
  <c r="O13" i="7"/>
  <c r="N13" i="7"/>
  <c r="T12" i="7"/>
  <c r="S12" i="7"/>
  <c r="R12" i="7"/>
  <c r="Q12" i="7"/>
  <c r="P12" i="7"/>
  <c r="O12" i="7"/>
  <c r="N12" i="7"/>
  <c r="L12" i="7"/>
  <c r="T11" i="7"/>
  <c r="S11" i="7"/>
  <c r="R11" i="7"/>
  <c r="Q11" i="7"/>
  <c r="P11" i="7"/>
  <c r="O11" i="7"/>
  <c r="N11" i="7"/>
  <c r="L11" i="7"/>
  <c r="T10" i="7"/>
  <c r="S10" i="7"/>
  <c r="R10" i="7"/>
  <c r="Q10" i="7"/>
  <c r="P10" i="7"/>
  <c r="O10" i="7"/>
  <c r="N10" i="7"/>
  <c r="T9" i="7"/>
  <c r="S9" i="7"/>
  <c r="R9" i="7"/>
  <c r="Q9" i="7"/>
  <c r="P9" i="7"/>
  <c r="O9" i="7"/>
  <c r="N9" i="7"/>
  <c r="M9" i="7"/>
  <c r="T8" i="7"/>
  <c r="S8" i="7"/>
  <c r="R8" i="7"/>
  <c r="Q8" i="7"/>
  <c r="P8" i="7"/>
  <c r="O8" i="7"/>
  <c r="N8" i="7"/>
  <c r="L8" i="7"/>
  <c r="T7" i="7"/>
  <c r="S7" i="7"/>
  <c r="R7" i="7"/>
  <c r="Q7" i="7"/>
  <c r="P7" i="7"/>
  <c r="O7" i="7"/>
  <c r="N7" i="7"/>
  <c r="T6" i="7"/>
  <c r="S6" i="7"/>
  <c r="R6" i="7"/>
  <c r="Q6" i="7"/>
  <c r="P6" i="7"/>
  <c r="O6" i="7"/>
  <c r="N6" i="7"/>
  <c r="T5" i="7"/>
  <c r="S5" i="7"/>
  <c r="R5" i="7"/>
  <c r="Q5" i="7"/>
  <c r="P5" i="7"/>
  <c r="O5" i="7"/>
  <c r="N5" i="7"/>
  <c r="J5" i="7"/>
  <c r="T4" i="7"/>
  <c r="S4" i="7"/>
  <c r="R4" i="7"/>
  <c r="Q4" i="7"/>
  <c r="P4" i="7"/>
  <c r="O4" i="7"/>
  <c r="N4" i="7"/>
  <c r="T3" i="7"/>
  <c r="S3" i="7"/>
  <c r="R3" i="7"/>
  <c r="Q3" i="7"/>
  <c r="P3" i="7"/>
  <c r="O3" i="7"/>
  <c r="N3" i="7"/>
  <c r="M3" i="7"/>
  <c r="AH105" i="6"/>
  <c r="Q105" i="6"/>
  <c r="P105" i="6"/>
  <c r="O105" i="6"/>
  <c r="N105" i="6"/>
  <c r="M105" i="6"/>
  <c r="L105" i="6"/>
  <c r="K105" i="6"/>
  <c r="J105" i="6"/>
  <c r="I105" i="6"/>
  <c r="H105" i="6"/>
  <c r="G105" i="6"/>
  <c r="F105" i="6"/>
  <c r="E105" i="6"/>
  <c r="D105" i="6"/>
  <c r="C105" i="6"/>
  <c r="B105" i="6"/>
  <c r="AH100" i="6"/>
  <c r="L100" i="6"/>
  <c r="Q92" i="6"/>
  <c r="P92" i="6"/>
  <c r="O92" i="6"/>
  <c r="N92" i="6"/>
  <c r="M92" i="6"/>
  <c r="L92" i="6"/>
  <c r="K92" i="6"/>
  <c r="J92" i="6"/>
  <c r="I92" i="6"/>
  <c r="H92" i="6"/>
  <c r="G92" i="6"/>
  <c r="F92" i="6"/>
  <c r="E92" i="6"/>
  <c r="D92" i="6"/>
  <c r="C92" i="6"/>
  <c r="B92" i="6"/>
  <c r="A92" i="6"/>
  <c r="AI80" i="6"/>
  <c r="AF80" i="6"/>
  <c r="AE80" i="6"/>
  <c r="AD80" i="6"/>
  <c r="AC80" i="6"/>
  <c r="AB80" i="6"/>
  <c r="AA80" i="6"/>
  <c r="Z80" i="6"/>
  <c r="Y80" i="6"/>
  <c r="X80" i="6"/>
  <c r="W80" i="6"/>
  <c r="V80" i="6"/>
  <c r="U80" i="6"/>
  <c r="T80" i="6"/>
  <c r="S80" i="6"/>
  <c r="R80" i="6"/>
  <c r="Q80" i="6"/>
  <c r="P80" i="6"/>
  <c r="O80" i="6"/>
  <c r="N80" i="6"/>
  <c r="M80" i="6"/>
  <c r="L80" i="6"/>
  <c r="K80" i="6"/>
  <c r="J80" i="6"/>
  <c r="I80" i="6"/>
  <c r="H80" i="6"/>
  <c r="G80" i="6"/>
  <c r="F80" i="6"/>
  <c r="E80" i="6"/>
  <c r="D80" i="6"/>
  <c r="C80" i="6"/>
  <c r="B80" i="6"/>
  <c r="AF79" i="6"/>
  <c r="AE79" i="6"/>
  <c r="AD79" i="6"/>
  <c r="AC79" i="6"/>
  <c r="AB79" i="6"/>
  <c r="AA79" i="6"/>
  <c r="Z79" i="6"/>
  <c r="Y79" i="6"/>
  <c r="X79" i="6"/>
  <c r="W79" i="6"/>
  <c r="V79" i="6"/>
  <c r="U79" i="6"/>
  <c r="T79" i="6"/>
  <c r="S79" i="6"/>
  <c r="R79" i="6"/>
  <c r="Q79" i="6"/>
  <c r="P79" i="6"/>
  <c r="O79" i="6"/>
  <c r="N79" i="6"/>
  <c r="M79" i="6"/>
  <c r="L79" i="6"/>
  <c r="K79" i="6"/>
  <c r="J79" i="6"/>
  <c r="I79" i="6"/>
  <c r="H79" i="6"/>
  <c r="G79" i="6"/>
  <c r="F79" i="6"/>
  <c r="E79" i="6"/>
  <c r="D79" i="6"/>
  <c r="C79" i="6"/>
  <c r="B79" i="6"/>
  <c r="AF78" i="6"/>
  <c r="AE78" i="6"/>
  <c r="AD78" i="6"/>
  <c r="AC78" i="6"/>
  <c r="AB78" i="6"/>
  <c r="AA78" i="6"/>
  <c r="Z78" i="6"/>
  <c r="Y78" i="6"/>
  <c r="X78" i="6"/>
  <c r="W78" i="6"/>
  <c r="V78" i="6"/>
  <c r="U78" i="6"/>
  <c r="T78" i="6"/>
  <c r="S78" i="6"/>
  <c r="R78" i="6"/>
  <c r="Q78" i="6"/>
  <c r="P78" i="6"/>
  <c r="O78" i="6"/>
  <c r="N78" i="6"/>
  <c r="M78" i="6"/>
  <c r="L78" i="6"/>
  <c r="K78" i="6"/>
  <c r="J78" i="6"/>
  <c r="I78" i="6"/>
  <c r="H78" i="6"/>
  <c r="G78" i="6"/>
  <c r="F78" i="6"/>
  <c r="E78" i="6"/>
  <c r="D78" i="6"/>
  <c r="C78" i="6"/>
  <c r="B78" i="6"/>
  <c r="AF75" i="6"/>
  <c r="AE75" i="6"/>
  <c r="AD75" i="6"/>
  <c r="AC75" i="6"/>
  <c r="AB75" i="6"/>
  <c r="AA75" i="6"/>
  <c r="Z75" i="6"/>
  <c r="Y75" i="6"/>
  <c r="X75" i="6"/>
  <c r="W75" i="6"/>
  <c r="V75" i="6"/>
  <c r="U75" i="6"/>
  <c r="T75" i="6"/>
  <c r="S75" i="6"/>
  <c r="R75" i="6"/>
  <c r="Q75" i="6"/>
  <c r="P75" i="6"/>
  <c r="O75" i="6"/>
  <c r="N75" i="6"/>
  <c r="M75" i="6"/>
  <c r="L75" i="6"/>
  <c r="K75" i="6"/>
  <c r="J75" i="6"/>
  <c r="I75" i="6"/>
  <c r="H75" i="6"/>
  <c r="G75" i="6"/>
  <c r="F75" i="6"/>
  <c r="E75" i="6"/>
  <c r="D75" i="6"/>
  <c r="C75" i="6"/>
  <c r="B75" i="6"/>
  <c r="AF74" i="6"/>
  <c r="AE74" i="6"/>
  <c r="AD74" i="6"/>
  <c r="AC74" i="6"/>
  <c r="AB74" i="6"/>
  <c r="AA74" i="6"/>
  <c r="Z74" i="6"/>
  <c r="Y74" i="6"/>
  <c r="X74" i="6"/>
  <c r="W74" i="6"/>
  <c r="V74" i="6"/>
  <c r="U74" i="6"/>
  <c r="T74" i="6"/>
  <c r="S74" i="6"/>
  <c r="R74" i="6"/>
  <c r="Q74" i="6"/>
  <c r="P74" i="6"/>
  <c r="O74" i="6"/>
  <c r="N74" i="6"/>
  <c r="M74" i="6"/>
  <c r="L74" i="6"/>
  <c r="K74" i="6"/>
  <c r="J74" i="6"/>
  <c r="I74" i="6"/>
  <c r="H74" i="6"/>
  <c r="G74" i="6"/>
  <c r="F74" i="6"/>
  <c r="E74" i="6"/>
  <c r="D74" i="6"/>
  <c r="C74" i="6"/>
  <c r="B74" i="6"/>
  <c r="AF73" i="6"/>
  <c r="AE73" i="6"/>
  <c r="AD73" i="6"/>
  <c r="AC73" i="6"/>
  <c r="AB73" i="6"/>
  <c r="AA73" i="6"/>
  <c r="Z73" i="6"/>
  <c r="Y73" i="6"/>
  <c r="X73" i="6"/>
  <c r="W73" i="6"/>
  <c r="V73" i="6"/>
  <c r="U73" i="6"/>
  <c r="T73" i="6"/>
  <c r="S73" i="6"/>
  <c r="R73" i="6"/>
  <c r="Q73" i="6"/>
  <c r="P73" i="6"/>
  <c r="O73" i="6"/>
  <c r="N73" i="6"/>
  <c r="M73" i="6"/>
  <c r="L73" i="6"/>
  <c r="K73" i="6"/>
  <c r="J73" i="6"/>
  <c r="I73" i="6"/>
  <c r="H73" i="6"/>
  <c r="G73" i="6"/>
  <c r="F73" i="6"/>
  <c r="E73" i="6"/>
  <c r="D73" i="6"/>
  <c r="C73" i="6"/>
  <c r="B73" i="6"/>
  <c r="AI72" i="6"/>
  <c r="AF72" i="6"/>
  <c r="AE72" i="6"/>
  <c r="AD72" i="6"/>
  <c r="AC72" i="6"/>
  <c r="AB72" i="6"/>
  <c r="AA72" i="6"/>
  <c r="Z72" i="6"/>
  <c r="Y72" i="6"/>
  <c r="X72" i="6"/>
  <c r="W72" i="6"/>
  <c r="V72" i="6"/>
  <c r="U72" i="6"/>
  <c r="T72" i="6"/>
  <c r="S72" i="6"/>
  <c r="R72" i="6"/>
  <c r="Q72" i="6"/>
  <c r="P72" i="6"/>
  <c r="O72" i="6"/>
  <c r="N72" i="6"/>
  <c r="M72" i="6"/>
  <c r="L72" i="6"/>
  <c r="K72" i="6"/>
  <c r="J72" i="6"/>
  <c r="I72" i="6"/>
  <c r="H72" i="6"/>
  <c r="G72" i="6"/>
  <c r="F72" i="6"/>
  <c r="E72" i="6"/>
  <c r="D72" i="6"/>
  <c r="C72" i="6"/>
  <c r="B72" i="6"/>
  <c r="AF71" i="6"/>
  <c r="AE71" i="6"/>
  <c r="AD71" i="6"/>
  <c r="AC71" i="6"/>
  <c r="AB71" i="6"/>
  <c r="AA71" i="6"/>
  <c r="Z71" i="6"/>
  <c r="Y71" i="6"/>
  <c r="X71" i="6"/>
  <c r="W71" i="6"/>
  <c r="V71" i="6"/>
  <c r="U71" i="6"/>
  <c r="T71" i="6"/>
  <c r="S71" i="6"/>
  <c r="R71" i="6"/>
  <c r="Q71" i="6"/>
  <c r="P71" i="6"/>
  <c r="O71" i="6"/>
  <c r="N71" i="6"/>
  <c r="M71" i="6"/>
  <c r="L71" i="6"/>
  <c r="K71" i="6"/>
  <c r="J71" i="6"/>
  <c r="I71" i="6"/>
  <c r="H71" i="6"/>
  <c r="G71" i="6"/>
  <c r="F71" i="6"/>
  <c r="E71" i="6"/>
  <c r="D71" i="6"/>
  <c r="C71" i="6"/>
  <c r="B71" i="6"/>
  <c r="AF70" i="6"/>
  <c r="AE70" i="6"/>
  <c r="AD70" i="6"/>
  <c r="AC70" i="6"/>
  <c r="AB70" i="6"/>
  <c r="AA70" i="6"/>
  <c r="Z70" i="6"/>
  <c r="Y70" i="6"/>
  <c r="X70" i="6"/>
  <c r="W70" i="6"/>
  <c r="V70" i="6"/>
  <c r="U70" i="6"/>
  <c r="T70" i="6"/>
  <c r="S70" i="6"/>
  <c r="R70" i="6"/>
  <c r="Q70" i="6"/>
  <c r="P70" i="6"/>
  <c r="O70" i="6"/>
  <c r="N70" i="6"/>
  <c r="M70" i="6"/>
  <c r="L70" i="6"/>
  <c r="K70" i="6"/>
  <c r="J70" i="6"/>
  <c r="I70" i="6"/>
  <c r="H70" i="6"/>
  <c r="G70" i="6"/>
  <c r="F70" i="6"/>
  <c r="E70" i="6"/>
  <c r="D70" i="6"/>
  <c r="C70" i="6"/>
  <c r="B70" i="6"/>
  <c r="A70" i="6"/>
  <c r="AF67" i="6"/>
  <c r="AE67" i="6"/>
  <c r="AD67" i="6"/>
  <c r="AC67" i="6"/>
  <c r="AB67" i="6"/>
  <c r="AA67" i="6"/>
  <c r="Z67" i="6"/>
  <c r="Y67" i="6"/>
  <c r="X67" i="6"/>
  <c r="W67" i="6"/>
  <c r="V67" i="6"/>
  <c r="U67" i="6"/>
  <c r="T67" i="6"/>
  <c r="S67" i="6"/>
  <c r="R67" i="6"/>
  <c r="Q67" i="6"/>
  <c r="P67" i="6"/>
  <c r="O67" i="6"/>
  <c r="N67" i="6"/>
  <c r="M67" i="6"/>
  <c r="L67" i="6"/>
  <c r="K67" i="6"/>
  <c r="J67" i="6"/>
  <c r="I67" i="6"/>
  <c r="H67" i="6"/>
  <c r="G67" i="6"/>
  <c r="F67" i="6"/>
  <c r="E67" i="6"/>
  <c r="D67" i="6"/>
  <c r="C67" i="6"/>
  <c r="B67" i="6"/>
  <c r="AF66" i="6"/>
  <c r="AE66" i="6"/>
  <c r="AD66" i="6"/>
  <c r="AC66" i="6"/>
  <c r="AB66" i="6"/>
  <c r="AA66" i="6"/>
  <c r="Z66" i="6"/>
  <c r="Y66" i="6"/>
  <c r="X66" i="6"/>
  <c r="W66" i="6"/>
  <c r="V66" i="6"/>
  <c r="U66" i="6"/>
  <c r="T66" i="6"/>
  <c r="S66" i="6"/>
  <c r="R66" i="6"/>
  <c r="Q66" i="6"/>
  <c r="P66" i="6"/>
  <c r="O66" i="6"/>
  <c r="N66" i="6"/>
  <c r="M66" i="6"/>
  <c r="L66" i="6"/>
  <c r="K66" i="6"/>
  <c r="J66" i="6"/>
  <c r="I66" i="6"/>
  <c r="H66" i="6"/>
  <c r="G66" i="6"/>
  <c r="F66" i="6"/>
  <c r="E66" i="6"/>
  <c r="D66" i="6"/>
  <c r="C66" i="6"/>
  <c r="B66" i="6"/>
  <c r="AF65" i="6"/>
  <c r="AE65" i="6"/>
  <c r="AD65" i="6"/>
  <c r="AC65" i="6"/>
  <c r="AB65" i="6"/>
  <c r="AA65" i="6"/>
  <c r="Z65" i="6"/>
  <c r="Y65" i="6"/>
  <c r="X65" i="6"/>
  <c r="W65" i="6"/>
  <c r="V65" i="6"/>
  <c r="U65" i="6"/>
  <c r="T65" i="6"/>
  <c r="S65" i="6"/>
  <c r="R65" i="6"/>
  <c r="Q65" i="6"/>
  <c r="P65" i="6"/>
  <c r="O65" i="6"/>
  <c r="N65" i="6"/>
  <c r="M65" i="6"/>
  <c r="L65" i="6"/>
  <c r="K65" i="6"/>
  <c r="J65" i="6"/>
  <c r="I65" i="6"/>
  <c r="H65" i="6"/>
  <c r="G65" i="6"/>
  <c r="F65" i="6"/>
  <c r="E65" i="6"/>
  <c r="D65" i="6"/>
  <c r="C65" i="6"/>
  <c r="B65" i="6"/>
  <c r="AF64" i="6"/>
  <c r="AE64" i="6"/>
  <c r="AD64" i="6"/>
  <c r="AC64" i="6"/>
  <c r="AB64" i="6"/>
  <c r="AA64" i="6"/>
  <c r="Z64" i="6"/>
  <c r="Y64" i="6"/>
  <c r="X64" i="6"/>
  <c r="W64" i="6"/>
  <c r="V64" i="6"/>
  <c r="U64" i="6"/>
  <c r="T64" i="6"/>
  <c r="S64" i="6"/>
  <c r="R64" i="6"/>
  <c r="Q64" i="6"/>
  <c r="P64" i="6"/>
  <c r="O64" i="6"/>
  <c r="N64" i="6"/>
  <c r="M64" i="6"/>
  <c r="L64" i="6"/>
  <c r="K64" i="6"/>
  <c r="J64" i="6"/>
  <c r="I64" i="6"/>
  <c r="H64" i="6"/>
  <c r="G64" i="6"/>
  <c r="F64" i="6"/>
  <c r="E64" i="6"/>
  <c r="D64" i="6"/>
  <c r="C64" i="6"/>
  <c r="B64" i="6"/>
  <c r="AF63" i="6"/>
  <c r="AE63" i="6"/>
  <c r="AD63" i="6"/>
  <c r="AC63" i="6"/>
  <c r="AB63" i="6"/>
  <c r="AA63" i="6"/>
  <c r="Z63" i="6"/>
  <c r="Y63" i="6"/>
  <c r="X63" i="6"/>
  <c r="W63" i="6"/>
  <c r="V63" i="6"/>
  <c r="U63" i="6"/>
  <c r="T63" i="6"/>
  <c r="S63" i="6"/>
  <c r="R63" i="6"/>
  <c r="Q63" i="6"/>
  <c r="P63" i="6"/>
  <c r="O63" i="6"/>
  <c r="N63" i="6"/>
  <c r="M63" i="6"/>
  <c r="L63" i="6"/>
  <c r="K63" i="6"/>
  <c r="J63" i="6"/>
  <c r="I63" i="6"/>
  <c r="H63" i="6"/>
  <c r="G63" i="6"/>
  <c r="F63" i="6"/>
  <c r="E63" i="6"/>
  <c r="D63" i="6"/>
  <c r="C63" i="6"/>
  <c r="B63"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c r="E62" i="6"/>
  <c r="D62" i="6"/>
  <c r="C62" i="6"/>
  <c r="B62" i="6"/>
  <c r="AF61" i="6"/>
  <c r="AE61" i="6"/>
  <c r="AD61" i="6"/>
  <c r="AC61" i="6"/>
  <c r="AB61" i="6"/>
  <c r="AA61" i="6"/>
  <c r="Z61" i="6"/>
  <c r="Y61" i="6"/>
  <c r="X61" i="6"/>
  <c r="W61" i="6"/>
  <c r="V61" i="6"/>
  <c r="U61" i="6"/>
  <c r="T61" i="6"/>
  <c r="S61" i="6"/>
  <c r="R61" i="6"/>
  <c r="Q61" i="6"/>
  <c r="P61" i="6"/>
  <c r="O61" i="6"/>
  <c r="N61" i="6"/>
  <c r="M61" i="6"/>
  <c r="L61" i="6"/>
  <c r="K61" i="6"/>
  <c r="J61" i="6"/>
  <c r="I61" i="6"/>
  <c r="H61" i="6"/>
  <c r="G61" i="6"/>
  <c r="F61" i="6"/>
  <c r="E61" i="6"/>
  <c r="D61" i="6"/>
  <c r="C61" i="6"/>
  <c r="B61" i="6"/>
  <c r="A61" i="6"/>
  <c r="AF58" i="6"/>
  <c r="AE58" i="6"/>
  <c r="AD58" i="6"/>
  <c r="AC58" i="6"/>
  <c r="AB58" i="6"/>
  <c r="AA58" i="6"/>
  <c r="Z58" i="6"/>
  <c r="Y58" i="6"/>
  <c r="X58" i="6"/>
  <c r="W58" i="6"/>
  <c r="V58" i="6"/>
  <c r="U58" i="6"/>
  <c r="T58" i="6"/>
  <c r="S58" i="6"/>
  <c r="R58" i="6"/>
  <c r="Q58" i="6"/>
  <c r="P58" i="6"/>
  <c r="O58" i="6"/>
  <c r="N58" i="6"/>
  <c r="M58" i="6"/>
  <c r="L58" i="6"/>
  <c r="K58" i="6"/>
  <c r="J58" i="6"/>
  <c r="I58" i="6"/>
  <c r="H58" i="6"/>
  <c r="G58" i="6"/>
  <c r="F58" i="6"/>
  <c r="E58" i="6"/>
  <c r="D58" i="6"/>
  <c r="C58" i="6"/>
  <c r="B58" i="6"/>
  <c r="AF57" i="6"/>
  <c r="AE57" i="6"/>
  <c r="AD57" i="6"/>
  <c r="AC57" i="6"/>
  <c r="AB57" i="6"/>
  <c r="AA57" i="6"/>
  <c r="Z57" i="6"/>
  <c r="Y57" i="6"/>
  <c r="X57" i="6"/>
  <c r="W57" i="6"/>
  <c r="V57" i="6"/>
  <c r="U57" i="6"/>
  <c r="T57" i="6"/>
  <c r="S57" i="6"/>
  <c r="R57" i="6"/>
  <c r="Q57" i="6"/>
  <c r="P57" i="6"/>
  <c r="O57" i="6"/>
  <c r="N57" i="6"/>
  <c r="M57" i="6"/>
  <c r="L57" i="6"/>
  <c r="K57" i="6"/>
  <c r="J57" i="6"/>
  <c r="I57" i="6"/>
  <c r="H57" i="6"/>
  <c r="G57" i="6"/>
  <c r="F57" i="6"/>
  <c r="E57" i="6"/>
  <c r="D57" i="6"/>
  <c r="C57" i="6"/>
  <c r="B57" i="6"/>
  <c r="AF56" i="6"/>
  <c r="AE56" i="6"/>
  <c r="AD56" i="6"/>
  <c r="AC56" i="6"/>
  <c r="AB56" i="6"/>
  <c r="AA56" i="6"/>
  <c r="Z56" i="6"/>
  <c r="Y56" i="6"/>
  <c r="X56" i="6"/>
  <c r="W56" i="6"/>
  <c r="V56" i="6"/>
  <c r="U56" i="6"/>
  <c r="T56" i="6"/>
  <c r="S56" i="6"/>
  <c r="R56" i="6"/>
  <c r="Q56" i="6"/>
  <c r="P56" i="6"/>
  <c r="O56" i="6"/>
  <c r="N56" i="6"/>
  <c r="M56" i="6"/>
  <c r="L56" i="6"/>
  <c r="K56" i="6"/>
  <c r="J56" i="6"/>
  <c r="I56" i="6"/>
  <c r="H56" i="6"/>
  <c r="G56" i="6"/>
  <c r="F56" i="6"/>
  <c r="E56" i="6"/>
  <c r="D56" i="6"/>
  <c r="C56" i="6"/>
  <c r="B56"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55"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54" i="6"/>
  <c r="AF53" i="6"/>
  <c r="AE53" i="6"/>
  <c r="AD53" i="6"/>
  <c r="AC53" i="6"/>
  <c r="AB53" i="6"/>
  <c r="AA53" i="6"/>
  <c r="Z53" i="6"/>
  <c r="Y53" i="6"/>
  <c r="X53" i="6"/>
  <c r="W53" i="6"/>
  <c r="V53" i="6"/>
  <c r="U53" i="6"/>
  <c r="T53" i="6"/>
  <c r="S53" i="6"/>
  <c r="R53" i="6"/>
  <c r="Q53" i="6"/>
  <c r="P53" i="6"/>
  <c r="O53" i="6"/>
  <c r="N53" i="6"/>
  <c r="M53" i="6"/>
  <c r="L53" i="6"/>
  <c r="K53" i="6"/>
  <c r="J53" i="6"/>
  <c r="I53" i="6"/>
  <c r="H53" i="6"/>
  <c r="G53" i="6"/>
  <c r="F53" i="6"/>
  <c r="E53" i="6"/>
  <c r="D53" i="6"/>
  <c r="C53" i="6"/>
  <c r="B53" i="6"/>
  <c r="AF52" i="6"/>
  <c r="AE52" i="6"/>
  <c r="AD52" i="6"/>
  <c r="AC52" i="6"/>
  <c r="AB52" i="6"/>
  <c r="AA52" i="6"/>
  <c r="Z52" i="6"/>
  <c r="Y52" i="6"/>
  <c r="X52" i="6"/>
  <c r="W52" i="6"/>
  <c r="V52" i="6"/>
  <c r="U52" i="6"/>
  <c r="T52" i="6"/>
  <c r="S52" i="6"/>
  <c r="R52" i="6"/>
  <c r="Q52" i="6"/>
  <c r="P52" i="6"/>
  <c r="O52" i="6"/>
  <c r="N52" i="6"/>
  <c r="M52" i="6"/>
  <c r="L52" i="6"/>
  <c r="K52" i="6"/>
  <c r="J52" i="6"/>
  <c r="I52" i="6"/>
  <c r="H52" i="6"/>
  <c r="G52" i="6"/>
  <c r="F52" i="6"/>
  <c r="E52" i="6"/>
  <c r="D52" i="6"/>
  <c r="C52" i="6"/>
  <c r="B52" i="6"/>
  <c r="A52" i="6"/>
  <c r="AH49" i="6"/>
  <c r="AF49" i="6"/>
  <c r="AE49" i="6"/>
  <c r="AD49" i="6"/>
  <c r="AC49" i="6"/>
  <c r="AB49" i="6"/>
  <c r="AA49" i="6"/>
  <c r="Z49" i="6"/>
  <c r="Y49" i="6"/>
  <c r="X49" i="6"/>
  <c r="W49" i="6"/>
  <c r="V49" i="6"/>
  <c r="U49" i="6"/>
  <c r="T49" i="6"/>
  <c r="S49" i="6"/>
  <c r="R49" i="6"/>
  <c r="Q49" i="6"/>
  <c r="P49" i="6"/>
  <c r="O49" i="6"/>
  <c r="N49" i="6"/>
  <c r="M49" i="6"/>
  <c r="L49" i="6"/>
  <c r="K49" i="6"/>
  <c r="J49" i="6"/>
  <c r="I49" i="6"/>
  <c r="H49" i="6"/>
  <c r="G49" i="6"/>
  <c r="F49" i="6"/>
  <c r="E49" i="6"/>
  <c r="D49" i="6"/>
  <c r="C49" i="6"/>
  <c r="B49" i="6"/>
  <c r="AI48" i="6"/>
  <c r="AH48" i="6"/>
  <c r="AF48" i="6"/>
  <c r="AE48" i="6"/>
  <c r="AD48" i="6"/>
  <c r="AC48" i="6"/>
  <c r="AB48" i="6"/>
  <c r="AA48" i="6"/>
  <c r="Z48" i="6"/>
  <c r="Y48" i="6"/>
  <c r="X48" i="6"/>
  <c r="W48" i="6"/>
  <c r="V48" i="6"/>
  <c r="U48" i="6"/>
  <c r="T48" i="6"/>
  <c r="S48" i="6"/>
  <c r="R48" i="6"/>
  <c r="Q48" i="6"/>
  <c r="P48" i="6"/>
  <c r="O48" i="6"/>
  <c r="N48" i="6"/>
  <c r="M48" i="6"/>
  <c r="L48" i="6"/>
  <c r="K48" i="6"/>
  <c r="J48" i="6"/>
  <c r="I48" i="6"/>
  <c r="H48" i="6"/>
  <c r="G48" i="6"/>
  <c r="F48" i="6"/>
  <c r="E48" i="6"/>
  <c r="D48" i="6"/>
  <c r="C48" i="6"/>
  <c r="B48" i="6"/>
  <c r="AI47" i="6"/>
  <c r="AH47" i="6"/>
  <c r="AF47" i="6"/>
  <c r="AE47" i="6"/>
  <c r="AD47" i="6"/>
  <c r="AC47" i="6"/>
  <c r="AB47" i="6"/>
  <c r="AA47" i="6"/>
  <c r="Z47" i="6"/>
  <c r="Y47" i="6"/>
  <c r="X47" i="6"/>
  <c r="W47" i="6"/>
  <c r="V47" i="6"/>
  <c r="U47" i="6"/>
  <c r="T47" i="6"/>
  <c r="S47" i="6"/>
  <c r="R47" i="6"/>
  <c r="Q47" i="6"/>
  <c r="P47" i="6"/>
  <c r="O47" i="6"/>
  <c r="N47" i="6"/>
  <c r="M47" i="6"/>
  <c r="L47" i="6"/>
  <c r="K47" i="6"/>
  <c r="J47" i="6"/>
  <c r="I47" i="6"/>
  <c r="H47" i="6"/>
  <c r="G47" i="6"/>
  <c r="F47" i="6"/>
  <c r="E47" i="6"/>
  <c r="D47" i="6"/>
  <c r="C47" i="6"/>
  <c r="B47" i="6"/>
  <c r="AI46" i="6"/>
  <c r="AH46" i="6"/>
  <c r="AF46" i="6"/>
  <c r="AE46" i="6"/>
  <c r="AD46" i="6"/>
  <c r="AC46" i="6"/>
  <c r="AB46" i="6"/>
  <c r="AA46" i="6"/>
  <c r="Z46" i="6"/>
  <c r="Y46" i="6"/>
  <c r="X46" i="6"/>
  <c r="W46" i="6"/>
  <c r="V46" i="6"/>
  <c r="U46" i="6"/>
  <c r="T46" i="6"/>
  <c r="S46" i="6"/>
  <c r="R46" i="6"/>
  <c r="Q46" i="6"/>
  <c r="P46" i="6"/>
  <c r="O46" i="6"/>
  <c r="N46" i="6"/>
  <c r="M46" i="6"/>
  <c r="L46" i="6"/>
  <c r="K46" i="6"/>
  <c r="J46" i="6"/>
  <c r="I46" i="6"/>
  <c r="H46" i="6"/>
  <c r="G46" i="6"/>
  <c r="F46" i="6"/>
  <c r="E46" i="6"/>
  <c r="D46" i="6"/>
  <c r="C46" i="6"/>
  <c r="B46" i="6"/>
  <c r="AI45" i="6"/>
  <c r="AH45" i="6"/>
  <c r="AF45" i="6"/>
  <c r="AE45" i="6"/>
  <c r="AD45" i="6"/>
  <c r="AC45" i="6"/>
  <c r="AB45" i="6"/>
  <c r="AA45" i="6"/>
  <c r="Z45" i="6"/>
  <c r="Y45" i="6"/>
  <c r="X45" i="6"/>
  <c r="W45" i="6"/>
  <c r="V45" i="6"/>
  <c r="U45" i="6"/>
  <c r="T45" i="6"/>
  <c r="S45" i="6"/>
  <c r="R45" i="6"/>
  <c r="Q45" i="6"/>
  <c r="P45" i="6"/>
  <c r="O45" i="6"/>
  <c r="N45" i="6"/>
  <c r="M45" i="6"/>
  <c r="L45" i="6"/>
  <c r="K45" i="6"/>
  <c r="J45" i="6"/>
  <c r="I45" i="6"/>
  <c r="H45" i="6"/>
  <c r="G45" i="6"/>
  <c r="F45" i="6"/>
  <c r="E45" i="6"/>
  <c r="D45" i="6"/>
  <c r="C45" i="6"/>
  <c r="B45" i="6"/>
  <c r="AI44" i="6"/>
  <c r="AH44" i="6"/>
  <c r="AF44" i="6"/>
  <c r="AE44" i="6"/>
  <c r="AD44" i="6"/>
  <c r="AC44" i="6"/>
  <c r="AB44" i="6"/>
  <c r="AA44" i="6"/>
  <c r="Z44" i="6"/>
  <c r="Y44" i="6"/>
  <c r="X44" i="6"/>
  <c r="W44" i="6"/>
  <c r="V44" i="6"/>
  <c r="U44" i="6"/>
  <c r="T44" i="6"/>
  <c r="S44" i="6"/>
  <c r="R44" i="6"/>
  <c r="Q44" i="6"/>
  <c r="P44" i="6"/>
  <c r="O44" i="6"/>
  <c r="N44" i="6"/>
  <c r="M44" i="6"/>
  <c r="L44" i="6"/>
  <c r="K44" i="6"/>
  <c r="J44" i="6"/>
  <c r="I44" i="6"/>
  <c r="H44" i="6"/>
  <c r="G44" i="6"/>
  <c r="F44" i="6"/>
  <c r="E44" i="6"/>
  <c r="D44" i="6"/>
  <c r="C44" i="6"/>
  <c r="B44" i="6"/>
  <c r="AI43" i="6"/>
  <c r="AH43" i="6"/>
  <c r="AF43" i="6"/>
  <c r="AE43" i="6"/>
  <c r="AD43" i="6"/>
  <c r="AC43" i="6"/>
  <c r="AB43" i="6"/>
  <c r="AA43" i="6"/>
  <c r="Z43" i="6"/>
  <c r="Y43" i="6"/>
  <c r="X43" i="6"/>
  <c r="W43" i="6"/>
  <c r="V43" i="6"/>
  <c r="U43" i="6"/>
  <c r="T43" i="6"/>
  <c r="S43" i="6"/>
  <c r="R43" i="6"/>
  <c r="Q43" i="6"/>
  <c r="P43" i="6"/>
  <c r="O43" i="6"/>
  <c r="N43" i="6"/>
  <c r="M43" i="6"/>
  <c r="L43" i="6"/>
  <c r="K43" i="6"/>
  <c r="J43" i="6"/>
  <c r="I43" i="6"/>
  <c r="H43" i="6"/>
  <c r="G43" i="6"/>
  <c r="F43" i="6"/>
  <c r="E43" i="6"/>
  <c r="D43" i="6"/>
  <c r="C43" i="6"/>
  <c r="B43" i="6"/>
  <c r="AF42" i="6"/>
  <c r="AE42" i="6"/>
  <c r="AD42" i="6"/>
  <c r="AC42" i="6"/>
  <c r="AB42" i="6"/>
  <c r="AA42" i="6"/>
  <c r="Z42" i="6"/>
  <c r="Y42" i="6"/>
  <c r="X42" i="6"/>
  <c r="W42" i="6"/>
  <c r="V42" i="6"/>
  <c r="U42" i="6"/>
  <c r="T42" i="6"/>
  <c r="S42" i="6"/>
  <c r="R42" i="6"/>
  <c r="Q42" i="6"/>
  <c r="P42" i="6"/>
  <c r="O42" i="6"/>
  <c r="N42" i="6"/>
  <c r="M42" i="6"/>
  <c r="L42" i="6"/>
  <c r="K42" i="6"/>
  <c r="J42" i="6"/>
  <c r="I42" i="6"/>
  <c r="H42" i="6"/>
  <c r="G42" i="6"/>
  <c r="F42" i="6"/>
  <c r="E42" i="6"/>
  <c r="D42" i="6"/>
  <c r="C42" i="6"/>
  <c r="B42" i="6"/>
  <c r="AF39" i="6"/>
  <c r="AE39" i="6"/>
  <c r="AD39" i="6"/>
  <c r="AC39" i="6"/>
  <c r="AB39" i="6"/>
  <c r="AA39" i="6"/>
  <c r="Z39" i="6"/>
  <c r="Y39" i="6"/>
  <c r="X39" i="6"/>
  <c r="W39" i="6"/>
  <c r="V39" i="6"/>
  <c r="U39" i="6"/>
  <c r="T39" i="6"/>
  <c r="S39" i="6"/>
  <c r="R39" i="6"/>
  <c r="Q39" i="6"/>
  <c r="P39" i="6"/>
  <c r="O39" i="6"/>
  <c r="N39" i="6"/>
  <c r="M39" i="6"/>
  <c r="L39" i="6"/>
  <c r="K39" i="6"/>
  <c r="J39" i="6"/>
  <c r="I39" i="6"/>
  <c r="H39" i="6"/>
  <c r="G39" i="6"/>
  <c r="F39" i="6"/>
  <c r="E39" i="6"/>
  <c r="D39" i="6"/>
  <c r="C39" i="6"/>
  <c r="B39" i="6"/>
  <c r="AH38" i="6"/>
  <c r="AF38" i="6"/>
  <c r="AE38" i="6"/>
  <c r="AD38" i="6"/>
  <c r="AC38" i="6"/>
  <c r="AB38" i="6"/>
  <c r="AA38" i="6"/>
  <c r="Z38" i="6"/>
  <c r="Y38" i="6"/>
  <c r="X38" i="6"/>
  <c r="W38" i="6"/>
  <c r="V38" i="6"/>
  <c r="U38" i="6"/>
  <c r="T38" i="6"/>
  <c r="S38" i="6"/>
  <c r="R38" i="6"/>
  <c r="Q38" i="6"/>
  <c r="P38" i="6"/>
  <c r="O38" i="6"/>
  <c r="N38" i="6"/>
  <c r="M38" i="6"/>
  <c r="L38" i="6"/>
  <c r="K38" i="6"/>
  <c r="J38" i="6"/>
  <c r="I38" i="6"/>
  <c r="H38" i="6"/>
  <c r="G38" i="6"/>
  <c r="F38" i="6"/>
  <c r="E38" i="6"/>
  <c r="D38" i="6"/>
  <c r="C38" i="6"/>
  <c r="B38" i="6"/>
  <c r="AH37" i="6"/>
  <c r="AF37" i="6"/>
  <c r="AE37" i="6"/>
  <c r="AD37" i="6"/>
  <c r="AC37" i="6"/>
  <c r="AB37" i="6"/>
  <c r="AA37" i="6"/>
  <c r="Z37" i="6"/>
  <c r="Y37" i="6"/>
  <c r="X37" i="6"/>
  <c r="W37" i="6"/>
  <c r="V37" i="6"/>
  <c r="U37" i="6"/>
  <c r="T37" i="6"/>
  <c r="S37" i="6"/>
  <c r="R37" i="6"/>
  <c r="Q37" i="6"/>
  <c r="P37" i="6"/>
  <c r="O37" i="6"/>
  <c r="N37" i="6"/>
  <c r="M37" i="6"/>
  <c r="L37" i="6"/>
  <c r="K37" i="6"/>
  <c r="J37" i="6"/>
  <c r="I37" i="6"/>
  <c r="H37" i="6"/>
  <c r="G37" i="6"/>
  <c r="F37" i="6"/>
  <c r="E37" i="6"/>
  <c r="D37" i="6"/>
  <c r="C37" i="6"/>
  <c r="B37" i="6"/>
  <c r="AH36" i="6"/>
  <c r="AF36" i="6"/>
  <c r="AE36" i="6"/>
  <c r="AD36" i="6"/>
  <c r="AC36" i="6"/>
  <c r="AB36" i="6"/>
  <c r="AA36" i="6"/>
  <c r="Z36" i="6"/>
  <c r="Y36" i="6"/>
  <c r="X36" i="6"/>
  <c r="W36" i="6"/>
  <c r="V36" i="6"/>
  <c r="U36" i="6"/>
  <c r="T36" i="6"/>
  <c r="S36" i="6"/>
  <c r="R36" i="6"/>
  <c r="Q36" i="6"/>
  <c r="P36" i="6"/>
  <c r="O36" i="6"/>
  <c r="N36" i="6"/>
  <c r="M36" i="6"/>
  <c r="L36" i="6"/>
  <c r="K36" i="6"/>
  <c r="J36" i="6"/>
  <c r="I36" i="6"/>
  <c r="H36" i="6"/>
  <c r="G36" i="6"/>
  <c r="F36" i="6"/>
  <c r="E36" i="6"/>
  <c r="D36" i="6"/>
  <c r="C36" i="6"/>
  <c r="B36" i="6"/>
  <c r="AH35" i="6"/>
  <c r="AF35" i="6"/>
  <c r="AE35" i="6"/>
  <c r="AD35" i="6"/>
  <c r="AC35" i="6"/>
  <c r="AB35" i="6"/>
  <c r="AA35" i="6"/>
  <c r="Z35" i="6"/>
  <c r="Y35" i="6"/>
  <c r="X35" i="6"/>
  <c r="W35" i="6"/>
  <c r="V35" i="6"/>
  <c r="U35" i="6"/>
  <c r="T35" i="6"/>
  <c r="S35" i="6"/>
  <c r="R35" i="6"/>
  <c r="Q35" i="6"/>
  <c r="P35" i="6"/>
  <c r="O35" i="6"/>
  <c r="N35" i="6"/>
  <c r="M35" i="6"/>
  <c r="L35" i="6"/>
  <c r="K35" i="6"/>
  <c r="J35" i="6"/>
  <c r="I35" i="6"/>
  <c r="H35" i="6"/>
  <c r="G35" i="6"/>
  <c r="F35" i="6"/>
  <c r="E35" i="6"/>
  <c r="D35" i="6"/>
  <c r="C35" i="6"/>
  <c r="B35" i="6"/>
  <c r="AH34" i="6"/>
  <c r="AF34" i="6"/>
  <c r="AE34" i="6"/>
  <c r="AD34" i="6"/>
  <c r="AC34" i="6"/>
  <c r="AB34" i="6"/>
  <c r="AA34" i="6"/>
  <c r="Z34" i="6"/>
  <c r="Y34" i="6"/>
  <c r="X34" i="6"/>
  <c r="W34" i="6"/>
  <c r="V34" i="6"/>
  <c r="U34" i="6"/>
  <c r="T34" i="6"/>
  <c r="S34" i="6"/>
  <c r="R34" i="6"/>
  <c r="Q34" i="6"/>
  <c r="P34" i="6"/>
  <c r="O34" i="6"/>
  <c r="N34" i="6"/>
  <c r="M34" i="6"/>
  <c r="L34" i="6"/>
  <c r="K34" i="6"/>
  <c r="J34" i="6"/>
  <c r="I34" i="6"/>
  <c r="H34" i="6"/>
  <c r="G34" i="6"/>
  <c r="F34" i="6"/>
  <c r="E34" i="6"/>
  <c r="D34" i="6"/>
  <c r="C34" i="6"/>
  <c r="B34" i="6"/>
  <c r="AH33" i="6"/>
  <c r="AF33" i="6"/>
  <c r="AE33" i="6"/>
  <c r="AD33" i="6"/>
  <c r="AC33" i="6"/>
  <c r="AB33" i="6"/>
  <c r="AA33" i="6"/>
  <c r="Z33" i="6"/>
  <c r="Y33" i="6"/>
  <c r="X33" i="6"/>
  <c r="W33" i="6"/>
  <c r="V33" i="6"/>
  <c r="U33" i="6"/>
  <c r="T33" i="6"/>
  <c r="S33" i="6"/>
  <c r="R33" i="6"/>
  <c r="Q33" i="6"/>
  <c r="P33" i="6"/>
  <c r="O33" i="6"/>
  <c r="N33" i="6"/>
  <c r="M33" i="6"/>
  <c r="L33" i="6"/>
  <c r="K33" i="6"/>
  <c r="J33" i="6"/>
  <c r="I33" i="6"/>
  <c r="H33" i="6"/>
  <c r="G33" i="6"/>
  <c r="F33" i="6"/>
  <c r="E33" i="6"/>
  <c r="D33" i="6"/>
  <c r="C33" i="6"/>
  <c r="B33" i="6"/>
  <c r="AF32" i="6"/>
  <c r="AE32" i="6"/>
  <c r="AD32" i="6"/>
  <c r="AC32" i="6"/>
  <c r="AB32" i="6"/>
  <c r="AA32" i="6"/>
  <c r="Z32" i="6"/>
  <c r="Y32" i="6"/>
  <c r="X32" i="6"/>
  <c r="W32" i="6"/>
  <c r="V32" i="6"/>
  <c r="U32" i="6"/>
  <c r="T32" i="6"/>
  <c r="S32" i="6"/>
  <c r="R32" i="6"/>
  <c r="Q32" i="6"/>
  <c r="P32" i="6"/>
  <c r="O32" i="6"/>
  <c r="N32" i="6"/>
  <c r="M32" i="6"/>
  <c r="L32" i="6"/>
  <c r="K32" i="6"/>
  <c r="J32" i="6"/>
  <c r="I32" i="6"/>
  <c r="H32" i="6"/>
  <c r="G32" i="6"/>
  <c r="F32" i="6"/>
  <c r="E32" i="6"/>
  <c r="D32" i="6"/>
  <c r="C32" i="6"/>
  <c r="B32" i="6"/>
  <c r="AF30" i="6"/>
  <c r="AE30" i="6"/>
  <c r="AD30" i="6"/>
  <c r="AC30" i="6"/>
  <c r="AB30" i="6"/>
  <c r="AA30" i="6"/>
  <c r="Z30" i="6"/>
  <c r="Y30" i="6"/>
  <c r="X30" i="6"/>
  <c r="W30" i="6"/>
  <c r="V30" i="6"/>
  <c r="U30" i="6"/>
  <c r="T30" i="6"/>
  <c r="S30" i="6"/>
  <c r="R30" i="6"/>
  <c r="Q30" i="6"/>
  <c r="P30" i="6"/>
  <c r="O30" i="6"/>
  <c r="N30" i="6"/>
  <c r="M30" i="6"/>
  <c r="L30" i="6"/>
  <c r="K30" i="6"/>
  <c r="J30" i="6"/>
  <c r="I30" i="6"/>
  <c r="H30" i="6"/>
  <c r="G30" i="6"/>
  <c r="F30" i="6"/>
  <c r="E30" i="6"/>
  <c r="D30" i="6"/>
  <c r="C30" i="6"/>
  <c r="B30" i="6"/>
  <c r="AF29" i="6"/>
  <c r="AE29" i="6"/>
  <c r="AD29" i="6"/>
  <c r="AC29" i="6"/>
  <c r="AB29" i="6"/>
  <c r="AA29" i="6"/>
  <c r="Z29" i="6"/>
  <c r="Y29" i="6"/>
  <c r="X29" i="6"/>
  <c r="W29" i="6"/>
  <c r="V29" i="6"/>
  <c r="U29" i="6"/>
  <c r="T29" i="6"/>
  <c r="S29" i="6"/>
  <c r="R29" i="6"/>
  <c r="Q29" i="6"/>
  <c r="P29" i="6"/>
  <c r="O29" i="6"/>
  <c r="N29" i="6"/>
  <c r="M29" i="6"/>
  <c r="L29" i="6"/>
  <c r="K29" i="6"/>
  <c r="J29" i="6"/>
  <c r="I29" i="6"/>
  <c r="H29" i="6"/>
  <c r="G29" i="6"/>
  <c r="F29" i="6"/>
  <c r="E29" i="6"/>
  <c r="D29" i="6"/>
  <c r="C29" i="6"/>
  <c r="B29" i="6"/>
  <c r="AF28" i="6"/>
  <c r="AE28" i="6"/>
  <c r="AD28" i="6"/>
  <c r="AC28" i="6"/>
  <c r="AB28" i="6"/>
  <c r="AA28" i="6"/>
  <c r="Z28" i="6"/>
  <c r="Y28" i="6"/>
  <c r="X28" i="6"/>
  <c r="W28" i="6"/>
  <c r="V28" i="6"/>
  <c r="U28" i="6"/>
  <c r="T28" i="6"/>
  <c r="S28" i="6"/>
  <c r="R28" i="6"/>
  <c r="Q28" i="6"/>
  <c r="P28" i="6"/>
  <c r="O28" i="6"/>
  <c r="N28" i="6"/>
  <c r="M28" i="6"/>
  <c r="L28" i="6"/>
  <c r="K28" i="6"/>
  <c r="J28" i="6"/>
  <c r="I28" i="6"/>
  <c r="H28" i="6"/>
  <c r="G28" i="6"/>
  <c r="F28" i="6"/>
  <c r="E28" i="6"/>
  <c r="D28" i="6"/>
  <c r="C28" i="6"/>
  <c r="B28" i="6"/>
  <c r="AF27" i="6"/>
  <c r="AE27" i="6"/>
  <c r="AD27" i="6"/>
  <c r="AC27" i="6"/>
  <c r="AB27" i="6"/>
  <c r="AA27" i="6"/>
  <c r="Z27" i="6"/>
  <c r="Y27" i="6"/>
  <c r="X27" i="6"/>
  <c r="W27" i="6"/>
  <c r="V27" i="6"/>
  <c r="U27" i="6"/>
  <c r="T27" i="6"/>
  <c r="S27" i="6"/>
  <c r="R27" i="6"/>
  <c r="Q27" i="6"/>
  <c r="P27" i="6"/>
  <c r="O27" i="6"/>
  <c r="N27" i="6"/>
  <c r="M27" i="6"/>
  <c r="L27" i="6"/>
  <c r="K27" i="6"/>
  <c r="J27" i="6"/>
  <c r="I27" i="6"/>
  <c r="H27" i="6"/>
  <c r="G27" i="6"/>
  <c r="F27" i="6"/>
  <c r="E27" i="6"/>
  <c r="D27" i="6"/>
  <c r="C27" i="6"/>
  <c r="B27"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C26" i="6"/>
  <c r="B26"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B25" i="6"/>
  <c r="AF24" i="6"/>
  <c r="AE24" i="6"/>
  <c r="AD24" i="6"/>
  <c r="AC24" i="6"/>
  <c r="AB24" i="6"/>
  <c r="AA24" i="6"/>
  <c r="Z24" i="6"/>
  <c r="Y24" i="6"/>
  <c r="X24" i="6"/>
  <c r="W24" i="6"/>
  <c r="V24" i="6"/>
  <c r="U24" i="6"/>
  <c r="T24" i="6"/>
  <c r="S24" i="6"/>
  <c r="R24" i="6"/>
  <c r="Q24" i="6"/>
  <c r="P24" i="6"/>
  <c r="O24" i="6"/>
  <c r="N24" i="6"/>
  <c r="M24" i="6"/>
  <c r="L24" i="6"/>
  <c r="K24" i="6"/>
  <c r="J24" i="6"/>
  <c r="I24" i="6"/>
  <c r="H24" i="6"/>
  <c r="G24" i="6"/>
  <c r="F24" i="6"/>
  <c r="E24" i="6"/>
  <c r="D24" i="6"/>
  <c r="C24" i="6"/>
  <c r="B24"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C23" i="6"/>
  <c r="B23" i="6"/>
  <c r="AF22" i="6"/>
  <c r="AE22" i="6"/>
  <c r="AD22" i="6"/>
  <c r="AC22" i="6"/>
  <c r="AB22" i="6"/>
  <c r="AA22" i="6"/>
  <c r="Z22" i="6"/>
  <c r="Y22" i="6"/>
  <c r="X22" i="6"/>
  <c r="W22" i="6"/>
  <c r="V22" i="6"/>
  <c r="U22" i="6"/>
  <c r="T22" i="6"/>
  <c r="S22" i="6"/>
  <c r="R22" i="6"/>
  <c r="Q22" i="6"/>
  <c r="P22" i="6"/>
  <c r="O22" i="6"/>
  <c r="N22" i="6"/>
  <c r="M22" i="6"/>
  <c r="L22" i="6"/>
  <c r="K22" i="6"/>
  <c r="J22" i="6"/>
  <c r="I22" i="6"/>
  <c r="H22" i="6"/>
  <c r="G22" i="6"/>
  <c r="F22" i="6"/>
  <c r="E22" i="6"/>
  <c r="D22" i="6"/>
  <c r="C22" i="6"/>
  <c r="B22" i="6"/>
  <c r="AF19" i="6"/>
  <c r="AE19" i="6"/>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B19" i="6"/>
  <c r="AF18" i="6"/>
  <c r="AE18" i="6"/>
  <c r="AD18" i="6"/>
  <c r="AC18" i="6"/>
  <c r="AB18" i="6"/>
  <c r="AA18" i="6"/>
  <c r="Z18" i="6"/>
  <c r="Y18" i="6"/>
  <c r="X18" i="6"/>
  <c r="W18" i="6"/>
  <c r="V18" i="6"/>
  <c r="U18" i="6"/>
  <c r="T18" i="6"/>
  <c r="S18" i="6"/>
  <c r="R18" i="6"/>
  <c r="Q18" i="6"/>
  <c r="P18" i="6"/>
  <c r="O18" i="6"/>
  <c r="N18" i="6"/>
  <c r="M18" i="6"/>
  <c r="L18" i="6"/>
  <c r="K18" i="6"/>
  <c r="J18" i="6"/>
  <c r="I18" i="6"/>
  <c r="H18" i="6"/>
  <c r="G18" i="6"/>
  <c r="F18" i="6"/>
  <c r="E18" i="6"/>
  <c r="D18" i="6"/>
  <c r="C18" i="6"/>
  <c r="B18"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B17" i="6"/>
  <c r="AF16" i="6"/>
  <c r="AE16" i="6"/>
  <c r="AD16" i="6"/>
  <c r="AC16" i="6"/>
  <c r="AB16" i="6"/>
  <c r="AA16" i="6"/>
  <c r="Z16" i="6"/>
  <c r="Y16" i="6"/>
  <c r="X16" i="6"/>
  <c r="W16" i="6"/>
  <c r="V16" i="6"/>
  <c r="U16" i="6"/>
  <c r="T16" i="6"/>
  <c r="S16" i="6"/>
  <c r="R16" i="6"/>
  <c r="Q16" i="6"/>
  <c r="P16" i="6"/>
  <c r="O16" i="6"/>
  <c r="N16" i="6"/>
  <c r="M16" i="6"/>
  <c r="L16" i="6"/>
  <c r="K16" i="6"/>
  <c r="J16" i="6"/>
  <c r="I16" i="6"/>
  <c r="H16" i="6"/>
  <c r="G16" i="6"/>
  <c r="F16" i="6"/>
  <c r="E16" i="6"/>
  <c r="D16" i="6"/>
  <c r="C16" i="6"/>
  <c r="B16"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B15" i="6"/>
  <c r="AF14" i="6"/>
  <c r="AE14" i="6"/>
  <c r="AD14" i="6"/>
  <c r="AC14" i="6"/>
  <c r="AB14" i="6"/>
  <c r="AA14" i="6"/>
  <c r="Z14" i="6"/>
  <c r="Y14" i="6"/>
  <c r="X14" i="6"/>
  <c r="W14" i="6"/>
  <c r="V14" i="6"/>
  <c r="U14" i="6"/>
  <c r="T14" i="6"/>
  <c r="S14" i="6"/>
  <c r="R14" i="6"/>
  <c r="Q14" i="6"/>
  <c r="P14" i="6"/>
  <c r="O14" i="6"/>
  <c r="N14" i="6"/>
  <c r="M14" i="6"/>
  <c r="L14" i="6"/>
  <c r="K14" i="6"/>
  <c r="J14" i="6"/>
  <c r="I14" i="6"/>
  <c r="H14" i="6"/>
  <c r="G14" i="6"/>
  <c r="F14" i="6"/>
  <c r="E14" i="6"/>
  <c r="D14" i="6"/>
  <c r="C14" i="6"/>
  <c r="B14"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B13"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B12" i="6"/>
  <c r="AF9" i="6"/>
  <c r="AE9" i="6"/>
  <c r="AD9" i="6"/>
  <c r="AC9" i="6"/>
  <c r="AB9" i="6"/>
  <c r="AA9" i="6"/>
  <c r="Z9" i="6"/>
  <c r="Y9" i="6"/>
  <c r="X9" i="6"/>
  <c r="W9" i="6"/>
  <c r="V9" i="6"/>
  <c r="U9" i="6"/>
  <c r="T9" i="6"/>
  <c r="S9" i="6"/>
  <c r="R9" i="6"/>
  <c r="Q9" i="6"/>
  <c r="P9" i="6"/>
  <c r="O9" i="6"/>
  <c r="N9" i="6"/>
  <c r="M9" i="6"/>
  <c r="L9" i="6"/>
  <c r="K9" i="6"/>
  <c r="J9" i="6"/>
  <c r="I9" i="6"/>
  <c r="H9" i="6"/>
  <c r="G9" i="6"/>
  <c r="F9" i="6"/>
  <c r="E9" i="6"/>
  <c r="D9" i="6"/>
  <c r="C9" i="6"/>
  <c r="B9"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B8" i="6"/>
  <c r="AF7" i="6"/>
  <c r="AE7" i="6"/>
  <c r="AD7" i="6"/>
  <c r="AC7" i="6"/>
  <c r="AB7" i="6"/>
  <c r="AA7" i="6"/>
  <c r="Z7" i="6"/>
  <c r="Y7" i="6"/>
  <c r="X7" i="6"/>
  <c r="W7" i="6"/>
  <c r="V7" i="6"/>
  <c r="U7" i="6"/>
  <c r="T7" i="6"/>
  <c r="S7" i="6"/>
  <c r="R7" i="6"/>
  <c r="Q7" i="6"/>
  <c r="P7" i="6"/>
  <c r="O7" i="6"/>
  <c r="N7" i="6"/>
  <c r="M7" i="6"/>
  <c r="L7" i="6"/>
  <c r="K7" i="6"/>
  <c r="J7" i="6"/>
  <c r="I7" i="6"/>
  <c r="H7" i="6"/>
  <c r="G7" i="6"/>
  <c r="F7" i="6"/>
  <c r="E7" i="6"/>
  <c r="D7" i="6"/>
  <c r="C7" i="6"/>
  <c r="B7" i="6"/>
  <c r="AF6" i="6"/>
  <c r="AE6" i="6"/>
  <c r="AD6" i="6"/>
  <c r="AC6" i="6"/>
  <c r="AB6" i="6"/>
  <c r="AA6" i="6"/>
  <c r="Z6" i="6"/>
  <c r="Y6" i="6"/>
  <c r="X6" i="6"/>
  <c r="W6" i="6"/>
  <c r="V6" i="6"/>
  <c r="U6" i="6"/>
  <c r="T6" i="6"/>
  <c r="S6" i="6"/>
  <c r="R6" i="6"/>
  <c r="Q6" i="6"/>
  <c r="P6" i="6"/>
  <c r="O6" i="6"/>
  <c r="N6" i="6"/>
  <c r="M6" i="6"/>
  <c r="L6" i="6"/>
  <c r="K6" i="6"/>
  <c r="J6" i="6"/>
  <c r="I6" i="6"/>
  <c r="H6" i="6"/>
  <c r="G6" i="6"/>
  <c r="F6" i="6"/>
  <c r="E6" i="6"/>
  <c r="D6" i="6"/>
  <c r="C6" i="6"/>
  <c r="B6"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5"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B4" i="6"/>
  <c r="AF3" i="6"/>
  <c r="AE3" i="6"/>
  <c r="AD3" i="6"/>
  <c r="AC3" i="6"/>
  <c r="AB3" i="6"/>
  <c r="AA3" i="6"/>
  <c r="Z3" i="6"/>
  <c r="Y3" i="6"/>
  <c r="X3" i="6"/>
  <c r="W3" i="6"/>
  <c r="V3" i="6"/>
  <c r="U3" i="6"/>
  <c r="T3" i="6"/>
  <c r="S3" i="6"/>
  <c r="R3" i="6"/>
  <c r="Q3" i="6"/>
  <c r="P3" i="6"/>
  <c r="O3" i="6"/>
  <c r="N3" i="6"/>
  <c r="M3" i="6"/>
  <c r="L3" i="6"/>
  <c r="K3" i="6"/>
  <c r="J3" i="6"/>
  <c r="I3" i="6"/>
  <c r="H3" i="6"/>
  <c r="G3" i="6"/>
  <c r="F3" i="6"/>
  <c r="E3" i="6"/>
  <c r="D3" i="6"/>
  <c r="C3" i="6"/>
  <c r="B3" i="6"/>
  <c r="T15" i="5"/>
  <c r="S15" i="5"/>
  <c r="R15" i="5"/>
  <c r="Q15" i="5"/>
  <c r="P15" i="5"/>
  <c r="O15" i="5"/>
  <c r="N15" i="5"/>
  <c r="J15" i="5"/>
  <c r="T14" i="5"/>
  <c r="S14" i="5"/>
  <c r="R14" i="5"/>
  <c r="Q14" i="5"/>
  <c r="P14" i="5"/>
  <c r="O14" i="5"/>
  <c r="N14" i="5"/>
  <c r="M14" i="5"/>
  <c r="K14" i="5"/>
  <c r="J14" i="5"/>
  <c r="T13" i="5"/>
  <c r="S13" i="5"/>
  <c r="R13" i="5"/>
  <c r="Q13" i="5"/>
  <c r="P13" i="5"/>
  <c r="O13" i="5"/>
  <c r="N13" i="5"/>
  <c r="M13" i="5"/>
  <c r="J13" i="5"/>
  <c r="T12" i="5"/>
  <c r="S12" i="5"/>
  <c r="R12" i="5"/>
  <c r="Q12" i="5"/>
  <c r="P12" i="5"/>
  <c r="O12" i="5"/>
  <c r="N12" i="5"/>
  <c r="M12" i="5"/>
  <c r="T11" i="5"/>
  <c r="S11" i="5"/>
  <c r="R11" i="5"/>
  <c r="Q11" i="5"/>
  <c r="P11" i="5"/>
  <c r="O11" i="5"/>
  <c r="N11" i="5"/>
  <c r="J11" i="5"/>
  <c r="T10" i="5"/>
  <c r="S10" i="5"/>
  <c r="R10" i="5"/>
  <c r="Q10" i="5"/>
  <c r="P10" i="5"/>
  <c r="O10" i="5"/>
  <c r="N10" i="5"/>
  <c r="J10" i="5"/>
  <c r="T9" i="5"/>
  <c r="S9" i="5"/>
  <c r="R9" i="5"/>
  <c r="Q9" i="5"/>
  <c r="P9" i="5"/>
  <c r="O9" i="5"/>
  <c r="N9" i="5"/>
  <c r="T8" i="5"/>
  <c r="S8" i="5"/>
  <c r="R8" i="5"/>
  <c r="Q8" i="5"/>
  <c r="P8" i="5"/>
  <c r="O8" i="5"/>
  <c r="N8" i="5"/>
  <c r="J8" i="5"/>
  <c r="T7" i="5"/>
  <c r="S7" i="5"/>
  <c r="R7" i="5"/>
  <c r="Q7" i="5"/>
  <c r="P7" i="5"/>
  <c r="O7" i="5"/>
  <c r="N7" i="5"/>
  <c r="M7" i="5"/>
  <c r="J7" i="5"/>
  <c r="T6" i="5"/>
  <c r="S6" i="5"/>
  <c r="R6" i="5"/>
  <c r="Q6" i="5"/>
  <c r="P6" i="5"/>
  <c r="O6" i="5"/>
  <c r="N6" i="5"/>
  <c r="T5" i="5"/>
  <c r="S5" i="5"/>
  <c r="R5" i="5"/>
  <c r="Q5" i="5"/>
  <c r="P5" i="5"/>
  <c r="O5" i="5"/>
  <c r="N5" i="5"/>
  <c r="M5" i="5"/>
  <c r="T4" i="5"/>
  <c r="S4" i="5"/>
  <c r="R4" i="5"/>
  <c r="Q4" i="5"/>
  <c r="P4" i="5"/>
  <c r="O4" i="5"/>
  <c r="N4" i="5"/>
  <c r="M4" i="5"/>
  <c r="T3" i="5"/>
  <c r="S3" i="5"/>
  <c r="R3" i="5"/>
  <c r="Q3" i="5"/>
  <c r="P3" i="5"/>
  <c r="O3" i="5"/>
  <c r="N3" i="5"/>
  <c r="M3" i="5"/>
  <c r="AF105" i="4"/>
  <c r="Q105" i="4"/>
  <c r="P105" i="4"/>
  <c r="O105" i="4"/>
  <c r="N105" i="4"/>
  <c r="M105" i="4"/>
  <c r="L105" i="4"/>
  <c r="K105" i="4"/>
  <c r="J105" i="4"/>
  <c r="I105" i="4"/>
  <c r="H105" i="4"/>
  <c r="G105" i="4"/>
  <c r="F105" i="4"/>
  <c r="E105" i="4"/>
  <c r="D105" i="4"/>
  <c r="C105" i="4"/>
  <c r="B105" i="4"/>
  <c r="AF100" i="4"/>
  <c r="L100"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D92" i="4"/>
  <c r="C92" i="4"/>
  <c r="B92" i="4"/>
  <c r="A92"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D89" i="4"/>
  <c r="C89"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D88" i="4"/>
  <c r="C88"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D86" i="4"/>
  <c r="C86"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D83" i="4"/>
  <c r="C83"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C82" i="4"/>
  <c r="AH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D80" i="4"/>
  <c r="C80" i="4"/>
  <c r="B80"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D79" i="4"/>
  <c r="C79" i="4"/>
  <c r="B79"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D78" i="4"/>
  <c r="C78" i="4"/>
  <c r="B78"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D75" i="4"/>
  <c r="C75" i="4"/>
  <c r="B75"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D74" i="4"/>
  <c r="C74" i="4"/>
  <c r="B74"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D73" i="4"/>
  <c r="C73" i="4"/>
  <c r="B73" i="4"/>
  <c r="AH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D72" i="4"/>
  <c r="C72" i="4"/>
  <c r="B72"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D71" i="4"/>
  <c r="C71" i="4"/>
  <c r="B71"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D70" i="4"/>
  <c r="C70" i="4"/>
  <c r="B70" i="4"/>
  <c r="A70"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D67" i="4"/>
  <c r="C67" i="4"/>
  <c r="B67"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D66" i="4"/>
  <c r="C66" i="4"/>
  <c r="B66"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D65" i="4"/>
  <c r="C65" i="4"/>
  <c r="B65"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D64" i="4"/>
  <c r="C64" i="4"/>
  <c r="B64"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C63" i="4"/>
  <c r="B63"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D62" i="4"/>
  <c r="C62" i="4"/>
  <c r="B62"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D61" i="4"/>
  <c r="C61" i="4"/>
  <c r="B61" i="4"/>
  <c r="A61"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D58" i="4"/>
  <c r="C58" i="4"/>
  <c r="B58"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C57" i="4"/>
  <c r="B57"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B56"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D55" i="4"/>
  <c r="C55" i="4"/>
  <c r="B55"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B54"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B53"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B52" i="4"/>
  <c r="A52"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B49"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B48"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B47"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B46"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C45" i="4"/>
  <c r="B45"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B44"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C43" i="4"/>
  <c r="B43"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D42" i="4"/>
  <c r="C42" i="4"/>
  <c r="B42"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D39" i="4"/>
  <c r="C39" i="4"/>
  <c r="B39"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B38"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B36"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B35"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B34"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B33"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B30"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B29"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B28"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B27"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B26"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B25"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B24"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B23"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B12"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B4"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B3" i="4"/>
  <c r="U93" i="3"/>
  <c r="U92" i="3"/>
  <c r="U91" i="3"/>
  <c r="U90" i="3"/>
  <c r="U89" i="3"/>
  <c r="U88" i="3"/>
  <c r="U87" i="3"/>
  <c r="T82" i="3"/>
  <c r="S82" i="3"/>
  <c r="R82" i="3"/>
  <c r="Q82" i="3"/>
  <c r="P82" i="3"/>
  <c r="O82" i="3"/>
  <c r="N82" i="3"/>
  <c r="L82" i="3"/>
  <c r="T81" i="3"/>
  <c r="S81" i="3"/>
  <c r="R81" i="3"/>
  <c r="Q81" i="3"/>
  <c r="P81" i="3"/>
  <c r="O81" i="3"/>
  <c r="N81" i="3"/>
  <c r="M81" i="3"/>
  <c r="T80" i="3"/>
  <c r="S80" i="3"/>
  <c r="R80" i="3"/>
  <c r="Q80" i="3"/>
  <c r="P80" i="3"/>
  <c r="O80" i="3"/>
  <c r="N80" i="3"/>
  <c r="M80" i="3"/>
  <c r="J80" i="3"/>
  <c r="T79" i="3"/>
  <c r="S79" i="3"/>
  <c r="R79" i="3"/>
  <c r="Q79" i="3"/>
  <c r="P79" i="3"/>
  <c r="O79" i="3"/>
  <c r="N79" i="3"/>
  <c r="T78" i="3"/>
  <c r="S78" i="3"/>
  <c r="R78" i="3"/>
  <c r="Q78" i="3"/>
  <c r="P78" i="3"/>
  <c r="O78" i="3"/>
  <c r="N78" i="3"/>
  <c r="T77" i="3"/>
  <c r="S77" i="3"/>
  <c r="R77" i="3"/>
  <c r="Q77" i="3"/>
  <c r="P77" i="3"/>
  <c r="O77" i="3"/>
  <c r="T76" i="3"/>
  <c r="S76" i="3"/>
  <c r="R76" i="3"/>
  <c r="Q76" i="3"/>
  <c r="P76" i="3"/>
  <c r="O76" i="3"/>
  <c r="T75" i="3"/>
  <c r="S75" i="3"/>
  <c r="R75" i="3"/>
  <c r="Q75" i="3"/>
  <c r="P75" i="3"/>
  <c r="O75" i="3"/>
  <c r="N75" i="3"/>
  <c r="M75" i="3"/>
  <c r="T74" i="3"/>
  <c r="S74" i="3"/>
  <c r="R74" i="3"/>
  <c r="Q74" i="3"/>
  <c r="P74" i="3"/>
  <c r="O74" i="3"/>
  <c r="N74" i="3"/>
  <c r="M74" i="3"/>
  <c r="J74" i="3"/>
  <c r="T73" i="3"/>
  <c r="S73" i="3"/>
  <c r="R73" i="3"/>
  <c r="Q73" i="3"/>
  <c r="P73" i="3"/>
  <c r="O73" i="3"/>
  <c r="N73" i="3"/>
  <c r="M73" i="3"/>
  <c r="J73" i="3"/>
  <c r="T72" i="3"/>
  <c r="S72" i="3"/>
  <c r="R72" i="3"/>
  <c r="Q72" i="3"/>
  <c r="P72" i="3"/>
  <c r="O72" i="3"/>
  <c r="M72" i="3"/>
  <c r="T71" i="3"/>
  <c r="S71" i="3"/>
  <c r="R71" i="3"/>
  <c r="Q71" i="3"/>
  <c r="P71" i="3"/>
  <c r="O71" i="3"/>
  <c r="N71" i="3"/>
  <c r="M71" i="3"/>
  <c r="T70" i="3"/>
  <c r="S70" i="3"/>
  <c r="R70" i="3"/>
  <c r="Q70" i="3"/>
  <c r="P70" i="3"/>
  <c r="O70" i="3"/>
  <c r="N70" i="3"/>
  <c r="T69" i="3"/>
  <c r="S69" i="3"/>
  <c r="R69" i="3"/>
  <c r="Q69" i="3"/>
  <c r="P69" i="3"/>
  <c r="O69" i="3"/>
  <c r="N69" i="3"/>
  <c r="M69" i="3"/>
  <c r="T68" i="3"/>
  <c r="S68" i="3"/>
  <c r="R68" i="3"/>
  <c r="Q68" i="3"/>
  <c r="P68" i="3"/>
  <c r="O68" i="3"/>
  <c r="N68" i="3"/>
  <c r="T67" i="3"/>
  <c r="S67" i="3"/>
  <c r="R67" i="3"/>
  <c r="Q67" i="3"/>
  <c r="P67" i="3"/>
  <c r="O67" i="3"/>
  <c r="N67" i="3"/>
  <c r="T66" i="3"/>
  <c r="S66" i="3"/>
  <c r="R66" i="3"/>
  <c r="Q66" i="3"/>
  <c r="P66" i="3"/>
  <c r="O66" i="3"/>
  <c r="T65" i="3"/>
  <c r="S65" i="3"/>
  <c r="R65" i="3"/>
  <c r="Q65" i="3"/>
  <c r="P65" i="3"/>
  <c r="O65" i="3"/>
  <c r="T64" i="3"/>
  <c r="S64" i="3"/>
  <c r="R64" i="3"/>
  <c r="Q64" i="3"/>
  <c r="P64" i="3"/>
  <c r="O64" i="3"/>
  <c r="T63" i="3"/>
  <c r="S63" i="3"/>
  <c r="R63" i="3"/>
  <c r="Q63" i="3"/>
  <c r="P63" i="3"/>
  <c r="O63" i="3"/>
  <c r="N63" i="3"/>
  <c r="M63" i="3"/>
  <c r="T62" i="3"/>
  <c r="S62" i="3"/>
  <c r="R62" i="3"/>
  <c r="Q62" i="3"/>
  <c r="P62" i="3"/>
  <c r="O62" i="3"/>
  <c r="M62" i="3"/>
  <c r="T61" i="3"/>
  <c r="S61" i="3"/>
  <c r="R61" i="3"/>
  <c r="Q61" i="3"/>
  <c r="P61" i="3"/>
  <c r="O61" i="3"/>
  <c r="T60" i="3"/>
  <c r="S60" i="3"/>
  <c r="R60" i="3"/>
  <c r="Q60" i="3"/>
  <c r="P60" i="3"/>
  <c r="O60" i="3"/>
  <c r="N60" i="3"/>
  <c r="M60" i="3"/>
  <c r="T59" i="3"/>
  <c r="S59" i="3"/>
  <c r="R59" i="3"/>
  <c r="Q59" i="3"/>
  <c r="P59" i="3"/>
  <c r="O59" i="3"/>
  <c r="N59" i="3"/>
  <c r="M59" i="3"/>
  <c r="K59" i="3"/>
  <c r="J59" i="3"/>
  <c r="T58" i="3"/>
  <c r="S58" i="3"/>
  <c r="R58" i="3"/>
  <c r="Q58" i="3"/>
  <c r="P58" i="3"/>
  <c r="O58" i="3"/>
  <c r="T57" i="3"/>
  <c r="S57" i="3"/>
  <c r="R57" i="3"/>
  <c r="Q57" i="3"/>
  <c r="P57" i="3"/>
  <c r="O57" i="3"/>
  <c r="N57" i="3"/>
  <c r="T56" i="3"/>
  <c r="S56" i="3"/>
  <c r="R56" i="3"/>
  <c r="Q56" i="3"/>
  <c r="P56" i="3"/>
  <c r="O56" i="3"/>
  <c r="N56" i="3"/>
  <c r="M56" i="3"/>
  <c r="T55" i="3"/>
  <c r="S55" i="3"/>
  <c r="R55" i="3"/>
  <c r="Q55" i="3"/>
  <c r="P55" i="3"/>
  <c r="O55" i="3"/>
  <c r="N55" i="3"/>
  <c r="T54" i="3"/>
  <c r="S54" i="3"/>
  <c r="R54" i="3"/>
  <c r="Q54" i="3"/>
  <c r="P54" i="3"/>
  <c r="O54" i="3"/>
  <c r="N54" i="3"/>
  <c r="T53" i="3"/>
  <c r="S53" i="3"/>
  <c r="R53" i="3"/>
  <c r="Q53" i="3"/>
  <c r="P53" i="3"/>
  <c r="O53" i="3"/>
  <c r="N53" i="3"/>
  <c r="T52" i="3"/>
  <c r="S52" i="3"/>
  <c r="R52" i="3"/>
  <c r="Q52" i="3"/>
  <c r="P52" i="3"/>
  <c r="O52" i="3"/>
  <c r="N52" i="3"/>
  <c r="M52" i="3"/>
  <c r="T51" i="3"/>
  <c r="S51" i="3"/>
  <c r="R51" i="3"/>
  <c r="Q51" i="3"/>
  <c r="P51" i="3"/>
  <c r="O51" i="3"/>
  <c r="N51" i="3"/>
  <c r="M51" i="3"/>
  <c r="T50" i="3"/>
  <c r="S50" i="3"/>
  <c r="R50" i="3"/>
  <c r="Q50" i="3"/>
  <c r="P50" i="3"/>
  <c r="O50" i="3"/>
  <c r="N50" i="3"/>
  <c r="M50" i="3"/>
  <c r="T49" i="3"/>
  <c r="S49" i="3"/>
  <c r="R49" i="3"/>
  <c r="Q49" i="3"/>
  <c r="P49" i="3"/>
  <c r="O49" i="3"/>
  <c r="N49" i="3"/>
  <c r="M49" i="3"/>
  <c r="T48" i="3"/>
  <c r="S48" i="3"/>
  <c r="R48" i="3"/>
  <c r="Q48" i="3"/>
  <c r="P48" i="3"/>
  <c r="O48" i="3"/>
  <c r="N48" i="3"/>
  <c r="T47" i="3"/>
  <c r="S47" i="3"/>
  <c r="R47" i="3"/>
  <c r="Q47" i="3"/>
  <c r="P47" i="3"/>
  <c r="O47" i="3"/>
  <c r="N47" i="3"/>
  <c r="M47" i="3"/>
  <c r="T46" i="3"/>
  <c r="S46" i="3"/>
  <c r="R46" i="3"/>
  <c r="Q46" i="3"/>
  <c r="P46" i="3"/>
  <c r="O46" i="3"/>
  <c r="N46" i="3"/>
  <c r="M46" i="3"/>
  <c r="T45" i="3"/>
  <c r="S45" i="3"/>
  <c r="R45" i="3"/>
  <c r="Q45" i="3"/>
  <c r="P45" i="3"/>
  <c r="O45" i="3"/>
  <c r="N45" i="3"/>
  <c r="M45" i="3"/>
  <c r="T44" i="3"/>
  <c r="S44" i="3"/>
  <c r="R44" i="3"/>
  <c r="Q44" i="3"/>
  <c r="P44" i="3"/>
  <c r="O44" i="3"/>
  <c r="N44" i="3"/>
  <c r="T43" i="3"/>
  <c r="S43" i="3"/>
  <c r="R43" i="3"/>
  <c r="Q43" i="3"/>
  <c r="P43" i="3"/>
  <c r="O43" i="3"/>
  <c r="N43" i="3"/>
  <c r="M43" i="3"/>
  <c r="T42" i="3"/>
  <c r="S42" i="3"/>
  <c r="R42" i="3"/>
  <c r="Q42" i="3"/>
  <c r="P42" i="3"/>
  <c r="O42" i="3"/>
  <c r="N42" i="3"/>
  <c r="T41" i="3"/>
  <c r="S41" i="3"/>
  <c r="R41" i="3"/>
  <c r="Q41" i="3"/>
  <c r="P41" i="3"/>
  <c r="O41" i="3"/>
  <c r="N41" i="3"/>
  <c r="M41" i="3"/>
  <c r="T40" i="3"/>
  <c r="S40" i="3"/>
  <c r="R40" i="3"/>
  <c r="Q40" i="3"/>
  <c r="P40" i="3"/>
  <c r="O40" i="3"/>
  <c r="T39" i="3"/>
  <c r="S39" i="3"/>
  <c r="R39" i="3"/>
  <c r="Q39" i="3"/>
  <c r="P39" i="3"/>
  <c r="O39" i="3"/>
  <c r="N39" i="3"/>
  <c r="M39" i="3"/>
  <c r="T38" i="3"/>
  <c r="S38" i="3"/>
  <c r="R38" i="3"/>
  <c r="Q38" i="3"/>
  <c r="P38" i="3"/>
  <c r="O38" i="3"/>
  <c r="N38" i="3"/>
  <c r="M38" i="3"/>
  <c r="J38" i="3"/>
  <c r="T37" i="3"/>
  <c r="S37" i="3"/>
  <c r="R37" i="3"/>
  <c r="Q37" i="3"/>
  <c r="P37" i="3"/>
  <c r="O37" i="3"/>
  <c r="T36" i="3"/>
  <c r="S36" i="3"/>
  <c r="R36" i="3"/>
  <c r="Q36" i="3"/>
  <c r="P36" i="3"/>
  <c r="O36" i="3"/>
  <c r="M36" i="3"/>
  <c r="T35" i="3"/>
  <c r="S35" i="3"/>
  <c r="R35" i="3"/>
  <c r="Q35" i="3"/>
  <c r="P35" i="3"/>
  <c r="O35" i="3"/>
  <c r="N35" i="3"/>
  <c r="M35" i="3"/>
  <c r="T34" i="3"/>
  <c r="S34" i="3"/>
  <c r="R34" i="3"/>
  <c r="Q34" i="3"/>
  <c r="P34" i="3"/>
  <c r="O34" i="3"/>
  <c r="M34" i="3"/>
  <c r="T33" i="3"/>
  <c r="S33" i="3"/>
  <c r="R33" i="3"/>
  <c r="Q33" i="3"/>
  <c r="P33" i="3"/>
  <c r="O33" i="3"/>
  <c r="N33" i="3"/>
  <c r="M33" i="3"/>
  <c r="T32" i="3"/>
  <c r="S32" i="3"/>
  <c r="R32" i="3"/>
  <c r="Q32" i="3"/>
  <c r="P32" i="3"/>
  <c r="O32" i="3"/>
  <c r="N32" i="3"/>
  <c r="M32" i="3"/>
  <c r="T31" i="3"/>
  <c r="S31" i="3"/>
  <c r="R31" i="3"/>
  <c r="Q31" i="3"/>
  <c r="P31" i="3"/>
  <c r="O31" i="3"/>
  <c r="N31" i="3"/>
  <c r="M31" i="3"/>
  <c r="T30" i="3"/>
  <c r="S30" i="3"/>
  <c r="R30" i="3"/>
  <c r="Q30" i="3"/>
  <c r="P30" i="3"/>
  <c r="O30" i="3"/>
  <c r="T29" i="3"/>
  <c r="S29" i="3"/>
  <c r="R29" i="3"/>
  <c r="Q29" i="3"/>
  <c r="P29" i="3"/>
  <c r="O29" i="3"/>
  <c r="N29" i="3"/>
  <c r="T28" i="3"/>
  <c r="S28" i="3"/>
  <c r="R28" i="3"/>
  <c r="Q28" i="3"/>
  <c r="P28" i="3"/>
  <c r="O28" i="3"/>
  <c r="T27" i="3"/>
  <c r="S27" i="3"/>
  <c r="R27" i="3"/>
  <c r="Q27" i="3"/>
  <c r="P27" i="3"/>
  <c r="O27" i="3"/>
  <c r="N27" i="3"/>
  <c r="M27" i="3"/>
  <c r="T26" i="3"/>
  <c r="S26" i="3"/>
  <c r="R26" i="3"/>
  <c r="Q26" i="3"/>
  <c r="P26" i="3"/>
  <c r="O26" i="3"/>
  <c r="T25" i="3"/>
  <c r="S25" i="3"/>
  <c r="R25" i="3"/>
  <c r="Q25" i="3"/>
  <c r="P25" i="3"/>
  <c r="O25" i="3"/>
  <c r="T24" i="3"/>
  <c r="S24" i="3"/>
  <c r="R24" i="3"/>
  <c r="Q24" i="3"/>
  <c r="P24" i="3"/>
  <c r="O24" i="3"/>
  <c r="N24" i="3"/>
  <c r="T23" i="3"/>
  <c r="S23" i="3"/>
  <c r="R23" i="3"/>
  <c r="Q23" i="3"/>
  <c r="P23" i="3"/>
  <c r="O23" i="3"/>
  <c r="N23" i="3"/>
  <c r="M23" i="3"/>
  <c r="T22" i="3"/>
  <c r="S22" i="3"/>
  <c r="R22" i="3"/>
  <c r="Q22" i="3"/>
  <c r="P22" i="3"/>
  <c r="O22" i="3"/>
  <c r="N22" i="3"/>
  <c r="M22" i="3"/>
  <c r="T21" i="3"/>
  <c r="S21" i="3"/>
  <c r="R21" i="3"/>
  <c r="Q21" i="3"/>
  <c r="P21" i="3"/>
  <c r="O21" i="3"/>
  <c r="N21" i="3"/>
  <c r="M21" i="3"/>
  <c r="T20" i="3"/>
  <c r="S20" i="3"/>
  <c r="R20" i="3"/>
  <c r="Q20" i="3"/>
  <c r="P20" i="3"/>
  <c r="O20" i="3"/>
  <c r="N20" i="3"/>
  <c r="M20" i="3"/>
  <c r="T19" i="3"/>
  <c r="S19" i="3"/>
  <c r="R19" i="3"/>
  <c r="Q19" i="3"/>
  <c r="P19" i="3"/>
  <c r="O19" i="3"/>
  <c r="N19" i="3"/>
  <c r="T18" i="3"/>
  <c r="S18" i="3"/>
  <c r="R18" i="3"/>
  <c r="Q18" i="3"/>
  <c r="P18" i="3"/>
  <c r="O18" i="3"/>
  <c r="T17" i="3"/>
  <c r="S17" i="3"/>
  <c r="R17" i="3"/>
  <c r="Q17" i="3"/>
  <c r="P17" i="3"/>
  <c r="O17" i="3"/>
  <c r="M17" i="3"/>
  <c r="T16" i="3"/>
  <c r="S16" i="3"/>
  <c r="R16" i="3"/>
  <c r="Q16" i="3"/>
  <c r="P16" i="3"/>
  <c r="O16" i="3"/>
  <c r="M16" i="3"/>
  <c r="J16" i="3"/>
  <c r="T15" i="3"/>
  <c r="S15" i="3"/>
  <c r="R15" i="3"/>
  <c r="Q15" i="3"/>
  <c r="P15" i="3"/>
  <c r="O15" i="3"/>
  <c r="N15" i="3"/>
  <c r="M15" i="3"/>
  <c r="T14" i="3"/>
  <c r="S14" i="3"/>
  <c r="R14" i="3"/>
  <c r="Q14" i="3"/>
  <c r="P14" i="3"/>
  <c r="O14" i="3"/>
  <c r="N14" i="3"/>
  <c r="T13" i="3"/>
  <c r="S13" i="3"/>
  <c r="R13" i="3"/>
  <c r="Q13" i="3"/>
  <c r="P13" i="3"/>
  <c r="O13" i="3"/>
  <c r="N13" i="3"/>
  <c r="M13" i="3"/>
  <c r="T12" i="3"/>
  <c r="S12" i="3"/>
  <c r="R12" i="3"/>
  <c r="Q12" i="3"/>
  <c r="P12" i="3"/>
  <c r="O12" i="3"/>
  <c r="N12" i="3"/>
  <c r="M12" i="3"/>
  <c r="J12" i="3"/>
  <c r="T11" i="3"/>
  <c r="S11" i="3"/>
  <c r="R11" i="3"/>
  <c r="Q11" i="3"/>
  <c r="P11" i="3"/>
  <c r="O11" i="3"/>
  <c r="T10" i="3"/>
  <c r="S10" i="3"/>
  <c r="R10" i="3"/>
  <c r="Q10" i="3"/>
  <c r="P10" i="3"/>
  <c r="O10" i="3"/>
  <c r="T9" i="3"/>
  <c r="S9" i="3"/>
  <c r="R9" i="3"/>
  <c r="Q9" i="3"/>
  <c r="P9" i="3"/>
  <c r="O9" i="3"/>
  <c r="N9" i="3"/>
  <c r="M9" i="3"/>
  <c r="T8" i="3"/>
  <c r="S8" i="3"/>
  <c r="R8" i="3"/>
  <c r="Q8" i="3"/>
  <c r="P8" i="3"/>
  <c r="O8" i="3"/>
  <c r="N8" i="3"/>
  <c r="M8" i="3"/>
  <c r="T7" i="3"/>
  <c r="S7" i="3"/>
  <c r="R7" i="3"/>
  <c r="Q7" i="3"/>
  <c r="P7" i="3"/>
  <c r="O7" i="3"/>
  <c r="N7" i="3"/>
  <c r="M7" i="3"/>
  <c r="T6" i="3"/>
  <c r="S6" i="3"/>
  <c r="R6" i="3"/>
  <c r="Q6" i="3"/>
  <c r="P6" i="3"/>
  <c r="O6" i="3"/>
  <c r="T5" i="3"/>
  <c r="S5" i="3"/>
  <c r="R5" i="3"/>
  <c r="Q5" i="3"/>
  <c r="P5" i="3"/>
  <c r="O5" i="3"/>
  <c r="T4" i="3"/>
  <c r="S4" i="3"/>
  <c r="R4" i="3"/>
  <c r="Q4" i="3"/>
  <c r="P4" i="3"/>
  <c r="O4" i="3"/>
  <c r="N4" i="3"/>
  <c r="M4" i="3"/>
  <c r="T3" i="3"/>
  <c r="S3" i="3"/>
  <c r="R3" i="3"/>
  <c r="Q3" i="3"/>
  <c r="P3" i="3"/>
  <c r="O3" i="3"/>
  <c r="R105" i="2"/>
  <c r="Q105" i="2"/>
  <c r="P105" i="2"/>
  <c r="O105" i="2"/>
  <c r="N105" i="2"/>
  <c r="M105" i="2"/>
  <c r="L105" i="2"/>
  <c r="K105" i="2"/>
  <c r="J105" i="2"/>
  <c r="I105" i="2"/>
  <c r="H105" i="2"/>
  <c r="G105" i="2"/>
  <c r="F105" i="2"/>
  <c r="E105" i="2"/>
  <c r="D105" i="2"/>
  <c r="C105" i="2"/>
  <c r="B105" i="2"/>
  <c r="R100" i="2"/>
  <c r="L100" i="2"/>
  <c r="Q92" i="2"/>
  <c r="P92" i="2"/>
  <c r="O92" i="2"/>
  <c r="N92" i="2"/>
  <c r="M92" i="2"/>
  <c r="L92" i="2"/>
  <c r="K92" i="2"/>
  <c r="J92" i="2"/>
  <c r="I92" i="2"/>
  <c r="H92" i="2"/>
  <c r="G92" i="2"/>
  <c r="F92" i="2"/>
  <c r="E92" i="2"/>
  <c r="D92" i="2"/>
  <c r="C92" i="2"/>
  <c r="B92" i="2"/>
  <c r="A92" i="2"/>
  <c r="Q89" i="2"/>
  <c r="P89" i="2"/>
  <c r="O89" i="2"/>
  <c r="N89" i="2"/>
  <c r="M89" i="2"/>
  <c r="L89" i="2"/>
  <c r="K89" i="2"/>
  <c r="J89" i="2"/>
  <c r="I89" i="2"/>
  <c r="H89" i="2"/>
  <c r="G89" i="2"/>
  <c r="F89" i="2"/>
  <c r="E89" i="2"/>
  <c r="D89" i="2"/>
  <c r="C89" i="2"/>
  <c r="Q88" i="2"/>
  <c r="P88" i="2"/>
  <c r="O88" i="2"/>
  <c r="N88" i="2"/>
  <c r="M88" i="2"/>
  <c r="L88" i="2"/>
  <c r="K88" i="2"/>
  <c r="J88" i="2"/>
  <c r="I88" i="2"/>
  <c r="H88" i="2"/>
  <c r="G88" i="2"/>
  <c r="F88" i="2"/>
  <c r="E88" i="2"/>
  <c r="D88" i="2"/>
  <c r="C88" i="2"/>
  <c r="D86" i="2"/>
  <c r="C86" i="2"/>
  <c r="Q83" i="2"/>
  <c r="P83" i="2"/>
  <c r="O83" i="2"/>
  <c r="N83" i="2"/>
  <c r="M83" i="2"/>
  <c r="L83" i="2"/>
  <c r="K83" i="2"/>
  <c r="J83" i="2"/>
  <c r="I83" i="2"/>
  <c r="H83" i="2"/>
  <c r="G83" i="2"/>
  <c r="F83" i="2"/>
  <c r="E83" i="2"/>
  <c r="D83" i="2"/>
  <c r="C83" i="2"/>
  <c r="Q82" i="2"/>
  <c r="P82" i="2"/>
  <c r="O82" i="2"/>
  <c r="N82" i="2"/>
  <c r="M82" i="2"/>
  <c r="L82" i="2"/>
  <c r="K82" i="2"/>
  <c r="J82" i="2"/>
  <c r="I82" i="2"/>
  <c r="H82" i="2"/>
  <c r="G82" i="2"/>
  <c r="F82" i="2"/>
  <c r="E82" i="2"/>
  <c r="D82" i="2"/>
  <c r="C82" i="2"/>
  <c r="S80" i="2"/>
  <c r="Q80" i="2"/>
  <c r="P80" i="2"/>
  <c r="O80" i="2"/>
  <c r="N80" i="2"/>
  <c r="M80" i="2"/>
  <c r="L80" i="2"/>
  <c r="K80" i="2"/>
  <c r="J80" i="2"/>
  <c r="I80" i="2"/>
  <c r="H80" i="2"/>
  <c r="G80" i="2"/>
  <c r="F80" i="2"/>
  <c r="E80" i="2"/>
  <c r="D80" i="2"/>
  <c r="C80" i="2"/>
  <c r="B80" i="2"/>
  <c r="Q79" i="2"/>
  <c r="P79" i="2"/>
  <c r="O79" i="2"/>
  <c r="N79" i="2"/>
  <c r="M79" i="2"/>
  <c r="L79" i="2"/>
  <c r="K79" i="2"/>
  <c r="J79" i="2"/>
  <c r="I79" i="2"/>
  <c r="H79" i="2"/>
  <c r="G79" i="2"/>
  <c r="F79" i="2"/>
  <c r="E79" i="2"/>
  <c r="D79" i="2"/>
  <c r="C79" i="2"/>
  <c r="B79" i="2"/>
  <c r="Q78" i="2"/>
  <c r="P78" i="2"/>
  <c r="O78" i="2"/>
  <c r="N78" i="2"/>
  <c r="M78" i="2"/>
  <c r="L78" i="2"/>
  <c r="K78" i="2"/>
  <c r="J78" i="2"/>
  <c r="I78" i="2"/>
  <c r="H78" i="2"/>
  <c r="G78" i="2"/>
  <c r="F78" i="2"/>
  <c r="E78" i="2"/>
  <c r="D78" i="2"/>
  <c r="C78" i="2"/>
  <c r="B78" i="2"/>
  <c r="Q77" i="2"/>
  <c r="P77" i="2"/>
  <c r="O77" i="2"/>
  <c r="N77" i="2"/>
  <c r="M77" i="2"/>
  <c r="L77" i="2"/>
  <c r="K77" i="2"/>
  <c r="J77" i="2"/>
  <c r="I77" i="2"/>
  <c r="H77" i="2"/>
  <c r="G77" i="2"/>
  <c r="F77" i="2"/>
  <c r="E77" i="2"/>
  <c r="D77" i="2"/>
  <c r="C77" i="2"/>
  <c r="B77" i="2"/>
  <c r="Q76" i="2"/>
  <c r="P76" i="2"/>
  <c r="O76" i="2"/>
  <c r="N76" i="2"/>
  <c r="M76" i="2"/>
  <c r="L76" i="2"/>
  <c r="K76" i="2"/>
  <c r="J76" i="2"/>
  <c r="I76" i="2"/>
  <c r="H76" i="2"/>
  <c r="G76" i="2"/>
  <c r="F76" i="2"/>
  <c r="E76" i="2"/>
  <c r="D76" i="2"/>
  <c r="C76" i="2"/>
  <c r="B76" i="2"/>
  <c r="Q75" i="2"/>
  <c r="P75" i="2"/>
  <c r="O75" i="2"/>
  <c r="N75" i="2"/>
  <c r="M75" i="2"/>
  <c r="L75" i="2"/>
  <c r="K75" i="2"/>
  <c r="J75" i="2"/>
  <c r="I75" i="2"/>
  <c r="H75" i="2"/>
  <c r="G75" i="2"/>
  <c r="F75" i="2"/>
  <c r="E75" i="2"/>
  <c r="D75" i="2"/>
  <c r="C75" i="2"/>
  <c r="B75" i="2"/>
  <c r="Q74" i="2"/>
  <c r="P74" i="2"/>
  <c r="O74" i="2"/>
  <c r="N74" i="2"/>
  <c r="M74" i="2"/>
  <c r="L74" i="2"/>
  <c r="K74" i="2"/>
  <c r="J74" i="2"/>
  <c r="I74" i="2"/>
  <c r="H74" i="2"/>
  <c r="G74" i="2"/>
  <c r="F74" i="2"/>
  <c r="E74" i="2"/>
  <c r="D74" i="2"/>
  <c r="C74" i="2"/>
  <c r="B74" i="2"/>
  <c r="Q73" i="2"/>
  <c r="P73" i="2"/>
  <c r="O73" i="2"/>
  <c r="N73" i="2"/>
  <c r="M73" i="2"/>
  <c r="L73" i="2"/>
  <c r="K73" i="2"/>
  <c r="J73" i="2"/>
  <c r="I73" i="2"/>
  <c r="H73" i="2"/>
  <c r="G73" i="2"/>
  <c r="F73" i="2"/>
  <c r="E73" i="2"/>
  <c r="D73" i="2"/>
  <c r="C73" i="2"/>
  <c r="B73" i="2"/>
  <c r="S72" i="2"/>
  <c r="Q72" i="2"/>
  <c r="P72" i="2"/>
  <c r="O72" i="2"/>
  <c r="N72" i="2"/>
  <c r="M72" i="2"/>
  <c r="L72" i="2"/>
  <c r="K72" i="2"/>
  <c r="J72" i="2"/>
  <c r="I72" i="2"/>
  <c r="H72" i="2"/>
  <c r="G72" i="2"/>
  <c r="F72" i="2"/>
  <c r="E72" i="2"/>
  <c r="D72" i="2"/>
  <c r="C72" i="2"/>
  <c r="B72" i="2"/>
  <c r="Q71" i="2"/>
  <c r="P71" i="2"/>
  <c r="O71" i="2"/>
  <c r="N71" i="2"/>
  <c r="M71" i="2"/>
  <c r="L71" i="2"/>
  <c r="K71" i="2"/>
  <c r="J71" i="2"/>
  <c r="I71" i="2"/>
  <c r="H71" i="2"/>
  <c r="G71" i="2"/>
  <c r="F71" i="2"/>
  <c r="E71" i="2"/>
  <c r="D71" i="2"/>
  <c r="C71" i="2"/>
  <c r="B71" i="2"/>
  <c r="Q70" i="2"/>
  <c r="P70" i="2"/>
  <c r="O70" i="2"/>
  <c r="N70" i="2"/>
  <c r="M70" i="2"/>
  <c r="L70" i="2"/>
  <c r="K70" i="2"/>
  <c r="J70" i="2"/>
  <c r="I70" i="2"/>
  <c r="H70" i="2"/>
  <c r="G70" i="2"/>
  <c r="F70" i="2"/>
  <c r="E70" i="2"/>
  <c r="D70" i="2"/>
  <c r="C70" i="2"/>
  <c r="B70" i="2"/>
  <c r="Q69" i="2"/>
  <c r="P69" i="2"/>
  <c r="O69" i="2"/>
  <c r="N69" i="2"/>
  <c r="M69" i="2"/>
  <c r="L69" i="2"/>
  <c r="K69" i="2"/>
  <c r="J69" i="2"/>
  <c r="I69" i="2"/>
  <c r="H69" i="2"/>
  <c r="G69" i="2"/>
  <c r="F69" i="2"/>
  <c r="E69" i="2"/>
  <c r="D69" i="2"/>
  <c r="C69" i="2"/>
  <c r="B69"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66"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E62" i="2"/>
  <c r="AD62" i="2"/>
  <c r="AC62" i="2"/>
  <c r="AB62" i="2"/>
  <c r="Z62" i="2"/>
  <c r="Y62" i="2"/>
  <c r="X62" i="2"/>
  <c r="W62" i="2"/>
  <c r="V62" i="2"/>
  <c r="U62" i="2"/>
  <c r="T62" i="2"/>
  <c r="S62" i="2"/>
  <c r="R62" i="2"/>
  <c r="Q62" i="2"/>
  <c r="P62" i="2"/>
  <c r="O62" i="2"/>
  <c r="N62" i="2"/>
  <c r="M62" i="2"/>
  <c r="L62" i="2"/>
  <c r="K62" i="2"/>
  <c r="J62" i="2"/>
  <c r="I62" i="2"/>
  <c r="H62" i="2"/>
  <c r="G62" i="2"/>
  <c r="F62" i="2"/>
  <c r="E62" i="2"/>
  <c r="D62" i="2"/>
  <c r="C62" i="2"/>
  <c r="B62" i="2"/>
  <c r="AD61" i="2"/>
  <c r="AC61" i="2"/>
  <c r="AB61" i="2"/>
  <c r="AA61" i="2"/>
  <c r="Z61" i="2"/>
  <c r="Y61" i="2"/>
  <c r="X61" i="2"/>
  <c r="W61" i="2"/>
  <c r="V61" i="2"/>
  <c r="U61" i="2"/>
  <c r="T61" i="2"/>
  <c r="S61" i="2"/>
  <c r="Q61" i="2"/>
  <c r="P61" i="2"/>
  <c r="O61" i="2"/>
  <c r="N61" i="2"/>
  <c r="M61" i="2"/>
  <c r="L61" i="2"/>
  <c r="K61" i="2"/>
  <c r="J61" i="2"/>
  <c r="I61" i="2"/>
  <c r="H61" i="2"/>
  <c r="G61" i="2"/>
  <c r="F61" i="2"/>
  <c r="E61" i="2"/>
  <c r="D61" i="2"/>
  <c r="C61" i="2"/>
  <c r="B61" i="2"/>
  <c r="A61" i="2"/>
  <c r="Q58" i="2"/>
  <c r="P58" i="2"/>
  <c r="O58" i="2"/>
  <c r="N58" i="2"/>
  <c r="M58" i="2"/>
  <c r="L58" i="2"/>
  <c r="K58" i="2"/>
  <c r="J58" i="2"/>
  <c r="I58" i="2"/>
  <c r="H58" i="2"/>
  <c r="G58" i="2"/>
  <c r="F58" i="2"/>
  <c r="E58" i="2"/>
  <c r="D58" i="2"/>
  <c r="C58" i="2"/>
  <c r="B58" i="2"/>
  <c r="Q57" i="2"/>
  <c r="P57" i="2"/>
  <c r="O57" i="2"/>
  <c r="N57" i="2"/>
  <c r="M57" i="2"/>
  <c r="L57" i="2"/>
  <c r="K57" i="2"/>
  <c r="J57" i="2"/>
  <c r="I57" i="2"/>
  <c r="H57" i="2"/>
  <c r="G57" i="2"/>
  <c r="F57" i="2"/>
  <c r="E57" i="2"/>
  <c r="D57" i="2"/>
  <c r="C57" i="2"/>
  <c r="B57" i="2"/>
  <c r="Q56" i="2"/>
  <c r="P56" i="2"/>
  <c r="O56" i="2"/>
  <c r="N56" i="2"/>
  <c r="M56" i="2"/>
  <c r="L56" i="2"/>
  <c r="K56" i="2"/>
  <c r="J56" i="2"/>
  <c r="I56" i="2"/>
  <c r="H56" i="2"/>
  <c r="G56" i="2"/>
  <c r="F56" i="2"/>
  <c r="E56" i="2"/>
  <c r="D56" i="2"/>
  <c r="C56" i="2"/>
  <c r="B56" i="2"/>
  <c r="Q55" i="2"/>
  <c r="P55" i="2"/>
  <c r="O55" i="2"/>
  <c r="N55" i="2"/>
  <c r="M55" i="2"/>
  <c r="L55" i="2"/>
  <c r="K55" i="2"/>
  <c r="J55" i="2"/>
  <c r="I55" i="2"/>
  <c r="H55" i="2"/>
  <c r="G55" i="2"/>
  <c r="F55" i="2"/>
  <c r="E55" i="2"/>
  <c r="D55" i="2"/>
  <c r="C55" i="2"/>
  <c r="B55" i="2"/>
  <c r="Q54" i="2"/>
  <c r="P54" i="2"/>
  <c r="O54" i="2"/>
  <c r="N54" i="2"/>
  <c r="M54" i="2"/>
  <c r="L54" i="2"/>
  <c r="K54" i="2"/>
  <c r="J54" i="2"/>
  <c r="I54" i="2"/>
  <c r="H54" i="2"/>
  <c r="G54" i="2"/>
  <c r="F54" i="2"/>
  <c r="E54" i="2"/>
  <c r="D54" i="2"/>
  <c r="C54" i="2"/>
  <c r="B54" i="2"/>
  <c r="Q53" i="2"/>
  <c r="P53" i="2"/>
  <c r="O53" i="2"/>
  <c r="N53" i="2"/>
  <c r="M53" i="2"/>
  <c r="L53" i="2"/>
  <c r="K53" i="2"/>
  <c r="J53" i="2"/>
  <c r="I53" i="2"/>
  <c r="H53" i="2"/>
  <c r="G53" i="2"/>
  <c r="F53" i="2"/>
  <c r="E53" i="2"/>
  <c r="D53" i="2"/>
  <c r="C53" i="2"/>
  <c r="B53" i="2"/>
  <c r="Q52" i="2"/>
  <c r="P52" i="2"/>
  <c r="O52" i="2"/>
  <c r="N52" i="2"/>
  <c r="M52" i="2"/>
  <c r="L52" i="2"/>
  <c r="K52" i="2"/>
  <c r="J52" i="2"/>
  <c r="I52" i="2"/>
  <c r="H52" i="2"/>
  <c r="G52" i="2"/>
  <c r="F52" i="2"/>
  <c r="E52" i="2"/>
  <c r="D52" i="2"/>
  <c r="C52" i="2"/>
  <c r="B52" i="2"/>
  <c r="A52" i="2"/>
  <c r="R49" i="2"/>
  <c r="Q49" i="2"/>
  <c r="P49" i="2"/>
  <c r="O49" i="2"/>
  <c r="N49" i="2"/>
  <c r="M49" i="2"/>
  <c r="L49" i="2"/>
  <c r="K49" i="2"/>
  <c r="J49" i="2"/>
  <c r="I49" i="2"/>
  <c r="H49" i="2"/>
  <c r="G49" i="2"/>
  <c r="F49" i="2"/>
  <c r="E49" i="2"/>
  <c r="D49" i="2"/>
  <c r="C49" i="2"/>
  <c r="B49" i="2"/>
  <c r="R48" i="2"/>
  <c r="Q48" i="2"/>
  <c r="P48" i="2"/>
  <c r="O48" i="2"/>
  <c r="N48" i="2"/>
  <c r="M48" i="2"/>
  <c r="L48" i="2"/>
  <c r="K48" i="2"/>
  <c r="J48" i="2"/>
  <c r="I48" i="2"/>
  <c r="H48" i="2"/>
  <c r="G48" i="2"/>
  <c r="F48" i="2"/>
  <c r="E48" i="2"/>
  <c r="D48" i="2"/>
  <c r="C48" i="2"/>
  <c r="B48" i="2"/>
  <c r="R47" i="2"/>
  <c r="Q47" i="2"/>
  <c r="P47" i="2"/>
  <c r="O47" i="2"/>
  <c r="N47" i="2"/>
  <c r="M47" i="2"/>
  <c r="L47" i="2"/>
  <c r="K47" i="2"/>
  <c r="J47" i="2"/>
  <c r="I47" i="2"/>
  <c r="H47" i="2"/>
  <c r="G47" i="2"/>
  <c r="F47" i="2"/>
  <c r="E47" i="2"/>
  <c r="D47" i="2"/>
  <c r="C47" i="2"/>
  <c r="B47" i="2"/>
  <c r="R46" i="2"/>
  <c r="Q46" i="2"/>
  <c r="P46" i="2"/>
  <c r="O46" i="2"/>
  <c r="N46" i="2"/>
  <c r="M46" i="2"/>
  <c r="L46" i="2"/>
  <c r="K46" i="2"/>
  <c r="J46" i="2"/>
  <c r="I46" i="2"/>
  <c r="H46" i="2"/>
  <c r="G46" i="2"/>
  <c r="F46" i="2"/>
  <c r="E46" i="2"/>
  <c r="D46" i="2"/>
  <c r="C46" i="2"/>
  <c r="B46" i="2"/>
  <c r="R45" i="2"/>
  <c r="Q45" i="2"/>
  <c r="P45" i="2"/>
  <c r="O45" i="2"/>
  <c r="N45" i="2"/>
  <c r="M45" i="2"/>
  <c r="L45" i="2"/>
  <c r="K45" i="2"/>
  <c r="J45" i="2"/>
  <c r="I45" i="2"/>
  <c r="H45" i="2"/>
  <c r="G45" i="2"/>
  <c r="F45" i="2"/>
  <c r="E45" i="2"/>
  <c r="D45" i="2"/>
  <c r="C45" i="2"/>
  <c r="B45" i="2"/>
  <c r="R44" i="2"/>
  <c r="Q44" i="2"/>
  <c r="P44" i="2"/>
  <c r="O44" i="2"/>
  <c r="N44" i="2"/>
  <c r="M44" i="2"/>
  <c r="L44" i="2"/>
  <c r="K44" i="2"/>
  <c r="J44" i="2"/>
  <c r="I44" i="2"/>
  <c r="H44" i="2"/>
  <c r="G44" i="2"/>
  <c r="F44" i="2"/>
  <c r="E44" i="2"/>
  <c r="D44" i="2"/>
  <c r="C44" i="2"/>
  <c r="B44" i="2"/>
  <c r="R43" i="2"/>
  <c r="Q43" i="2"/>
  <c r="P43" i="2"/>
  <c r="O43" i="2"/>
  <c r="N43" i="2"/>
  <c r="M43" i="2"/>
  <c r="L43" i="2"/>
  <c r="K43" i="2"/>
  <c r="J43" i="2"/>
  <c r="I43" i="2"/>
  <c r="H43" i="2"/>
  <c r="G43" i="2"/>
  <c r="F43" i="2"/>
  <c r="E43" i="2"/>
  <c r="D43" i="2"/>
  <c r="C43" i="2"/>
  <c r="B43" i="2"/>
  <c r="Q42" i="2"/>
  <c r="P42" i="2"/>
  <c r="O42" i="2"/>
  <c r="N42" i="2"/>
  <c r="M42" i="2"/>
  <c r="L42" i="2"/>
  <c r="K42" i="2"/>
  <c r="J42" i="2"/>
  <c r="I42" i="2"/>
  <c r="H42" i="2"/>
  <c r="G42" i="2"/>
  <c r="F42" i="2"/>
  <c r="E42" i="2"/>
  <c r="D42" i="2"/>
  <c r="C42" i="2"/>
  <c r="B42" i="2"/>
  <c r="Q39" i="2"/>
  <c r="P39" i="2"/>
  <c r="O39" i="2"/>
  <c r="N39" i="2"/>
  <c r="M39" i="2"/>
  <c r="L39" i="2"/>
  <c r="K39" i="2"/>
  <c r="J39" i="2"/>
  <c r="I39" i="2"/>
  <c r="H39" i="2"/>
  <c r="G39" i="2"/>
  <c r="F39" i="2"/>
  <c r="E39" i="2"/>
  <c r="D39" i="2"/>
  <c r="C39" i="2"/>
  <c r="B39" i="2"/>
  <c r="R38" i="2"/>
  <c r="Q38" i="2"/>
  <c r="P38" i="2"/>
  <c r="O38" i="2"/>
  <c r="N38" i="2"/>
  <c r="M38" i="2"/>
  <c r="L38" i="2"/>
  <c r="K38" i="2"/>
  <c r="J38" i="2"/>
  <c r="I38" i="2"/>
  <c r="H38" i="2"/>
  <c r="G38" i="2"/>
  <c r="F38" i="2"/>
  <c r="E38" i="2"/>
  <c r="D38" i="2"/>
  <c r="C38" i="2"/>
  <c r="B38" i="2"/>
  <c r="R37" i="2"/>
  <c r="Q37" i="2"/>
  <c r="P37" i="2"/>
  <c r="O37" i="2"/>
  <c r="N37" i="2"/>
  <c r="M37" i="2"/>
  <c r="L37" i="2"/>
  <c r="K37" i="2"/>
  <c r="J37" i="2"/>
  <c r="I37" i="2"/>
  <c r="H37" i="2"/>
  <c r="G37" i="2"/>
  <c r="F37" i="2"/>
  <c r="E37" i="2"/>
  <c r="D37" i="2"/>
  <c r="C37" i="2"/>
  <c r="B37" i="2"/>
  <c r="R36" i="2"/>
  <c r="Q36" i="2"/>
  <c r="P36" i="2"/>
  <c r="O36" i="2"/>
  <c r="N36" i="2"/>
  <c r="M36" i="2"/>
  <c r="L36" i="2"/>
  <c r="K36" i="2"/>
  <c r="J36" i="2"/>
  <c r="I36" i="2"/>
  <c r="H36" i="2"/>
  <c r="G36" i="2"/>
  <c r="F36" i="2"/>
  <c r="E36" i="2"/>
  <c r="D36" i="2"/>
  <c r="C36" i="2"/>
  <c r="B36" i="2"/>
  <c r="R35" i="2"/>
  <c r="Q35" i="2"/>
  <c r="P35" i="2"/>
  <c r="O35" i="2"/>
  <c r="N35" i="2"/>
  <c r="M35" i="2"/>
  <c r="L35" i="2"/>
  <c r="K35" i="2"/>
  <c r="J35" i="2"/>
  <c r="I35" i="2"/>
  <c r="H35" i="2"/>
  <c r="G35" i="2"/>
  <c r="F35" i="2"/>
  <c r="E35" i="2"/>
  <c r="D35" i="2"/>
  <c r="C35" i="2"/>
  <c r="B35" i="2"/>
  <c r="R34" i="2"/>
  <c r="Q34" i="2"/>
  <c r="P34" i="2"/>
  <c r="O34" i="2"/>
  <c r="N34" i="2"/>
  <c r="M34" i="2"/>
  <c r="L34" i="2"/>
  <c r="K34" i="2"/>
  <c r="J34" i="2"/>
  <c r="I34" i="2"/>
  <c r="H34" i="2"/>
  <c r="G34" i="2"/>
  <c r="F34" i="2"/>
  <c r="E34" i="2"/>
  <c r="D34" i="2"/>
  <c r="C34" i="2"/>
  <c r="B34" i="2"/>
  <c r="R33" i="2"/>
  <c r="Q33" i="2"/>
  <c r="P33" i="2"/>
  <c r="O33" i="2"/>
  <c r="N33" i="2"/>
  <c r="M33" i="2"/>
  <c r="L33" i="2"/>
  <c r="K33" i="2"/>
  <c r="J33" i="2"/>
  <c r="I33" i="2"/>
  <c r="H33" i="2"/>
  <c r="G33" i="2"/>
  <c r="F33" i="2"/>
  <c r="E33" i="2"/>
  <c r="D33" i="2"/>
  <c r="C33" i="2"/>
  <c r="B33" i="2"/>
  <c r="Q32" i="2"/>
  <c r="P32" i="2"/>
  <c r="O32" i="2"/>
  <c r="N32" i="2"/>
  <c r="M32" i="2"/>
  <c r="L32" i="2"/>
  <c r="K32" i="2"/>
  <c r="J32" i="2"/>
  <c r="I32" i="2"/>
  <c r="H32" i="2"/>
  <c r="G32" i="2"/>
  <c r="F32" i="2"/>
  <c r="E32" i="2"/>
  <c r="D32" i="2"/>
  <c r="C32" i="2"/>
  <c r="B32" i="2"/>
  <c r="Q30" i="2"/>
  <c r="P30" i="2"/>
  <c r="O30" i="2"/>
  <c r="N30" i="2"/>
  <c r="M30" i="2"/>
  <c r="L30" i="2"/>
  <c r="K30" i="2"/>
  <c r="J30" i="2"/>
  <c r="I30" i="2"/>
  <c r="H30" i="2"/>
  <c r="G30" i="2"/>
  <c r="F30" i="2"/>
  <c r="E30" i="2"/>
  <c r="D30" i="2"/>
  <c r="C30" i="2"/>
  <c r="B30" i="2"/>
  <c r="Q29" i="2"/>
  <c r="P29" i="2"/>
  <c r="O29" i="2"/>
  <c r="N29" i="2"/>
  <c r="M29" i="2"/>
  <c r="L29" i="2"/>
  <c r="K29" i="2"/>
  <c r="J29" i="2"/>
  <c r="I29" i="2"/>
  <c r="H29" i="2"/>
  <c r="G29" i="2"/>
  <c r="F29" i="2"/>
  <c r="E29" i="2"/>
  <c r="D29" i="2"/>
  <c r="C29" i="2"/>
  <c r="B29" i="2"/>
  <c r="Q28" i="2"/>
  <c r="P28" i="2"/>
  <c r="O28" i="2"/>
  <c r="N28" i="2"/>
  <c r="M28" i="2"/>
  <c r="L28" i="2"/>
  <c r="K28" i="2"/>
  <c r="J28" i="2"/>
  <c r="I28" i="2"/>
  <c r="H28" i="2"/>
  <c r="G28" i="2"/>
  <c r="F28" i="2"/>
  <c r="E28" i="2"/>
  <c r="D28" i="2"/>
  <c r="C28" i="2"/>
  <c r="B28" i="2"/>
  <c r="Q27" i="2"/>
  <c r="P27" i="2"/>
  <c r="O27" i="2"/>
  <c r="N27" i="2"/>
  <c r="M27" i="2"/>
  <c r="L27" i="2"/>
  <c r="K27" i="2"/>
  <c r="J27" i="2"/>
  <c r="I27" i="2"/>
  <c r="H27" i="2"/>
  <c r="G27" i="2"/>
  <c r="F27" i="2"/>
  <c r="E27" i="2"/>
  <c r="D27" i="2"/>
  <c r="C27" i="2"/>
  <c r="B27" i="2"/>
  <c r="Q26" i="2"/>
  <c r="P26" i="2"/>
  <c r="O26" i="2"/>
  <c r="N26" i="2"/>
  <c r="M26" i="2"/>
  <c r="L26" i="2"/>
  <c r="K26" i="2"/>
  <c r="J26" i="2"/>
  <c r="I26" i="2"/>
  <c r="H26" i="2"/>
  <c r="G26" i="2"/>
  <c r="F26" i="2"/>
  <c r="E26" i="2"/>
  <c r="D26" i="2"/>
  <c r="C26" i="2"/>
  <c r="B26" i="2"/>
  <c r="Q25" i="2"/>
  <c r="P25" i="2"/>
  <c r="O25" i="2"/>
  <c r="N25" i="2"/>
  <c r="M25" i="2"/>
  <c r="L25" i="2"/>
  <c r="K25" i="2"/>
  <c r="J25" i="2"/>
  <c r="I25" i="2"/>
  <c r="H25" i="2"/>
  <c r="G25" i="2"/>
  <c r="F25" i="2"/>
  <c r="E25" i="2"/>
  <c r="D25" i="2"/>
  <c r="C25" i="2"/>
  <c r="B25" i="2"/>
  <c r="Q24" i="2"/>
  <c r="P24" i="2"/>
  <c r="O24" i="2"/>
  <c r="N24" i="2"/>
  <c r="M24" i="2"/>
  <c r="L24" i="2"/>
  <c r="K24" i="2"/>
  <c r="J24" i="2"/>
  <c r="I24" i="2"/>
  <c r="H24" i="2"/>
  <c r="G24" i="2"/>
  <c r="F24" i="2"/>
  <c r="E24" i="2"/>
  <c r="D24" i="2"/>
  <c r="C24" i="2"/>
  <c r="B24" i="2"/>
  <c r="Q23" i="2"/>
  <c r="P23" i="2"/>
  <c r="O23" i="2"/>
  <c r="N23" i="2"/>
  <c r="M23" i="2"/>
  <c r="L23" i="2"/>
  <c r="K23" i="2"/>
  <c r="J23" i="2"/>
  <c r="I23" i="2"/>
  <c r="H23" i="2"/>
  <c r="G23" i="2"/>
  <c r="F23" i="2"/>
  <c r="E23" i="2"/>
  <c r="D23" i="2"/>
  <c r="C23" i="2"/>
  <c r="B23" i="2"/>
  <c r="Q22" i="2"/>
  <c r="P22" i="2"/>
  <c r="O22" i="2"/>
  <c r="N22" i="2"/>
  <c r="M22" i="2"/>
  <c r="L22" i="2"/>
  <c r="K22" i="2"/>
  <c r="J22" i="2"/>
  <c r="I22" i="2"/>
  <c r="H22" i="2"/>
  <c r="G22" i="2"/>
  <c r="F22" i="2"/>
  <c r="E22" i="2"/>
  <c r="D22" i="2"/>
  <c r="C22" i="2"/>
  <c r="B22" i="2"/>
  <c r="Q19" i="2"/>
  <c r="P19" i="2"/>
  <c r="O19" i="2"/>
  <c r="N19" i="2"/>
  <c r="M19" i="2"/>
  <c r="L19" i="2"/>
  <c r="K19" i="2"/>
  <c r="J19" i="2"/>
  <c r="I19" i="2"/>
  <c r="H19" i="2"/>
  <c r="G19" i="2"/>
  <c r="F19" i="2"/>
  <c r="E19" i="2"/>
  <c r="D19" i="2"/>
  <c r="C19" i="2"/>
  <c r="B19" i="2"/>
  <c r="Q18" i="2"/>
  <c r="P18" i="2"/>
  <c r="O18" i="2"/>
  <c r="N18" i="2"/>
  <c r="M18" i="2"/>
  <c r="L18" i="2"/>
  <c r="K18" i="2"/>
  <c r="J18" i="2"/>
  <c r="I18" i="2"/>
  <c r="H18" i="2"/>
  <c r="G18" i="2"/>
  <c r="F18" i="2"/>
  <c r="E18" i="2"/>
  <c r="D18" i="2"/>
  <c r="C18" i="2"/>
  <c r="B18" i="2"/>
  <c r="Q17" i="2"/>
  <c r="P17" i="2"/>
  <c r="O17" i="2"/>
  <c r="N17" i="2"/>
  <c r="M17" i="2"/>
  <c r="L17" i="2"/>
  <c r="K17" i="2"/>
  <c r="J17" i="2"/>
  <c r="I17" i="2"/>
  <c r="H17" i="2"/>
  <c r="G17" i="2"/>
  <c r="F17" i="2"/>
  <c r="E17" i="2"/>
  <c r="D17" i="2"/>
  <c r="C17" i="2"/>
  <c r="B17" i="2"/>
  <c r="Q16" i="2"/>
  <c r="P16" i="2"/>
  <c r="O16" i="2"/>
  <c r="N16" i="2"/>
  <c r="M16" i="2"/>
  <c r="L16" i="2"/>
  <c r="K16" i="2"/>
  <c r="J16" i="2"/>
  <c r="I16" i="2"/>
  <c r="H16" i="2"/>
  <c r="G16" i="2"/>
  <c r="F16" i="2"/>
  <c r="E16" i="2"/>
  <c r="D16" i="2"/>
  <c r="C16" i="2"/>
  <c r="B16" i="2"/>
  <c r="Q15" i="2"/>
  <c r="P15" i="2"/>
  <c r="O15" i="2"/>
  <c r="N15" i="2"/>
  <c r="M15" i="2"/>
  <c r="L15" i="2"/>
  <c r="K15" i="2"/>
  <c r="J15" i="2"/>
  <c r="I15" i="2"/>
  <c r="H15" i="2"/>
  <c r="G15" i="2"/>
  <c r="F15" i="2"/>
  <c r="E15" i="2"/>
  <c r="D15" i="2"/>
  <c r="C15" i="2"/>
  <c r="B15" i="2"/>
  <c r="Q14" i="2"/>
  <c r="P14" i="2"/>
  <c r="O14" i="2"/>
  <c r="N14" i="2"/>
  <c r="M14" i="2"/>
  <c r="L14" i="2"/>
  <c r="K14" i="2"/>
  <c r="J14" i="2"/>
  <c r="I14" i="2"/>
  <c r="H14" i="2"/>
  <c r="G14" i="2"/>
  <c r="F14" i="2"/>
  <c r="E14" i="2"/>
  <c r="D14" i="2"/>
  <c r="C14" i="2"/>
  <c r="B14" i="2"/>
  <c r="Q13" i="2"/>
  <c r="P13" i="2"/>
  <c r="O13" i="2"/>
  <c r="N13" i="2"/>
  <c r="M13" i="2"/>
  <c r="L13" i="2"/>
  <c r="K13" i="2"/>
  <c r="J13" i="2"/>
  <c r="I13" i="2"/>
  <c r="H13" i="2"/>
  <c r="G13" i="2"/>
  <c r="F13" i="2"/>
  <c r="E13" i="2"/>
  <c r="D13" i="2"/>
  <c r="C13" i="2"/>
  <c r="B13" i="2"/>
  <c r="Q12" i="2"/>
  <c r="P12" i="2"/>
  <c r="O12" i="2"/>
  <c r="N12" i="2"/>
  <c r="M12" i="2"/>
  <c r="L12" i="2"/>
  <c r="K12" i="2"/>
  <c r="J12" i="2"/>
  <c r="I12" i="2"/>
  <c r="H12" i="2"/>
  <c r="G12" i="2"/>
  <c r="F12" i="2"/>
  <c r="E12" i="2"/>
  <c r="D12" i="2"/>
  <c r="C12" i="2"/>
  <c r="B12" i="2"/>
  <c r="Q9" i="2"/>
  <c r="P9" i="2"/>
  <c r="O9" i="2"/>
  <c r="N9" i="2"/>
  <c r="M9" i="2"/>
  <c r="L9" i="2"/>
  <c r="K9" i="2"/>
  <c r="J9" i="2"/>
  <c r="I9" i="2"/>
  <c r="H9" i="2"/>
  <c r="G9" i="2"/>
  <c r="F9" i="2"/>
  <c r="E9" i="2"/>
  <c r="D9" i="2"/>
  <c r="C9" i="2"/>
  <c r="B9" i="2"/>
  <c r="Q8" i="2"/>
  <c r="P8" i="2"/>
  <c r="O8" i="2"/>
  <c r="N8" i="2"/>
  <c r="M8" i="2"/>
  <c r="L8" i="2"/>
  <c r="K8" i="2"/>
  <c r="J8" i="2"/>
  <c r="I8" i="2"/>
  <c r="H8" i="2"/>
  <c r="G8" i="2"/>
  <c r="F8" i="2"/>
  <c r="E8" i="2"/>
  <c r="D8" i="2"/>
  <c r="C8" i="2"/>
  <c r="B8" i="2"/>
  <c r="Q7" i="2"/>
  <c r="P7" i="2"/>
  <c r="O7" i="2"/>
  <c r="N7" i="2"/>
  <c r="M7" i="2"/>
  <c r="L7" i="2"/>
  <c r="K7" i="2"/>
  <c r="J7" i="2"/>
  <c r="I7" i="2"/>
  <c r="H7" i="2"/>
  <c r="G7" i="2"/>
  <c r="F7" i="2"/>
  <c r="E7" i="2"/>
  <c r="D7" i="2"/>
  <c r="C7" i="2"/>
  <c r="B7" i="2"/>
  <c r="Q6" i="2"/>
  <c r="P6" i="2"/>
  <c r="O6" i="2"/>
  <c r="N6" i="2"/>
  <c r="M6" i="2"/>
  <c r="L6" i="2"/>
  <c r="K6" i="2"/>
  <c r="J6" i="2"/>
  <c r="I6" i="2"/>
  <c r="H6" i="2"/>
  <c r="G6" i="2"/>
  <c r="F6" i="2"/>
  <c r="E6" i="2"/>
  <c r="D6" i="2"/>
  <c r="C6" i="2"/>
  <c r="B6" i="2"/>
  <c r="Q5" i="2"/>
  <c r="P5" i="2"/>
  <c r="O5" i="2"/>
  <c r="N5" i="2"/>
  <c r="M5" i="2"/>
  <c r="L5" i="2"/>
  <c r="K5" i="2"/>
  <c r="J5" i="2"/>
  <c r="I5" i="2"/>
  <c r="H5" i="2"/>
  <c r="G5" i="2"/>
  <c r="F5" i="2"/>
  <c r="E5" i="2"/>
  <c r="D5" i="2"/>
  <c r="C5" i="2"/>
  <c r="B5" i="2"/>
  <c r="Q4" i="2"/>
  <c r="P4" i="2"/>
  <c r="O4" i="2"/>
  <c r="N4" i="2"/>
  <c r="M4" i="2"/>
  <c r="L4" i="2"/>
  <c r="K4" i="2"/>
  <c r="J4" i="2"/>
  <c r="I4" i="2"/>
  <c r="H4" i="2"/>
  <c r="G4" i="2"/>
  <c r="F4" i="2"/>
  <c r="E4" i="2"/>
  <c r="D4" i="2"/>
  <c r="C4" i="2"/>
  <c r="B4" i="2"/>
  <c r="Q3" i="2"/>
  <c r="P3" i="2"/>
  <c r="O3" i="2"/>
  <c r="N3" i="2"/>
  <c r="M3" i="2"/>
  <c r="L3" i="2"/>
  <c r="K3" i="2"/>
  <c r="J3" i="2"/>
  <c r="I3" i="2"/>
  <c r="H3" i="2"/>
  <c r="G3" i="2"/>
  <c r="F3" i="2"/>
  <c r="E3" i="2"/>
  <c r="D3" i="2"/>
  <c r="C3" i="2"/>
  <c r="B3" i="2"/>
</calcChain>
</file>

<file path=xl/sharedStrings.xml><?xml version="1.0" encoding="utf-8"?>
<sst xmlns="http://schemas.openxmlformats.org/spreadsheetml/2006/main" count="3111" uniqueCount="1223">
  <si>
    <t>Notes: Conversion Factors</t>
  </si>
  <si>
    <t>1 ton = 1250 liters</t>
  </si>
  <si>
    <t>Global Sustainable Aviation Fuel Production Capacity</t>
  </si>
  <si>
    <t>(mil gal/yr)</t>
  </si>
  <si>
    <t>&lt; 2021</t>
  </si>
  <si>
    <t>HEFA</t>
  </si>
  <si>
    <t>ATJ</t>
  </si>
  <si>
    <t>FT</t>
  </si>
  <si>
    <t>PTL</t>
  </si>
  <si>
    <t>Pyrolysis</t>
  </si>
  <si>
    <t>Co-Processing</t>
  </si>
  <si>
    <t>Total Capacity</t>
  </si>
  <si>
    <t>Global Cumulative Probability Adjusted SAF Capacity</t>
  </si>
  <si>
    <t>Global Announced SAF Capacity</t>
  </si>
  <si>
    <t>Global Cumulative SAF Capacity by Technology</t>
  </si>
  <si>
    <t>HEFA Cumulative</t>
  </si>
  <si>
    <t>ATJ Cumulative</t>
  </si>
  <si>
    <t>FT Cumulative</t>
  </si>
  <si>
    <t>PTL Cumulative</t>
  </si>
  <si>
    <t>Pyrolysis Cumulative</t>
  </si>
  <si>
    <t>Co-Processing Cumulative</t>
  </si>
  <si>
    <t>Number of Plants by Technology</t>
  </si>
  <si>
    <t>Check Total</t>
  </si>
  <si>
    <t>Check</t>
  </si>
  <si>
    <t>Total Plants</t>
  </si>
  <si>
    <t>Global SAF Capacity by Feedstock</t>
  </si>
  <si>
    <t>FOGs</t>
  </si>
  <si>
    <t>Ethanol</t>
  </si>
  <si>
    <t>Woody Biomass</t>
  </si>
  <si>
    <t>CCS</t>
  </si>
  <si>
    <t>MSW</t>
  </si>
  <si>
    <t>Fats, Oils and Greases</t>
  </si>
  <si>
    <t>Implied Feedstock Demand</t>
  </si>
  <si>
    <t>Feedstock Assumptions</t>
  </si>
  <si>
    <t>Range</t>
  </si>
  <si>
    <t>(mil lbs/yr)</t>
  </si>
  <si>
    <r>
      <t xml:space="preserve">FOGs </t>
    </r>
    <r>
      <rPr>
        <sz val="8"/>
        <color theme="1"/>
        <rFont val="Aptos Display"/>
        <family val="2"/>
      </rPr>
      <t>(mil lbs)</t>
    </r>
  </si>
  <si>
    <t>lbs/gal</t>
  </si>
  <si>
    <t>7.5-8.3</t>
  </si>
  <si>
    <r>
      <t xml:space="preserve">Grains </t>
    </r>
    <r>
      <rPr>
        <sz val="8"/>
        <color theme="1"/>
        <rFont val="Aptos Display"/>
        <family val="2"/>
      </rPr>
      <t>(mil lbs)</t>
    </r>
  </si>
  <si>
    <r>
      <t xml:space="preserve">Woody Biomass </t>
    </r>
    <r>
      <rPr>
        <sz val="8"/>
        <color theme="1"/>
        <rFont val="Aptos Display"/>
        <family val="2"/>
      </rPr>
      <t>(mil lbs)</t>
    </r>
  </si>
  <si>
    <t>33-40</t>
  </si>
  <si>
    <r>
      <t xml:space="preserve">CCS </t>
    </r>
    <r>
      <rPr>
        <sz val="8"/>
        <color theme="1"/>
        <rFont val="Aptos Display"/>
        <family val="2"/>
      </rPr>
      <t>(mil lbs)</t>
    </r>
  </si>
  <si>
    <t>69 grams of CO2 per megajoule of SAF and 1 gallon of SAF is equal to a lower heating value (LHV) of 126.37 megajoules, so 69 g CO2/MJ X 126.37 MJ/gal = 8719.3 g CO2 /gallon and 8719.3 grams / 1000000 g / tonne = 0.00871953 tonnes CO2 per gallon</t>
  </si>
  <si>
    <r>
      <t xml:space="preserve">MSW </t>
    </r>
    <r>
      <rPr>
        <sz val="8"/>
        <color theme="1"/>
        <rFont val="Aptos Display"/>
        <family val="2"/>
      </rPr>
      <t>(mil lbs)</t>
    </r>
  </si>
  <si>
    <t>Corn to SAF Conversions</t>
  </si>
  <si>
    <r>
      <t xml:space="preserve">Ethanol </t>
    </r>
    <r>
      <rPr>
        <sz val="8"/>
        <color theme="1"/>
        <rFont val="Aptos Display"/>
        <family val="2"/>
      </rPr>
      <t>(mil lbs)</t>
    </r>
  </si>
  <si>
    <r>
      <t xml:space="preserve">Ethanol </t>
    </r>
    <r>
      <rPr>
        <sz val="8"/>
        <color theme="1"/>
        <rFont val="Aptos Display"/>
        <family val="2"/>
      </rPr>
      <t>(mil gal)</t>
    </r>
  </si>
  <si>
    <t>gal/gal</t>
  </si>
  <si>
    <t>1.5-1.7</t>
  </si>
  <si>
    <r>
      <t xml:space="preserve">Corn </t>
    </r>
    <r>
      <rPr>
        <sz val="8"/>
        <color theme="1"/>
        <rFont val="Aptos Display"/>
        <family val="2"/>
      </rPr>
      <t>(mil bu)</t>
    </r>
  </si>
  <si>
    <t>bu/gal</t>
  </si>
  <si>
    <t>.3704-.3571</t>
  </si>
  <si>
    <t>gal/bu</t>
  </si>
  <si>
    <t>2.7-2.8</t>
  </si>
  <si>
    <t>Airline Miles</t>
  </si>
  <si>
    <t>Gallons of Fuel per Mile</t>
  </si>
  <si>
    <t>Blending Rate/Mandated</t>
  </si>
  <si>
    <t>Blending Rate/Possible</t>
  </si>
  <si>
    <t>Blending Rate Achieved</t>
  </si>
  <si>
    <t>Domestic Jet Fuel Consumption</t>
  </si>
  <si>
    <t>Domestic SAF Consumption</t>
  </si>
  <si>
    <t>Madates</t>
  </si>
  <si>
    <t>Goals of the SAF Grand Challenge</t>
  </si>
  <si>
    <t>US Federal-Level Programs</t>
  </si>
  <si>
    <t>1. Reduce cost of SAF</t>
  </si>
  <si>
    <t>SAF Grand Challenge</t>
  </si>
  <si>
    <t>2. Enhance the sustainability of SAF</t>
  </si>
  <si>
    <t>US State-Level Programs</t>
  </si>
  <si>
    <t>Low Carbon Fuel Standard (LCFS)</t>
  </si>
  <si>
    <t>3. Expand the production of SAF</t>
  </si>
  <si>
    <t>Clean Fuels Program (CFP)</t>
  </si>
  <si>
    <t>4. Reduce life cycle GHG emissions by 50% from conventional fuel by 2030</t>
  </si>
  <si>
    <t>Clean Fuel Standard (CFS)</t>
  </si>
  <si>
    <t>Canada Federal-Level Programs</t>
  </si>
  <si>
    <t>Clean Fuel Regulation (CFR)</t>
  </si>
  <si>
    <t>Canada Province-Level Programs</t>
  </si>
  <si>
    <t>British Colombia</t>
  </si>
  <si>
    <t>CORSIA Programs</t>
  </si>
  <si>
    <t>Total Mandated Volume</t>
  </si>
  <si>
    <t>Notes:</t>
  </si>
  <si>
    <t>California Air Resources Board (CARB) is proposing an explicit SAF mandate to eliminate the existing exemption for intrastate fossil jet fuel from the LCFS regulations beginning in 2028</t>
  </si>
  <si>
    <t>The proposed legislation would only apply to intrastate flights, but the requirement would likely apply to intra and interstate flights and international flights</t>
  </si>
  <si>
    <t>SAF consumption in California totalled 0.3% of LCFS credits sold in 2021(?)</t>
  </si>
  <si>
    <t>Corsia Mandates</t>
  </si>
  <si>
    <t>Canadian Airline Miles</t>
  </si>
  <si>
    <t>Canadian Jet Fuel Consumption</t>
  </si>
  <si>
    <t>Canadian SAF Consumption</t>
  </si>
  <si>
    <t>Mexican Airline Miles</t>
  </si>
  <si>
    <t>Mexican Jet Fuel Consumption</t>
  </si>
  <si>
    <t>Mexican SAF Consumption</t>
  </si>
  <si>
    <t>Location</t>
  </si>
  <si>
    <t>Notes</t>
  </si>
  <si>
    <t>an amount that would meet about 40% of intrastate travel demand </t>
  </si>
  <si>
    <t>Nameplate Capacity</t>
  </si>
  <si>
    <t>Company</t>
  </si>
  <si>
    <t>City</t>
  </si>
  <si>
    <t>Country</t>
  </si>
  <si>
    <t>Website</t>
  </si>
  <si>
    <t>Comments</t>
  </si>
  <si>
    <t>Start Date</t>
  </si>
  <si>
    <t>Expansion Date</t>
  </si>
  <si>
    <t>Current Status</t>
  </si>
  <si>
    <t>% Chance</t>
  </si>
  <si>
    <t>start-up/operating mmgal/yr</t>
  </si>
  <si>
    <t>expansion mmgal/yr</t>
  </si>
  <si>
    <t>t/yr</t>
  </si>
  <si>
    <t>RD Estimated Nameplate</t>
  </si>
  <si>
    <t>SAF Estimated Nameplate</t>
  </si>
  <si>
    <t xml:space="preserve">RD Expansion </t>
  </si>
  <si>
    <t>SAF Expansion</t>
  </si>
  <si>
    <t>Probability Adjusted RD Nameplate</t>
  </si>
  <si>
    <t>Probability Adjusted SAF Nameplate</t>
  </si>
  <si>
    <t>Probability Adjusted RD Expansion</t>
  </si>
  <si>
    <t>Probability Adjusted SAF Expansion</t>
  </si>
  <si>
    <t>Energy Technology</t>
  </si>
  <si>
    <t>Feedstock</t>
  </si>
  <si>
    <t>New / Old (Converted oil refinery)</t>
  </si>
  <si>
    <t>Investor Relations Sites</t>
  </si>
  <si>
    <t>Diamond Green Diesel</t>
  </si>
  <si>
    <t>Norco, LA</t>
  </si>
  <si>
    <t>USA</t>
  </si>
  <si>
    <t>RD &amp; SAF - PRN Newswire article on Sep 17 2014 announced the start up of the facility on Sep 15</t>
  </si>
  <si>
    <t>Operating</t>
  </si>
  <si>
    <t>Phillips 66 Rodeo</t>
  </si>
  <si>
    <t>San Francisco, CA</t>
  </si>
  <si>
    <t>https://www.safinvestor.com/opinion/145765/saf/</t>
  </si>
  <si>
    <t>Changed column F from "Apr-24" and changed column J from "800 RD/SAF" to automate capacity</t>
  </si>
  <si>
    <t>Old</t>
  </si>
  <si>
    <t>NXTClean Fuels</t>
  </si>
  <si>
    <t>Port Westward, OR</t>
  </si>
  <si>
    <t>https://nxtclean.com/projects-facilities/port-westward/;https://biodieselmagazine.com/articles/sojitz-next-renewable-fuels-partner-on-oregon-biorefinery-2518722;https://nxtclean.com/projects-facilities/port-westward/</t>
  </si>
  <si>
    <t>Construction to start late 2024 - Changed column J from "750 (RD&amp; SAF)" to automate capacity</t>
  </si>
  <si>
    <t>Construction</t>
  </si>
  <si>
    <t>Martinez Renewables (Marathon/Neste)</t>
  </si>
  <si>
    <t>Martinez, CA</t>
  </si>
  <si>
    <t>730mmgal/yr</t>
  </si>
  <si>
    <t>operating at min SAF maybe 2026</t>
  </si>
  <si>
    <t>CVR Energy</t>
  </si>
  <si>
    <t>Coffeyville, KS</t>
  </si>
  <si>
    <t>https://www.ogj.com/energy-transition/article/14301683/cvr-energy-lets-contract-for-proposed-kansas-renewable-fuels-plant</t>
  </si>
  <si>
    <t>Changed column J from "500 (up to 250 SAF)"</t>
  </si>
  <si>
    <t>ON HOLD</t>
  </si>
  <si>
    <t>Gron/Fidelis New Energy</t>
  </si>
  <si>
    <t>Baton Rouge, LA</t>
  </si>
  <si>
    <t>https://fidelisinfra.com/project/gron-fuels-llc/#;https://www.businessreport.com/business/heres-the-latest-on-baton-rouges-massive-gron-fuels-project</t>
  </si>
  <si>
    <t>Changed column J from "497 50/50 SAF/Other" to automate capacity</t>
  </si>
  <si>
    <t>8/22 update: construction not started - way behind</t>
  </si>
  <si>
    <t>Port Arthur, TX</t>
  </si>
  <si>
    <t>https://www.prnewswire.com/news-releases/diamond-green-diesel-dgd-approves-a-sustainable-aviation-fuel-project-at-port-arthur-texas-301735115.html; https://safmagazine.com/articles/valero-reports-strong-q2-for-renewables</t>
  </si>
  <si>
    <t>Converting already RD to 50/50 RD/SAF 470mn gal/yr - changed from Q4 2024 to automate capacity</t>
  </si>
  <si>
    <t>Texmark Chemicals</t>
  </si>
  <si>
    <t>Houston , TX</t>
  </si>
  <si>
    <t>https://advancedbiofuelsusa.info/epa-approves-rfs-fuel-pathway-filed-by-texmark-neste</t>
  </si>
  <si>
    <t>Neste RD from Koole Facility - Texmark filed for bankruptcy so not sure it is still open</t>
  </si>
  <si>
    <t>Operating/Closed</t>
  </si>
  <si>
    <t>Azure</t>
  </si>
  <si>
    <t>Manitoba</t>
  </si>
  <si>
    <t>CA</t>
  </si>
  <si>
    <t>https://www.shell.com/business-customers/catalysts-technologies/resources-library/azure-sustainable-fuels-saf-focused-production-facility-canada.html</t>
  </si>
  <si>
    <t>FID scheduled 2025</t>
  </si>
  <si>
    <t>New</t>
  </si>
  <si>
    <t>https://www.shell.com/investors/financial-calendar.html</t>
  </si>
  <si>
    <t>Imperial</t>
  </si>
  <si>
    <t>Strathcona</t>
  </si>
  <si>
    <t>https://biodieselmagazine.com/articles/imperial-oil-strathcona-biorefinery-remains-on-track-for-2025-startup, https://biodieselmagazine.com/articles/imperial-oil-strathcona-project-on-track-for-mid-2025-startup</t>
  </si>
  <si>
    <t>20,000bbl/d RD (how much SAF?) -- assume 50/50 - changed from 2Q 2025 to automate capacity. EM Q4 2024 call says lookinjg to start up unit in Q2</t>
  </si>
  <si>
    <t>https://www.imperialoil.ca/investors/investor-relations</t>
  </si>
  <si>
    <t>Braya Renewable Fuels</t>
  </si>
  <si>
    <t>Come By Chance, Newfoundland</t>
  </si>
  <si>
    <t>https://brayafuels.com/; https://biofuels-news.com/news/braya-renewable-fuels-begins-commercial-operations/: https://www.renewableenergymagazine.com/biofuels/braya-renewable-fuels-commences-commercial-operations-20240222</t>
  </si>
  <si>
    <t>Braya capacity is only listed for RD. not going to produce SAF yet - RD started Feb 2024</t>
  </si>
  <si>
    <t>Summit Next Gen</t>
  </si>
  <si>
    <t>https://www.safinvestor.com/news/145913/summit-next-gen/, https://www.prnewswire.com/news-releases/summit-agricultural-group-announces-the-creation-of-summit-next-gen-to-develop-the-worlds-largest-ethanol-to-jet-sustainable-aviation-fuel-facility-301824241.html, https://www.safinvestor.com/news/146889/summit-next-gen-2/</t>
  </si>
  <si>
    <t>60 acre site in Houston Ship Channel - Qualified for JETI tax incentive program in TX</t>
  </si>
  <si>
    <t>FID expected 2025</t>
  </si>
  <si>
    <t>World Energy</t>
  </si>
  <si>
    <t>https://www.worldenergy.net/new-technologies</t>
  </si>
  <si>
    <t>Changed column O from ""HEFA (SAF)" to automate capacity</t>
  </si>
  <si>
    <t>Federated Co-operatives (FCL)</t>
  </si>
  <si>
    <t>Saskatchewan</t>
  </si>
  <si>
    <t>https://biodieselmagazine.com/articles/fcl-shelves-plans-for-saskatchewan-renewable-diesel-project</t>
  </si>
  <si>
    <t>RD Unit 15000bbl/d with adjacent canola crush planned but now paused</t>
  </si>
  <si>
    <t>Paused</t>
  </si>
  <si>
    <t>Valley Green Fuels</t>
  </si>
  <si>
    <t>Kern County, CA</t>
  </si>
  <si>
    <t>https://ww2.arb.ca.gov/sites/default/files/classic/fuels/lcfs/fuelpathways/comments/tier2/b0079_report.pdf</t>
  </si>
  <si>
    <t>Looks like Kern Energy and only RD</t>
  </si>
  <si>
    <t>Planned</t>
  </si>
  <si>
    <t>DG Fuels</t>
  </si>
  <si>
    <t>Moorhead, Clay County, MN</t>
  </si>
  <si>
    <t>https://dgfuels.com/2024/10/30/dg-fuels-to-launch-saf-plant-in-moorhead-minnesota-converting-biomass-into-high-value-fuel/</t>
  </si>
  <si>
    <t>Loring, Aroostock County, ME</t>
  </si>
  <si>
    <t>https://dgfuels.com/2023/09/07/the-largest-green-biofuels-project-in-the-state-of-maine-is-making-great-strides/, https://thecounty.me/2024/11/15/business-news/company-slated-to-break-ground-on-4b-loring-aviation-fuel-facility-next-year/</t>
  </si>
  <si>
    <t>Nov 14 2022 press release from company stated "The project is currently expected to be completed in 2027." Construction listed as starting 2025</t>
  </si>
  <si>
    <t>HIF Global</t>
  </si>
  <si>
    <t>TX</t>
  </si>
  <si>
    <t>https://www.prnewswire.com/news-releases/hif-global-initiates-engineering-for-us-sustainable-aviation-fuel-facility-selects-johnson-matthey--honeywell-technologies-301820755.html, https://www.safinvestor.com/news/147186/hif-global-2/</t>
  </si>
  <si>
    <t>HIF’s Tier II Design Pathway Certification includes e-SAF, e-Naphtha, and e-Diesel as opt-in fuels allowing producers to apply and generate credits for their e-Fuels</t>
  </si>
  <si>
    <t>Nacero</t>
  </si>
  <si>
    <t>Penwell, TX</t>
  </si>
  <si>
    <t>https://nacero.co/press-releases/nacero-inc-invited-to-submit-part-ii-application-to-the-u-s-department-of-energy</t>
  </si>
  <si>
    <t>Changed from "2024 or later" to automate capacity</t>
  </si>
  <si>
    <t>FID mid-2024?</t>
  </si>
  <si>
    <t xml:space="preserve">Shell </t>
  </si>
  <si>
    <t>Convent, LA</t>
  </si>
  <si>
    <t>Converting old refinery shut in 2020</t>
  </si>
  <si>
    <t>Cherryvale, KS</t>
  </si>
  <si>
    <t>https://www.prnewswire.com/news-releases/azure-announces-plans-to-develop-an-saf-production-facility-in-kansas-302019895.html</t>
  </si>
  <si>
    <t>FEED 2024; FID 2025</t>
  </si>
  <si>
    <t>St. James Parish, LA</t>
  </si>
  <si>
    <t>https://dgfuels.com/2024/04/10/dg-fuels-johnson-matthey-bp-partner-for-largest-fischer-tropsch-saf-plant/;https://www.greenairnews.com/?p=5570, https://thecounty.me/2024/11/15/business-news/company-slated-to-break-ground-on-4b-loring-aviation-fuel-facility-next-year/</t>
  </si>
  <si>
    <t> The FT CANS technology is feedstock agnostic although the facility will use plant waste, primarily sugar cane bagasse. 450mm liters/yr - changed column P from "Resid biomass, MSW" and changed column O from "FT CANS" and changed column J from "120-135" to automate capacity. Construction listed as starting 2025</t>
  </si>
  <si>
    <t>FEED Summer 2024; FID-2025; Construction start 2025</t>
  </si>
  <si>
    <t>Blue Blade Energy (JV United Tallgrass &amp; Green Plains)</t>
  </si>
  <si>
    <t>Midcontinent US TBD</t>
  </si>
  <si>
    <t>https://investor.gpreinc.com/news/news-details/2023/United-Tallgrass-and-Green-Plains-Form-Joint-Venture-to-Develop-New-Sustainable-Aviation-Fuel-Technology-Using-Ethanol/default.aspx</t>
  </si>
  <si>
    <t>United Airlines, Tallgrass, and Green Plains Inc. today announced a new joint venture – Blue Blade Energy – to develop and then commercialize a novel Sustainable Aviation Fuel (SAF) technology that uses ethanol as its feedstock. If the technology is successful, Blue Blade is expected to proceed with the construction of a pilot facility in 2024, followed by a full-scale facility that could begin commercial operations by 2028. The offtake agreement could provide for enough SAF to fly more than 50,000 flights annually between United's hub airports in Chicago and Denver.*</t>
  </si>
  <si>
    <t>Constuction</t>
  </si>
  <si>
    <t>Edgewood Renewables</t>
  </si>
  <si>
    <t>Clark County, NV</t>
  </si>
  <si>
    <t>https://biomassmagazine.com/articles/nevada-approves-tax-abatements-for-proposed-renewable-diesel-saf-project</t>
  </si>
  <si>
    <t>purchased from Ryze June 2023 (near Las Vegas) - Changed from Q4 2025 to automate capacity</t>
  </si>
  <si>
    <t>Marquis SAF &amp; LanzaJet</t>
  </si>
  <si>
    <t>Hennepin, IL</t>
  </si>
  <si>
    <t>https://www.lanzajet.com/news-insights/lanzajet-and-marquis-sustainable-aviation-fuel-saf-partner-to-build-an-integrated-sustainable-fuels-plant-in-illinois, https://marquisinc.com/saf/, https://www.farmweeknow.com/environmental/ifb-carbon-team-tours-market-opportunities-with-marquis-energy/article_7f7ca10a-5275-11ee-9ab4-2f333d5f0e92.html</t>
  </si>
  <si>
    <t xml:space="preserve">Update for 2024 is delay to "as early as 2027" </t>
  </si>
  <si>
    <t>Avina Clean Hydrogen</t>
  </si>
  <si>
    <t>IL</t>
  </si>
  <si>
    <t>https://www.safinvestor.com/news/145693/avina/, https://swedishbiofuels.se/news/avina-selects-sustainable-aviation-fuel-technology-developed-by-swedish-biofuels</t>
  </si>
  <si>
    <t>PureSAF technology - Swedish Biofuels technology</t>
  </si>
  <si>
    <t>FEED 2Q 2024</t>
  </si>
  <si>
    <t>Phelps County, NE</t>
  </si>
  <si>
    <t>https://www.safinvestor.com/news/145688/dg-fuels-to-build-193m-gallon-saf-plant-in-nebraska/, https://www.safinvestor.com/news/146550/maire/</t>
  </si>
  <si>
    <t>MAIRE(NEXTCHEM) licensing tech - changed column P from "corn stover." MAIRE, through its subsidiary MyRechemical, awarded a contract to provide early engineering, licensing, and Process Design Package (PDP) services. Listed as 450 m liters annual</t>
  </si>
  <si>
    <t>Engineering contracts awarded</t>
  </si>
  <si>
    <t>Tidewater Renewables</t>
  </si>
  <si>
    <t>Prince George, BC</t>
  </si>
  <si>
    <t>https://biodieselmagazine.com/articles/tidewater-reports-strong-q2-operations-progress-with-saf-project, https://www.tidewater-renewables.com/investors/news-events/tidewater-renewables-ltd-announces-second-quarter-2024-results/, https://safmagazine.com/articles/tidewater-expects-to-make-final-investment-decision-on-proposed-saf-project-during-second-half-of-2025</t>
  </si>
  <si>
    <t>6500 bbl/d SAF project In 2025 they opened an RD unit. RD unit operating 88% for 44.91 mmgal. I think SAF would be a separate unit.</t>
  </si>
  <si>
    <t>Green Energy Transformation</t>
  </si>
  <si>
    <t>Calgary</t>
  </si>
  <si>
    <t>https://www.biobased-diesel.com/post/new-partnership-to-develop-renewable-diesel-saf-projects-in-canada</t>
  </si>
  <si>
    <t>Wynnewood, OK</t>
  </si>
  <si>
    <t>https://biomassmagazine.com/articles/cvr-energy-continues-to-consider-saf-projects-at-2-refineries</t>
  </si>
  <si>
    <t>The RD unit began operations in April 2022 at 50% capacity while CVR obtained certifications</t>
  </si>
  <si>
    <t>Slate Refining/ Starwood Energy Group</t>
  </si>
  <si>
    <t>Douglas, WY</t>
  </si>
  <si>
    <t>Under construction according to a PR Newswire article from Aug 2021</t>
  </si>
  <si>
    <t>Announced in 2021 but no recent info</t>
  </si>
  <si>
    <t>Covenant Energy</t>
  </si>
  <si>
    <t>https://www.ogj.com/refining-processing/refining/article/14205421/covenant-energy-plans-renewable-diesel-refinery-in-saskatchewan</t>
  </si>
  <si>
    <t>Indaba Renewable Fuels</t>
  </si>
  <si>
    <t>Imperial Valley, CA</t>
  </si>
  <si>
    <t>https://www.indabarenewablefuels.com/technology#our-progress</t>
  </si>
  <si>
    <t>West Memphis, AR</t>
  </si>
  <si>
    <r>
      <rPr>
        <sz val="10"/>
        <color rgb="FFFF0000"/>
        <rFont val="Aptos Display"/>
        <family val="2"/>
      </rPr>
      <t>Moved to 2026 due to no news Mar 2025</t>
    </r>
    <r>
      <rPr>
        <sz val="10"/>
        <rFont val="Aptos Display"/>
        <family val="2"/>
      </rPr>
      <t xml:space="preserve"> --Once operational, West Memphis refinery produce around 79.5 mm gal of high-grade, low-sulphur, drop-in SAF a year using the Haldor Topsøe technology “HydroFlex”. Hydroflex is a process for producing renewable diesel that meets the ASTM D975 standard, and for producing HEFA jet fuel through hydrotreatment of any fatty-acid based feedstock. Indaba’s SAF will be produced using feedstock from 50% yellow grease – from UCO, and 50% brown grease – from fat, oil and grease (FOG). The facility will also contain the capacity to process FOG feedstock on site. The company has signed a 20-year feedstock supply agreement with supply manager Ecostrat, which will provide brown grease, yellow grease and DCO feedstock to Indaba.</t>
    </r>
  </si>
  <si>
    <t>Aemetis Carbon Zero</t>
  </si>
  <si>
    <t>Riverbank, CA</t>
  </si>
  <si>
    <t>https://www.aemetis.com/investors/presentation/; https://www.aemetis.com/aemetis-receives-key-permit-for-90-million-gallon-per-year-sustainable-aviation-fuel-and-renewable-diesel-plant-in-california/</t>
  </si>
  <si>
    <t>https://www.aemetis.com/investors/conference-calls/</t>
  </si>
  <si>
    <t>Crysalis Bioscience</t>
  </si>
  <si>
    <t>https://www.safinvestor.com/news/146063/crysalis-biosciences/</t>
  </si>
  <si>
    <t xml:space="preserve">5,000-10,000 bbl/d SAF - co-located with ethanol unit </t>
  </si>
  <si>
    <t>Investigation</t>
  </si>
  <si>
    <t>HOBO Renewables #1</t>
  </si>
  <si>
    <t>Clinton, IA</t>
  </si>
  <si>
    <t>https://hobord.com/projects/</t>
  </si>
  <si>
    <t>Houston Home office - changed from "Q2 2027" and column O from "HEFA?" to automate capacity</t>
  </si>
  <si>
    <t>Gevo/Net-Zero1</t>
  </si>
  <si>
    <t>Lake Preston, ND</t>
  </si>
  <si>
    <t>https://investors.gevo.com/static-files/7c7da5b7-8918-4d64-8cba-2bb7cfa5a7ee;https://mnbioeconomy.org/minnesotas-sustainable-aviation-fuel-opportunity-part-3/;https://safmagazine.com/articles/gevo-provides-update-of-rng-saf-projects</t>
  </si>
  <si>
    <t>Working to secure DOE loan guarantee; connected to proposed carbon pipeline project; Use of their own RNG allow the CI to be reduced - Changed column J from "55/62" and column O from "Axens ATJ" to automate capacity Change in start date based on WD conversation. They are waiting on permits for the CCS.</t>
  </si>
  <si>
    <t>HOBO Renewables #2</t>
  </si>
  <si>
    <t>TBD</t>
  </si>
  <si>
    <t>Changed from Q3 2028 and column O from "HEFA?" to automate capacity</t>
  </si>
  <si>
    <t>Northwest Advanced Bio-Fuels</t>
  </si>
  <si>
    <t>Scottsdale, AZ</t>
  </si>
  <si>
    <t>https://biomassmagazine.com/articles/ipsc-awarded-saf-project-by-northwest-advanced-bio-fuels-20248</t>
  </si>
  <si>
    <t>Secured construction equity in Mar 2021. Partnership with Delta, which won Delta an award they did a press release about, so while this is a "second-generation" cellulosic plant with unproven or tested design and construction, at some point it will probably need to produce something or it will embaress Delta, not that it could not happen, but this is the Microsoft stuff we heard at the IATA Conference - Awarded SAF Project to IHI Power Services in Aug 2023</t>
  </si>
  <si>
    <t>Par Pacific</t>
  </si>
  <si>
    <t>Kapolei, HI</t>
  </si>
  <si>
    <t>https://www.biobased-diesel.com/post/hawaii-oil-refinery-investing-90-million-to-produce-renewable-diesel-saf-by-2025</t>
  </si>
  <si>
    <t>Changed column J from "36 (61T 60SAF/40RD -- but flex to 90RD)" to automate capacity</t>
  </si>
  <si>
    <t>Sugar Valley Energy</t>
  </si>
  <si>
    <t>https://www.californiaethanolpower.com/sve; https://www.ivpressonline.com/featured/sugar-valley-moves-forward-crop-commitments-secured-for-sugar-valley-energy-ethanol-bio-refinery-in/article_c2e68690-0815-11ee-b6fe-633bb56b44eb.html</t>
  </si>
  <si>
    <t>Changed column J from "61/200" to automate capacity</t>
  </si>
  <si>
    <t>Suncor</t>
  </si>
  <si>
    <t>??</t>
  </si>
  <si>
    <t>https://www.suncor.com/en-ca/news-and-stories/suncors-response-to-recent-changes-competition-act</t>
  </si>
  <si>
    <t>June 2024 The federal government, through late changes to omnibus Bill C-59, passed amendments to the Competition Act with immediate effect that create significant uncertainty for Canadian companies that want to communicate publicly about the work they are doing to improve their environmental performance, including actions and plans to address climate change. To be clear, Suncor Energy remains fully committed to environmental performance, sustainable development, the work we are doing to reduce greenhouse gas emissions and our related ambitions. We believe we, along with industry, have a key role to play in helping Canada reduce its greenhouse gas emissions and meet its climate ambitions, while also supporting a vibrant economy, improving environmental performance and providing Canadians with secure access to affordable energy. There is uncertainty on how the new law will be interpreted and applied. Until the Competition Bureau provides clarity and specific guidance on what is required to comply with these new laws, given the associated risk of non-compliance, we have temporarily removed some environmental and climate content from our website, social media and other public communications.</t>
  </si>
  <si>
    <t>https://www.suncor.com/en-ca/investors/events-and-presentations</t>
  </si>
  <si>
    <t>SAFuels X/ AIC Energy Corp</t>
  </si>
  <si>
    <t>Trenton, ND</t>
  </si>
  <si>
    <t>https://safuelsx.com/</t>
  </si>
  <si>
    <t>5/17/2024 request extension of 18 month on current permit to construct -- plan to start construction in 12 months</t>
  </si>
  <si>
    <t>May 2025 Construction</t>
  </si>
  <si>
    <t>Montana Renewables (Calumet)</t>
  </si>
  <si>
    <t>Great Falls, MT</t>
  </si>
  <si>
    <t>https://www.ogj.com/energy-transition/article/14296189/calumet-provides-operational-update-on-montana-renewables-great-falls-plant; https://biodieselmagazine.com/articles/calumet-montana-renewables-ramps-up-production-in-q1; https://www.eia.gov/todayinenergy/detail.php?id=62504, https://www.safinvestor.com/news/145975/montana-renewables/, https://safmagazine.com/articles/montana-renewables-receives-144-billion-conditional-commitment-from-doe-for-renewable-fuels-and-biomass-energy-facility, https://calumet.com/montana-renewables-llc-ships-sustainable-aviation-fuel-to-msp-airport/</t>
  </si>
  <si>
    <r>
      <t xml:space="preserve">The Cherry Point production will supply fuel to airports in the region through the Olympic Pipeline, which runs from Ferndale to Portland. </t>
    </r>
    <r>
      <rPr>
        <sz val="10"/>
        <rFont val="Aptos Display"/>
        <family val="2"/>
      </rPr>
      <t>45 mmgal via email 10/8/2024. Expansion to 330 mmgal SAF/RD - max SAF at 300 mmgal S/U 2026?2028?</t>
    </r>
    <r>
      <rPr>
        <sz val="10"/>
        <rFont val="Aptos Display"/>
        <family val="2"/>
        <scheme val="major"/>
      </rPr>
      <t xml:space="preserve"> Shipped SAF to Minn-St Paul Intl Airport Sept 24. Listing RD capacity as 15,000 bbl/d</t>
    </r>
  </si>
  <si>
    <t>https://calumet.investorroom.com/Events</t>
  </si>
  <si>
    <t>Simply Blue Group</t>
  </si>
  <si>
    <t>Goldboro, Nova Scotia</t>
  </si>
  <si>
    <t>https://simplybluegroup.com/news/simply-blue-group-to-develop-major-sustainable-aviation-fuel-hub-in-goldboro-nova-scotia/, https://safmagazine.com/articles/simply-blue-group-nova-scotia-mikmaw-chiefs-sign-mou-for-goldboro-saf-project</t>
  </si>
  <si>
    <t>Land purchased Sept 2024. Green biomass - expected to source 700,000 t/yr. Plan to provide to transportation sector with aviation and marine fuel. - Converted tonnes in column E to gal per year in column J and changed column P from "Wood mass, green biomass" for capacity calculation</t>
  </si>
  <si>
    <t>Refuel Energy Inc Refuel YYZ facility</t>
  </si>
  <si>
    <t>Toronto, Ontario</t>
  </si>
  <si>
    <t>http://refuelthefuture.com/; https://www.greencarcongress.com/2022/04/20220421-refuel.html</t>
  </si>
  <si>
    <t>Assume 50/50 RD/SAF</t>
  </si>
  <si>
    <t>Santa Maria Renewable Resources (SMRR)</t>
  </si>
  <si>
    <t>Lufkin, TX</t>
  </si>
  <si>
    <t>https://bioenergyinternational.com/santa-maria-renewable-resources-selects-tech-suppliers/</t>
  </si>
  <si>
    <t>Selected technology in Nov 23, (3,000 barrels per stream per day, meaning?)</t>
  </si>
  <si>
    <t>New Rise Renewables (XCF Global Capital)</t>
  </si>
  <si>
    <t>Reno, NV</t>
  </si>
  <si>
    <t>https://www.prnewswire.com/news-releases/new-rise-renewables-announces-conversion-of-state-of-the-art-renewable-diesel-facility-in-nevada-paving-the-way-for-sustainable-aviation-fuel-saf-production-302111060.html; https://www.safinvestor.com/news/144756/new-rise-renewables-inaugurates-3200bpd-saf-facility-in-nevada/; https://biodieselmagazine.com/articles/new-rise-renewables-pivots-to-saf-production,https://www.safinvestor.com/news/147019/new-rise/ https://www.nevadaappeal.com/news/2024/sep/18/tahoe-reno-industrial-center-refinery-sale-targets-new-aviation-fuel-market/</t>
  </si>
  <si>
    <t xml:space="preserve">XCF Global announced it began SAF production at the New Rise Renewables site in Reno, Nevada in the US. Offtake agreement for 3m gallons of SAF with 3rd-party buyer for sale of neat SAF.  1st shipments of neat SAF are expected to begin in Feb 2025, with delivery anticipated to begin in early March. Listed as 3,000 bbl/d </t>
  </si>
  <si>
    <t>Operational</t>
  </si>
  <si>
    <t>ReadiFuels - Iowa LLC</t>
  </si>
  <si>
    <t>Hull, IA</t>
  </si>
  <si>
    <t>https://biomassmagazine.com/articles/clg-ara-to-supply-technology-to-iowa-renewable-diesel-saf-plant-18056</t>
  </si>
  <si>
    <t>Moved to 2026 due to no news Mar 2025 - Chevron Lummus and Applied Research Assoc technology contract for project 2021</t>
  </si>
  <si>
    <t>Velocys (Bayou Fuels)</t>
  </si>
  <si>
    <t>Natchez, MS</t>
  </si>
  <si>
    <t>https://www.natchezdemocrat.com/2024/03/26/bayou-fuels-owner-velocys-goes-private-with-40m-investment/</t>
  </si>
  <si>
    <t>Changed from ?/2027 to automate capacity</t>
  </si>
  <si>
    <t>construction not started 7/25/2024</t>
  </si>
  <si>
    <t>Strategic Biofuels/ Magnolia Sustainable Energy</t>
  </si>
  <si>
    <t>Columbia, LA</t>
  </si>
  <si>
    <t>https://www.prnewswire.com/news-releases/strategic-biofuels-announces-strategic-investment-from-magnolia-sustainable-energy-partners-302109818.html; https://biodieselmagazine.com/articles/proposed-louisiana-green-fuels-project-pivots-to-saf</t>
  </si>
  <si>
    <t>Sumitomo &amp; JX Nippon are Magnolia - Changed column J from "34 (RD&amp;SAF)" and changed column O from "HEFA/CCS" and column P from "Forestry Biomass" to automate capacity</t>
  </si>
  <si>
    <t>USA BioEnergy</t>
  </si>
  <si>
    <t>Bon Weir, TX</t>
  </si>
  <si>
    <t>https://usabioenergy.com/pr-doe-program-2024/, https://www.safinvestor.com/news/146738/usa-bioenergy/, https://www.safinvestor.com/opinion/147194/usa-bioenergy/</t>
  </si>
  <si>
    <t>Acquired land, convert 1mil tons of forest thinning into 65 mil gal of net-zero transportation fuel including SAF. 3/17: Andrews estimates approximately 18 more months of engineering activities before reaching FID, followed by 24 months of construction and 6-8 months of commissioning. Once operational, the East Texas facility will have a nameplate capacity of 65m gallons annually – 82% SAF and 18% renewable naphtha.</t>
  </si>
  <si>
    <t>Fulcrum Bioenergy Centerpoint facility</t>
  </si>
  <si>
    <t>Gary, IN</t>
  </si>
  <si>
    <t>https://www.safinvestor.com/news/145909/fulcrum-bioenergy/, https://chicagocrusader.com/fulcrum-bioenergys-financial-woes-deflate-promises-for-clean-fuels/</t>
  </si>
  <si>
    <t>Laid off nearly all of its staff in May 2024 and halted most of its operations, according to more than a half-dozen former employees. - Changed from 2025/2026 to automate capacity</t>
  </si>
  <si>
    <t>Cancelled</t>
  </si>
  <si>
    <t>Pathway</t>
  </si>
  <si>
    <t>https://www.safinvestor.com/news/146618/drax-2/</t>
  </si>
  <si>
    <t>Construction to start 2026; carbon negative SAF - Feedstock supplied by DRAX (supplies biomass pellets could this be an FT with CCS?)</t>
  </si>
  <si>
    <t>SkyNRG Project Wigeon</t>
  </si>
  <si>
    <t>Walla Walla, WA</t>
  </si>
  <si>
    <t>https://skynrg.com/producing-saf/skynrg-pacific-northwest/, https://biodieselmagazine.com/articles/skynrg-project-secures-15-million-grant</t>
  </si>
  <si>
    <t>Changed from 2028/2029 so we can automate the capacity by year calculations</t>
  </si>
  <si>
    <t>Chevron El Segundo</t>
  </si>
  <si>
    <t>El Segundo, CA</t>
  </si>
  <si>
    <t>https://www.chevron.com/-/media/chevron/about/documents/chevron-history-brochure.pdf</t>
  </si>
  <si>
    <t>An Oil &amp; Gas Journal article from Nov 7 2023 stated "Chevron completed the conversion and startup of an existing diesel hydrotreating unit for flexible…"</t>
  </si>
  <si>
    <t>Chevron Pascagoula</t>
  </si>
  <si>
    <t>Pascagoula, MS</t>
  </si>
  <si>
    <t>https://www.ogj.com/refining-processing/refining/operations/article/14301208/chevron-commissions-unit-for-renewable-fuels-project-at-el-segundo-refinery</t>
  </si>
  <si>
    <t>An OGJ article from Nov 7 2023 stated "the operator said in its April statement that 'other [unidentified renewable fuels] conversion projects at El Segundo and [its 257,000 -b/d refinery in Richmond, Calif.] have intentionally been put on hold due to current economics…" The article also stated Chevron had completed concept selection and would be moving forward into front-end engineering and design for a renewable fuels project at Chevron USDA's 369,000-b/d refinery in Pascagoula, Miss."</t>
  </si>
  <si>
    <t>Arcadia eFuels - Project Arc</t>
  </si>
  <si>
    <t>Gregory, TX</t>
  </si>
  <si>
    <t>23.2 mn gal</t>
  </si>
  <si>
    <t>FEED funded Aug 2024</t>
  </si>
  <si>
    <t>CountryMark</t>
  </si>
  <si>
    <t>Indiana</t>
  </si>
  <si>
    <t>https://www.brownfieldagnews.com/news/countrymark-expects-to-co-process-renewable-diesel-by-2025/</t>
  </si>
  <si>
    <t>Capacity listed is RD only (would need to add to get total with SAF) - Changed from Jan-25 to automate capacity</t>
  </si>
  <si>
    <t>CastleRock Green Energy</t>
  </si>
  <si>
    <t>Shelton, WA</t>
  </si>
  <si>
    <t>https://www.energytech.com/renewables/article/21254437/castlerock-green-energy-to-build-two-biofuel-facilities-in-washington</t>
  </si>
  <si>
    <t>Plan to build 2-20mgy renewable fuel oils facilities - Changed column J from "? 20" and changed column O from "Ensyn RTP technology" to automate capacity</t>
  </si>
  <si>
    <t>Paramount, CA</t>
  </si>
  <si>
    <t>https://www.worldenergy.net/new-technologies; https://www.eia.gov/todayinenergy/detail.php?id=62504</t>
  </si>
  <si>
    <t>Changed column J from "20/250" to separate the expansion date out to automate capacity. Also changed column N from "250" to align the capacity data with the other data series</t>
  </si>
  <si>
    <t>Freedom Pines (Suncor - Mitsui - Lanza Jet)</t>
  </si>
  <si>
    <t>Soperton, GA</t>
  </si>
  <si>
    <t>https://www.greenairnews.com/?p=5251;https://biofuelscentral.com/brazil-makes-first-shipment-of-sugar-cane-ethanol-to-us-jet-fuel-plant/</t>
  </si>
  <si>
    <t>5/2/24: imported ethanol from BR; said to be producing in Q4 at the IATA conference Sept 24 - Changed from Jan-24 to automate capacity</t>
  </si>
  <si>
    <t>BP</t>
  </si>
  <si>
    <t>Cherry Point, WA</t>
  </si>
  <si>
    <t>https://www.thenorthernlight.com/stories/bp-cherry-point-to-receive-268-million-for-sustainable-aviation-fuel,34135</t>
  </si>
  <si>
    <t>The $26.8 million will fund infrastructure and equipment for SAF production at bp Cherry Point. The project is anticipated to create 96 jobs and produce 10 million gallons of fuel annually, according to a news release from Cantwell’s office.</t>
  </si>
  <si>
    <t>SAF+ Consortium</t>
  </si>
  <si>
    <t>Quebec</t>
  </si>
  <si>
    <t>Infinium (Project Roadrunner)</t>
  </si>
  <si>
    <t>West TX</t>
  </si>
  <si>
    <t>https://www.safinvestor.com/news/144636/infinium-starts-texas-efuels-facility/</t>
  </si>
  <si>
    <t>Info in article about this project starting in 2026</t>
  </si>
  <si>
    <t>Blue Biofuels</t>
  </si>
  <si>
    <t>Frostproof, FL</t>
  </si>
  <si>
    <t>https://safmagazine.com/articles/blue-biofuels-acquires-land-for-large-scale-renewable-fuel-production-in-florida, https://bluebiofuels.com/blue-biofuels-acquires-land-for-large-scale-renewable-fuel-production-in-florida/</t>
  </si>
  <si>
    <t>Initial 3 mm gal/yr biofuel.  Future expansion to 100 mm gal/yr of cellulosic ethanol and 100 mm gal/yr SAF. Used the 90SAF/10RD - based on LanzaJet to get RD info</t>
  </si>
  <si>
    <t>Purchased land &amp; working engineering</t>
  </si>
  <si>
    <t>Cellulosic ethanol (cellulose to sugar process)</t>
  </si>
  <si>
    <t>Sea Dragon Energy (Project Genesis)</t>
  </si>
  <si>
    <t>HI</t>
  </si>
  <si>
    <t>https://www.safinvestor.com/news/146847/eft/, https://www.prweb.com/releases/eft-awarded-sub-contract-in-support-of-sea-dragon-energys-contract-with-the-office-of-naval-research-to-demonstrate-co2-from-seawater-into-sustainable-aviation-efuels-302357067.html</t>
  </si>
  <si>
    <t>Emerging Fuel Technology awarded technology contract for CO2 from seawater for SAF. Sea Dragon Energy is also connected to the Office of Naval Research. Subsidiary of GALT Aerospace</t>
  </si>
  <si>
    <t>Planned - equipment delivery Q4 2025</t>
  </si>
  <si>
    <t>PtL</t>
  </si>
  <si>
    <t>Sea water to syngas to SAF</t>
  </si>
  <si>
    <t>Alder Fuels</t>
  </si>
  <si>
    <t>Southeast US TBD</t>
  </si>
  <si>
    <t>https://www.greenairnews.com/?p=3934</t>
  </si>
  <si>
    <r>
      <t xml:space="preserve">Demo plant Phase 1 Grant $2 mn USDOE for engineering design of 1st demonstration-scale plant to make </t>
    </r>
    <r>
      <rPr>
        <b/>
        <sz val="10"/>
        <rFont val="Aptos Display"/>
        <family val="2"/>
      </rPr>
      <t>renewable crude?</t>
    </r>
    <r>
      <rPr>
        <sz val="10"/>
        <rFont val="Aptos Display"/>
        <family val="2"/>
      </rPr>
      <t xml:space="preserve"> Changed from 2026 or later to automate capacity</t>
    </r>
  </si>
  <si>
    <t xml:space="preserve">Alleo Energy </t>
  </si>
  <si>
    <t>Bay Minette, AL</t>
  </si>
  <si>
    <t>https://www.alleoenergy.com/investor-resources, https://www.businesswire.com/news/home/20230315005371/en/All%C3%A9o-Energy-Produces-D975-Certified-Over-the-Road-Diesel-From-Wood-Waste</t>
  </si>
  <si>
    <t>only makes RD but it can be upgraded to SAF</t>
  </si>
  <si>
    <t>Infinium (Project Pathfinder)</t>
  </si>
  <si>
    <t>Corpus Christi, TX</t>
  </si>
  <si>
    <t>https://www.prnewswire.com/news-releases/infiniums-project-pathfinder-is-worlds-first-fully-operational-efuels-facility-302095002.html, https://www.safinvestor.com/news/144636/infinium-starts-texas-efuels-facility/</t>
  </si>
  <si>
    <t>pilot plant - a "Hindustan Times" article from Apr 9 2024 reported the Infinium Corpus Christi facility can produce approximately 3 million liters of e-fuel per year at full capacity.</t>
  </si>
  <si>
    <t>SAFFiRE</t>
  </si>
  <si>
    <t>Liberal, KS</t>
  </si>
  <si>
    <t>https://www.saffirerenewables.com/post/saffire-renewables-celebrates-groundbreaking-of-pilot-plant-supporting-sustainable-aviation-fuel</t>
  </si>
  <si>
    <t>capable of processing 10 tons of corn stover every day, yielding cellulosic ethanol that can be upgraded into SAF with a carbon footprint at least 83% lower than conventional jet fuel. Q4 2025 start</t>
  </si>
  <si>
    <t>Ethanol from Corn stover</t>
  </si>
  <si>
    <t>Trecora/ S Hampton Resources/ Gevo</t>
  </si>
  <si>
    <t>Silsbee, TX</t>
  </si>
  <si>
    <t>https://demoplants21.best-research.eu/projects/info/3912/VEcQZJ; https://gevo.com/wp-content/uploads/2023/05/Gevo_LakePreston_one-sheet_5.19.23.pdf;https://www.icao.int/environmental-protection/SAF/Lists/SAAFA/View.aspx</t>
  </si>
  <si>
    <t>Demo - closed. Looks like it was the Demo for the Gevo/Net Zero 1 unit</t>
  </si>
  <si>
    <t>Twelve / Air Plant One</t>
  </si>
  <si>
    <t>Moses Lake, WA</t>
  </si>
  <si>
    <t>https://businessfacilities.com/twelve-breaks-ground-washington-sustainable-aviation-fuel-plant/;https://carbonherald.com/twelve-launches-first-commercial-scale-saf-production-facility/, https://www.safinvestor.com/news/145970/twelve/, https://www.safinvestor.com/news/146960/mol-switch/</t>
  </si>
  <si>
    <t>Run on hydropower &amp; use CO2 captured from nearby ethanol plant. The captured CO2 &amp; water fed through OPUS &amp; turned into synthetic gas, which is a basis of SAF. Many investors including MOL Switch, Mitsui &amp; Co, Development Bank of Japan, Advantage Partners and Toppan Global Venture Partners</t>
  </si>
  <si>
    <t>Aether Fuels Aurora/ GTI Energy</t>
  </si>
  <si>
    <t>Chicago, IL</t>
  </si>
  <si>
    <t>https://aetherfuels.com/news-and-press/aether-fuels-signs-mou-with-jetblue, https://aetherfuels.com/news-and-press/electric-tri-converter-demo-results-a-breakthrough-for-aether-aurora-saf-solution</t>
  </si>
  <si>
    <t>constructing a 100 gallon-per-day (380l/day) pilot line that builds on the successful operation of an existing 1.5 gallon-per-day (6l/day) pilot line.</t>
  </si>
  <si>
    <t>Parkland</t>
  </si>
  <si>
    <t>Burnaby</t>
  </si>
  <si>
    <t>https://www.safinvestor.com/news/146628/parkland/</t>
  </si>
  <si>
    <t>101,000 liters produced 12/24, uses canola &amp; tallow as feedstock</t>
  </si>
  <si>
    <t>Produced 1st batch</t>
  </si>
  <si>
    <t>Dimensional Energy/ Heliogen</t>
  </si>
  <si>
    <t>Lancaster, CA</t>
  </si>
  <si>
    <t>https://www.heliogen.com/press-releases/heliogen-and-dimensional-energy-announce-first-of-its-kind-collaboration-to-produce-carbon-free-sustainable-aviation-fuel-from-concentrated-sunlight-and-green-hydrogen/</t>
  </si>
  <si>
    <t>Demo</t>
  </si>
  <si>
    <t>Operating?</t>
  </si>
  <si>
    <t>Lydian</t>
  </si>
  <si>
    <t>NC</t>
  </si>
  <si>
    <t>https://www.prnewswire.com/news-releases/lydian-announces-successful-demonstration-of-novel-sustainable-aviation-fuel-technology-302360287.html</t>
  </si>
  <si>
    <t>Successful pilot demo plant uses captured CO2, water and renewable electricity. 25 gallons per day. Received DARPA award - connected to DoD. Commercial production scheduled to start 2027</t>
  </si>
  <si>
    <t>Dimensional Energy</t>
  </si>
  <si>
    <t>Tuscon, AZ</t>
  </si>
  <si>
    <t>https://www.tucsonsentinel.com/local/report/120722_dimensional_energy/new-tucson-factory-may-help-solve-climate-crisis-by-creating-jet-fuel-from-co2/</t>
  </si>
  <si>
    <t>Demo - process uses 3D-printed ceramics to create a  chemical reactor turn CO2 into hydrocarbons</t>
  </si>
  <si>
    <t>Rely</t>
  </si>
  <si>
    <t>Jesup, GA</t>
  </si>
  <si>
    <t xml:space="preserve">20250307-MoU-Rely-and-Verso-Energy-Press-Release-EN.pdf </t>
  </si>
  <si>
    <t xml:space="preserve">MOU with Verso Energy for FID studies - note this unit is Methanol to Jet. </t>
  </si>
  <si>
    <t>Planning</t>
  </si>
  <si>
    <t>IF YOU ADD NEW PLANTS, PLEASE ADD A ROW ABOVE THIS LINE. THAT WAY THE CAPACITY SUMMATIONS ON THE CAPACITY DATA TAB WILL CONTINUE TO WORK</t>
  </si>
  <si>
    <t>Number of Plants</t>
  </si>
  <si>
    <t>North American Sustainable Aviation Fuel Production Capacity</t>
  </si>
  <si>
    <t>North American Cumulative Probability Adjusted SAF Capacity</t>
  </si>
  <si>
    <t>North American Announced SAF Capacity</t>
  </si>
  <si>
    <t>North American Cumulative SAF Capacity by Technology</t>
  </si>
  <si>
    <t>Should be one less than the check total because El Segundo shows up twice on the list</t>
  </si>
  <si>
    <t>North American SAF Capacity by Feedstock</t>
  </si>
  <si>
    <t>North American Cumulative SAF Capacity by Feedstock</t>
  </si>
  <si>
    <t>North American Mandates</t>
  </si>
  <si>
    <t>New / Old</t>
  </si>
  <si>
    <t>Acelen Renewables</t>
  </si>
  <si>
    <t>Mataripe, Bahia</t>
  </si>
  <si>
    <t>Brazil</t>
  </si>
  <si>
    <t>https://www.acelenrenovaveis.com.br/2023/11/30/acelen-and-bahia-government-sign-mou-providing-for-investment-in-an-innovative-energy-transition-project/</t>
  </si>
  <si>
    <t>20,000bbl/d SAF&amp;RD (1bn liters/yr), Verified 500,000 m3/yr - Soybean, corn and macauba (future)</t>
  </si>
  <si>
    <t>Construction late 2024</t>
  </si>
  <si>
    <t>Brasil BioFuels (BBF)</t>
  </si>
  <si>
    <t>Manaus</t>
  </si>
  <si>
    <t>https://www.grupobbf.com.br/en/our-business/biofuels/</t>
  </si>
  <si>
    <t>500mm liters/yr SAF&amp;RD, Verified HEFA production 250,000 m3/yr - Palm, soybean, &amp; corn,  possible breakdown? 250 mm liters/yr of HVO and 280 mm liters/yr of SAF</t>
  </si>
  <si>
    <t>Petrobras</t>
  </si>
  <si>
    <t>Cubatao</t>
  </si>
  <si>
    <t>https://renewablesnow.com/news/petrobras-contracts-hefa-tech-for-renewable-diesel-saf-844736/, https://www.bnamericas.com/en/news/petrobras-sets-saf-renewable-diesel-output-target</t>
  </si>
  <si>
    <t>34,000bbl/d from 2029, Verified 350,000 m3/yr - Soybeans, beef tallow</t>
  </si>
  <si>
    <t>Geo Biogas</t>
  </si>
  <si>
    <t>Sao Paulo</t>
  </si>
  <si>
    <t>https://www.novacana.com/noticias/geo-giz-firmam-parceria-desenvolver-saf-biogas-brasil-101024, https://geobiogas.tech/produto/carbono-renovavel-e-biogenico/</t>
  </si>
  <si>
    <t>Pilot 2025 establishing the first Brazilian demo plant to produce 100,000 liters/yr of SAF, commencing operation in 2025. The expected commercial-scale production is 750 liters/d. Using Biogas -- methane project looks to be attached</t>
  </si>
  <si>
    <t>Refinaria Riograndense</t>
  </si>
  <si>
    <t>Rio Grande</t>
  </si>
  <si>
    <t>https://www.safinvestor.com/news/146419/topsoe/</t>
  </si>
  <si>
    <t>Jointly controlled by Ultrapar Participações (33.3%), Braskem (33.3%) and Petrobras (33.3%), the last two the primary suppliers of raw materials for the company. Produce 16,000 bbl/d of RD and SAF, s/u 1H 2028. Selected Topsoe technology</t>
  </si>
  <si>
    <t>Copec/Ineratec</t>
  </si>
  <si>
    <t>Patagonia</t>
  </si>
  <si>
    <t>Chile</t>
  </si>
  <si>
    <t>https://www.ineratec.de/en/news/ineratec-and-copec-enter-strategic-partnership-spearhead-e-fuel-availability-chile</t>
  </si>
  <si>
    <t>3,500t e-fuel</t>
  </si>
  <si>
    <t>Feasibility Study</t>
  </si>
  <si>
    <t>BioD/LATAM Airlines</t>
  </si>
  <si>
    <t>Facatativa or E. Llanos</t>
  </si>
  <si>
    <t>Colombia</t>
  </si>
  <si>
    <t>https://aviacionline.com/2023/05/revolutionizing-aviation-in-colombia-latam-airlines-and-bio-d-partner-to-produce-sustainable-fuel/</t>
  </si>
  <si>
    <t>Agricultural residuals</t>
  </si>
  <si>
    <t>FEED stage</t>
  </si>
  <si>
    <t>Ecopetrol</t>
  </si>
  <si>
    <t>Barrancabermeja</t>
  </si>
  <si>
    <t>https://www.reuters.com/sustainability/colombias-ecopetrol-invest-up-700-million-saf-production-plant-2025-04-02/</t>
  </si>
  <si>
    <t>6,000b/d SAF</t>
  </si>
  <si>
    <t>Refineria de Cartagena (Reficar)</t>
  </si>
  <si>
    <t>Cartagena</t>
  </si>
  <si>
    <t>https://www.ogj.com/refining-processing/refining/optimization/article/55241583/ecopetrol-wraps-testing-for-saf-production-at-cartagena-refinery</t>
  </si>
  <si>
    <t>Subsidiary of Ecopetrol SA - completed pilot testing, 32,000 bbl of jet fuel with renewable components in 7 days (4,500 b/d), Overall Refinery  210,000 b/d - assume 10% SAF to start)</t>
  </si>
  <si>
    <t>Co-processing</t>
  </si>
  <si>
    <t>ECB Group -Omega Green project</t>
  </si>
  <si>
    <t>Villeta</t>
  </si>
  <si>
    <t>Paraguay</t>
  </si>
  <si>
    <t>https://www.ecbgroup.com.br/en/group/be8-paraguay/omega-green, https://dialogue.earth/en/business/55157-paraguay-biofuels-build-south-america-largest-plant/, https://www.spglobal.com/commodityinsights/es/oil/refined-products/jetfuel/051822-brazil-saf-mandate-to-target-emissions-reductions-starting-in-2027</t>
  </si>
  <si>
    <t xml:space="preserve">Ômega Green is an integrated project designed to produce a total of 20,000 barrels/day (294 million gallons/year) of Renewable Diesel, Renewable Jet Fuel, and by-products. This facility will use UCO, tallow, and soybean oil that will be transformed via hydrotreating into diesel or jet fuel. </t>
  </si>
  <si>
    <t>Avalon BioEnergy</t>
  </si>
  <si>
    <t>Uruguay</t>
  </si>
  <si>
    <t>https://www.safinvestor.com/news/146026/uruguay/</t>
  </si>
  <si>
    <t>Subsidiary of Avalon Energy Group; 50 MW solar power plant to produce green hydrogen - Non-edible oil seed crops &amp; green H2</t>
  </si>
  <si>
    <t>Announced</t>
  </si>
  <si>
    <t>Eco-Refineries of the South (ERS) project</t>
  </si>
  <si>
    <t>Chubut</t>
  </si>
  <si>
    <t>Argentina</t>
  </si>
  <si>
    <t>https://www.ogj.com/energy-transition/article/55248814/german-developer-argentina-partner-for-large-scale-green-hydrogen-saf-project</t>
  </si>
  <si>
    <r>
      <rPr>
        <b/>
        <sz val="10"/>
        <color rgb="FFFF0000"/>
        <rFont val="Aptos Display"/>
        <family val="2"/>
      </rPr>
      <t xml:space="preserve">PtL + FT unit </t>
    </r>
    <r>
      <rPr>
        <sz val="10"/>
        <rFont val="Aptos Display"/>
        <family val="2"/>
      </rPr>
      <t>- uses wind for H2, Targeted for an initial SAF production capacity of 100,000 tpy, the project’s first phase; project’s maximum SAF production capacity of 500,000 tpy, will produce RD (FT processes produce RD as well as SAF)</t>
    </r>
  </si>
  <si>
    <t>Grupo Bahia Energia</t>
  </si>
  <si>
    <t>Bahia Blanca</t>
  </si>
  <si>
    <t>https://www.safinvestor.com/news/146125/argentina/</t>
  </si>
  <si>
    <t>Let by subsidiary Biosanfe, No date listed placing it in 2030 per "5 yr schedule" - Bioethanol (corn-based ethanol feed)</t>
  </si>
  <si>
    <t>South American Sustainable Aviation Fuel Production Capacity</t>
  </si>
  <si>
    <t>South American Cumulative Probability Adjusted SAF Capacity</t>
  </si>
  <si>
    <t>South American Announced SAF Capacity</t>
  </si>
  <si>
    <t>South American Cumulative SAF Capacity by Technology</t>
  </si>
  <si>
    <t>South American SAF Capacity by Feedstock</t>
  </si>
  <si>
    <t>South American Cumulative SAF Capacity by Feedstock</t>
  </si>
  <si>
    <t>South American Mandates</t>
  </si>
  <si>
    <t>Lukoil</t>
  </si>
  <si>
    <t>Burgas</t>
  </si>
  <si>
    <t>Bulgaria</t>
  </si>
  <si>
    <t>https://www.safinvestor.com/news/145557/lukoil/</t>
  </si>
  <si>
    <t>Upgrade refinery to produce SAF - could this have been closed down Mar 2024? Tried to sell</t>
  </si>
  <si>
    <t>Arcadia e-Fuels</t>
  </si>
  <si>
    <t>Vordingborg</t>
  </si>
  <si>
    <t>Denmark</t>
  </si>
  <si>
    <t>https://www.ten.com/en/media/press-releases/technip-energies-selected-arcadia-efuels-worlds-first-commercial-facility; https://arcadiaefuels.com/arcadia-efuels-appoints-bnp-paribas-as-the-capital-raise-financial-advisor-for-its-greenfield-efuels-project-in-denmark-2/</t>
  </si>
  <si>
    <t>100 mm liters/yr</t>
  </si>
  <si>
    <t>FEED concluded Feb 2023</t>
  </si>
  <si>
    <t>Fjord PtX</t>
  </si>
  <si>
    <t>Aalborg</t>
  </si>
  <si>
    <t>https://www.fjord-ptx.com/about-the-plant/, https://www.safinvestor.com/news/146427/danish-aviation/, https://www.greenairnews.com/?p=6294</t>
  </si>
  <si>
    <t>Consortium of leading Danish aviation players, including SAS, Copenhagen Infrastructure Partners, Copenhagen Airport, and Aalborg Airport signed an agreement to spearhead the production of SAF. 75,000t SAF. Construction to start 2025 startup late 2028</t>
  </si>
  <si>
    <t>Under Construction</t>
  </si>
  <si>
    <t>Metafuels/European Energy</t>
  </si>
  <si>
    <t>https://metafuels.ch/european-energy-sign-mou/</t>
  </si>
  <si>
    <t>10,000l/d</t>
  </si>
  <si>
    <t>Green Fuels for Denmark</t>
  </si>
  <si>
    <t>Copenhagen</t>
  </si>
  <si>
    <t>https://orsted.com/en/what-we-do/renewable-energy-solutions/power-to-x/green-fuels-for-denmark, https://www.windpowermonthly.com/article/1891833/orsted-drops-wind-powered-green-fuels-projects-denmark</t>
  </si>
  <si>
    <t>Dropped</t>
  </si>
  <si>
    <t>Norsk e-Fuel/Fortum/ Norwegian Airlines</t>
  </si>
  <si>
    <t>Rauma</t>
  </si>
  <si>
    <t>Finland</t>
  </si>
  <si>
    <t>https://www.fortum.com/media/2024/10/fortum-and-norsk-e-fuel-collaborate-rauma-finland; https://www.norsk-e-fuel.com/articles/expandingintofinland, https://www.safinvestor.com/news/146152/sweco/, https://safmagazine.com/articles/boeing-partners-with-norsk-e-fuel-to-advance-saf-production-and-reduce-aviation-emissions</t>
  </si>
  <si>
    <t>100 million liters (most will be SAF - no date announced), secured land and started FEED process, Boeing added to the list of project development partner</t>
  </si>
  <si>
    <t>FEED W/Sweco</t>
  </si>
  <si>
    <t>Neste</t>
  </si>
  <si>
    <t>Porvoo</t>
  </si>
  <si>
    <t>https://www.neste.com/en-us/about-neste/how-we-operate/production/porvoo-refinery</t>
  </si>
  <si>
    <t>Already open - the date reflects the expansion to 3M tons RD &amp; SAF assumes 50% SAF (2019 100kt)</t>
  </si>
  <si>
    <t>Verso Energy same as Rely?</t>
  </si>
  <si>
    <t>Oulu</t>
  </si>
  <si>
    <t>https://www.safinvestor.com/news/146970/verso-energy/</t>
  </si>
  <si>
    <t>French energy supplier Verso Energy announced an agreement to build a hydrogen processing plant with a capacity to produce 80,000 tonnes of e-SAF.</t>
  </si>
  <si>
    <t>Tornio, Lapland</t>
  </si>
  <si>
    <t>Rely same as Verso?</t>
  </si>
  <si>
    <t>Oulu, Northern Ostrobothnia</t>
  </si>
  <si>
    <t>20250307-MoU-Rely-and-Verso-Energy-Press-Release-EN.pdf - lists as eSAF but methanol to jet at the same time - is this PTL or ATJ?</t>
  </si>
  <si>
    <t>BioTJet Project</t>
  </si>
  <si>
    <t>Lacq Basin</t>
  </si>
  <si>
    <t>France</t>
  </si>
  <si>
    <t>https://aviationweek.com/special-topics/sustainable-aviation-fuel/french-e-fuel-saf-plans-secure-funding, https://www.axens.net/resources-events/news/pr-axens-partner-biotjet-industrial-project-production-sustainable-aviation, https://biomassmagazine.com/articles/axens-partners-in-france-based-biotjet-saf-project-19931</t>
  </si>
  <si>
    <t>Woody biomass</t>
  </si>
  <si>
    <t>Elyse Energy</t>
  </si>
  <si>
    <t>Lacq</t>
  </si>
  <si>
    <t>https://www.safinvestor.com/news/146561/elyse-energy/, https://www.atoba.energy/post/elyse-energy-partners-with-atoba-energy-to-accelerate-the-deployment-of-sustainable-aviation-fuels</t>
  </si>
  <si>
    <t>Methanol to Jet - Investment by Hy24, Mirova, PGGM, Bpifrance, eM-Lacq e-methanol production and BioTJet to produce e-bio-kerosene. Joint Feasibility Study Q2 2025</t>
  </si>
  <si>
    <t>Haffner Energy</t>
  </si>
  <si>
    <t>Paris-Vatry</t>
  </si>
  <si>
    <t>https://www.safinvestor.com/news/145153/haffner-energy-selects-lanzajets-atj-for-paris-vatry-saf-project/</t>
  </si>
  <si>
    <t>selected LanzaJet to provide ATJ tech for the biomass-thermolysis-to-SAF project at the Paris-Vatry airport in France, initial capacity of 30,000 tonnes SAF per year, with the possibility of tripling production.</t>
  </si>
  <si>
    <t>Rely - DEZiR</t>
  </si>
  <si>
    <t>Petit-Couronne, Normandie</t>
  </si>
  <si>
    <t>20250307-MoU-Rely-and-Verso-Energy-Press-Release-EN.pdf</t>
  </si>
  <si>
    <t>Rely - ReSTart</t>
  </si>
  <si>
    <t>Tartas, Nouvelle-Aquitaine</t>
  </si>
  <si>
    <t>Rely - EpHyne</t>
  </si>
  <si>
    <t>Golbey, Grand Est</t>
  </si>
  <si>
    <t>Rely - LiCHEN</t>
  </si>
  <si>
    <t>Saillat-sur-Vienne, Nouselle-Aquitaine</t>
  </si>
  <si>
    <t>TotalEnergies</t>
  </si>
  <si>
    <t>Grandpuits</t>
  </si>
  <si>
    <t>chrome-extension://efaidnbmnnnibpcajpcglclefindmkaj/https://totalenergies.com/system/files/documents/2023-06/PR_TotalEnergies_Committed_to_the_Production_of_Sustainable_Aviation_Fuel.pdf, https://v2totalcom-backoffice.aqaodp.tgscloud.net/expertise-energies/projets/bioenergies/grandpuits-biofuels-bioplastics</t>
  </si>
  <si>
    <t>Refinery conversion: mid-2025: 210,000 t/yr expanding to 285,000 t/yr by 2027; RD 50,000 t/yr - UCO and animal fats for feedstock SARIA to secure feeds</t>
  </si>
  <si>
    <t>La Mede</t>
  </si>
  <si>
    <t>Gonfreville</t>
  </si>
  <si>
    <t>https://www.argusmedia.com/en/news-and-insights/latest-market-news/2457009-totalenergies-ramps-up-its-saf-ambitions</t>
  </si>
  <si>
    <t>Expanding to 40,000t/yr 2025</t>
  </si>
  <si>
    <t>BioTFuel</t>
  </si>
  <si>
    <t>Venette</t>
  </si>
  <si>
    <t>https://www.thyssenkrupp.com/en/stories/sustainability-and-climate-protection/biotfuel-the-biofuel-of-the-future-is-made-from-waste</t>
  </si>
  <si>
    <t>Engie/Infinium (Project Reuze)</t>
  </si>
  <si>
    <t>Dunkirk</t>
  </si>
  <si>
    <t>https://www.fuelsandlubes.com/flo-article/infinium-and-engie-to-build-e-fuels-facility-in-france/</t>
  </si>
  <si>
    <t xml:space="preserve">Reuze will convert more than 300,000 tons per year of CO₂ into more than 100,000 tons per year of clean-burning electrofuels. </t>
  </si>
  <si>
    <t>HyNovera (Hy2Gen)</t>
  </si>
  <si>
    <t>Gurdanne</t>
  </si>
  <si>
    <t>https://www.hy2gen.com/hynovera</t>
  </si>
  <si>
    <t>Q4 2029</t>
  </si>
  <si>
    <t>FID Q2 2026</t>
  </si>
  <si>
    <t>Lhyfe/SAF+ International Gp</t>
  </si>
  <si>
    <t>Le Havre</t>
  </si>
  <si>
    <t>https://www.lhyfe.com/press/lhyfe-and-saf-international-group-sign-a-memorandum-of-understanding-to-decarbonise-the-aviation-industry-using-green-hydrogen/, https://www.greenairnews.com/?p=5332</t>
  </si>
  <si>
    <t>100 t/d green H2 output to produce eSAF</t>
  </si>
  <si>
    <t>H2V/SAF+ Consortium</t>
  </si>
  <si>
    <t>Marseille</t>
  </si>
  <si>
    <t>https://skiesmag.com/press-releases/h2v-and-saf-consortium-sign-an-agreement-for-industrial-cooperation-on-e-fuels/</t>
  </si>
  <si>
    <t>Qair &amp; Airbus</t>
  </si>
  <si>
    <t>Occitanie</t>
  </si>
  <si>
    <t>https://www.industrie-online.com/en/actualite/qair-cree-une-usine-geante-de-production-de-carburant-d-aviation-durable-en-occitanie, https://www.qair.energy/renewable-hydrogen-qair-and-airbus-join-forces-to-advance-sustainable-aviation-fuels-in-occitania-france/, https://renewablesnow.com/news/qair-to-explore-options-for-saf-plant-in-frances-occitanie-847310/</t>
  </si>
  <si>
    <t>Take Kair Project - Holcim/Axens/EdF/IFPEN</t>
  </si>
  <si>
    <t>Loire-Atlantique</t>
  </si>
  <si>
    <t>https://decarbonisationtechnology.com/news/1058/edf-holcim-ifpen-and-axens-mou-to-meet-the-needs-of-the-new-french-e-saf-industry, https://www.hydrocarbonengineering.com/clean-fuels/22062023/edf-holcim-ifpen-and-axens-to-support-new-project/</t>
  </si>
  <si>
    <t>Green Fuels</t>
  </si>
  <si>
    <t>Hamburg</t>
  </si>
  <si>
    <t>Germany</t>
  </si>
  <si>
    <t>https://www.safinvestor.com/news/145576/hamburg/</t>
  </si>
  <si>
    <t>CANCELLED - Jul 2024</t>
  </si>
  <si>
    <t>HOLBORN Europa Raffinerie</t>
  </si>
  <si>
    <t>https://biofuels-news.com/news/topsoe-selected-as-technology-provider-for-holborns-hamburg-refinery/</t>
  </si>
  <si>
    <t>220,000 t/yr is both RD &amp; SAF - Early 2027</t>
  </si>
  <si>
    <t>Selected tech - Topsoe</t>
  </si>
  <si>
    <t>HCS Group</t>
  </si>
  <si>
    <t>Speyer</t>
  </si>
  <si>
    <t>https://newsroom.lufthansagroup.com/en/lufthansa-group-and-hcs-group-sign-letter-of-intent-on-the-production-and-supply-of-sustainable-aviation-fuel-saf-made-in-germany/, https://www.haltermann-carless.com/production-site-speyer</t>
  </si>
  <si>
    <t>Shell</t>
  </si>
  <si>
    <t>Wesseling</t>
  </si>
  <si>
    <t>chrome-extension://efaidnbmnnnibpcajpcglclefindmkaj/https://www.shell.com/what-we-do/technology-and-innovation/shell-techxplorer-digest/shell-techxplorer-digest-women-in-tech/_jcr_content/root/main/section/simple_633466041_cop_89578642/list/list_item_copy_1594463127.multi.stream/1660055973000/ef208c62fc319f40be77c214466162f36357e3a2/digest-wit-relli-repurposing-rheinland-for-fuelling-sustainabile-aviation.pdf, https://advancedbiofuelsusa.info/shell-plans-to-produce-saf-in-koln-germany-by-late-2025</t>
  </si>
  <si>
    <t>German Aerospace Center (DLR)</t>
  </si>
  <si>
    <t>Leuna</t>
  </si>
  <si>
    <t>https://safmagazine.com/articles/topsoe-and-sasol-selected-to-deliver-innovative-e-fuels-technology-for-an-esaf-demonstration-plant-in-germany</t>
  </si>
  <si>
    <t>Pilot plant - 1 Oct 2024 start of construction - Q4 2027 start date. The demo plant part of DLR’s e-fuels Technology Platform Power-to-Liquid Fuels (TPP), located at Leuna Chemical Complex, Germany. Topsoe and Sasol technologies</t>
  </si>
  <si>
    <t>Atmosfair</t>
  </si>
  <si>
    <t>Werlte</t>
  </si>
  <si>
    <t>https://www.aircargonews.net/policy/environment/lufthansa-cargo-and-kuehnenagel-promote-ptl-saf/</t>
  </si>
  <si>
    <t>SkyNRG/Stuttgart Airport/Schwenk Zement</t>
  </si>
  <si>
    <t>Heidenheim-Mergelstetten</t>
  </si>
  <si>
    <t>https://skynrg.com/state-of-baden-wu%CC%88rttemberg-supports-study-on-the-production-and-use-of-synthetic-kerosene-based-on-renewable-energies/</t>
  </si>
  <si>
    <t>Hy2Gen (Green Areal Lausitz)</t>
  </si>
  <si>
    <t>Janschwalde, Brandenburg</t>
  </si>
  <si>
    <t>https://www.hy2gen.com/kerosene, https://www.hy2gen.com/jangada</t>
  </si>
  <si>
    <t>FID 2025</t>
  </si>
  <si>
    <t>Westkuste 100</t>
  </si>
  <si>
    <t>Schleswig-Holstein</t>
  </si>
  <si>
    <t>https://www.westkueste100.de/en/joint-venture-decision-westkuste100-electrolyser-will-not-be-built/</t>
  </si>
  <si>
    <t>CANCELLED - Nov 2023</t>
  </si>
  <si>
    <t>CEMEX/SASOL</t>
  </si>
  <si>
    <t>Rudersdorf</t>
  </si>
  <si>
    <t>https://www.greencarcongress.com/2022/04/20220419-cemex.html, https://enertrag.com/projects-show-cases/hydrogen-projects/concrete-chemicals2</t>
  </si>
  <si>
    <t>15,000t phase 1, 35,000t phase 2 - listed as e-kerosene fuel (no RD)</t>
  </si>
  <si>
    <t>INERATEC/Safran/Engie</t>
  </si>
  <si>
    <t>Frankfurt, Hesse</t>
  </si>
  <si>
    <t>https://www.ineratec.de/en/news/german-government-supports-saf-production-ineratecs-e-fuel-plant-frankfurt-through-kopernikus, https://www.safinvestor.com/news/146886/ineratec/</t>
  </si>
  <si>
    <t>2,500 tons e-fuels and e-chemicals, including SAF</t>
  </si>
  <si>
    <t>HyKero</t>
  </si>
  <si>
    <t>Bohlen-Lippendoef, Saxony</t>
  </si>
  <si>
    <t>https://xfuels.de/hykero/, https://matthey.com/media/2023/edl-hykero</t>
  </si>
  <si>
    <t>End 2027</t>
  </si>
  <si>
    <t>Lingen</t>
  </si>
  <si>
    <t>https://www.bp.com/en/global/air-bp/news-and-views/press-releases/bp-refinery-in-lingen-starts-production-of-saf.html</t>
  </si>
  <si>
    <t>max 5% extracted out of UCO</t>
  </si>
  <si>
    <t>Gelsenkirchen</t>
  </si>
  <si>
    <t>https://advancedbiofuelsusa.info/bp-wants-to-reposition-its-refinery-in-gelsenkirchen-for-the-future, https://www.fuelsandlubes.com/bps-gelsenkirchen-refinery-undergoes-green-transformation/</t>
  </si>
  <si>
    <t>Synhelion (DAWN)</t>
  </si>
  <si>
    <t>Julich</t>
  </si>
  <si>
    <t>https://synhelion.com/solar-fuels-and-plants/solar-fuel-plants, https://www.solarpaces.org/worlds-first-solar-jet-fuel-plant-dawn-inaugurated-by-synhelion/</t>
  </si>
  <si>
    <t>Demo plant - commissioned June 2024</t>
  </si>
  <si>
    <t>P2X-Europe</t>
  </si>
  <si>
    <t>https://www.p2x-europe.com/news/detail/new-power-to-liquid-plant-at-hrs-hamburg-site-produces-alternatives-to-fossil-raw-materials/</t>
  </si>
  <si>
    <t>Demonstration plant - Sept-22</t>
  </si>
  <si>
    <t>SAF Reallabor</t>
  </si>
  <si>
    <t>Dusseldorf</t>
  </si>
  <si>
    <t>https://www.safinvestor.com/news/146977/greenlyte-carbon/</t>
  </si>
  <si>
    <t>Airport operator Düsseldorf Airport and direct-air-capture (DAC) company Greenlyte Carbon announced an agreement to jointly the world’s first fully-integrated DAC-to-SAF facility in the German city of Düsseldorf.</t>
  </si>
  <si>
    <t>MOL Group Danube Refinery</t>
  </si>
  <si>
    <t xml:space="preserve">Százhalombatta </t>
  </si>
  <si>
    <t>Hungary</t>
  </si>
  <si>
    <t>https://www.hydrocarbonengineering.com/clean-fuels/14022025/mol-group-tests-hvo-and-saf-production/</t>
  </si>
  <si>
    <t>Multi-years of co-processing - still wonder how much is processed through the unit.</t>
  </si>
  <si>
    <t>P2X-Europe Project Navigator</t>
  </si>
  <si>
    <t>Figueira da Foz</t>
  </si>
  <si>
    <t>Portugal</t>
  </si>
  <si>
    <t>https://www.p2x-europe.com/news/detail/the-navigator-company-and-p2x-europe-announce-a-unique-joint-venture-in-portugal-to-produce-green-non-fossil-synthetic-efuels-and-scale-up-power-to-liquid-business/</t>
  </si>
  <si>
    <t>Galp/Mitsui Sines biofuels project</t>
  </si>
  <si>
    <t>Sines</t>
  </si>
  <si>
    <t>https://www.galp.com/corp/en/about-us/what-we-do/industrial-and-midstream/hvo, https://www.safinvestor.com/news/145491/galp/, https://www.safinvestor.com/news/146992/portugal/, https://www.galp.com/corp/pt/investidores/publicacoes-e-comunicados/relatorios-e-resultados/resultados</t>
  </si>
  <si>
    <t>Flex unit - 270ktpa biofuels unit producing HVO and SAF, there is basically no major difference in the feedstocks and facilities, and the HVO production can be switched to SAF production with one additional process of cracking. The HVO@Galp project will have a maximum production capacity of 262.7 kt/year of biogas oil and 193 kt/year of biojet and other products, also of renewable origin, such as naphtha and propane.</t>
  </si>
  <si>
    <t>P2X-Europe/Greenalia  Project Breogan</t>
  </si>
  <si>
    <t>Galicia</t>
  </si>
  <si>
    <t>Spain</t>
  </si>
  <si>
    <t>https://www.p2x-europe.com/news/detail/greenalia-and-p2x-europe-request-their-project-breogan-a-game-changing-ptl-project-producing-co2-neutral-efuels-and-green-hydrogen-in-galicia-to-be-classified-a-priority-business-initiative/</t>
  </si>
  <si>
    <t xml:space="preserve">only part of the 20,000 will be SAF </t>
  </si>
  <si>
    <t>HH2E/DHL/Sasol</t>
  </si>
  <si>
    <t>East Germany</t>
  </si>
  <si>
    <t>https://www.hh2e.de/en/hh2e-en/dhl-group-hh2e-and-sasol-collaborate-to-propel-germany-as-a-leader-in-decarbonized-aviation/</t>
  </si>
  <si>
    <t>potential to scale up to 500,000t/yr</t>
  </si>
  <si>
    <t>DLR</t>
  </si>
  <si>
    <t>https://www.dlr.de/en/latest/news/2023/02/e-fuels-dlr-selects-leuna-as-location-for-ptl-technology-platform, https://www.dlr.de/en/latest/news/2023/04/ptl-technology-platform-looking-to-the-future</t>
  </si>
  <si>
    <t>funding issues</t>
  </si>
  <si>
    <t>MOL Group Slovnaft Refinery</t>
  </si>
  <si>
    <t>Bratislava</t>
  </si>
  <si>
    <t>Slovakia</t>
  </si>
  <si>
    <t>In this case, the company also created value from waste: it processed partially refined cooking oil with the traditional raw material. The test proved that the Bratislava Refinery's production unit used for the production of standard aviation kerosene is also suitable for producing SAF.</t>
  </si>
  <si>
    <t xml:space="preserve">BP </t>
  </si>
  <si>
    <t>Castelon</t>
  </si>
  <si>
    <t>https://www.bp.com/en/global/air-bp/news-and-views/press-releases/Air-bp-announces-first-sale-of-ISCC-EU-sustainable-aviation-fuel-produced-at-bps-Castellon-refinery.html</t>
  </si>
  <si>
    <t>Currently co-processing of sustainable feedstock at up to 5% is permitted within the jet fuel specification - looking to increase to 30% - Jul-21</t>
  </si>
  <si>
    <t>Repsol</t>
  </si>
  <si>
    <t>Puertollano</t>
  </si>
  <si>
    <t>https://www.safinvestor.com/news/144483/repsol-eyes-400000-tonnes-saf-production-by-2027/</t>
  </si>
  <si>
    <t>1st batch 7,000t jet with 5% SAF share Aug 2020</t>
  </si>
  <si>
    <t>Tarragona</t>
  </si>
  <si>
    <t>1st batch 10,000t jet with 5% SAF share Jan 2020</t>
  </si>
  <si>
    <t>Bilbao</t>
  </si>
  <si>
    <t>1st batch 5,300t SAF produced Aug 2021</t>
  </si>
  <si>
    <t>Petronor, Bilbao</t>
  </si>
  <si>
    <t>https://www.repsol.com/en/sustainability/sustainability-pillars/environment/circular-economy/our-projects/synthetic-fuels/index.cshtml</t>
  </si>
  <si>
    <t>Demo plant 8,000l/d</t>
  </si>
  <si>
    <t>Cartegena</t>
  </si>
  <si>
    <t>https://www.repsol.com/en/press-room/press-releases/2024/repsol-begins-large-scale-production-of-renewable-fuels-in-cartagena-the-first-plant-of-its-kind-in-the-iberian-peninsula/index.cshtml</t>
  </si>
  <si>
    <t>Startup Mar-2024</t>
  </si>
  <si>
    <t>Retrofit of existing co-processing unit</t>
  </si>
  <si>
    <t>Moeve (formerly Cepsa)/Apical - Bio-Oils</t>
  </si>
  <si>
    <t>Andalusia</t>
  </si>
  <si>
    <t>https://www.apicalgroup.com/articles/apical-cepsa-joint-venture-commences-construction-of-southern-europes-largest-2g-biofuels-plant/</t>
  </si>
  <si>
    <t>Moeve (formerly Cepsa)</t>
  </si>
  <si>
    <t>Palos de la Frontera, Huelva</t>
  </si>
  <si>
    <t>https://www.safinvestor.com/news/146774/moeve/</t>
  </si>
  <si>
    <t>Supplied 14,000 tonnes SAF using existing production units</t>
  </si>
  <si>
    <t>Solarig / Turboleta SAF project</t>
  </si>
  <si>
    <t>Teruel</t>
  </si>
  <si>
    <t>https://www.ofimagazine.com/news/solarig-announces-development-of-saf-plant-in-teruel</t>
  </si>
  <si>
    <t>Construction 2027 startup  2030,  leverages the region’s natural resources, such as sun, wind and water, as well as biogas and biogenic CO2 from our facilities, derived from agro-livestock waste in the area</t>
  </si>
  <si>
    <t>Synhelion</t>
  </si>
  <si>
    <t>https://synhelion.com/news/solar-fuels-and-their-role-in-achieving-net-zero</t>
  </si>
  <si>
    <t>ENI</t>
  </si>
  <si>
    <t>Gela</t>
  </si>
  <si>
    <t>Italy</t>
  </si>
  <si>
    <t>Taranto</t>
  </si>
  <si>
    <t>https://www.ogj.com/refining-processing/refining/article/14212334/enis-taranto-refinery-producing-sustainable-aviation-fuel</t>
  </si>
  <si>
    <t>Taranto refinery is now blending a 0.5% share of UCO into conventional crude feedstock to produce SAF containing the 2% share of biocomponent </t>
  </si>
  <si>
    <t>EniLive</t>
  </si>
  <si>
    <t>Livorno</t>
  </si>
  <si>
    <t>PKN</t>
  </si>
  <si>
    <t>Plock</t>
  </si>
  <si>
    <t>Poland</t>
  </si>
  <si>
    <t>https://biofuels-news.com/news/plock-plant-will-supply-saf-from-2025/, https://demoplants21.best-research.eu/projects/info/4029/8JBaZy</t>
  </si>
  <si>
    <t>OMV</t>
  </si>
  <si>
    <t>Schwechat</t>
  </si>
  <si>
    <t>Austria</t>
  </si>
  <si>
    <t>https://www.safinvestor.com/project/142877/omv-schwechat-austria/</t>
  </si>
  <si>
    <t>Startup Mar-2022</t>
  </si>
  <si>
    <t>OMV Petrobrazi Refinery</t>
  </si>
  <si>
    <t>Ploiesti </t>
  </si>
  <si>
    <t>Romania</t>
  </si>
  <si>
    <t>https://www.safinvestor.com/news/145188/omv-to-develop-saf-hvo-plant-at-petrobrazi-romania/, https://www.ofimagazine.com/news/omv-petrom-awards-contract-to-john-wood-group-for-saf-refinery-in-romania, https://www.ogj.com/refining-processing/refining/construction/article/55269237/omv-petrom-begins-construction-of-new-unit-at-petrobrazi-refinery, https://www.safinvestor.com/news/147010/petrobrazi/, https://www.safinvestor.com/news/147169/cluj/</t>
  </si>
  <si>
    <t>FEED &amp; EMPm awarded to John Wood Group, OMV begins work on Petrobrazi SAF site Feb 2025
European energy major OMV said it has begun construction on its SAF/RD site in Romania.</t>
  </si>
  <si>
    <t>Mana/ NORCE/ Equinor</t>
  </si>
  <si>
    <t>Mongstad</t>
  </si>
  <si>
    <t>Norway</t>
  </si>
  <si>
    <t>https://www.safinvestor.com/news/145751/norway/</t>
  </si>
  <si>
    <t>Nordic Electrofuel</t>
  </si>
  <si>
    <t>Porsgrunn</t>
  </si>
  <si>
    <t>https://nordicelectrofuel.no/what-we-do/</t>
  </si>
  <si>
    <t>Cap 10mnl/yr</t>
  </si>
  <si>
    <t>Norsk e-Fuel</t>
  </si>
  <si>
    <t>Mosjoen</t>
  </si>
  <si>
    <t>https://www.norsk-e-fuel.com/projects</t>
  </si>
  <si>
    <t>50mnl/yr plan for 2 100mnl/yr units (150mnl/yr = 120kt, 250mnl/yr= 200kt) - late 2026</t>
  </si>
  <si>
    <t>Infinium</t>
  </si>
  <si>
    <t>Mo i Rana</t>
  </si>
  <si>
    <t>https://www.safinvestor.com/news/144057/infinium-mo-industrial-park-to-develop-e-fuels-project-in-norway/</t>
  </si>
  <si>
    <t>2000bbl/d efuels</t>
  </si>
  <si>
    <t>ST1/SCA</t>
  </si>
  <si>
    <t>Gothenburg</t>
  </si>
  <si>
    <t>Sweden</t>
  </si>
  <si>
    <t>https://www.st1.com/st1-and-sca-joint-venture-commences-the-production-of-renewable-fuels-in-gothenburg-sweden; https://www.argusmedia.com/en/news-and-insights/latest-market-news/2556277-st1-and-sca-start-saf-hvo-production-in-sweden</t>
  </si>
  <si>
    <t xml:space="preserve"> 40pc of which will be hydrotreated esters and fatty acids synthetic paraffinic kerosine (HEFA-SPK) sustainable aviation fuel (SAF), at least 30pc hydrotreated vegetable oil (HVO), 10pc bio-naphtha and 5pc bio-LPG. The remainder will be split between SAF and HVO. Going to call iot 50 SAF and 35 HVO - Oct2024</t>
  </si>
  <si>
    <t>Biorefinery Ostrand SCA/ST1</t>
  </si>
  <si>
    <t>Ostrand, Timra</t>
  </si>
  <si>
    <t>https://www.biorefineryostrand.com/en/the-biorefinery/biofuel/, https://www.st1.com/Biorefinery-Ostrand-by-SCA-and-St1-has-agreed-to-an-EU-innovation-grant</t>
  </si>
  <si>
    <t>Balance is naphtha</t>
  </si>
  <si>
    <t>FID scheduled for 2025</t>
  </si>
  <si>
    <t xml:space="preserve">Hyskies </t>
  </si>
  <si>
    <t>Forsmark</t>
  </si>
  <si>
    <t>https://group.vattenfall.com/what-we-do/roadmap-to-fossil-freedom/industry-decarbonisation/aviation-electrofuel#:~:text=Vattenfall%20and%20Shell%20have%20decided,a%20large%20scale%20in%20Sweden., chrome-extension://efaidnbmnnnibpcajpcglclefindmkaj/https://climate.ec.europa.eu/system/files/2022-12/if_pf_2022_hyskies_en.pdf</t>
  </si>
  <si>
    <t>ethanol 46000t/yr already operating as of 2018 - March 2027</t>
  </si>
  <si>
    <t>PAUSED</t>
  </si>
  <si>
    <t>KLM/SkyNRG/Vaxjo Energi/Sodra/RISE/2030-sekretariatet</t>
  </si>
  <si>
    <t>Vaxjo</t>
  </si>
  <si>
    <t>https://task39.ieabioenergy.com/wp-content/uploads/sites/37/2024/05/IEA-Bioenergy-Task-39-SAF-report.pdf</t>
  </si>
  <si>
    <t>Swedish Biofuels / COWI</t>
  </si>
  <si>
    <t>Brista Stockholm</t>
  </si>
  <si>
    <t>https://renewablesnow.com/news/cowi-swedish-biofuels-to-build-3-saf-factories-in-sweden-783514/</t>
  </si>
  <si>
    <t>Preem ProjectViking</t>
  </si>
  <si>
    <t>Lysekil</t>
  </si>
  <si>
    <t>https://www.preem.com/en/about-us/projects/icr-project/, https://biofuels-news.com/news/topsoe-technology-to-produce-saf-for-preem-in-sweden/, https://www.preem.com/en/investor-relations/about-preem-holding-ab/renewable-fuels-projects/</t>
  </si>
  <si>
    <t>1.1mn m3 total with 600000m3 SAF</t>
  </si>
  <si>
    <t>Preem Synsat</t>
  </si>
  <si>
    <t>https://bioenergyinternational.com/haldor-topsoe-and-preem-achieve-85-co-processing-of-renewable-feedstock/</t>
  </si>
  <si>
    <t>950000m3/yr --Only RD</t>
  </si>
  <si>
    <t>Vattenfall/ST1</t>
  </si>
  <si>
    <t>West Coast</t>
  </si>
  <si>
    <t>https://group.vattenfall.com/what-we-do/roadmap-to-fossil-freedom/industry-decarbonisation/st1</t>
  </si>
  <si>
    <t>1000000m3</t>
  </si>
  <si>
    <t>SkyFuelH2 (Uniper/Sasol)</t>
  </si>
  <si>
    <t>Solleftea</t>
  </si>
  <si>
    <t>https://www.uniper.energy/sweden/jetfuel, https://www.safinvestor.com/news/146135/uniper/</t>
  </si>
  <si>
    <t>German energy giant Uniper has abandoned its SkyFuelH2 project to produce eSAF in Sweden, citing rising costs and a challenging market environment, according to media reports. Uniper’s decision comes amid a growing number of setbacks for the nascent green hydrogen industry. Earlier this year, Orsted and Shell also withdrew from similar projects in Sweden while multiple other developers across Australia and US have also shelved projects.</t>
  </si>
  <si>
    <t>Gunvor Gp/VARO Energy 50/50JV</t>
  </si>
  <si>
    <t>Rotterdam</t>
  </si>
  <si>
    <t>The Netherlands</t>
  </si>
  <si>
    <t>https://gunvorgroup.com/news/gunvor-partners-with-varo-on-sustainable-aviation-fuel-manufacturing-in-rotterdam/</t>
  </si>
  <si>
    <t>facility will have a total production capacity of 350 kpta; approximately 70% SAF, with the remainder a mixture of bio-naphtha and bio-propane. With full flexibility between 100% SAF and 100% HVO - Q4 2026</t>
  </si>
  <si>
    <t>FEED Q4 2024</t>
  </si>
  <si>
    <t>https://www.shell.com/news-and-insights/newsroom/news-and-media-releases/2024/shell-to-temporarily-pause-on-site-construction-of-european-biofuels-facility.html, https://www.safinvestor.com/news/144611/shells-rotterdam-biofuels-plant-to-begin-operations-in-latter-half-of-decade/</t>
  </si>
  <si>
    <t>SAF/RD - 820,000 t/yr for both - SAF more than half</t>
  </si>
  <si>
    <t>https://www.neste.com/en-us/about-neste/how-we-operate/production/rotterdam-refinery, https://www.esgtoday.com/neste-issues-e700-million-green-bond-to-scale-renewable-fuels-production/</t>
  </si>
  <si>
    <r>
      <t xml:space="preserve">0.8mm tons RD when startup in </t>
    </r>
    <r>
      <rPr>
        <sz val="11"/>
        <color rgb="FFFF0000"/>
        <rFont val="Aptos Display"/>
        <family val="2"/>
      </rPr>
      <t>2011</t>
    </r>
    <r>
      <rPr>
        <sz val="11"/>
        <rFont val="Aptos Display"/>
        <family val="2"/>
      </rPr>
      <t xml:space="preserve">. Expansion </t>
    </r>
    <r>
      <rPr>
        <sz val="11"/>
        <color rgb="FFFF0000"/>
        <rFont val="Aptos Display"/>
        <family val="2"/>
      </rPr>
      <t>2027</t>
    </r>
    <r>
      <rPr>
        <sz val="11"/>
        <rFont val="Aptos Display"/>
        <family val="2"/>
      </rPr>
      <t xml:space="preserve">- Neste’s overall renewable capacity increase 1.3 mn t/yr, total renewable capacity in Rotterdam to 2.7 mn t/yr, of which SAF will be 1.2 mn t/yr. </t>
    </r>
    <r>
      <rPr>
        <sz val="11"/>
        <color rgb="FFFF0000"/>
        <rFont val="Aptos Display"/>
        <family val="2"/>
      </rPr>
      <t>2025</t>
    </r>
    <r>
      <rPr>
        <sz val="11"/>
        <rFont val="Aptos Display"/>
        <family val="2"/>
      </rPr>
      <t xml:space="preserve">- Neste modified Rotterdam to produce up to 500,000 t/yr SAF </t>
    </r>
  </si>
  <si>
    <t>Synkero (SkyNRG, KLM, etc_)</t>
  </si>
  <si>
    <t>https://skynrg.com/producing-saf/saf-production-plant-in-the-port-of-amsterdam/</t>
  </si>
  <si>
    <t>Issues of green H2 and CO2 pricing so paused</t>
  </si>
  <si>
    <t>SkyNRG</t>
  </si>
  <si>
    <t>Delfzijl</t>
  </si>
  <si>
    <t>https://skynrg.com/producing-saf/skynrgs-production-facility-in-the-netherlands/</t>
  </si>
  <si>
    <t>Enerkem/Shell</t>
  </si>
  <si>
    <t>https://enerkem.com/newsroom/from-waste-to-chemicals-to-waste-to-jet</t>
  </si>
  <si>
    <t>last heard of in 2022</t>
  </si>
  <si>
    <t>Zenid (SkyNRG, Hague Airport, Climeworks)</t>
  </si>
  <si>
    <t>https://demoplants21.best-research.eu/projects/info/4001/VEcQZJ, https://climeworks.com/news/zenid-sustainable-aviation-fuel-from-air</t>
  </si>
  <si>
    <t>Ineratec/ Zenith Energy Terminals</t>
  </si>
  <si>
    <t>Amsterdam</t>
  </si>
  <si>
    <t>https://www.ineratec.de/en/news/ineratec-and-zenith-work-commercial-scale-e-fuel-plant-port-amsterdam, https://advancedbiofuelsusa.info/ineratec-zenith-energy-terminals-to-develop-commercial-scale-efuels-plant-in-port-of-amsterdam</t>
  </si>
  <si>
    <t>35,000 RD/SAF</t>
  </si>
  <si>
    <t>Fulcrum BioEnergy &amp; Essar Oil Northpoint project</t>
  </si>
  <si>
    <t>Stanlow</t>
  </si>
  <si>
    <t>UK</t>
  </si>
  <si>
    <t>https://www.safinvestor.com/news/145909/fulcrum-bioenergy/, https://www.eetfuels.com/news/sustainable-aviation-fuel-plant-set-for-take-off-at-stanlow/, https://fulcrumnorthpoint.com/</t>
  </si>
  <si>
    <t>100mm liters SAF - Fulcrum filed Ch 11 bankruptcy. Is Essar Oil still working on this project?</t>
  </si>
  <si>
    <t>Greenenergy (Trafigura)</t>
  </si>
  <si>
    <t>Teesside</t>
  </si>
  <si>
    <t>https://www.greenergy.com/trafigura-completes-acquisition-of-greenergy</t>
  </si>
  <si>
    <t>Altalto (Velocys)</t>
  </si>
  <si>
    <t>Immingham</t>
  </si>
  <si>
    <t>https://www.altalto.com/2023/05/10/altalto-immingham-project-update/</t>
  </si>
  <si>
    <t>60 mm liters/yr or 20 mm gal/yr sustainable duels</t>
  </si>
  <si>
    <t>FEED Feb 2024</t>
  </si>
  <si>
    <t>E-Alto (Velocys)</t>
  </si>
  <si>
    <t>Thames Enterprise Park</t>
  </si>
  <si>
    <t>Phillips 66</t>
  </si>
  <si>
    <t>Humber</t>
  </si>
  <si>
    <t>https://iagcargomagazine.com/2022/11/08/phillips-66-leading-the-way-with-sustainable-aviation-fuel/</t>
  </si>
  <si>
    <t>UCO</t>
  </si>
  <si>
    <t>Lighthouse Green Fuel (Alfanar)</t>
  </si>
  <si>
    <t>Billingham, Teesside</t>
  </si>
  <si>
    <t>https://www.regionalgateway.net/alfanar-welcomes-government-support-for-domestic-saf-production-in-uk/</t>
  </si>
  <si>
    <t>175mm liters/yr</t>
  </si>
  <si>
    <t>Construction start 2025</t>
  </si>
  <si>
    <t>Project Speedbird (BA, LanzeJet, Nova Pangaea)</t>
  </si>
  <si>
    <t>Wilton International, Teeside</t>
  </si>
  <si>
    <t>https://aerospaceglobalnews.com/video/nova-pangaea-has-its-hands-full-delivering-saf/, https://www.lanzajet.com/news-insights/project-speedbird-site</t>
  </si>
  <si>
    <t>102 mm liters/yr; Gov't funding Nov 2023</t>
  </si>
  <si>
    <t>AtJ</t>
  </si>
  <si>
    <t>Avioxx Project Eden</t>
  </si>
  <si>
    <t>Northeast UK</t>
  </si>
  <si>
    <t>https://www.avioxx.co.uk/project-eden-200-TPA-modular-plant.html, https://www.safinvestor.com/news/146769/powerhouse/</t>
  </si>
  <si>
    <t>Avioxx Project Genesis</t>
  </si>
  <si>
    <t>https://www.avioxx.co.uk/project-genesis-5000-TPA-plant.html</t>
  </si>
  <si>
    <t>Avioxx Project Ascend</t>
  </si>
  <si>
    <t>https://www.avioxx.co.uk/project-ascend-32000-TPA-plant.html</t>
  </si>
  <si>
    <t>Project DRAGON (LanzaJet)</t>
  </si>
  <si>
    <t>Port Talbot, South Wales</t>
  </si>
  <si>
    <t>https://www.ofimagazine.com/news/lanzatech-given-go-ahead-for-saf-plant-in-uk</t>
  </si>
  <si>
    <t>Construction start 2024</t>
  </si>
  <si>
    <t>Project AtmosFUEL (LanzeJet, Carbon Engineering)</t>
  </si>
  <si>
    <t>https://e360.yale.edu/features/direct-air-capture</t>
  </si>
  <si>
    <t>Mar 2024 Gov't funding received 2021</t>
  </si>
  <si>
    <t>Firefly Green Fuels</t>
  </si>
  <si>
    <t>Harwich, Essex</t>
  </si>
  <si>
    <t>https://flyfirefly.uk/firefly-scoop-win-at-2024-wwt-water-industry-awards/</t>
  </si>
  <si>
    <t>MOU Apr 2024 - 100,000 t/yr sustainable fuel 50/50 RD/SAF</t>
  </si>
  <si>
    <t>Carbon Neutral Fuels (CNF)</t>
  </si>
  <si>
    <t>https://tech.eu/2023/11/17/uk-consortium-awarded-ps138m-for-sustainable-aviation-fuel-project/</t>
  </si>
  <si>
    <t>750,000l/yr</t>
  </si>
  <si>
    <t>FEED Nov 2023</t>
  </si>
  <si>
    <t>Abundia Biomass-to-liquids</t>
  </si>
  <si>
    <t>https://www.thenorthernecho.co.uk/news/23929805.saf-funding-make-teesside-uk-capital-green-aviation/</t>
  </si>
  <si>
    <t>Gov't funding Nov 2023</t>
  </si>
  <si>
    <t>Arcadia e-Fuels (NABOO Project)</t>
  </si>
  <si>
    <t>Esso Petroleum Co (Solent SAF)</t>
  </si>
  <si>
    <t>Solent</t>
  </si>
  <si>
    <t>https://www.safinvestor.com/news/144240/emirates-joins-the-solent-cluster-to-support-saf-production-in-uk/</t>
  </si>
  <si>
    <t>The Solent Cluster 100 members</t>
  </si>
  <si>
    <t>OXCCU Tech (OXEFUEL, BIOGENIC)</t>
  </si>
  <si>
    <t>Sheffield, Oxford Airport</t>
  </si>
  <si>
    <t>https://www.oxccu.com/press-releases/worlds-first-sustainable-aviation-fuel-project-to-be-built-at-saltend, https://biofuels-news.com/news/saf-demonstration-plant-operational-at-oxford-airport/</t>
  </si>
  <si>
    <t>This FOAK facility, based at London Oxford Airport and designed and operated by OXCCU, will produce 1 kg (~1.2 litres) of liquid fuel per day and will start operations in September 2024.</t>
  </si>
  <si>
    <t>Saltend Chemical Park Hull</t>
  </si>
  <si>
    <t>https://biofuels-news.com/news/saf-demonstration-plant-operational-at-oxford-airport/</t>
  </si>
  <si>
    <t>The plant is part of OXCCU’s strategic scale up journey as the first OXCCU plant out of the lab. It will provide the data key to the design, build and operations of the 160 kg (200 litres) per day OX2 plant,</t>
  </si>
  <si>
    <t>Willis Sustainable Fuels (Carbonshift PtL)</t>
  </si>
  <si>
    <t>https://www.thenorthernecho.co.uk/news/23929805.saf-funding-make-teesside-uk-capital-green-aviation/, https://www.safinvestor.com/news/146494/mcdermott/</t>
  </si>
  <si>
    <t>Engineering and construction solutions provider McDermott Int awarded a master services agreement (MSA) for development of SAF facilities - why plural? 50,000 l/d</t>
  </si>
  <si>
    <t>Zero Petroleum (PMZ.2)</t>
  </si>
  <si>
    <t>Orkney</t>
  </si>
  <si>
    <t>https://www.safinvestor.com/news/143558/uk-awards-53m-grant-to-saf-developers/</t>
  </si>
  <si>
    <t>Renovare</t>
  </si>
  <si>
    <t>Craigmore, N. Ireland</t>
  </si>
  <si>
    <t>https://www.farmersjournal.ie/news/news/first-for-europe-as-biogas-to-be-converted-to-saf-in-derry-801923</t>
  </si>
  <si>
    <t xml:space="preserve">1.8mm liters </t>
  </si>
  <si>
    <t>Haffner Energy/IdunnH2</t>
  </si>
  <si>
    <t>Keflavik</t>
  </si>
  <si>
    <t>Iceland</t>
  </si>
  <si>
    <t>https://www.safinvestor.com/news/145801/iceland/</t>
  </si>
  <si>
    <t>SkyNRG/Skelleftea</t>
  </si>
  <si>
    <t>Northern Sweden</t>
  </si>
  <si>
    <t>https://www.safinvestor.com/news/145898/skynrg/</t>
  </si>
  <si>
    <t>Petroineos (Petrochina/ Ineos)</t>
  </si>
  <si>
    <t>Grangemouth, Scotland</t>
  </si>
  <si>
    <t>https://biodieselmagazine.com/articles/scottish-oil-refinery-could-be-converted-to-saf-production, https://www.safinvestor.com/news/146486/grangemouth-2/, https://biofuels-news.com/news/turn-grangemouth-into-a-saf-facility-union-demands/</t>
  </si>
  <si>
    <t xml:space="preserve">Facility investigation into conversion from fossil to SAF. Cease oil refining 2Q 2025. </t>
  </si>
  <si>
    <t>Possible</t>
  </si>
  <si>
    <t>DB Tarimsal Enerji</t>
  </si>
  <si>
    <t>Turkey</t>
  </si>
  <si>
    <t>https://www.safinvestor.com/news/146115/ttcl/</t>
  </si>
  <si>
    <t>Thailand’s integrated EPC company, TTCL, awarded FEED and cost estimation contract. Company is BD producer</t>
  </si>
  <si>
    <t>FEED Awarded 10/24 (7 month)</t>
  </si>
  <si>
    <t>Tupras</t>
  </si>
  <si>
    <t>Izmir</t>
  </si>
  <si>
    <t>https://www.safinvestor.com/news/144983/turkeys-tupras-makes-progress-on-saf-production-plans/, https://www.safinvestor.com/news/146115/ttcl/</t>
  </si>
  <si>
    <t>Tupraş Trading will begin trading waste raw materials on January 1, 2025. Tiryaki Agro and/or its subsidiaries will then supply at least 450,000 tons of Tupraş’s estimated annual vegetable and animal waste raw material needs (300,000 tons) for a period of 10 years starting from January 1, 2029.</t>
  </si>
  <si>
    <t>SOCAR</t>
  </si>
  <si>
    <t>Star Oil Refinery</t>
  </si>
  <si>
    <t>https://www.safinvestor.com/news/146955/socar/</t>
  </si>
  <si>
    <t>Engineering studies to explore potential to produce SAF at the Star Oil Refinery in Turkey</t>
  </si>
  <si>
    <t>Power2X/ Advario</t>
  </si>
  <si>
    <t>https://www.safinvestor.com/news/146128/power2x/</t>
  </si>
  <si>
    <t>Advario has already acquired the 26-hectare former Aluchemie site in Rotterdam in April 2023 and has since been working with Power2X to transform it into a hub for new energy solutions.</t>
  </si>
  <si>
    <t>KazMunayGaz (KMG) / Axens</t>
  </si>
  <si>
    <t>Kazakhstan</t>
  </si>
  <si>
    <t>https://www.safinvestor.com/news/146347/kazmunaygaz/</t>
  </si>
  <si>
    <t>The feasibility study, scheduled for 2024-2025, will assess the technical and economic viability of producing SAF in Kazakhstan using Axens’ advanced technologies.</t>
  </si>
  <si>
    <t>KazMunayGaz (KMG)-Aero/ BioOperations</t>
  </si>
  <si>
    <t>https://www.safinvestor.com/news/146423/biooperations/</t>
  </si>
  <si>
    <t>Bioethanol produced by BioOperations, located in Taiynsha, North Kazakhstan region, is the flagship of deep grain processing in the region ensuring the availability of raw material base.</t>
  </si>
  <si>
    <t>Huelva (La Rabida Energy Park)</t>
  </si>
  <si>
    <t xml:space="preserve"> https://www.moeveglobal.com/en/press/easyjet-moeve-saf-sustainable-fuel-agreement, https://www.ofimagazine.com/news/cepsa-and-bio-oils-begin-construction-of-saf-hvo-facility-in-spain, https://www.safinvestor.com/news/147189/moeve-exolum/</t>
  </si>
  <si>
    <t>Already producing with new plant to come online in 2026. Current production unknown, company asked for info 12/23/2024 // production 2026 will be flexible RD/SAF and appears to be HEFA (using UCO as main feedstock)</t>
  </si>
  <si>
    <t>Europe Sustainable Aviation Fuel Production Capacity</t>
  </si>
  <si>
    <t>Europe Cumulative Probability Adjusted SAF Capacity</t>
  </si>
  <si>
    <t>Europe Announced SAF Capacity</t>
  </si>
  <si>
    <t>Europe Cumulative SAF Capacity by Technology</t>
  </si>
  <si>
    <t>Europe SAF Capacity by Feedstock</t>
  </si>
  <si>
    <t>Europe Cumulative SAF Capacity by Feedstock</t>
  </si>
  <si>
    <t>Ampol/ENEOS</t>
  </si>
  <si>
    <t>Brisbane</t>
  </si>
  <si>
    <t>Australia</t>
  </si>
  <si>
    <t>https://www.safinvestor.com/news/145579/queensland/</t>
  </si>
  <si>
    <t xml:space="preserve">HEFA </t>
  </si>
  <si>
    <t>Kwinana</t>
  </si>
  <si>
    <t>SAF &amp; RD - Delayed Feb 2025 - changed start date to 2028</t>
  </si>
  <si>
    <t>FNQ Biorefinery (SACL)</t>
  </si>
  <si>
    <t>Mackay, Queensland</t>
  </si>
  <si>
    <t>https://saclimited.com.au/biofuels</t>
  </si>
  <si>
    <t>Idemitsu Kosan</t>
  </si>
  <si>
    <t>Townsville</t>
  </si>
  <si>
    <t>https://www.safinvestor.com/news/146711/idemitsu/</t>
  </si>
  <si>
    <t>Launch trial plantation of non-edible oilseed tree crop Pongamia, exploring the carbon credits from trees through afforestation, Idemitsu establish a supply system for 500 mil liters of SAF annually - possible 150 mn liters</t>
  </si>
  <si>
    <t>IFM Investors/GrainCorp</t>
  </si>
  <si>
    <t>https://www.safinvestor.com/news/145598/saf-production-in-australia/</t>
  </si>
  <si>
    <t>MOU Nov 2023; Conversion of Ampol's Lytton Refinery - SAF &amp; RD 720,000 t/yr</t>
  </si>
  <si>
    <t>Feasibilty Study</t>
  </si>
  <si>
    <t>Liquid Fuels</t>
  </si>
  <si>
    <t>Queensland</t>
  </si>
  <si>
    <t>Feasibility study funded by government</t>
  </si>
  <si>
    <t>Moree Biorefinery (SACL)</t>
  </si>
  <si>
    <t>Moree, NSW</t>
  </si>
  <si>
    <t xml:space="preserve">Northern Oils </t>
  </si>
  <si>
    <t>Yarwun, Queensland</t>
  </si>
  <si>
    <t>Oceania Biofuels</t>
  </si>
  <si>
    <t>CANCELLED Jun 2024</t>
  </si>
  <si>
    <t>PlantZero.SA</t>
  </si>
  <si>
    <t>Whyalla</t>
  </si>
  <si>
    <t>https://www.safinvestor.com/news/146436/zero/</t>
  </si>
  <si>
    <t>The six-month feasibility project will evaluate the technical, economic and environmental viability of a facility capable of producing up to 10 million litres of SAF, gasoline and diesel annually</t>
  </si>
  <si>
    <t>Portland Biorefinery (SACL)</t>
  </si>
  <si>
    <t>Portland, VIC</t>
  </si>
  <si>
    <t>Renewable Developments/ Virgin Australia/ Qatar Airways</t>
  </si>
  <si>
    <t>Charters Towers, North Queensland</t>
  </si>
  <si>
    <t>https://www.virginaustralia.com/au/en/newsroom/2025/3/virgin-australia-and-qatar-airways-expand-sustainability-commitment/, https://rda.energy/projects/, https://www.safinvestor.com/news/147284/qatar-airways-2/</t>
  </si>
  <si>
    <r>
      <t>Ethanol to Jet converts bioethanol derived from sugarcane grown onsite (400 mil liters) into 100% SAF, using proprietary PureSAF</t>
    </r>
    <r>
      <rPr>
        <sz val="10"/>
        <color rgb="FF1D1C1F"/>
        <rFont val="Aptos Display"/>
        <family val="2"/>
      </rPr>
      <t>SM</t>
    </r>
    <r>
      <rPr>
        <i/>
        <sz val="10"/>
        <color rgb="FF1D1C1F"/>
        <rFont val="Aptos Display"/>
        <family val="2"/>
      </rPr>
      <t> </t>
    </r>
    <r>
      <rPr>
        <sz val="10"/>
        <color rgb="FF1D1C1F"/>
        <rFont val="Aptos Display"/>
        <family val="2"/>
      </rPr>
      <t>technology supplied from KBR</t>
    </r>
    <r>
      <rPr>
        <sz val="10"/>
        <rFont val="Aptos Display"/>
        <family val="2"/>
      </rPr>
      <t xml:space="preserve"> - Produce up to 96 mil liters SAF </t>
    </r>
  </si>
  <si>
    <t>Pre-FID Stage</t>
  </si>
  <si>
    <t>Wagner Sustainable Fuels/Boeing</t>
  </si>
  <si>
    <t>Toowoomba</t>
  </si>
  <si>
    <t>https://www.safinvestor.com/news/145579/queensland/, https://www.safinvestor.com/news/145754/lanzajet-2/, https://jetzero.com.au/project-ulysses/</t>
  </si>
  <si>
    <t>102mn l SAF &amp; 11mn l RD</t>
  </si>
  <si>
    <t>Energy China</t>
  </si>
  <si>
    <t>Heilongjiang</t>
  </si>
  <si>
    <t>China</t>
  </si>
  <si>
    <t>https://www.safinvestor.com/news/146132/china/</t>
  </si>
  <si>
    <t>The project aims to integrate renewable energy sources with biomass technologies. With an estimated total investment of 20.8bn yuan ($2.93bn), the project is expected to produce 200,000 tons of green methanol and 300,000 tons of SAF per year.</t>
  </si>
  <si>
    <t>Jiaao Enprotech/ BP(15%)</t>
  </si>
  <si>
    <t>Lianyungang</t>
  </si>
  <si>
    <t>https://bioenergytimes.com/bp-plc-acquires-stake-in-chinese-sustainable-jet-fuel-company/, https://www.jiaaoplasticizers.com/news/the-rise-of-bio-aviation-fuel-how-jiaao-enpro-83351228.html, https://www.safinvestor.com/news/147179/jiaao/</t>
  </si>
  <si>
    <t>December 2024 operation. SAF certified by Civil Aviation Admin of China Mar 2025</t>
  </si>
  <si>
    <t>EcoCeres</t>
  </si>
  <si>
    <t>Zhangjiagaing, Jiangsu</t>
  </si>
  <si>
    <t>https://www.safinvestor.com/news/145712/ecoceres/, https://www.safinvestor.com/news/146432/euglena/</t>
  </si>
  <si>
    <t>Expanded from 50kta in June 2023; 350kt SAF/HVO. 168kta/182kta</t>
  </si>
  <si>
    <t>Sinopec</t>
  </si>
  <si>
    <t>Zhenhai, Zhejiang</t>
  </si>
  <si>
    <t>https://www.reuters.com/business/energy/sinopec-total-build-sustainable-aviation-fuel-plant-china-2024-03-26/</t>
  </si>
  <si>
    <t>March 2024 listed as operational</t>
  </si>
  <si>
    <t>Sinopec/TotalEnergies</t>
  </si>
  <si>
    <t>Sulzer (tech provider - who is operating?)</t>
  </si>
  <si>
    <t>Shandong</t>
  </si>
  <si>
    <t>https://www.safinvestor.com/news/146373/sulzer/</t>
  </si>
  <si>
    <t>Sulzer is leading Swiss infrastructure providing support but unable to find who owns and operates - could it be Sinopec?</t>
  </si>
  <si>
    <t>Indian Oil Corporation (IOC)</t>
  </si>
  <si>
    <t>India</t>
  </si>
  <si>
    <t>https://www.safinvestor.com/news/146259/ioc/</t>
  </si>
  <si>
    <t>Thyssenkrupp Industries India</t>
  </si>
  <si>
    <t>https://www.safinvestor.com/news/145342/india-eyeing-saf/</t>
  </si>
  <si>
    <t>GPS Renewables / SAF One</t>
  </si>
  <si>
    <t>https://www.safinvestor.com/news/145058/gps-renewables-saf-one-to-setup-saf-plant-in-india/</t>
  </si>
  <si>
    <t>20-30 m liters</t>
  </si>
  <si>
    <t>AM Green / Finnish Chemipolis Oy / Fortum 3 B.V.</t>
  </si>
  <si>
    <t>https://www.safinvestor.com/news/145995/chempolis/</t>
  </si>
  <si>
    <t>0.5m tons per annum</t>
  </si>
  <si>
    <t>TruAlt Bioenergy</t>
  </si>
  <si>
    <t>See annual report for details</t>
  </si>
  <si>
    <t>MOU with LanzaJet, crore liters (10mil liters)</t>
  </si>
  <si>
    <t>JV NTPC Green Energy Ltd (NGEL)/ ONGC Green Energy Ltd (OGL)</t>
  </si>
  <si>
    <t>https://www.safinvestor.com/news/146350/ntpc/</t>
  </si>
  <si>
    <t>The JV will focus on developing projects to produce green hydrogen and sustainable aviation fuel (SAF) to decarbonise various industries and transportation sectors.</t>
  </si>
  <si>
    <t>NEXTCHEM (MAIRE)</t>
  </si>
  <si>
    <t>Sei Mangkei</t>
  </si>
  <si>
    <t>Indonesia</t>
  </si>
  <si>
    <t>https://www.safinvestor.com/news/145676/feasibility-study/</t>
  </si>
  <si>
    <t>Small scale modular SAF plant</t>
  </si>
  <si>
    <t>PT Pertamina Green Refinery Cilacap</t>
  </si>
  <si>
    <t>Cilacap, Central Java</t>
  </si>
  <si>
    <t>https://www.ogj.com/refining-processing/refining/article/55251024/pertamina-secures-feedstock-for-cilacap-refinerys-saf-hvo-expansion</t>
  </si>
  <si>
    <t>CGR Phase 2 aims to double CGR Phase 1’s current output by expanding processing of UCO to 6,000 b/d to achieve an overall combined SAF-HVO production of about 300,000 kl/year, Topsoe AS’ proprietary HydroFlex, CGR Phase 2</t>
  </si>
  <si>
    <t>FID/ Construction Q4 2024</t>
  </si>
  <si>
    <t xml:space="preserve">PT Pertamina </t>
  </si>
  <si>
    <t>https://bioenergytimes.com/pt-pertamina-patra-niaga-strengthens-its-commitment-to-sustainability-by-securing-iscc-for-sustainable-aviation-fuel/, https://bioenergytimes.com/pertamina-to-begin-trial-production-of-sustainable-aviation-fuel-saf-at-cilacap-refinery-in-q2-2025/, https://kpi.pertamina.com/en/media-informasi/detail-siaran-pers/53dee38f-d935-4963-8f06-6c6bae6cc9ab</t>
  </si>
  <si>
    <r>
      <t xml:space="preserve">Certification for SAF from ISCC (CORSIA and RED-EU recognized), June-2022 commissioning of CGR Phase 1 that has currently enabled the Cilacap refinery to produce 2,500-3,000 b/d HVO , unidentified volumes of SAF and bionaphtha—via co-processing from a feedstock of refined bleached deodorized palm oil. Assumes 95% HVO % 5% on top of number above SAF. </t>
    </r>
    <r>
      <rPr>
        <sz val="11"/>
        <color rgb="FFFF0000"/>
        <rFont val="Aptos Display"/>
        <family val="2"/>
      </rPr>
      <t>READS FUNNY</t>
    </r>
    <r>
      <rPr>
        <sz val="11"/>
        <rFont val="Aptos Display"/>
        <family val="2"/>
      </rPr>
      <t>: March 2025: 9,000 b/d SAF with 3% coming from UCO (270 b/d). Refinery has capacity to process up to 9,000b/d UCO so using 3% as the blend rate (so 3% of the 9000b/d is SAF)</t>
    </r>
  </si>
  <si>
    <t>Cosmo Oil/Mitsui</t>
  </si>
  <si>
    <t>Sakaide Logistics Base</t>
  </si>
  <si>
    <t>Japan</t>
  </si>
  <si>
    <t>https://www.cosmo-energy.co.jp/en/information/press/2025/250221-01.html</t>
  </si>
  <si>
    <t>Project produce approx 150,000 kL of SAF and 17,000 kL of renewable diesel annually starting in 2029.  LanzaJet, a leading sustainable fuels technology company and sustainable fuels producer, today announced  Cosmo Oil Co. Ltd selected for a FY2024 subsidy from Japan’s METI to support a project developed with Mitsui to utilize LanzaJet technology.</t>
  </si>
  <si>
    <t>Eneos/ Mitsubishi</t>
  </si>
  <si>
    <t>Arida. Wakayama</t>
  </si>
  <si>
    <t>https://www.safinvestor.com/news/147008/wakayama/, https://www.safinvestor.com/news/147279/american-airlines/</t>
  </si>
  <si>
    <t>The facility, subject to the result of the FEED, is expected to produce approximately 300,000 tons/yr  (400,000 KL) of SAF FY2028,  together with bio-naphtha and bio-diesel fuel fractions as byproducts. Assumed 10% SAF nameplate for RD</t>
  </si>
  <si>
    <t>FEED</t>
  </si>
  <si>
    <t>Chiba</t>
  </si>
  <si>
    <t>https://www.safinvestor.com/news/144783/idemitsu-zen-noh-grain-join-hands-for-saf-feedstock-supply/</t>
  </si>
  <si>
    <t>100,000 kl</t>
  </si>
  <si>
    <t>Tokuyama</t>
  </si>
  <si>
    <t>https://www.safinvestor.com/news/145649/tokuyama/, https://www.ogj.com/refining-processing/refining/construction/article/55251692/idemitsu-kosan-advances-saf-project-for-tokuyama-petrochemical-complex</t>
  </si>
  <si>
    <t>250,000 kl - repurposing refinery which was s/d 2014</t>
  </si>
  <si>
    <t>Saffaire Sky Energy</t>
  </si>
  <si>
    <t>Sakai</t>
  </si>
  <si>
    <t>https://www.safinvestor.com/news/146634/saffaire-sky/, https://www.safinvestor.com/news/146725/cosmo/, https://www.safinvestor.com/news/146849/cosmo-2/, https://safmagazine.com/articles/cosmo-oil-celebrates-completion-of-saf-biorefinery-project</t>
  </si>
  <si>
    <t>30mil liters annual, construction complete Mar 2025 supply market Apr 2025. ISCC certified using UCO (note: UCO looks local), Cosmo Oil and JGC Holdings each hold 48% ownership in Saffaire Sky Energy. Revo International holds the remaining 4% ownership</t>
  </si>
  <si>
    <t>LanzaJet/KMG</t>
  </si>
  <si>
    <t>https://www.safinvestor.com/news/145685/kmg/, https://www.safinvestor.com/news/147335/kazakhstan/</t>
  </si>
  <si>
    <t>MOU Aug 2024 , looking at using bioethanol feedstock</t>
  </si>
  <si>
    <t>AirAstana/KMG</t>
  </si>
  <si>
    <t>https://www.safinvestor.com/news/145685/kmg/</t>
  </si>
  <si>
    <t>Gamalux</t>
  </si>
  <si>
    <t>Port Klang</t>
  </si>
  <si>
    <t>Malaysia</t>
  </si>
  <si>
    <t>https://www.safinvestor.com/news/147055/gamalux/, https://www.ofimagazine.com/news/gamalux-aims-to-produce-100-000-tonnes-year-of-feedstock-for-saf-by-end-of-this-year, https://www.biofuelsdigest.com/bdigest/gamalux-sees-saf-feedstock-production-at-100000-tons-in-2024/</t>
  </si>
  <si>
    <r>
      <rPr>
        <sz val="11"/>
        <color rgb="FFFF0000"/>
        <rFont val="Aptos Display"/>
        <family val="2"/>
      </rPr>
      <t>Is this really HVO/SAF or the feedstock?</t>
    </r>
    <r>
      <rPr>
        <sz val="11"/>
        <rFont val="Aptos Display"/>
        <family val="2"/>
      </rPr>
      <t xml:space="preserve"> Production capacity of around 90,000 tonnes of various renewable fuels including SAF, palm-oil based. Malaysian oil palm waste recycling company target of producing 100,000 t/yr of feedstock for SAF by the end of 2024. </t>
    </r>
  </si>
  <si>
    <t>Eni/Petronas/Euglena</t>
  </si>
  <si>
    <t>Johor</t>
  </si>
  <si>
    <t>https://www.safinvestor.com/news/145652/poste-italiane/, https://www.safinvestor.com/news/146625/samsung/, https://www.safinvestor.com/news/146747/pengerang-biorefinery/, https://www.euglena.jp/en/news/20240726-2/</t>
  </si>
  <si>
    <t>Process 650,000t/yr of feedstock; SAF &amp; RD - 2H 2028; Samsung Eng &amp; Const contract, H2 unit MAIRE technology, Contruction slated to start 2024</t>
  </si>
  <si>
    <t>LOKEN</t>
  </si>
  <si>
    <t>Kuala Lumpur</t>
  </si>
  <si>
    <t>https://loken.my/saf/</t>
  </si>
  <si>
    <t>Says start up 2025 even on the website but information for the unit is limited to Toyo awards E&amp;C and Axens technology</t>
  </si>
  <si>
    <t>https://www.reuters.com/business/energy/bain-backed-biofuels-refiner-ties-up-with-china-firm-source-feedstock-2023-12-19/, https://www.safinvestor.com/news/146432/euglena/, https://biofuels-news.com/news/ecoceres-new-malaysian-biofuel-plant-to-starts-operations-this-year/</t>
  </si>
  <si>
    <t>Ecoceres is planning to begin operations at its Malaysia-based biofuels production unit in the second half of this year.</t>
  </si>
  <si>
    <t>Channel Infrastructure NZ Ltd/ Seandra</t>
  </si>
  <si>
    <t>Marsden Point</t>
  </si>
  <si>
    <t>New Zealand</t>
  </si>
  <si>
    <t>https://www.safinvestor.com/news/146060/new-zealand/</t>
  </si>
  <si>
    <t>Conversion of decommissioned asset - Produce SAF, HVO and other biofuels</t>
  </si>
  <si>
    <t>Channel Infrastructure NZ Ltd/ Fortescue Future Ind</t>
  </si>
  <si>
    <t>https://fortescue.com/news-and-media/news/2023/07/20/production-of-sustainable-aviation-fuel-at-marsden-point-progresses-to-the-next-phase</t>
  </si>
  <si>
    <t>60 mn liters annual eSAF</t>
  </si>
  <si>
    <t>SAFCO Venture Holding / Asian Dev Bank (ADC)</t>
  </si>
  <si>
    <t>Sheikhupura</t>
  </si>
  <si>
    <t>Pakistan</t>
  </si>
  <si>
    <t>https://www.safinvestor.com/news/146565/pakistan/, https://www.safinvestor.com/opinion/147017/white-case/</t>
  </si>
  <si>
    <t>$41.2m from ADB and $45m in syndicated loans - IFC’s $35m financing package comprises $30m equity and $5m debt. - 200-kt-per-annum SAF facility in Sheikhupura using waste-based feedstock, primarily used cooking oil (listing 250kt feedstock oil pbeing processed annually)</t>
  </si>
  <si>
    <t>Tuas</t>
  </si>
  <si>
    <t>Singapore</t>
  </si>
  <si>
    <t>https://www.neste.com/en-us/about-neste/how-we-operate/production/singapore-refinery</t>
  </si>
  <si>
    <t>Annual production capacity 2.6 mn tons from expansion in Apr 2023 - 1mn tons SAF production cap specified</t>
  </si>
  <si>
    <t>ENI/LG Chem JV</t>
  </si>
  <si>
    <t>Daesan</t>
  </si>
  <si>
    <t>South Korea</t>
  </si>
  <si>
    <t>https://www.rigzone.com/news/ryanair_plans_to_buy_up_to_100000_tons_of_eni_saf-29-jan-2024-175539-article/, https://www.safinvestor.com/news/147330/desmet/</t>
  </si>
  <si>
    <t>2nd article lists SAF at 340,000t so splitting the 400,000 to get cap for SAF</t>
  </si>
  <si>
    <t>Dansuk</t>
  </si>
  <si>
    <t>Hyundai Oil Bank</t>
  </si>
  <si>
    <t>Hanwha TotalEnergies</t>
  </si>
  <si>
    <t>Gusan</t>
  </si>
  <si>
    <t>SK Energy</t>
  </si>
  <si>
    <t>Ulsan</t>
  </si>
  <si>
    <t>S-Oil</t>
  </si>
  <si>
    <t>BSGF Company Ltd (Bangchak)</t>
  </si>
  <si>
    <t>Phra Khanong</t>
  </si>
  <si>
    <t>Thailand</t>
  </si>
  <si>
    <t>https://www.bangchak.co.th/en/newsroom/bangchak-news/1483/bangchak-reinforces-readiness-as-leader-in-saf-production-advancing-toward-a-carbon-free-aviation-future; https://www.ofimagazine.com/news/thai-coalition-to-create-uco-supply-chain-for-domestic-saf,https://www.safinvestor.com/news/147351/bangchak-3/</t>
  </si>
  <si>
    <t>1 mm liters SAF a day - Q2 2025, announced payback period 5-7 yrs- Scheduled trial run 4/25/2025</t>
  </si>
  <si>
    <t>PTT Global Chemical (GC)</t>
  </si>
  <si>
    <t>https://www.safinvestor.com/news/146256/gc/, https://www.safinvestor.com/news/146497/thai-airways/</t>
  </si>
  <si>
    <t>In the first phase, the production capacity is 5,000 tons (6m liters) per year, and will be expanded to 25,000 tons (24m liters) per year in the future. This is SAF specific -- doubled it to account for RD</t>
  </si>
  <si>
    <t>Asia Sustainable Aviation Fuel Production Capacity</t>
  </si>
  <si>
    <t>Asia Cumulative Probability Adjusted SAF Capacity</t>
  </si>
  <si>
    <t>Asia Announced SAF Capacity</t>
  </si>
  <si>
    <t>Asia Cumulative SAF Capacity by Technology</t>
  </si>
  <si>
    <t>Asia SAF Capacity by Feedstock</t>
  </si>
  <si>
    <t>Asia Cumulative SAF Capacity by Feedstock</t>
  </si>
  <si>
    <t>Asia Mandates</t>
  </si>
  <si>
    <t>Egypt's Ministry of Petroleum and Mineral Resources</t>
  </si>
  <si>
    <t>Alexandria</t>
  </si>
  <si>
    <t>Egypt</t>
  </si>
  <si>
    <t>https://www.safinvestor.com/news/146400/egypt/</t>
  </si>
  <si>
    <t>Capacity listed as SAF</t>
  </si>
  <si>
    <t>Egypt Petrochemical Holding/ Alexandria National Refining &amp; Petrochemical/ Private firm</t>
  </si>
  <si>
    <t>https://www.safinvestor.com/news/144470/egypt-to-build-120k-tpa-saf-plant/</t>
  </si>
  <si>
    <t>Capacity listed as SAF - targeted to start work on the project end of 2026</t>
  </si>
  <si>
    <t>Satarem America Inc/Ethiopian Airlines Gp</t>
  </si>
  <si>
    <t>Ethiopia</t>
  </si>
  <si>
    <t>https://corporate.ethiopianairlines.com/Press-release-open-page/sustainable-skies-ethiopian-airlines'-mou-with-satarem-marks-a-new-era-of-eco-friendly-travel; https://www.safinvestor.com/news/145646/ethiopian-airlines-to-work-with-satarem-on-saf/</t>
  </si>
  <si>
    <t>MOU signed 8/3/2024</t>
  </si>
  <si>
    <t>Masdar/TotalEnergies</t>
  </si>
  <si>
    <t>Abu Dhabi</t>
  </si>
  <si>
    <t>UAE</t>
  </si>
  <si>
    <t>https://www.safinvestor.com/news/145640/masdar/</t>
  </si>
  <si>
    <t xml:space="preserve"> Green H2 to Methanol to SAF</t>
  </si>
  <si>
    <t>ethanol</t>
  </si>
  <si>
    <t>Zhouyue New Energy</t>
  </si>
  <si>
    <t>Saudi Arabia</t>
  </si>
  <si>
    <t>https://www.safinvestor.com/news/145620/zhuoyue/</t>
  </si>
  <si>
    <t xml:space="preserve">70% stake with local partners </t>
  </si>
  <si>
    <t>Etihad/Tadweer</t>
  </si>
  <si>
    <t>ADNOC Ruwais Refinery</t>
  </si>
  <si>
    <t>https://biofuels-news.com/news/adnoc-gets-green-light-to-produce-saf-in-the-middle-east/</t>
  </si>
  <si>
    <t>UCO - Oct-23 Start Up</t>
  </si>
  <si>
    <t>SATORP</t>
  </si>
  <si>
    <t>Al Jubail</t>
  </si>
  <si>
    <t>https://www.ogj.com/refining-processing/refining/article/14300854/satorps-jubail-complex-producing-saf-via-co-processing-of-used-cooking-oil, https://www.safinvestor.com/news/146547/aramco/</t>
  </si>
  <si>
    <t>SATORP JV Aramco (62.5%) &amp; TotalEnergies (37.5%) refinery is located in Jubail Industrial City in Saudi Arabia - Oct-23 - UCO.</t>
  </si>
  <si>
    <t>Conversion</t>
  </si>
  <si>
    <t>https://totalenergies.com/news/press-releases/totalenergies-celebrates-fifty-years-operations-saudi-arabia</t>
  </si>
  <si>
    <t>SATORP JV Aramco (62.5%) &amp; TotalEnergies (37.5%) Investigating new unit Dec 24</t>
  </si>
  <si>
    <t>https://www.safinvestor.com/news/144983/turkeys-tupras-makes-progress-on-saf-production-plans/</t>
  </si>
  <si>
    <t>Tiryaki Agro and/or its subsidiaries supply at least 450,000 t of Tupraş’s estimated annual vegetable and animal waste raw material needs (300,000 t) for a period of 10 yr starting from Jan 1, 2029. - UCO, tallow, agricultural waste</t>
  </si>
  <si>
    <t>Engineering Studies</t>
  </si>
  <si>
    <t>SAF One</t>
  </si>
  <si>
    <t>Dubai</t>
  </si>
  <si>
    <t>https://biofuels-news.com/news/saf-one-acquires-green-biotrade-to-boost-feedstock-supply-chain/</t>
  </si>
  <si>
    <t>Difficult to find more since this is a technology company that is getting into construction in MEA</t>
  </si>
  <si>
    <t>LanzaJet/Tadweer</t>
  </si>
  <si>
    <t>https://www.safinvestor.com/news/143829/lanzatech-tadweer-to-explore-saf-potential-from-waste/</t>
  </si>
  <si>
    <t>The two partners forecast 350,000 tonnes per annum of hard-to-recycle municipal and commercial solid waste from Abu Dhabi can be transformed into 200,000 tonnes of ethanol per year, ultimately producing 120,000 tonnes of SAF annually. - Waste to ethanol</t>
  </si>
  <si>
    <t>Mercantile &amp; Maritime Group (MME)</t>
  </si>
  <si>
    <t>Fujairah</t>
  </si>
  <si>
    <t>https://www.safinvestor.com/news/146359/mmg/, https://www.zawya.com/en/press-release/companies-news/mercantile-and-maritime-group-launches-middle-easts-largest-biofuel-facility-elevates-uaes-green-energy-ambitions-j7a0qiqq</t>
  </si>
  <si>
    <t>This ambitious project, valued at AED 2.2bn ($0.6m), will significantly expand the terminal’s capacity and produce up to 150m liters of SAF annually. The new facility, expected to be operational by 2026, will contribute nearly 10% of the current global SAF production.</t>
  </si>
  <si>
    <t>Middle East Africa Sustainable Aviation Fuel Production Capacity</t>
  </si>
  <si>
    <t>Middle East Africa Cumulative Probability Adjusted SAF Capacity</t>
  </si>
  <si>
    <t>Middle East Africa Announced SAF Capacity</t>
  </si>
  <si>
    <t>Middle East Africa Cumulative SAF Capacity by Technology</t>
  </si>
  <si>
    <t>Middle East Africa SAF Capacity by Feedstock</t>
  </si>
  <si>
    <t>Middle East Africa Cumulative SAF Capacity by Feedstock</t>
  </si>
  <si>
    <t>Middle East Africa Mandates</t>
  </si>
  <si>
    <t>World SAF Production Capacity - million gallons per year, probability adjusted</t>
  </si>
  <si>
    <t>North America</t>
  </si>
  <si>
    <t>Glob</t>
  </si>
  <si>
    <t>South America</t>
  </si>
  <si>
    <t>Europe</t>
  </si>
  <si>
    <t>Middle East/Africa</t>
  </si>
  <si>
    <t>Asia</t>
  </si>
  <si>
    <t>Non-AtJ-HEFA Capacity</t>
  </si>
  <si>
    <t>Qinzhou</t>
  </si>
  <si>
    <t>Chuangui New Energy</t>
  </si>
  <si>
    <t xml:space="preserve">Partnership with Topsoe(?story mentioned Topsoe first when listing the name of the facility. </t>
  </si>
  <si>
    <t>Construction Underway</t>
  </si>
  <si>
    <t>Probability of any announcement for the reference year</t>
  </si>
  <si>
    <r>
      <t xml:space="preserve">FOGs </t>
    </r>
    <r>
      <rPr>
        <sz val="8"/>
        <color theme="1"/>
        <rFont val="Avenir Next LT Pro Demi"/>
        <family val="2"/>
      </rPr>
      <t>(mil lbs)</t>
    </r>
  </si>
  <si>
    <r>
      <t xml:space="preserve">Grains </t>
    </r>
    <r>
      <rPr>
        <sz val="8"/>
        <color theme="1"/>
        <rFont val="Avenir Next LT Pro Demi"/>
        <family val="2"/>
      </rPr>
      <t>(mil lbs)</t>
    </r>
  </si>
  <si>
    <r>
      <t xml:space="preserve">Woody Biomass </t>
    </r>
    <r>
      <rPr>
        <sz val="8"/>
        <color theme="1"/>
        <rFont val="Avenir Next LT Pro Demi"/>
        <family val="2"/>
      </rPr>
      <t>(mil lbs)</t>
    </r>
  </si>
  <si>
    <r>
      <t xml:space="preserve">CCS </t>
    </r>
    <r>
      <rPr>
        <sz val="8"/>
        <color theme="1"/>
        <rFont val="Avenir Next LT Pro Demi"/>
        <family val="2"/>
      </rPr>
      <t>(mil lbs)</t>
    </r>
  </si>
  <si>
    <r>
      <t xml:space="preserve">MSW </t>
    </r>
    <r>
      <rPr>
        <sz val="8"/>
        <color theme="1"/>
        <rFont val="Avenir Next LT Pro Demi"/>
        <family val="2"/>
      </rPr>
      <t>(mil lbs)</t>
    </r>
  </si>
  <si>
    <r>
      <t xml:space="preserve">Ethanol </t>
    </r>
    <r>
      <rPr>
        <sz val="8"/>
        <color theme="1"/>
        <rFont val="Avenir Next LT Pro Demi"/>
        <family val="2"/>
      </rPr>
      <t>(mil lbs)</t>
    </r>
  </si>
  <si>
    <r>
      <t xml:space="preserve">Ethanol </t>
    </r>
    <r>
      <rPr>
        <sz val="8"/>
        <color theme="1"/>
        <rFont val="Avenir Next LT Pro Demi"/>
        <family val="2"/>
      </rPr>
      <t>(mil gal)</t>
    </r>
  </si>
  <si>
    <r>
      <t xml:space="preserve">Corn </t>
    </r>
    <r>
      <rPr>
        <sz val="8"/>
        <color theme="1"/>
        <rFont val="Avenir Next LT Pro Demi"/>
        <family val="2"/>
      </rPr>
      <t>(mil bu)</t>
    </r>
  </si>
  <si>
    <r>
      <t xml:space="preserve">5/9/2024 Riverbank Sustainable Aviation Fuel project received the final Authority to Construct air permits.  The plant is designed to produce </t>
    </r>
    <r>
      <rPr>
        <b/>
        <sz val="8"/>
        <rFont val="Avenir Next LT Pro Demi"/>
        <family val="2"/>
      </rPr>
      <t>90 MMgy when allocating 50% to SAF and 50% to RD production, and 78 MMgy when allocating 100% SAF. Used 100% SAF in these calculations.</t>
    </r>
  </si>
  <si>
    <r>
      <t xml:space="preserve">40/60 RD/SAF Unit produced RD 3/15/23 - </t>
    </r>
    <r>
      <rPr>
        <b/>
        <sz val="8"/>
        <rFont val="Avenir Next LT Pro Demi"/>
        <family val="2"/>
      </rPr>
      <t>renewable crude?</t>
    </r>
    <r>
      <rPr>
        <sz val="8"/>
        <rFont val="Avenir Next LT Pro Demi"/>
        <family val="2"/>
      </rPr>
      <t xml:space="preserve"> - changed column O from "Pyrolysis?" to automate capacity</t>
    </r>
  </si>
  <si>
    <t>Global Cumulative SAF Capacity by Feedstock - do not use these numbers before checking with 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</si>
</sst>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
    <numFmt numFmtId="165" formatCode="#,##0.000_);[Red]\(#,##0.000\)"/>
    <numFmt numFmtId="166" formatCode="0.0"/>
    <numFmt numFmtId="167" formatCode="#,##0.0_);[Red]\(#,##0.0\)"/>
    <numFmt numFmtId="168" formatCode="#,##0.000"/>
    <numFmt numFmtId="169" formatCode="0.00_);[Red]\(0.00\)"/>
    <numFmt numFmtId="170" formatCode="0.000%"/>
    <numFmt numFmtId="171" formatCode="0_);[Red]\(0\)"/>
    <numFmt numFmtId="172" formatCode="#,##0.0"/>
    <numFmt numFmtId="173" formatCode="_(* #,##0_);_(* \(#,##0\);_(* &quot;-&quot;??_);_(@_)"/>
    <numFmt numFmtId="174" formatCode="#,##0.0000"/>
  </numFmts>
  <fonts count="67">
    <font>
      <sz val="11"/>
      <color theme="1"/>
      <name val="Aptos Narrow"/>
      <family val="2"/>
      <scheme val="minor"/>
    </font>
    <font>
      <sz val="11"/>
      <color theme="1"/>
      <name val="Aptos Narrow"/>
      <family val="2"/>
      <scheme val="minor"/>
    </font>
    <font>
      <b/>
      <sz val="18"/>
      <color theme="0"/>
      <name val="Brown"/>
    </font>
    <font>
      <sz val="11"/>
      <color theme="1"/>
      <name val="Aptos Display"/>
      <family val="2"/>
      <scheme val="major"/>
    </font>
    <font>
      <b/>
      <sz val="8"/>
      <color theme="1"/>
      <name val="Brown"/>
    </font>
    <font>
      <sz val="10"/>
      <color theme="1"/>
      <name val="Brown"/>
    </font>
    <font>
      <sz val="9"/>
      <color theme="1"/>
      <name val="Brown"/>
    </font>
    <font>
      <sz val="10"/>
      <color theme="1"/>
      <name val="Aptos Display"/>
      <family val="2"/>
      <scheme val="major"/>
    </font>
    <font>
      <sz val="9"/>
      <color rgb="FF6F0791"/>
      <name val="Brown"/>
    </font>
    <font>
      <b/>
      <sz val="9"/>
      <color theme="1"/>
      <name val="Brown"/>
    </font>
    <font>
      <b/>
      <sz val="9"/>
      <color rgb="FF6F0791"/>
      <name val="Brown"/>
    </font>
    <font>
      <b/>
      <sz val="18"/>
      <color theme="0"/>
      <name val="Aptos Display"/>
      <family val="2"/>
      <scheme val="major"/>
    </font>
    <font>
      <b/>
      <sz val="10"/>
      <color rgb="FF6F0791"/>
      <name val="Aptos Display"/>
      <family val="2"/>
      <scheme val="major"/>
    </font>
    <font>
      <b/>
      <sz val="8"/>
      <color theme="1"/>
      <name val="Aptos Display"/>
      <family val="2"/>
      <scheme val="major"/>
    </font>
    <font>
      <sz val="9"/>
      <color theme="1"/>
      <name val="Aptos Display"/>
      <family val="2"/>
      <scheme val="major"/>
    </font>
    <font>
      <b/>
      <sz val="9"/>
      <color theme="1"/>
      <name val="Aptos Display"/>
      <family val="2"/>
      <scheme val="major"/>
    </font>
    <font>
      <sz val="10"/>
      <color rgb="FF6F0791"/>
      <name val="Aptos Display"/>
      <family val="2"/>
      <scheme val="major"/>
    </font>
    <font>
      <b/>
      <sz val="10"/>
      <color theme="1"/>
      <name val="Aptos Display"/>
      <family val="2"/>
      <scheme val="major"/>
    </font>
    <font>
      <b/>
      <sz val="9"/>
      <color rgb="FF6F0791"/>
      <name val="Aptos Display"/>
      <family val="2"/>
      <scheme val="major"/>
    </font>
    <font>
      <sz val="8"/>
      <color theme="1"/>
      <name val="Aptos Display"/>
      <family val="2"/>
    </font>
    <font>
      <sz val="9"/>
      <color rgb="FF6F0791"/>
      <name val="Aptos Display"/>
      <family val="2"/>
      <scheme val="major"/>
    </font>
    <font>
      <sz val="8"/>
      <color theme="1"/>
      <name val="Aptos Display"/>
      <family val="2"/>
      <scheme val="major"/>
    </font>
    <font>
      <sz val="11"/>
      <color theme="1"/>
      <name val="Brown"/>
    </font>
    <font>
      <b/>
      <sz val="8"/>
      <color rgb="FF6F0791"/>
      <name val="Aptos Display"/>
      <family val="2"/>
      <scheme val="major"/>
    </font>
    <font>
      <sz val="9"/>
      <name val="Aptos Display"/>
      <family val="2"/>
      <scheme val="major"/>
    </font>
    <font>
      <sz val="8"/>
      <color theme="1"/>
      <name val="Brown"/>
    </font>
    <font>
      <b/>
      <sz val="11"/>
      <name val="Aptos Display"/>
      <family val="2"/>
    </font>
    <font>
      <b/>
      <sz val="12"/>
      <name val="Aptos Display"/>
      <family val="2"/>
    </font>
    <font>
      <sz val="11"/>
      <name val="Aptos Display"/>
      <family val="2"/>
    </font>
    <font>
      <sz val="8"/>
      <name val="Aptos Display"/>
      <family val="2"/>
    </font>
    <font>
      <sz val="10"/>
      <name val="Aptos Display"/>
      <family val="2"/>
    </font>
    <font>
      <sz val="12"/>
      <name val="Aptos Display"/>
      <family val="2"/>
    </font>
    <font>
      <sz val="8"/>
      <name val="Aptos Narrow"/>
      <family val="2"/>
      <scheme val="minor"/>
    </font>
    <font>
      <strike/>
      <sz val="11"/>
      <name val="Aptos Display"/>
      <family val="2"/>
    </font>
    <font>
      <strike/>
      <sz val="8"/>
      <name val="Aptos Display"/>
      <family val="2"/>
    </font>
    <font>
      <strike/>
      <sz val="10"/>
      <name val="Aptos Display"/>
      <family val="2"/>
    </font>
    <font>
      <sz val="9"/>
      <name val="Aptos Display"/>
      <family val="2"/>
    </font>
    <font>
      <sz val="10"/>
      <color rgb="FFFF0000"/>
      <name val="Aptos Display"/>
      <family val="2"/>
    </font>
    <font>
      <b/>
      <sz val="10"/>
      <name val="Aptos Display"/>
      <family val="2"/>
    </font>
    <font>
      <sz val="11"/>
      <color rgb="FFFF0000"/>
      <name val="Aptos Display"/>
      <family val="2"/>
    </font>
    <font>
      <sz val="6"/>
      <name val="Aptos Display"/>
      <family val="2"/>
    </font>
    <font>
      <sz val="10"/>
      <name val="Aptos Display"/>
      <family val="2"/>
      <scheme val="major"/>
    </font>
    <font>
      <strike/>
      <sz val="8"/>
      <name val="Aptos Narrow"/>
      <family val="2"/>
      <scheme val="minor"/>
    </font>
    <font>
      <strike/>
      <sz val="12"/>
      <name val="Aptos Display"/>
      <family val="2"/>
    </font>
    <font>
      <b/>
      <sz val="18"/>
      <name val="Aptos Display"/>
      <family val="2"/>
    </font>
    <font>
      <b/>
      <sz val="10"/>
      <color rgb="FFFF0000"/>
      <name val="Aptos Display"/>
      <family val="2"/>
    </font>
    <font>
      <sz val="10"/>
      <color rgb="FF1D1C1F"/>
      <name val="Aptos Display"/>
      <family val="2"/>
    </font>
    <font>
      <i/>
      <sz val="10"/>
      <color rgb="FF1D1C1F"/>
      <name val="Aptos Display"/>
      <family val="2"/>
    </font>
    <font>
      <sz val="8"/>
      <color theme="1"/>
      <name val="Avenir Next LT Pro Demi"/>
      <family val="2"/>
    </font>
    <font>
      <sz val="8"/>
      <color rgb="FF6F0791"/>
      <name val="Avenir Next LT Pro Demi"/>
      <family val="2"/>
    </font>
    <font>
      <sz val="9"/>
      <color theme="3" tint="0.249977111117893"/>
      <name val="Aptos Display"/>
      <family val="2"/>
      <scheme val="major"/>
    </font>
    <font>
      <sz val="11"/>
      <color theme="3" tint="0.249977111117893"/>
      <name val="Aptos Display"/>
      <family val="2"/>
      <scheme val="major"/>
    </font>
    <font>
      <b/>
      <sz val="9"/>
      <color theme="3" tint="0.249977111117893"/>
      <name val="Aptos Display"/>
      <family val="2"/>
      <scheme val="major"/>
    </font>
    <font>
      <sz val="10"/>
      <color theme="3" tint="0.249977111117893"/>
      <name val="Aptos Display"/>
      <family val="2"/>
      <scheme val="major"/>
    </font>
    <font>
      <b/>
      <sz val="10"/>
      <color theme="3" tint="0.249977111117893"/>
      <name val="Aptos Display"/>
      <family val="2"/>
      <scheme val="major"/>
    </font>
    <font>
      <sz val="9"/>
      <color theme="3" tint="0.249977111117893"/>
      <name val="Brown"/>
    </font>
    <font>
      <b/>
      <sz val="9"/>
      <color theme="3" tint="0.249977111117893"/>
      <name val="Brown"/>
    </font>
    <font>
      <b/>
      <sz val="8"/>
      <color theme="1"/>
      <name val="Avenir Next LT Pro Demi"/>
      <family val="2"/>
    </font>
    <font>
      <sz val="6"/>
      <color theme="1"/>
      <name val="Avenir Next LT Pro Demi"/>
      <family val="2"/>
    </font>
    <font>
      <b/>
      <sz val="8"/>
      <color rgb="FF6F0791"/>
      <name val="Avenir Next LT Pro Demi"/>
      <family val="2"/>
    </font>
    <font>
      <b/>
      <sz val="8"/>
      <color theme="0"/>
      <name val="Avenir Next LT Pro Demi"/>
      <family val="2"/>
    </font>
    <font>
      <sz val="8"/>
      <color theme="3" tint="0.249977111117893"/>
      <name val="Avenir Next LT Pro Demi"/>
      <family val="2"/>
    </font>
    <font>
      <sz val="8"/>
      <name val="Avenir Next LT Pro Demi"/>
      <family val="2"/>
    </font>
    <font>
      <b/>
      <sz val="8"/>
      <name val="Avenir Next LT Pro Demi"/>
      <family val="2"/>
    </font>
    <font>
      <sz val="8"/>
      <color rgb="FF323232"/>
      <name val="Avenir Next LT Pro Demi"/>
      <family val="2"/>
    </font>
    <font>
      <sz val="8"/>
      <color rgb="FFFF0000"/>
      <name val="Avenir Next LT Pro Demi"/>
      <family val="2"/>
    </font>
    <font>
      <b/>
      <sz val="8"/>
      <color theme="3" tint="0.249977111117893"/>
      <name val="Avenir Next LT Pro Demi"/>
      <family val="2"/>
    </font>
  </fonts>
  <fills count="8">
    <fill>
      <patternFill patternType="none"/>
    </fill>
    <fill>
      <patternFill patternType="gray125"/>
    </fill>
    <fill>
      <patternFill patternType="solid">
        <fgColor rgb="FF8C8C8C"/>
        <bgColor indexed="64"/>
      </patternFill>
    </fill>
    <fill>
      <patternFill patternType="solid">
        <fgColor rgb="FFFF0000"/>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4.9989318521683403E-2"/>
        <bgColor indexed="64"/>
      </patternFill>
    </fill>
  </fills>
  <borders count="16">
    <border>
      <left/>
      <right/>
      <top/>
      <bottom/>
      <diagonal/>
    </border>
    <border>
      <left/>
      <right/>
      <top style="medium">
        <color rgb="FF8C8C8C"/>
      </top>
      <bottom style="medium">
        <color rgb="FF8C8C8C"/>
      </bottom>
      <diagonal/>
    </border>
    <border>
      <left/>
      <right/>
      <top style="medium">
        <color rgb="FF8C8C8C"/>
      </top>
      <bottom/>
      <diagonal/>
    </border>
    <border>
      <left/>
      <right/>
      <top style="thin">
        <color theme="1"/>
      </top>
      <bottom style="medium">
        <color rgb="FF8C8C8C"/>
      </bottom>
      <diagonal/>
    </border>
    <border>
      <left/>
      <right/>
      <top style="thin">
        <color auto="1"/>
      </top>
      <bottom/>
      <diagonal/>
    </border>
    <border>
      <left/>
      <right/>
      <top style="thin">
        <color theme="1"/>
      </top>
      <bottom/>
      <diagonal/>
    </border>
    <border>
      <left/>
      <right/>
      <top/>
      <bottom style="medium">
        <color rgb="FF8C8C8C"/>
      </bottom>
      <diagonal/>
    </border>
    <border>
      <left style="medium">
        <color rgb="FF8C8C8C"/>
      </left>
      <right/>
      <top style="medium">
        <color rgb="FF8C8C8C"/>
      </top>
      <bottom/>
      <diagonal/>
    </border>
    <border>
      <left/>
      <right style="medium">
        <color rgb="FF8C8C8C"/>
      </right>
      <top style="medium">
        <color rgb="FF8C8C8C"/>
      </top>
      <bottom/>
      <diagonal/>
    </border>
    <border>
      <left style="medium">
        <color rgb="FF8C8C8C"/>
      </left>
      <right/>
      <top/>
      <bottom/>
      <diagonal/>
    </border>
    <border>
      <left/>
      <right/>
      <top style="thick">
        <color rgb="FF6F0791"/>
      </top>
      <bottom/>
      <diagonal/>
    </border>
    <border>
      <left/>
      <right style="medium">
        <color rgb="FF8C8C8C"/>
      </right>
      <top style="thick">
        <color rgb="FF6F0791"/>
      </top>
      <bottom/>
      <diagonal/>
    </border>
    <border>
      <left/>
      <right style="medium">
        <color rgb="FF8C8C8C"/>
      </right>
      <top/>
      <bottom/>
      <diagonal/>
    </border>
    <border>
      <left/>
      <right style="medium">
        <color rgb="FF8C8C8C"/>
      </right>
      <top/>
      <bottom style="double">
        <color rgb="FF6F0791"/>
      </bottom>
      <diagonal/>
    </border>
    <border>
      <left style="medium">
        <color rgb="FF8C8C8C"/>
      </left>
      <right/>
      <top/>
      <bottom style="medium">
        <color rgb="FF8C8C8C"/>
      </bottom>
      <diagonal/>
    </border>
    <border>
      <left/>
      <right style="medium">
        <color rgb="FF8C8C8C"/>
      </right>
      <top/>
      <bottom style="medium">
        <color rgb="FF8C8C8C"/>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98">
    <xf numFmtId="0" fontId="0" fillId="0" borderId="0" xfId="0"/>
    <xf numFmtId="0" fontId="2" fillId="2" borderId="0" xfId="0" applyFont="1" applyFill="1"/>
    <xf numFmtId="0" fontId="3" fillId="0" borderId="0" xfId="0" applyFont="1"/>
    <xf numFmtId="0" fontId="4" fillId="0" borderId="1" xfId="0" applyFont="1" applyBorder="1" applyAlignment="1">
      <alignment horizontal="right"/>
    </xf>
    <xf numFmtId="0" fontId="5" fillId="0" borderId="1" xfId="0" applyFont="1" applyBorder="1" applyAlignment="1">
      <alignment horizontal="right"/>
    </xf>
    <xf numFmtId="0" fontId="5" fillId="0" borderId="1" xfId="0" applyFont="1" applyBorder="1" applyAlignment="1">
      <alignment horizontal="center"/>
    </xf>
    <xf numFmtId="0" fontId="6" fillId="0" borderId="2" xfId="0" applyFont="1" applyBorder="1"/>
    <xf numFmtId="38" fontId="7" fillId="0" borderId="2" xfId="0" applyNumberFormat="1" applyFont="1" applyBorder="1"/>
    <xf numFmtId="38" fontId="8" fillId="0" borderId="0" xfId="0" applyNumberFormat="1" applyFont="1"/>
    <xf numFmtId="0" fontId="6" fillId="0" borderId="0" xfId="0" applyFont="1"/>
    <xf numFmtId="38" fontId="6" fillId="0" borderId="0" xfId="0" applyNumberFormat="1" applyFont="1"/>
    <xf numFmtId="0" fontId="9" fillId="0" borderId="3" xfId="0" applyFont="1" applyBorder="1"/>
    <xf numFmtId="38" fontId="9" fillId="0" borderId="3" xfId="0" applyNumberFormat="1" applyFont="1" applyBorder="1"/>
    <xf numFmtId="38" fontId="10" fillId="0" borderId="3" xfId="0" applyNumberFormat="1" applyFont="1" applyBorder="1"/>
    <xf numFmtId="0" fontId="7" fillId="0" borderId="2" xfId="0" applyFont="1" applyBorder="1"/>
    <xf numFmtId="0" fontId="11" fillId="0" borderId="0" xfId="0" applyFont="1"/>
    <xf numFmtId="0" fontId="12" fillId="0" borderId="0" xfId="0" applyFont="1"/>
    <xf numFmtId="0" fontId="13" fillId="0" borderId="1" xfId="0" applyFont="1" applyBorder="1" applyAlignment="1">
      <alignment horizontal="right"/>
    </xf>
    <xf numFmtId="0" fontId="7" fillId="0" borderId="1" xfId="0" applyFont="1" applyBorder="1" applyAlignment="1">
      <alignment horizontal="center"/>
    </xf>
    <xf numFmtId="0" fontId="14" fillId="0" borderId="2" xfId="0" applyFont="1" applyBorder="1"/>
    <xf numFmtId="0" fontId="14" fillId="0" borderId="0" xfId="0" applyFont="1"/>
    <xf numFmtId="0" fontId="15" fillId="0" borderId="3" xfId="0" applyFont="1" applyBorder="1"/>
    <xf numFmtId="38" fontId="7" fillId="0" borderId="0" xfId="0" applyNumberFormat="1" applyFont="1"/>
    <xf numFmtId="38" fontId="16" fillId="0" borderId="0" xfId="0" applyNumberFormat="1" applyFont="1"/>
    <xf numFmtId="38" fontId="17" fillId="0" borderId="3" xfId="0" applyNumberFormat="1" applyFont="1" applyBorder="1"/>
    <xf numFmtId="38" fontId="12" fillId="0" borderId="3" xfId="0" applyNumberFormat="1" applyFont="1" applyBorder="1"/>
    <xf numFmtId="0" fontId="3" fillId="0" borderId="2" xfId="0" applyFont="1" applyBorder="1"/>
    <xf numFmtId="38" fontId="3" fillId="0" borderId="0" xfId="0" applyNumberFormat="1" applyFont="1"/>
    <xf numFmtId="0" fontId="7" fillId="0" borderId="1" xfId="0" applyFont="1" applyBorder="1" applyAlignment="1">
      <alignment horizontal="right"/>
    </xf>
    <xf numFmtId="164" fontId="3" fillId="0" borderId="0" xfId="2" applyNumberFormat="1" applyFont="1"/>
    <xf numFmtId="165" fontId="7" fillId="0" borderId="0" xfId="0" applyNumberFormat="1" applyFont="1"/>
    <xf numFmtId="165" fontId="16" fillId="0" borderId="0" xfId="0" applyNumberFormat="1" applyFont="1"/>
    <xf numFmtId="0" fontId="15" fillId="0" borderId="4" xfId="0" applyFont="1" applyBorder="1"/>
    <xf numFmtId="38" fontId="7" fillId="0" borderId="4" xfId="0" applyNumberFormat="1" applyFont="1" applyBorder="1"/>
    <xf numFmtId="38" fontId="16" fillId="0" borderId="4" xfId="0" applyNumberFormat="1" applyFont="1" applyBorder="1"/>
    <xf numFmtId="0" fontId="13" fillId="0" borderId="1" xfId="0" applyFont="1" applyBorder="1" applyAlignment="1">
      <alignment horizontal="center" vertical="center"/>
    </xf>
    <xf numFmtId="38" fontId="7" fillId="0" borderId="3" xfId="0" applyNumberFormat="1" applyFont="1" applyBorder="1"/>
    <xf numFmtId="38" fontId="16" fillId="0" borderId="3" xfId="0" applyNumberFormat="1" applyFont="1" applyBorder="1"/>
    <xf numFmtId="0" fontId="18" fillId="0" borderId="0" xfId="0" applyFont="1"/>
    <xf numFmtId="38" fontId="16" fillId="0" borderId="2" xfId="0" applyNumberFormat="1" applyFont="1" applyBorder="1"/>
    <xf numFmtId="0" fontId="15" fillId="0" borderId="5" xfId="0" applyFont="1" applyBorder="1"/>
    <xf numFmtId="38" fontId="17" fillId="0" borderId="5" xfId="0" applyNumberFormat="1" applyFont="1" applyBorder="1"/>
    <xf numFmtId="38" fontId="12" fillId="0" borderId="5" xfId="0" applyNumberFormat="1" applyFont="1" applyBorder="1"/>
    <xf numFmtId="0" fontId="15" fillId="0" borderId="0" xfId="0" applyFont="1"/>
    <xf numFmtId="167" fontId="7" fillId="0" borderId="0" xfId="0" applyNumberFormat="1" applyFont="1" applyAlignment="1">
      <alignment horizontal="center" vertical="center"/>
    </xf>
    <xf numFmtId="0" fontId="7" fillId="0" borderId="0" xfId="0" applyFont="1" applyAlignment="1">
      <alignment horizontal="center" vertical="center"/>
    </xf>
    <xf numFmtId="0" fontId="21" fillId="0" borderId="0" xfId="0" applyFont="1"/>
    <xf numFmtId="0" fontId="7" fillId="0" borderId="0" xfId="0" applyFont="1"/>
    <xf numFmtId="3" fontId="14" fillId="0" borderId="0" xfId="0" applyNumberFormat="1" applyFont="1" applyAlignment="1">
      <alignment horizontal="right" vertical="center"/>
    </xf>
    <xf numFmtId="3" fontId="20" fillId="0" borderId="0" xfId="0" applyNumberFormat="1" applyFont="1" applyAlignment="1">
      <alignment horizontal="right" vertical="center"/>
    </xf>
    <xf numFmtId="165" fontId="7" fillId="0" borderId="0" xfId="0" applyNumberFormat="1" applyFont="1" applyAlignment="1">
      <alignment horizontal="center" vertical="center"/>
    </xf>
    <xf numFmtId="40" fontId="7" fillId="0" borderId="0" xfId="0" applyNumberFormat="1" applyFont="1" applyAlignment="1">
      <alignment horizontal="center" vertical="center"/>
    </xf>
    <xf numFmtId="169" fontId="14" fillId="0" borderId="0" xfId="0" applyNumberFormat="1" applyFont="1"/>
    <xf numFmtId="169" fontId="20" fillId="0" borderId="0" xfId="0" applyNumberFormat="1" applyFont="1"/>
    <xf numFmtId="170" fontId="14" fillId="0" borderId="0" xfId="2" applyNumberFormat="1" applyFont="1"/>
    <xf numFmtId="170" fontId="20" fillId="0" borderId="0" xfId="2" applyNumberFormat="1" applyFont="1"/>
    <xf numFmtId="0" fontId="3" fillId="4" borderId="0" xfId="0" applyFont="1" applyFill="1"/>
    <xf numFmtId="0" fontId="18" fillId="4" borderId="0" xfId="0" applyFont="1" applyFill="1"/>
    <xf numFmtId="0" fontId="13" fillId="4" borderId="1" xfId="0" applyFont="1" applyFill="1" applyBorder="1" applyAlignment="1">
      <alignment horizontal="right"/>
    </xf>
    <xf numFmtId="0" fontId="7" fillId="4" borderId="1" xfId="0" applyFont="1" applyFill="1" applyBorder="1" applyAlignment="1">
      <alignment horizontal="right"/>
    </xf>
    <xf numFmtId="0" fontId="8" fillId="4" borderId="6" xfId="0" applyFont="1" applyFill="1" applyBorder="1"/>
    <xf numFmtId="0" fontId="22" fillId="4" borderId="6" xfId="0" applyFont="1" applyFill="1" applyBorder="1"/>
    <xf numFmtId="0" fontId="6" fillId="4" borderId="0" xfId="0" applyFont="1" applyFill="1" applyAlignment="1">
      <alignment horizontal="left" vertical="center"/>
    </xf>
    <xf numFmtId="0" fontId="6" fillId="4" borderId="0" xfId="0" applyFont="1" applyFill="1"/>
    <xf numFmtId="0" fontId="15" fillId="4" borderId="0" xfId="0" applyFont="1" applyFill="1"/>
    <xf numFmtId="38" fontId="3" fillId="4" borderId="0" xfId="0" applyNumberFormat="1" applyFont="1" applyFill="1"/>
    <xf numFmtId="38" fontId="24" fillId="4" borderId="0" xfId="0" applyNumberFormat="1" applyFont="1" applyFill="1" applyAlignment="1">
      <alignment horizontal="right" vertical="center"/>
    </xf>
    <xf numFmtId="0" fontId="6" fillId="4" borderId="0" xfId="0" applyFont="1" applyFill="1" applyAlignment="1">
      <alignment vertical="center" wrapText="1"/>
    </xf>
    <xf numFmtId="38" fontId="14" fillId="4" borderId="0" xfId="0" applyNumberFormat="1" applyFont="1" applyFill="1"/>
    <xf numFmtId="0" fontId="15" fillId="4" borderId="4" xfId="0" applyFont="1" applyFill="1" applyBorder="1"/>
    <xf numFmtId="38" fontId="14" fillId="4" borderId="4" xfId="0" applyNumberFormat="1" applyFont="1" applyFill="1" applyBorder="1"/>
    <xf numFmtId="0" fontId="8" fillId="4" borderId="2" xfId="0" applyFont="1" applyFill="1" applyBorder="1"/>
    <xf numFmtId="0" fontId="3" fillId="4" borderId="2" xfId="0" applyFont="1" applyFill="1" applyBorder="1"/>
    <xf numFmtId="0" fontId="25" fillId="4" borderId="0" xfId="0" applyFont="1" applyFill="1"/>
    <xf numFmtId="0" fontId="9" fillId="0" borderId="0" xfId="0" applyFont="1"/>
    <xf numFmtId="0" fontId="26" fillId="0" borderId="0" xfId="0" applyFont="1" applyAlignment="1">
      <alignment horizontal="center"/>
    </xf>
    <xf numFmtId="0" fontId="26" fillId="0" borderId="0" xfId="0" applyFont="1"/>
    <xf numFmtId="0" fontId="27" fillId="0" borderId="0" xfId="0" applyFont="1"/>
    <xf numFmtId="0" fontId="26" fillId="0" borderId="0" xfId="0" applyFont="1" applyAlignment="1">
      <alignment horizontal="center" vertical="center" wrapText="1"/>
    </xf>
    <xf numFmtId="0" fontId="26" fillId="0" borderId="0" xfId="0" applyFont="1" applyAlignment="1">
      <alignment horizontal="left" vertical="center" wrapText="1"/>
    </xf>
    <xf numFmtId="0" fontId="26" fillId="5" borderId="0" xfId="0" applyFont="1" applyFill="1" applyAlignment="1">
      <alignment horizontal="center" vertical="center" wrapText="1"/>
    </xf>
    <xf numFmtId="0" fontId="28" fillId="0" borderId="0" xfId="0" applyFont="1" applyAlignment="1">
      <alignment horizontal="left" vertical="center" wrapText="1"/>
    </xf>
    <xf numFmtId="0" fontId="29" fillId="0" borderId="0" xfId="0" applyFont="1" applyAlignment="1">
      <alignment horizontal="left" wrapText="1"/>
    </xf>
    <xf numFmtId="0" fontId="30" fillId="0" borderId="0" xfId="0" applyFont="1" applyAlignment="1">
      <alignment horizontal="left" wrapText="1"/>
    </xf>
    <xf numFmtId="171" fontId="28" fillId="0" borderId="0" xfId="0" applyNumberFormat="1" applyFont="1" applyAlignment="1">
      <alignment horizontal="center" vertical="center" wrapText="1"/>
    </xf>
    <xf numFmtId="0" fontId="28" fillId="0" borderId="0" xfId="0" applyFont="1" applyAlignment="1">
      <alignment horizontal="center" vertical="center" wrapText="1"/>
    </xf>
    <xf numFmtId="9" fontId="28" fillId="5" borderId="0" xfId="0" applyNumberFormat="1" applyFont="1" applyFill="1" applyAlignment="1">
      <alignment horizontal="center" vertical="center" wrapText="1"/>
    </xf>
    <xf numFmtId="38" fontId="28" fillId="0" borderId="0" xfId="0" applyNumberFormat="1" applyFont="1" applyAlignment="1">
      <alignment horizontal="center" vertical="center" wrapText="1"/>
    </xf>
    <xf numFmtId="38" fontId="28" fillId="5" borderId="0" xfId="0" applyNumberFormat="1" applyFont="1" applyFill="1" applyAlignment="1">
      <alignment horizontal="center" vertical="center" wrapText="1"/>
    </xf>
    <xf numFmtId="0" fontId="28" fillId="5" borderId="0" xfId="0" applyFont="1" applyFill="1" applyAlignment="1">
      <alignment horizontal="center" vertical="center" wrapText="1"/>
    </xf>
    <xf numFmtId="0" fontId="28" fillId="0" borderId="0" xfId="0" applyFont="1" applyAlignment="1">
      <alignment horizontal="left" wrapText="1"/>
    </xf>
    <xf numFmtId="0" fontId="31" fillId="0" borderId="0" xfId="0" applyFont="1"/>
    <xf numFmtId="17" fontId="28" fillId="0" borderId="0" xfId="0" applyNumberFormat="1" applyFont="1" applyAlignment="1">
      <alignment horizontal="center" vertical="center" wrapText="1"/>
    </xf>
    <xf numFmtId="17" fontId="28" fillId="0" borderId="0" xfId="0" applyNumberFormat="1" applyFont="1" applyAlignment="1">
      <alignment horizontal="left" vertical="center" wrapText="1"/>
    </xf>
    <xf numFmtId="0" fontId="32" fillId="0" borderId="0" xfId="0" applyFont="1" applyAlignment="1">
      <alignment horizontal="left" wrapText="1"/>
    </xf>
    <xf numFmtId="171" fontId="28" fillId="0" borderId="0" xfId="0" quotePrefix="1" applyNumberFormat="1" applyFont="1" applyAlignment="1">
      <alignment horizontal="center" vertical="center" wrapText="1"/>
    </xf>
    <xf numFmtId="0" fontId="28" fillId="0" borderId="0" xfId="0" quotePrefix="1" applyFont="1" applyAlignment="1">
      <alignment horizontal="center" vertical="center" wrapText="1"/>
    </xf>
    <xf numFmtId="0" fontId="28" fillId="0" borderId="0" xfId="0" quotePrefix="1" applyFont="1" applyAlignment="1">
      <alignment horizontal="left" vertical="center" wrapText="1"/>
    </xf>
    <xf numFmtId="0" fontId="33" fillId="0" borderId="0" xfId="0" applyFont="1" applyAlignment="1">
      <alignment horizontal="left" vertical="center" wrapText="1"/>
    </xf>
    <xf numFmtId="0" fontId="34" fillId="0" borderId="0" xfId="0" applyFont="1" applyAlignment="1">
      <alignment horizontal="left" wrapText="1"/>
    </xf>
    <xf numFmtId="0" fontId="35" fillId="0" borderId="0" xfId="0" applyFont="1" applyAlignment="1">
      <alignment horizontal="left" wrapText="1"/>
    </xf>
    <xf numFmtId="171" fontId="33" fillId="0" borderId="0" xfId="0" applyNumberFormat="1" applyFont="1" applyAlignment="1">
      <alignment horizontal="center" vertical="center" wrapText="1"/>
    </xf>
    <xf numFmtId="0" fontId="33" fillId="0" borderId="0" xfId="0" applyFont="1" applyAlignment="1">
      <alignment horizontal="center" vertical="center" wrapText="1"/>
    </xf>
    <xf numFmtId="0" fontId="28" fillId="0" borderId="0" xfId="0" applyFont="1" applyAlignment="1">
      <alignment horizontal="center" wrapText="1"/>
    </xf>
    <xf numFmtId="38" fontId="28" fillId="0" borderId="0" xfId="1" applyNumberFormat="1" applyFont="1" applyFill="1" applyAlignment="1">
      <alignment horizontal="center" vertical="center" wrapText="1"/>
    </xf>
    <xf numFmtId="0" fontId="31" fillId="0" borderId="0" xfId="0" applyFont="1" applyAlignment="1">
      <alignment wrapText="1"/>
    </xf>
    <xf numFmtId="0" fontId="28" fillId="0" borderId="0" xfId="0" applyFont="1" applyAlignment="1">
      <alignment vertical="center" wrapText="1"/>
    </xf>
    <xf numFmtId="0" fontId="31" fillId="3" borderId="0" xfId="0" applyFont="1" applyFill="1"/>
    <xf numFmtId="0" fontId="36" fillId="0" borderId="0" xfId="0" applyFont="1" applyAlignment="1">
      <alignment horizontal="left" wrapText="1"/>
    </xf>
    <xf numFmtId="17" fontId="28" fillId="0" borderId="0" xfId="0" quotePrefix="1" applyNumberFormat="1" applyFont="1" applyAlignment="1">
      <alignment horizontal="center" vertical="center" wrapText="1"/>
    </xf>
    <xf numFmtId="17" fontId="28" fillId="0" borderId="0" xfId="0" quotePrefix="1" applyNumberFormat="1" applyFont="1" applyAlignment="1">
      <alignment horizontal="left" vertical="center" wrapText="1"/>
    </xf>
    <xf numFmtId="171" fontId="39" fillId="0" borderId="0" xfId="0" applyNumberFormat="1" applyFont="1" applyAlignment="1">
      <alignment horizontal="center" vertical="center" wrapText="1"/>
    </xf>
    <xf numFmtId="0" fontId="40" fillId="0" borderId="0" xfId="0" applyFont="1" applyAlignment="1">
      <alignment horizontal="left" wrapText="1"/>
    </xf>
    <xf numFmtId="0" fontId="41" fillId="0" borderId="0" xfId="0" applyFont="1" applyAlignment="1">
      <alignment vertical="center" wrapText="1"/>
    </xf>
    <xf numFmtId="0" fontId="42" fillId="0" borderId="0" xfId="0" applyFont="1" applyAlignment="1">
      <alignment horizontal="left" wrapText="1"/>
    </xf>
    <xf numFmtId="9" fontId="33" fillId="5" borderId="0" xfId="0" applyNumberFormat="1" applyFont="1" applyFill="1" applyAlignment="1">
      <alignment horizontal="center" vertical="center" wrapText="1"/>
    </xf>
    <xf numFmtId="38" fontId="33" fillId="0" borderId="0" xfId="0" applyNumberFormat="1" applyFont="1" applyAlignment="1">
      <alignment horizontal="center" vertical="center" wrapText="1"/>
    </xf>
    <xf numFmtId="38" fontId="33" fillId="5" borderId="0" xfId="0" applyNumberFormat="1" applyFont="1" applyFill="1" applyAlignment="1">
      <alignment horizontal="center" vertical="center" wrapText="1"/>
    </xf>
    <xf numFmtId="0" fontId="33" fillId="5" borderId="0" xfId="0" applyFont="1" applyFill="1" applyAlignment="1">
      <alignment horizontal="center" vertical="center" wrapText="1"/>
    </xf>
    <xf numFmtId="0" fontId="33" fillId="0" borderId="0" xfId="0" applyFont="1" applyAlignment="1">
      <alignment horizontal="left" wrapText="1"/>
    </xf>
    <xf numFmtId="0" fontId="43" fillId="0" borderId="0" xfId="0" applyFont="1"/>
    <xf numFmtId="0" fontId="29" fillId="0" borderId="0" xfId="0" applyFont="1" applyAlignment="1">
      <alignment horizontal="left" vertical="center" wrapText="1"/>
    </xf>
    <xf numFmtId="165" fontId="28" fillId="0" borderId="0" xfId="0" applyNumberFormat="1" applyFont="1" applyAlignment="1">
      <alignment horizontal="center" vertical="center" wrapText="1"/>
    </xf>
    <xf numFmtId="165" fontId="28" fillId="5" borderId="0" xfId="0" applyNumberFormat="1" applyFont="1" applyFill="1" applyAlignment="1">
      <alignment horizontal="center" vertical="center" wrapText="1"/>
    </xf>
    <xf numFmtId="165" fontId="33" fillId="0" borderId="0" xfId="0" applyNumberFormat="1" applyFont="1" applyAlignment="1">
      <alignment horizontal="center" vertical="center" wrapText="1"/>
    </xf>
    <xf numFmtId="0" fontId="44" fillId="6" borderId="0" xfId="0" applyFont="1" applyFill="1"/>
    <xf numFmtId="0" fontId="28" fillId="6" borderId="0" xfId="0" applyFont="1" applyFill="1"/>
    <xf numFmtId="0" fontId="28" fillId="6" borderId="0" xfId="0" applyFont="1" applyFill="1" applyAlignment="1">
      <alignment horizontal="left"/>
    </xf>
    <xf numFmtId="0" fontId="28" fillId="6" borderId="0" xfId="0" applyFont="1" applyFill="1" applyAlignment="1">
      <alignment horizontal="center"/>
    </xf>
    <xf numFmtId="0" fontId="31" fillId="6" borderId="0" xfId="0" applyFont="1" applyFill="1"/>
    <xf numFmtId="0" fontId="28" fillId="0" borderId="0" xfId="0" applyFont="1"/>
    <xf numFmtId="0" fontId="28" fillId="0" borderId="0" xfId="0" applyFont="1" applyAlignment="1">
      <alignment horizontal="left"/>
    </xf>
    <xf numFmtId="0" fontId="28" fillId="0" borderId="0" xfId="0" applyFont="1" applyAlignment="1">
      <alignment horizontal="center"/>
    </xf>
    <xf numFmtId="38" fontId="6" fillId="0" borderId="2" xfId="0" applyNumberFormat="1" applyFont="1" applyBorder="1"/>
    <xf numFmtId="38" fontId="8" fillId="0" borderId="2" xfId="0" applyNumberFormat="1" applyFont="1" applyBorder="1"/>
    <xf numFmtId="0" fontId="23" fillId="4" borderId="2" xfId="0" applyFont="1" applyFill="1" applyBorder="1"/>
    <xf numFmtId="0" fontId="23" fillId="4" borderId="4" xfId="0" applyFont="1" applyFill="1" applyBorder="1"/>
    <xf numFmtId="0" fontId="26" fillId="5" borderId="0" xfId="0" applyFont="1" applyFill="1" applyAlignment="1">
      <alignment horizontal="left" vertical="center" wrapText="1"/>
    </xf>
    <xf numFmtId="0" fontId="30" fillId="0" borderId="0" xfId="0" applyFont="1" applyAlignment="1">
      <alignment horizontal="left" vertical="center" wrapText="1"/>
    </xf>
    <xf numFmtId="0" fontId="30" fillId="0" borderId="0" xfId="0" applyFont="1" applyAlignment="1">
      <alignment horizontal="left" vertical="center"/>
    </xf>
    <xf numFmtId="0" fontId="30" fillId="5" borderId="0" xfId="0" applyFont="1" applyFill="1" applyAlignment="1">
      <alignment horizontal="left" vertical="center"/>
    </xf>
    <xf numFmtId="9" fontId="30" fillId="5" borderId="0" xfId="0" applyNumberFormat="1" applyFont="1" applyFill="1" applyAlignment="1">
      <alignment horizontal="left" vertical="center"/>
    </xf>
    <xf numFmtId="38" fontId="30" fillId="0" borderId="0" xfId="0" applyNumberFormat="1" applyFont="1" applyAlignment="1">
      <alignment horizontal="left" vertical="center"/>
    </xf>
    <xf numFmtId="40" fontId="30" fillId="5" borderId="0" xfId="0" applyNumberFormat="1" applyFont="1" applyFill="1" applyAlignment="1">
      <alignment horizontal="left" vertical="center"/>
    </xf>
    <xf numFmtId="38" fontId="30" fillId="0" borderId="0" xfId="1" applyNumberFormat="1" applyFont="1" applyAlignment="1">
      <alignment horizontal="left" vertical="center"/>
    </xf>
    <xf numFmtId="38" fontId="30" fillId="5" borderId="0" xfId="0" applyNumberFormat="1" applyFont="1" applyFill="1" applyAlignment="1">
      <alignment horizontal="left" vertical="center"/>
    </xf>
    <xf numFmtId="0" fontId="31" fillId="0" borderId="0" xfId="0" applyFont="1" applyAlignment="1">
      <alignment horizontal="left" vertical="center"/>
    </xf>
    <xf numFmtId="38" fontId="30" fillId="0" borderId="0" xfId="1" applyNumberFormat="1" applyFont="1" applyFill="1" applyAlignment="1">
      <alignment horizontal="left" vertical="center"/>
    </xf>
    <xf numFmtId="0" fontId="30" fillId="7" borderId="0" xfId="0" applyFont="1" applyFill="1" applyAlignment="1">
      <alignment horizontal="left" vertical="center"/>
    </xf>
    <xf numFmtId="165" fontId="30" fillId="0" borderId="0" xfId="0" applyNumberFormat="1" applyFont="1" applyAlignment="1">
      <alignment horizontal="left" vertical="center"/>
    </xf>
    <xf numFmtId="0" fontId="2" fillId="0" borderId="0" xfId="0" applyFont="1"/>
    <xf numFmtId="0" fontId="5" fillId="0" borderId="0" xfId="0" applyFont="1" applyAlignment="1">
      <alignment horizontal="center"/>
    </xf>
    <xf numFmtId="38" fontId="10" fillId="0" borderId="0" xfId="0" applyNumberFormat="1" applyFont="1"/>
    <xf numFmtId="0" fontId="7" fillId="0" borderId="0" xfId="0" applyFont="1" applyAlignment="1">
      <alignment horizontal="center"/>
    </xf>
    <xf numFmtId="38" fontId="12" fillId="0" borderId="0" xfId="0" applyNumberFormat="1" applyFont="1"/>
    <xf numFmtId="170" fontId="20" fillId="0" borderId="0" xfId="2" applyNumberFormat="1" applyFont="1" applyBorder="1"/>
    <xf numFmtId="0" fontId="23" fillId="6" borderId="2" xfId="0" applyFont="1" applyFill="1" applyBorder="1"/>
    <xf numFmtId="0" fontId="15" fillId="6" borderId="0" xfId="0" applyFont="1" applyFill="1"/>
    <xf numFmtId="38" fontId="3" fillId="6" borderId="0" xfId="0" applyNumberFormat="1" applyFont="1" applyFill="1"/>
    <xf numFmtId="38" fontId="24" fillId="6" borderId="0" xfId="0" applyNumberFormat="1" applyFont="1" applyFill="1" applyAlignment="1">
      <alignment horizontal="right" vertical="center"/>
    </xf>
    <xf numFmtId="0" fontId="23" fillId="6" borderId="4" xfId="0" applyFont="1" applyFill="1" applyBorder="1"/>
    <xf numFmtId="0" fontId="18" fillId="6" borderId="4" xfId="0" applyFont="1" applyFill="1" applyBorder="1"/>
    <xf numFmtId="38" fontId="14" fillId="6" borderId="0" xfId="0" applyNumberFormat="1" applyFont="1" applyFill="1"/>
    <xf numFmtId="0" fontId="18" fillId="6" borderId="0" xfId="0" applyFont="1" applyFill="1"/>
    <xf numFmtId="0" fontId="15" fillId="6" borderId="4" xfId="0" applyFont="1" applyFill="1" applyBorder="1"/>
    <xf numFmtId="38" fontId="14" fillId="6" borderId="4" xfId="0" applyNumberFormat="1" applyFont="1" applyFill="1" applyBorder="1"/>
    <xf numFmtId="0" fontId="26" fillId="0" borderId="0" xfId="0" applyFont="1" applyAlignment="1">
      <alignment wrapText="1"/>
    </xf>
    <xf numFmtId="0" fontId="27" fillId="0" borderId="0" xfId="0" applyFont="1" applyAlignment="1">
      <alignment wrapText="1"/>
    </xf>
    <xf numFmtId="0" fontId="28" fillId="0" borderId="0" xfId="0" applyFont="1" applyAlignment="1">
      <alignment vertical="center"/>
    </xf>
    <xf numFmtId="0" fontId="29" fillId="0" borderId="0" xfId="0" applyFont="1" applyAlignment="1">
      <alignment vertical="center" wrapText="1"/>
    </xf>
    <xf numFmtId="0" fontId="28" fillId="7" borderId="0" xfId="0" applyFont="1" applyFill="1" applyAlignment="1">
      <alignment horizontal="center" vertical="center"/>
    </xf>
    <xf numFmtId="9" fontId="28" fillId="5" borderId="0" xfId="2" applyFont="1" applyFill="1" applyAlignment="1">
      <alignment horizontal="left" vertical="center" wrapText="1"/>
    </xf>
    <xf numFmtId="0" fontId="28" fillId="5" borderId="0" xfId="0" applyFont="1" applyFill="1" applyAlignment="1">
      <alignment horizontal="left" vertical="center" wrapText="1"/>
    </xf>
    <xf numFmtId="0" fontId="28" fillId="7" borderId="0" xfId="0" applyFont="1" applyFill="1" applyAlignment="1">
      <alignment vertical="center"/>
    </xf>
    <xf numFmtId="0" fontId="28" fillId="0" borderId="0" xfId="0" applyFont="1" applyAlignment="1">
      <alignment horizontal="center" vertical="center"/>
    </xf>
    <xf numFmtId="3" fontId="28" fillId="0" borderId="0" xfId="0" applyNumberFormat="1" applyFont="1" applyAlignment="1">
      <alignment vertical="center"/>
    </xf>
    <xf numFmtId="168" fontId="28" fillId="0" borderId="0" xfId="0" applyNumberFormat="1" applyFont="1" applyAlignment="1">
      <alignment vertical="center"/>
    </xf>
    <xf numFmtId="0" fontId="33" fillId="0" borderId="0" xfId="0" applyFont="1" applyAlignment="1">
      <alignment vertical="center" wrapText="1"/>
    </xf>
    <xf numFmtId="0" fontId="33" fillId="0" borderId="0" xfId="0" applyFont="1" applyAlignment="1">
      <alignment vertical="center"/>
    </xf>
    <xf numFmtId="0" fontId="34" fillId="0" borderId="0" xfId="0" applyFont="1" applyAlignment="1">
      <alignment vertical="center" wrapText="1"/>
    </xf>
    <xf numFmtId="0" fontId="33" fillId="0" borderId="0" xfId="0" applyFont="1" applyAlignment="1">
      <alignment horizontal="center" vertical="center"/>
    </xf>
    <xf numFmtId="9" fontId="33" fillId="5" borderId="0" xfId="2" applyFont="1" applyFill="1" applyAlignment="1">
      <alignment horizontal="left" vertical="center" wrapText="1"/>
    </xf>
    <xf numFmtId="3" fontId="33" fillId="0" borderId="0" xfId="0" applyNumberFormat="1" applyFont="1" applyAlignment="1">
      <alignment vertical="center"/>
    </xf>
    <xf numFmtId="0" fontId="33" fillId="5" borderId="0" xfId="0" applyFont="1" applyFill="1" applyAlignment="1">
      <alignment horizontal="left" vertical="center" wrapText="1"/>
    </xf>
    <xf numFmtId="38" fontId="35" fillId="5" borderId="0" xfId="0" applyNumberFormat="1" applyFont="1" applyFill="1" applyAlignment="1">
      <alignment horizontal="left" vertical="center"/>
    </xf>
    <xf numFmtId="0" fontId="28" fillId="6" borderId="0" xfId="0" applyFont="1" applyFill="1" applyAlignment="1">
      <alignment vertical="center" wrapText="1"/>
    </xf>
    <xf numFmtId="0" fontId="28" fillId="6" borderId="0" xfId="0" applyFont="1" applyFill="1" applyAlignment="1">
      <alignment horizontal="left" vertical="center" wrapText="1"/>
    </xf>
    <xf numFmtId="3" fontId="28" fillId="7" borderId="0" xfId="0" applyNumberFormat="1" applyFont="1" applyFill="1" applyAlignment="1">
      <alignment vertical="center"/>
    </xf>
    <xf numFmtId="0" fontId="42" fillId="0" borderId="0" xfId="0" applyFont="1" applyAlignment="1">
      <alignment vertical="center" wrapText="1"/>
    </xf>
    <xf numFmtId="172" fontId="28" fillId="0" borderId="0" xfId="0" applyNumberFormat="1" applyFont="1" applyAlignment="1">
      <alignment vertical="center"/>
    </xf>
    <xf numFmtId="9" fontId="28" fillId="5" borderId="0" xfId="2" applyFont="1" applyFill="1" applyAlignment="1">
      <alignment horizontal="right" vertical="center" wrapText="1"/>
    </xf>
    <xf numFmtId="168" fontId="28" fillId="0" borderId="0" xfId="0" applyNumberFormat="1" applyFont="1" applyAlignment="1">
      <alignment horizontal="right" vertical="center"/>
    </xf>
    <xf numFmtId="1" fontId="28" fillId="5" borderId="0" xfId="0" applyNumberFormat="1" applyFont="1" applyFill="1" applyAlignment="1">
      <alignment horizontal="right" vertical="center" wrapText="1"/>
    </xf>
    <xf numFmtId="3" fontId="28" fillId="0" borderId="0" xfId="0" applyNumberFormat="1" applyFont="1" applyAlignment="1">
      <alignment horizontal="right" vertical="center"/>
    </xf>
    <xf numFmtId="38" fontId="30" fillId="5" borderId="0" xfId="0" applyNumberFormat="1" applyFont="1" applyFill="1" applyAlignment="1">
      <alignment horizontal="right" vertical="center"/>
    </xf>
    <xf numFmtId="0" fontId="28" fillId="0" borderId="0" xfId="0" applyFont="1" applyAlignment="1">
      <alignment horizontal="right" vertical="center"/>
    </xf>
    <xf numFmtId="0" fontId="28" fillId="5" borderId="0" xfId="0" applyFont="1" applyFill="1" applyAlignment="1">
      <alignment horizontal="right" vertical="center" wrapText="1"/>
    </xf>
    <xf numFmtId="0" fontId="31" fillId="0" borderId="0" xfId="0" applyFont="1" applyAlignment="1">
      <alignment horizontal="right"/>
    </xf>
    <xf numFmtId="0" fontId="32" fillId="0" borderId="0" xfId="0" applyFont="1" applyAlignment="1">
      <alignment vertical="center" wrapText="1"/>
    </xf>
    <xf numFmtId="0" fontId="31" fillId="0" borderId="0" xfId="0" applyFont="1" applyAlignment="1">
      <alignment vertical="center" wrapText="1"/>
    </xf>
    <xf numFmtId="0" fontId="36" fillId="0" borderId="0" xfId="0" applyFont="1" applyAlignment="1">
      <alignment horizontal="left" vertical="center" wrapText="1"/>
    </xf>
    <xf numFmtId="4" fontId="28" fillId="0" borderId="0" xfId="0" applyNumberFormat="1" applyFont="1" applyAlignment="1">
      <alignment vertical="center"/>
    </xf>
    <xf numFmtId="173" fontId="28" fillId="7" borderId="0" xfId="1" applyNumberFormat="1" applyFont="1" applyFill="1" applyAlignment="1">
      <alignment vertical="center"/>
    </xf>
    <xf numFmtId="174" fontId="28" fillId="0" borderId="0" xfId="0" applyNumberFormat="1" applyFont="1" applyAlignment="1">
      <alignment vertical="center"/>
    </xf>
    <xf numFmtId="0" fontId="28" fillId="0" borderId="0" xfId="0" applyFont="1" applyAlignment="1">
      <alignment wrapText="1"/>
    </xf>
    <xf numFmtId="38" fontId="8" fillId="3" borderId="0" xfId="0" applyNumberFormat="1" applyFont="1" applyFill="1"/>
    <xf numFmtId="0" fontId="29" fillId="0" borderId="0" xfId="0" applyFont="1" applyAlignment="1">
      <alignment wrapText="1"/>
    </xf>
    <xf numFmtId="0" fontId="28" fillId="5" borderId="0" xfId="0" applyFont="1" applyFill="1"/>
    <xf numFmtId="9" fontId="28" fillId="5" borderId="0" xfId="2" applyFont="1" applyFill="1"/>
    <xf numFmtId="1" fontId="28" fillId="7" borderId="0" xfId="0" applyNumberFormat="1" applyFont="1" applyFill="1"/>
    <xf numFmtId="1" fontId="28" fillId="5" borderId="0" xfId="0" applyNumberFormat="1" applyFont="1" applyFill="1"/>
    <xf numFmtId="3" fontId="28" fillId="7" borderId="0" xfId="0" applyNumberFormat="1" applyFont="1" applyFill="1"/>
    <xf numFmtId="1" fontId="28" fillId="0" borderId="0" xfId="0" applyNumberFormat="1" applyFont="1"/>
    <xf numFmtId="3" fontId="28" fillId="0" borderId="0" xfId="0" applyNumberFormat="1" applyFont="1"/>
    <xf numFmtId="0" fontId="28" fillId="7" borderId="0" xfId="0" applyFont="1" applyFill="1"/>
    <xf numFmtId="0" fontId="33" fillId="0" borderId="0" xfId="0" applyFont="1" applyAlignment="1">
      <alignment wrapText="1"/>
    </xf>
    <xf numFmtId="0" fontId="33" fillId="0" borderId="0" xfId="0" applyFont="1"/>
    <xf numFmtId="0" fontId="34" fillId="0" borderId="0" xfId="0" applyFont="1" applyAlignment="1">
      <alignment wrapText="1"/>
    </xf>
    <xf numFmtId="0" fontId="33" fillId="7" borderId="0" xfId="0" applyFont="1" applyFill="1"/>
    <xf numFmtId="0" fontId="33" fillId="5" borderId="0" xfId="0" applyFont="1" applyFill="1"/>
    <xf numFmtId="1" fontId="33" fillId="7" borderId="0" xfId="0" applyNumberFormat="1" applyFont="1" applyFill="1"/>
    <xf numFmtId="1" fontId="33" fillId="5" borderId="0" xfId="0" applyNumberFormat="1" applyFont="1" applyFill="1"/>
    <xf numFmtId="3" fontId="28" fillId="6" borderId="0" xfId="0" applyNumberFormat="1" applyFont="1" applyFill="1"/>
    <xf numFmtId="17" fontId="28" fillId="5" borderId="0" xfId="0" applyNumberFormat="1" applyFont="1" applyFill="1"/>
    <xf numFmtId="17" fontId="28" fillId="0" borderId="0" xfId="0" applyNumberFormat="1" applyFont="1" applyAlignment="1">
      <alignment horizontal="left" wrapText="1"/>
    </xf>
    <xf numFmtId="14" fontId="28" fillId="5" borderId="0" xfId="0" applyNumberFormat="1" applyFont="1" applyFill="1"/>
    <xf numFmtId="9" fontId="28" fillId="5" borderId="0" xfId="0" applyNumberFormat="1" applyFont="1" applyFill="1" applyAlignment="1">
      <alignment horizontal="left" vertical="center" wrapText="1"/>
    </xf>
    <xf numFmtId="3" fontId="30" fillId="4" borderId="0" xfId="0" applyNumberFormat="1" applyFont="1" applyFill="1" applyAlignment="1">
      <alignment horizontal="left" vertical="center"/>
    </xf>
    <xf numFmtId="0" fontId="30" fillId="5" borderId="0" xfId="0" applyFont="1" applyFill="1" applyAlignment="1">
      <alignment horizontal="left" vertical="center" wrapText="1"/>
    </xf>
    <xf numFmtId="9" fontId="30" fillId="5" borderId="0" xfId="2" applyFont="1" applyFill="1" applyAlignment="1">
      <alignment horizontal="left" vertical="center"/>
    </xf>
    <xf numFmtId="3" fontId="30" fillId="7" borderId="0" xfId="0" applyNumberFormat="1" applyFont="1" applyFill="1" applyAlignment="1">
      <alignment horizontal="left" vertical="center"/>
    </xf>
    <xf numFmtId="3" fontId="30" fillId="0" borderId="0" xfId="0" applyNumberFormat="1" applyFont="1" applyAlignment="1">
      <alignment horizontal="left" vertical="center"/>
    </xf>
    <xf numFmtId="17" fontId="30" fillId="0" borderId="0" xfId="0" applyNumberFormat="1" applyFont="1" applyAlignment="1">
      <alignment horizontal="left" vertical="center"/>
    </xf>
    <xf numFmtId="17" fontId="30" fillId="5" borderId="0" xfId="0" applyNumberFormat="1" applyFont="1" applyFill="1" applyAlignment="1">
      <alignment horizontal="left" vertical="center"/>
    </xf>
    <xf numFmtId="1" fontId="30" fillId="0" borderId="0" xfId="0" applyNumberFormat="1" applyFont="1" applyAlignment="1">
      <alignment horizontal="left" vertical="center"/>
    </xf>
    <xf numFmtId="1" fontId="30" fillId="5" borderId="0" xfId="0" applyNumberFormat="1" applyFont="1" applyFill="1" applyAlignment="1">
      <alignment horizontal="left" vertical="center"/>
    </xf>
    <xf numFmtId="167" fontId="7" fillId="0" borderId="2" xfId="0" applyNumberFormat="1" applyFont="1" applyBorder="1"/>
    <xf numFmtId="167" fontId="6" fillId="0" borderId="2" xfId="0" applyNumberFormat="1" applyFont="1" applyBorder="1"/>
    <xf numFmtId="167" fontId="8" fillId="0" borderId="2" xfId="0" applyNumberFormat="1" applyFont="1" applyBorder="1"/>
    <xf numFmtId="167" fontId="6" fillId="0" borderId="0" xfId="0" applyNumberFormat="1" applyFont="1"/>
    <xf numFmtId="167" fontId="8" fillId="0" borderId="0" xfId="0" applyNumberFormat="1" applyFont="1"/>
    <xf numFmtId="165" fontId="9" fillId="0" borderId="3" xfId="0" applyNumberFormat="1" applyFont="1" applyBorder="1"/>
    <xf numFmtId="165" fontId="10" fillId="0" borderId="3" xfId="0" applyNumberFormat="1" applyFont="1" applyBorder="1"/>
    <xf numFmtId="165" fontId="7" fillId="0" borderId="2" xfId="0" applyNumberFormat="1" applyFont="1" applyBorder="1"/>
    <xf numFmtId="165" fontId="16" fillId="0" borderId="2" xfId="0" applyNumberFormat="1" applyFont="1" applyBorder="1"/>
    <xf numFmtId="165" fontId="17" fillId="0" borderId="3" xfId="0" applyNumberFormat="1" applyFont="1" applyBorder="1"/>
    <xf numFmtId="165" fontId="12" fillId="0" borderId="3" xfId="0" applyNumberFormat="1" applyFont="1" applyBorder="1"/>
    <xf numFmtId="165" fontId="7" fillId="0" borderId="3" xfId="0" applyNumberFormat="1" applyFont="1" applyBorder="1"/>
    <xf numFmtId="165" fontId="16" fillId="0" borderId="3" xfId="0" applyNumberFormat="1" applyFont="1" applyBorder="1"/>
    <xf numFmtId="0" fontId="48" fillId="0" borderId="0" xfId="0" applyFont="1"/>
    <xf numFmtId="38" fontId="49" fillId="0" borderId="0" xfId="0" applyNumberFormat="1" applyFont="1"/>
    <xf numFmtId="0" fontId="48" fillId="0" borderId="2" xfId="0" applyFont="1" applyBorder="1"/>
    <xf numFmtId="38" fontId="48" fillId="0" borderId="2" xfId="0" applyNumberFormat="1" applyFont="1" applyBorder="1"/>
    <xf numFmtId="166" fontId="48" fillId="0" borderId="0" xfId="0" applyNumberFormat="1" applyFont="1"/>
    <xf numFmtId="38" fontId="48" fillId="0" borderId="0" xfId="0" applyNumberFormat="1" applyFont="1"/>
    <xf numFmtId="3" fontId="50" fillId="0" borderId="0" xfId="0" applyNumberFormat="1" applyFont="1" applyAlignment="1">
      <alignment horizontal="right" vertical="center"/>
    </xf>
    <xf numFmtId="169" fontId="50" fillId="0" borderId="0" xfId="0" applyNumberFormat="1" applyFont="1"/>
    <xf numFmtId="0" fontId="51" fillId="0" borderId="0" xfId="0" applyFont="1"/>
    <xf numFmtId="170" fontId="50" fillId="0" borderId="0" xfId="2" applyNumberFormat="1" applyFont="1"/>
    <xf numFmtId="3" fontId="50" fillId="6" borderId="0" xfId="0" applyNumberFormat="1" applyFont="1" applyFill="1" applyAlignment="1">
      <alignment horizontal="right" vertical="center"/>
    </xf>
    <xf numFmtId="0" fontId="52" fillId="0" borderId="0" xfId="0" applyFont="1"/>
    <xf numFmtId="38" fontId="53" fillId="0" borderId="0" xfId="0" applyNumberFormat="1" applyFont="1"/>
    <xf numFmtId="38" fontId="54" fillId="0" borderId="5" xfId="0" applyNumberFormat="1" applyFont="1" applyBorder="1"/>
    <xf numFmtId="38" fontId="53" fillId="0" borderId="2" xfId="0" applyNumberFormat="1" applyFont="1" applyBorder="1"/>
    <xf numFmtId="38" fontId="53" fillId="0" borderId="3" xfId="0" applyNumberFormat="1" applyFont="1" applyBorder="1"/>
    <xf numFmtId="38" fontId="53" fillId="0" borderId="4" xfId="0" applyNumberFormat="1" applyFont="1" applyBorder="1"/>
    <xf numFmtId="38" fontId="54" fillId="0" borderId="3" xfId="0" applyNumberFormat="1" applyFont="1" applyBorder="1"/>
    <xf numFmtId="38" fontId="55" fillId="0" borderId="0" xfId="0" applyNumberFormat="1" applyFont="1"/>
    <xf numFmtId="38" fontId="56" fillId="0" borderId="3" xfId="0" applyNumberFormat="1" applyFont="1" applyBorder="1"/>
    <xf numFmtId="38" fontId="55" fillId="0" borderId="2" xfId="0" applyNumberFormat="1" applyFont="1" applyBorder="1"/>
    <xf numFmtId="0" fontId="30" fillId="0" borderId="0" xfId="0" applyFont="1" applyAlignment="1">
      <alignment wrapText="1"/>
    </xf>
    <xf numFmtId="9" fontId="28" fillId="0" borderId="0" xfId="2" applyFont="1" applyFill="1"/>
    <xf numFmtId="9" fontId="28" fillId="0" borderId="0" xfId="0" applyNumberFormat="1" applyFont="1"/>
    <xf numFmtId="38" fontId="28" fillId="0" borderId="0" xfId="0" applyNumberFormat="1" applyFont="1"/>
    <xf numFmtId="0" fontId="57" fillId="0" borderId="1" xfId="0" applyFont="1" applyBorder="1" applyAlignment="1">
      <alignment horizontal="right"/>
    </xf>
    <xf numFmtId="0" fontId="58" fillId="0" borderId="2" xfId="0" applyFont="1" applyBorder="1" applyAlignment="1">
      <alignment wrapText="1"/>
    </xf>
    <xf numFmtId="0" fontId="57" fillId="0" borderId="1" xfId="0" applyFont="1" applyBorder="1" applyAlignment="1">
      <alignment horizontal="center" vertical="center"/>
    </xf>
    <xf numFmtId="0" fontId="57" fillId="4" borderId="1" xfId="0" applyFont="1" applyFill="1" applyBorder="1" applyAlignment="1">
      <alignment horizontal="right"/>
    </xf>
    <xf numFmtId="0" fontId="48" fillId="4" borderId="0" xfId="0" applyFont="1" applyFill="1"/>
    <xf numFmtId="0" fontId="60" fillId="2" borderId="0" xfId="0" applyFont="1" applyFill="1"/>
    <xf numFmtId="0" fontId="48" fillId="0" borderId="1" xfId="0" applyFont="1" applyBorder="1" applyAlignment="1">
      <alignment horizontal="right"/>
    </xf>
    <xf numFmtId="0" fontId="48" fillId="0" borderId="1" xfId="0" applyFont="1" applyBorder="1" applyAlignment="1">
      <alignment horizontal="center"/>
    </xf>
    <xf numFmtId="0" fontId="57" fillId="0" borderId="3" xfId="0" applyFont="1" applyBorder="1"/>
    <xf numFmtId="38" fontId="57" fillId="0" borderId="3" xfId="0" applyNumberFormat="1" applyFont="1" applyBorder="1"/>
    <xf numFmtId="0" fontId="60" fillId="0" borderId="0" xfId="0" applyFont="1"/>
    <xf numFmtId="0" fontId="59" fillId="0" borderId="0" xfId="0" applyFont="1"/>
    <xf numFmtId="164" fontId="48" fillId="0" borderId="0" xfId="2" applyNumberFormat="1" applyFont="1"/>
    <xf numFmtId="165" fontId="48" fillId="0" borderId="0" xfId="0" applyNumberFormat="1" applyFont="1"/>
    <xf numFmtId="0" fontId="57" fillId="0" borderId="4" xfId="0" applyFont="1" applyBorder="1"/>
    <xf numFmtId="38" fontId="48" fillId="0" borderId="4" xfId="0" applyNumberFormat="1" applyFont="1" applyBorder="1"/>
    <xf numFmtId="38" fontId="48" fillId="0" borderId="3" xfId="0" applyNumberFormat="1" applyFont="1" applyBorder="1"/>
    <xf numFmtId="0" fontId="57" fillId="0" borderId="5" xfId="0" applyFont="1" applyBorder="1"/>
    <xf numFmtId="38" fontId="57" fillId="0" borderId="5" xfId="0" applyNumberFormat="1" applyFont="1" applyBorder="1"/>
    <xf numFmtId="166" fontId="48" fillId="3" borderId="0" xfId="0" applyNumberFormat="1" applyFont="1" applyFill="1"/>
    <xf numFmtId="1" fontId="48" fillId="0" borderId="0" xfId="0" applyNumberFormat="1" applyFont="1"/>
    <xf numFmtId="0" fontId="57" fillId="0" borderId="0" xfId="0" applyFont="1"/>
    <xf numFmtId="38" fontId="48" fillId="0" borderId="0" xfId="0" applyNumberFormat="1" applyFont="1" applyAlignment="1">
      <alignment horizontal="right" vertical="center"/>
    </xf>
    <xf numFmtId="38" fontId="61" fillId="0" borderId="0" xfId="0" applyNumberFormat="1" applyFont="1" applyAlignment="1">
      <alignment horizontal="right" vertical="center"/>
    </xf>
    <xf numFmtId="167" fontId="48" fillId="0" borderId="0" xfId="0" applyNumberFormat="1" applyFont="1" applyAlignment="1">
      <alignment horizontal="center" vertical="center"/>
    </xf>
    <xf numFmtId="0" fontId="48" fillId="0" borderId="0" xfId="0" applyFont="1" applyAlignment="1">
      <alignment horizontal="center" vertical="center"/>
    </xf>
    <xf numFmtId="168" fontId="48" fillId="0" borderId="2" xfId="0" applyNumberFormat="1" applyFont="1" applyBorder="1"/>
    <xf numFmtId="3" fontId="48" fillId="0" borderId="0" xfId="0" applyNumberFormat="1" applyFont="1" applyAlignment="1">
      <alignment horizontal="right" vertical="center"/>
    </xf>
    <xf numFmtId="3" fontId="61" fillId="0" borderId="0" xfId="0" applyNumberFormat="1" applyFont="1" applyAlignment="1">
      <alignment horizontal="right" vertical="center"/>
    </xf>
    <xf numFmtId="165" fontId="48" fillId="0" borderId="0" xfId="0" applyNumberFormat="1" applyFont="1" applyAlignment="1">
      <alignment horizontal="center" vertical="center"/>
    </xf>
    <xf numFmtId="40" fontId="48" fillId="0" borderId="0" xfId="0" applyNumberFormat="1" applyFont="1" applyAlignment="1">
      <alignment horizontal="center" vertical="center"/>
    </xf>
    <xf numFmtId="4" fontId="61" fillId="0" borderId="0" xfId="0" applyNumberFormat="1" applyFont="1" applyAlignment="1">
      <alignment horizontal="right" vertical="center"/>
    </xf>
    <xf numFmtId="170" fontId="48" fillId="0" borderId="0" xfId="2" applyNumberFormat="1" applyFont="1"/>
    <xf numFmtId="170" fontId="49" fillId="0" borderId="0" xfId="2" applyNumberFormat="1" applyFont="1"/>
    <xf numFmtId="0" fontId="48" fillId="4" borderId="1" xfId="0" applyFont="1" applyFill="1" applyBorder="1" applyAlignment="1">
      <alignment horizontal="right"/>
    </xf>
    <xf numFmtId="0" fontId="49" fillId="4" borderId="6" xfId="0" applyFont="1" applyFill="1" applyBorder="1"/>
    <xf numFmtId="0" fontId="48" fillId="4" borderId="6" xfId="0" applyFont="1" applyFill="1" applyBorder="1"/>
    <xf numFmtId="0" fontId="48" fillId="4" borderId="0" xfId="0" applyFont="1" applyFill="1" applyAlignment="1">
      <alignment horizontal="left" vertical="center"/>
    </xf>
    <xf numFmtId="0" fontId="57" fillId="4" borderId="0" xfId="0" applyFont="1" applyFill="1"/>
    <xf numFmtId="38" fontId="48" fillId="4" borderId="0" xfId="0" applyNumberFormat="1" applyFont="1" applyFill="1"/>
    <xf numFmtId="38" fontId="62" fillId="4" borderId="0" xfId="0" applyNumberFormat="1" applyFont="1" applyFill="1" applyAlignment="1">
      <alignment horizontal="right" vertical="center"/>
    </xf>
    <xf numFmtId="0" fontId="48" fillId="4" borderId="0" xfId="0" applyFont="1" applyFill="1" applyAlignment="1">
      <alignment vertical="center" wrapText="1"/>
    </xf>
    <xf numFmtId="0" fontId="57" fillId="4" borderId="4" xfId="0" applyFont="1" applyFill="1" applyBorder="1"/>
    <xf numFmtId="38" fontId="48" fillId="4" borderId="4" xfId="0" applyNumberFormat="1" applyFont="1" applyFill="1" applyBorder="1"/>
    <xf numFmtId="0" fontId="49" fillId="4" borderId="2" xfId="0" applyFont="1" applyFill="1" applyBorder="1"/>
    <xf numFmtId="0" fontId="48" fillId="4" borderId="2" xfId="0" applyFont="1" applyFill="1" applyBorder="1"/>
    <xf numFmtId="9" fontId="48" fillId="0" borderId="2" xfId="2" applyFont="1" applyBorder="1"/>
    <xf numFmtId="0" fontId="62" fillId="0" borderId="0" xfId="0" applyFont="1" applyAlignment="1">
      <alignment horizontal="left" wrapText="1"/>
    </xf>
    <xf numFmtId="0" fontId="62" fillId="0" borderId="0" xfId="0" applyFont="1" applyAlignment="1">
      <alignment horizontal="left" vertical="center" wrapText="1"/>
    </xf>
    <xf numFmtId="0" fontId="62" fillId="4" borderId="6" xfId="0" applyFont="1" applyFill="1" applyBorder="1"/>
    <xf numFmtId="0" fontId="63" fillId="0" borderId="0" xfId="0" applyFont="1" applyAlignment="1">
      <alignment horizontal="center"/>
    </xf>
    <xf numFmtId="0" fontId="64" fillId="0" borderId="0" xfId="0" applyFont="1"/>
    <xf numFmtId="0" fontId="63" fillId="0" borderId="0" xfId="0" applyFont="1"/>
    <xf numFmtId="0" fontId="63" fillId="0" borderId="0" xfId="0" applyFont="1" applyAlignment="1">
      <alignment horizontal="center" vertical="center" wrapText="1"/>
    </xf>
    <xf numFmtId="0" fontId="63" fillId="0" borderId="0" xfId="0" applyFont="1" applyAlignment="1">
      <alignment horizontal="left" vertical="center" wrapText="1"/>
    </xf>
    <xf numFmtId="0" fontId="63" fillId="5" borderId="0" xfId="0" applyFont="1" applyFill="1" applyAlignment="1">
      <alignment horizontal="center" vertical="center" wrapText="1"/>
    </xf>
    <xf numFmtId="171" fontId="62" fillId="0" borderId="0" xfId="0" applyNumberFormat="1" applyFont="1" applyAlignment="1">
      <alignment horizontal="center" vertical="center" wrapText="1"/>
    </xf>
    <xf numFmtId="0" fontId="62" fillId="0" borderId="0" xfId="0" applyFont="1" applyAlignment="1">
      <alignment horizontal="center" vertical="center" wrapText="1"/>
    </xf>
    <xf numFmtId="0" fontId="62" fillId="0" borderId="0" xfId="0" applyFont="1"/>
    <xf numFmtId="17" fontId="62" fillId="0" borderId="0" xfId="0" quotePrefix="1" applyNumberFormat="1" applyFont="1" applyAlignment="1">
      <alignment horizontal="center" vertical="center" wrapText="1"/>
    </xf>
    <xf numFmtId="17" fontId="62" fillId="0" borderId="0" xfId="0" quotePrefix="1" applyNumberFormat="1" applyFont="1" applyAlignment="1">
      <alignment horizontal="left" vertical="center" wrapText="1"/>
    </xf>
    <xf numFmtId="17" fontId="62" fillId="0" borderId="0" xfId="0" applyNumberFormat="1" applyFont="1" applyAlignment="1">
      <alignment horizontal="center" vertical="center" wrapText="1"/>
    </xf>
    <xf numFmtId="17" fontId="62" fillId="0" borderId="0" xfId="0" applyNumberFormat="1" applyFont="1" applyAlignment="1">
      <alignment horizontal="left" vertical="center" wrapText="1"/>
    </xf>
    <xf numFmtId="0" fontId="62" fillId="0" borderId="0" xfId="0" applyFont="1" applyAlignment="1">
      <alignment vertical="center" wrapText="1"/>
    </xf>
    <xf numFmtId="0" fontId="62" fillId="0" borderId="0" xfId="0" applyFont="1" applyAlignment="1">
      <alignment horizontal="center" wrapText="1"/>
    </xf>
    <xf numFmtId="0" fontId="65" fillId="0" borderId="0" xfId="0" applyFont="1" applyAlignment="1">
      <alignment horizontal="left" vertical="center" wrapText="1"/>
    </xf>
    <xf numFmtId="0" fontId="62" fillId="0" borderId="0" xfId="0" applyFont="1" applyAlignment="1">
      <alignment horizontal="left"/>
    </xf>
    <xf numFmtId="0" fontId="62" fillId="0" borderId="0" xfId="0" applyFont="1" applyAlignment="1">
      <alignment horizontal="center"/>
    </xf>
    <xf numFmtId="0" fontId="62" fillId="4" borderId="7" xfId="0" applyFont="1" applyFill="1" applyBorder="1"/>
    <xf numFmtId="0" fontId="62" fillId="4" borderId="9" xfId="0" applyFont="1" applyFill="1" applyBorder="1"/>
    <xf numFmtId="0" fontId="62" fillId="4" borderId="10" xfId="0" applyFont="1" applyFill="1" applyBorder="1" applyAlignment="1">
      <alignment horizontal="right"/>
    </xf>
    <xf numFmtId="0" fontId="62" fillId="4" borderId="11" xfId="0" applyFont="1" applyFill="1" applyBorder="1" applyAlignment="1">
      <alignment horizontal="center"/>
    </xf>
    <xf numFmtId="0" fontId="62" fillId="4" borderId="0" xfId="0" applyFont="1" applyFill="1" applyAlignment="1">
      <alignment horizontal="right"/>
    </xf>
    <xf numFmtId="0" fontId="62" fillId="4" borderId="12" xfId="0" applyFont="1" applyFill="1" applyBorder="1" applyAlignment="1">
      <alignment horizontal="center"/>
    </xf>
    <xf numFmtId="0" fontId="62" fillId="4" borderId="13" xfId="0" applyFont="1" applyFill="1" applyBorder="1" applyAlignment="1">
      <alignment horizontal="center"/>
    </xf>
    <xf numFmtId="0" fontId="62" fillId="4" borderId="14" xfId="0" applyFont="1" applyFill="1" applyBorder="1"/>
    <xf numFmtId="0" fontId="62" fillId="4" borderId="15" xfId="0" applyFont="1" applyFill="1" applyBorder="1" applyAlignment="1">
      <alignment horizontal="center" vertical="center"/>
    </xf>
    <xf numFmtId="9" fontId="62" fillId="0" borderId="0" xfId="0" applyNumberFormat="1" applyFont="1" applyAlignment="1">
      <alignment horizontal="center" vertical="center" wrapText="1"/>
    </xf>
    <xf numFmtId="38" fontId="62" fillId="0" borderId="0" xfId="0" applyNumberFormat="1" applyFont="1" applyAlignment="1">
      <alignment horizontal="center" vertical="center" wrapText="1"/>
    </xf>
    <xf numFmtId="38" fontId="62" fillId="0" borderId="0" xfId="0" quotePrefix="1" applyNumberFormat="1" applyFont="1" applyAlignment="1">
      <alignment horizontal="center" vertical="center" wrapText="1"/>
    </xf>
    <xf numFmtId="165" fontId="62" fillId="0" borderId="0" xfId="0" applyNumberFormat="1" applyFont="1" applyAlignment="1">
      <alignment horizontal="center" vertical="center" wrapText="1"/>
    </xf>
    <xf numFmtId="38" fontId="61" fillId="0" borderId="0" xfId="0" applyNumberFormat="1" applyFont="1"/>
    <xf numFmtId="38" fontId="66" fillId="0" borderId="3" xfId="0" applyNumberFormat="1" applyFont="1" applyBorder="1"/>
    <xf numFmtId="0" fontId="66" fillId="0" borderId="0" xfId="0" applyFont="1"/>
    <xf numFmtId="165" fontId="61" fillId="0" borderId="0" xfId="0" applyNumberFormat="1" applyFont="1"/>
    <xf numFmtId="38" fontId="61" fillId="0" borderId="4" xfId="0" applyNumberFormat="1" applyFont="1" applyBorder="1"/>
    <xf numFmtId="38" fontId="61" fillId="0" borderId="3" xfId="0" applyNumberFormat="1" applyFont="1" applyBorder="1"/>
    <xf numFmtId="38" fontId="61" fillId="0" borderId="2" xfId="0" applyNumberFormat="1" applyFont="1" applyBorder="1"/>
    <xf numFmtId="38" fontId="66" fillId="0" borderId="5" xfId="0" applyNumberFormat="1" applyFont="1" applyBorder="1"/>
    <xf numFmtId="0" fontId="66" fillId="4" borderId="0" xfId="0" applyFont="1" applyFill="1"/>
    <xf numFmtId="0" fontId="66" fillId="7" borderId="0" xfId="0" applyFont="1" applyFill="1"/>
    <xf numFmtId="0" fontId="48" fillId="7" borderId="0" xfId="0" applyFont="1" applyFill="1"/>
    <xf numFmtId="0" fontId="57" fillId="7" borderId="1" xfId="0" applyFont="1" applyFill="1" applyBorder="1" applyAlignment="1">
      <alignment horizontal="right"/>
    </xf>
    <xf numFmtId="0" fontId="48" fillId="7" borderId="1" xfId="0" applyFont="1" applyFill="1" applyBorder="1" applyAlignment="1">
      <alignment horizontal="right"/>
    </xf>
    <xf numFmtId="0" fontId="48" fillId="7" borderId="1" xfId="0" applyFont="1" applyFill="1" applyBorder="1" applyAlignment="1">
      <alignment horizontal="center"/>
    </xf>
    <xf numFmtId="38" fontId="48" fillId="7" borderId="2" xfId="0" applyNumberFormat="1" applyFont="1" applyFill="1" applyBorder="1"/>
    <xf numFmtId="38" fontId="48" fillId="7" borderId="0" xfId="0" applyNumberFormat="1" applyFont="1" applyFill="1"/>
    <xf numFmtId="38" fontId="61" fillId="7" borderId="0" xfId="0" applyNumberFormat="1" applyFont="1" applyFill="1"/>
    <xf numFmtId="0" fontId="57" fillId="7" borderId="5" xfId="0" applyFont="1" applyFill="1" applyBorder="1"/>
    <xf numFmtId="38" fontId="57" fillId="7" borderId="5" xfId="0" applyNumberFormat="1" applyFont="1" applyFill="1" applyBorder="1"/>
    <xf numFmtId="38" fontId="66" fillId="7" borderId="5" xfId="0" applyNumberFormat="1" applyFont="1" applyFill="1" applyBorder="1"/>
    <xf numFmtId="0" fontId="48" fillId="4" borderId="0" xfId="0" applyFont="1" applyFill="1" applyAlignment="1">
      <alignment horizontal="left" vertical="center" wrapText="1"/>
    </xf>
    <xf numFmtId="0" fontId="59" fillId="4" borderId="4" xfId="0" applyFont="1" applyFill="1" applyBorder="1" applyAlignment="1">
      <alignment horizontal="center"/>
    </xf>
    <xf numFmtId="0" fontId="59" fillId="4" borderId="0" xfId="0" applyFont="1" applyFill="1" applyAlignment="1">
      <alignment horizontal="center"/>
    </xf>
    <xf numFmtId="38" fontId="57" fillId="0" borderId="0" xfId="0" applyNumberFormat="1" applyFont="1" applyAlignment="1">
      <alignment horizontal="center" vertical="center" wrapText="1"/>
    </xf>
    <xf numFmtId="0" fontId="57" fillId="0" borderId="0" xfId="0" applyFont="1" applyAlignment="1">
      <alignment horizontal="center" wrapText="1"/>
    </xf>
    <xf numFmtId="0" fontId="57" fillId="0" borderId="6" xfId="0" applyFont="1" applyBorder="1" applyAlignment="1">
      <alignment horizontal="center" wrapText="1"/>
    </xf>
    <xf numFmtId="0" fontId="57" fillId="0" borderId="6" xfId="0" applyFont="1" applyBorder="1" applyAlignment="1">
      <alignment horizontal="center" vertical="center"/>
    </xf>
    <xf numFmtId="0" fontId="59" fillId="4" borderId="2" xfId="0" applyFont="1" applyFill="1" applyBorder="1" applyAlignment="1">
      <alignment horizontal="center"/>
    </xf>
    <xf numFmtId="0" fontId="63" fillId="0" borderId="0" xfId="0" applyFont="1" applyAlignment="1">
      <alignment horizontal="center"/>
    </xf>
    <xf numFmtId="0" fontId="63" fillId="4" borderId="2" xfId="0" applyFont="1" applyFill="1" applyBorder="1" applyAlignment="1">
      <alignment horizontal="center"/>
    </xf>
    <xf numFmtId="0" fontId="63" fillId="4" borderId="8" xfId="0" applyFont="1" applyFill="1" applyBorder="1" applyAlignment="1">
      <alignment horizontal="center"/>
    </xf>
    <xf numFmtId="0" fontId="6" fillId="4" borderId="0" xfId="0" applyFont="1" applyFill="1" applyAlignment="1">
      <alignment horizontal="left" vertical="center" wrapText="1"/>
    </xf>
    <xf numFmtId="0" fontId="18" fillId="4" borderId="4" xfId="0" applyFont="1" applyFill="1" applyBorder="1" applyAlignment="1">
      <alignment horizontal="center"/>
    </xf>
    <xf numFmtId="0" fontId="18" fillId="4" borderId="0" xfId="0" applyFont="1" applyFill="1" applyAlignment="1">
      <alignment horizontal="center"/>
    </xf>
    <xf numFmtId="38" fontId="13" fillId="0" borderId="0" xfId="0" applyNumberFormat="1" applyFont="1" applyAlignment="1">
      <alignment horizontal="center" vertical="center" wrapText="1"/>
    </xf>
    <xf numFmtId="0" fontId="17" fillId="0" borderId="0" xfId="0" applyFont="1" applyAlignment="1">
      <alignment horizontal="center" wrapText="1"/>
    </xf>
    <xf numFmtId="0" fontId="17" fillId="0" borderId="6" xfId="0" applyFont="1" applyBorder="1" applyAlignment="1">
      <alignment horizontal="center" wrapText="1"/>
    </xf>
    <xf numFmtId="0" fontId="17" fillId="0" borderId="6" xfId="0" applyFont="1" applyBorder="1" applyAlignment="1">
      <alignment horizontal="center" vertical="center"/>
    </xf>
    <xf numFmtId="0" fontId="23" fillId="4" borderId="2" xfId="0" applyFont="1" applyFill="1" applyBorder="1" applyAlignment="1">
      <alignment horizontal="center"/>
    </xf>
    <xf numFmtId="0" fontId="23" fillId="4" borderId="4" xfId="0" applyFont="1" applyFill="1" applyBorder="1" applyAlignment="1">
      <alignment horizontal="center"/>
    </xf>
    <xf numFmtId="0" fontId="26" fillId="0" borderId="0" xfId="0" applyFont="1" applyAlignment="1">
      <alignment horizontal="center"/>
    </xf>
    <xf numFmtId="0" fontId="44" fillId="6" borderId="0" xfId="0" applyFont="1" applyFill="1" applyAlignment="1">
      <alignment horizontal="center" wrapText="1"/>
    </xf>
    <xf numFmtId="0" fontId="49" fillId="0" borderId="0" xfId="0" applyFont="1"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CF3C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hartsheet" Target="chartsheets/sheet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hartsheet" Target="chartsheets/sheet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6.xml"/><Relationship Id="rId1" Type="http://schemas.microsoft.com/office/2011/relationships/chartStyle" Target="style16.xml"/><Relationship Id="rId4"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9.xml"/><Relationship Id="rId1" Type="http://schemas.microsoft.com/office/2011/relationships/chartStyle" Target="style19.xml"/><Relationship Id="rId4" Type="http://schemas.openxmlformats.org/officeDocument/2006/relationships/chartUserShapes" Target="../drawings/drawing22.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2.xml"/><Relationship Id="rId1" Type="http://schemas.microsoft.com/office/2011/relationships/chartStyle" Target="style22.xml"/><Relationship Id="rId4" Type="http://schemas.openxmlformats.org/officeDocument/2006/relationships/chartUserShapes" Target="../drawings/drawing26.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a:t>Probability Adjusted World SAF Feedstock Demand</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562729658792651"/>
          <c:y val="0.15060258092738407"/>
          <c:w val="0.81030839895013118"/>
          <c:h val="0.69785396617089535"/>
        </c:manualLayout>
      </c:layout>
      <c:barChart>
        <c:barDir val="col"/>
        <c:grouping val="stacked"/>
        <c:varyColors val="0"/>
        <c:ser>
          <c:idx val="0"/>
          <c:order val="0"/>
          <c:tx>
            <c:v>FOGs</c:v>
          </c:tx>
          <c:spPr>
            <a:solidFill>
              <a:srgbClr val="3C91CF"/>
            </a:solidFill>
            <a:ln>
              <a:solidFill>
                <a:schemeClr val="tx1"/>
              </a:solidFill>
            </a:ln>
            <a:effectLst/>
          </c:spPr>
          <c:invertIfNegative val="0"/>
          <c:dLbls>
            <c:dLbl>
              <c:idx val="0"/>
              <c:layout>
                <c:manualLayout>
                  <c:x val="2.5076453565516283E-3"/>
                  <c:y val="-0.10564793758240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7E-442E-A23E-AB19BD659ACE}"/>
                </c:ext>
              </c:extLst>
            </c:dLbl>
            <c:dLbl>
              <c:idx val="1"/>
              <c:layout>
                <c:manualLayout>
                  <c:x val="-2.2986483559903661E-17"/>
                  <c:y val="-0.10564793758240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7E-442E-A23E-AB19BD659ACE}"/>
                </c:ext>
              </c:extLst>
            </c:dLbl>
            <c:dLbl>
              <c:idx val="2"/>
              <c:layout>
                <c:manualLayout>
                  <c:x val="0"/>
                  <c:y val="-0.11547565270634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7E-442E-A23E-AB19BD659ACE}"/>
                </c:ext>
              </c:extLst>
            </c:dLbl>
            <c:dLbl>
              <c:idx val="3"/>
              <c:layout>
                <c:manualLayout>
                  <c:x val="-3.7614680348274426E-3"/>
                  <c:y val="-0.103191008801415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7E-442E-A23E-AB19BD659ACE}"/>
                </c:ext>
              </c:extLst>
            </c:dLbl>
            <c:dLbl>
              <c:idx val="4"/>
              <c:layout>
                <c:manualLayout>
                  <c:x val="1.2538226782758141E-3"/>
                  <c:y val="-9.3363293677471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7E-442E-A23E-AB19BD659ACE}"/>
                </c:ext>
              </c:extLst>
            </c:dLbl>
            <c:dLbl>
              <c:idx val="5"/>
              <c:layout>
                <c:manualLayout>
                  <c:x val="-1.2538226782758141E-3"/>
                  <c:y val="-0.1449587980781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7E-442E-A23E-AB19BD659ACE}"/>
                </c:ext>
              </c:extLst>
            </c:dLbl>
            <c:dLbl>
              <c:idx val="6"/>
              <c:layout>
                <c:manualLayout>
                  <c:x val="0"/>
                  <c:y val="-0.152329584421136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27E-442E-A23E-AB19BD659ACE}"/>
                </c:ext>
              </c:extLst>
            </c:dLbl>
            <c:dLbl>
              <c:idx val="7"/>
              <c:layout>
                <c:manualLayout>
                  <c:x val="0"/>
                  <c:y val="-0.196554302478886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27E-442E-A23E-AB19BD659ACE}"/>
                </c:ext>
              </c:extLst>
            </c:dLbl>
            <c:spPr>
              <a:noFill/>
              <a:ln>
                <a:noFill/>
              </a:ln>
              <a:effectLst/>
            </c:spPr>
            <c:txPr>
              <a:bodyPr rot="-5400000" spcFirstLastPara="1" vertOverflow="ellipsis"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9050" cap="flat" cmpd="sng" algn="ctr">
                      <a:solidFill>
                        <a:srgbClr val="3C91CF"/>
                      </a:solidFill>
                      <a:round/>
                    </a:ln>
                    <a:effectLst/>
                  </c:spPr>
                </c15:leaderLines>
              </c:ext>
            </c:extLst>
          </c:dLbls>
          <c:cat>
            <c:strRef>
              <c:f>'Global Capacity Data'!$B$70:$P$70</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f>'Global Capacity Data'!$B$71:$P$71</c:f>
              <c:numCache>
                <c:formatCode>#,##0_);[Red]\(#,##0\)</c:formatCode>
                <c:ptCount val="15"/>
                <c:pt idx="0">
                  <c:v>802.97249999999997</c:v>
                </c:pt>
                <c:pt idx="1">
                  <c:v>932.33249999999998</c:v>
                </c:pt>
                <c:pt idx="2">
                  <c:v>4674.1230937500004</c:v>
                </c:pt>
                <c:pt idx="3">
                  <c:v>7315.6875</c:v>
                </c:pt>
                <c:pt idx="4">
                  <c:v>18084.247499999998</c:v>
                </c:pt>
                <c:pt idx="5">
                  <c:v>29171.499225</c:v>
                </c:pt>
                <c:pt idx="6">
                  <c:v>30178.378725000002</c:v>
                </c:pt>
                <c:pt idx="7">
                  <c:v>35814.069224999999</c:v>
                </c:pt>
                <c:pt idx="8">
                  <c:v>39349.346850000002</c:v>
                </c:pt>
                <c:pt idx="9">
                  <c:v>38199.969225000008</c:v>
                </c:pt>
                <c:pt idx="10">
                  <c:v>39902.191725000004</c:v>
                </c:pt>
                <c:pt idx="11">
                  <c:v>38864.094225000008</c:v>
                </c:pt>
                <c:pt idx="12">
                  <c:v>38945.769225000004</c:v>
                </c:pt>
                <c:pt idx="13">
                  <c:v>38945.769225000004</c:v>
                </c:pt>
                <c:pt idx="14">
                  <c:v>38945.769225000004</c:v>
                </c:pt>
              </c:numCache>
            </c:numRef>
          </c:val>
          <c:extLst>
            <c:ext xmlns:c16="http://schemas.microsoft.com/office/drawing/2014/chart" uri="{C3380CC4-5D6E-409C-BE32-E72D297353CC}">
              <c16:uniqueId val="{00000008-227E-442E-A23E-AB19BD659ACE}"/>
            </c:ext>
          </c:extLst>
        </c:ser>
        <c:ser>
          <c:idx val="1"/>
          <c:order val="1"/>
          <c:tx>
            <c:v>Grains</c:v>
          </c:tx>
          <c:spPr>
            <a:solidFill>
              <a:srgbClr val="CF3C53"/>
            </a:solidFill>
            <a:ln>
              <a:solidFill>
                <a:schemeClr val="tx1"/>
              </a:solidFill>
            </a:ln>
            <a:effectLst/>
          </c:spPr>
          <c:invertIfNegative val="0"/>
          <c:cat>
            <c:strRef>
              <c:f>'Global Capacity Data'!$B$70:$P$70</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f>'Global Capacity Data'!$B$72:$P$72</c:f>
              <c:numCache>
                <c:formatCode>#,##0_);[Red]\(#,##0\)</c:formatCode>
                <c:ptCount val="15"/>
                <c:pt idx="0">
                  <c:v>60.871594202898571</c:v>
                </c:pt>
                <c:pt idx="1">
                  <c:v>60.871594202898571</c:v>
                </c:pt>
                <c:pt idx="2">
                  <c:v>60.871594202898571</c:v>
                </c:pt>
                <c:pt idx="3">
                  <c:v>60.871594202898571</c:v>
                </c:pt>
                <c:pt idx="4">
                  <c:v>243.48028985507253</c:v>
                </c:pt>
                <c:pt idx="5">
                  <c:v>3969.6234057971024</c:v>
                </c:pt>
                <c:pt idx="6">
                  <c:v>5767.3045652173923</c:v>
                </c:pt>
                <c:pt idx="7">
                  <c:v>13444.224855072465</c:v>
                </c:pt>
                <c:pt idx="8">
                  <c:v>17874.494420289859</c:v>
                </c:pt>
                <c:pt idx="9">
                  <c:v>17495.723405797104</c:v>
                </c:pt>
                <c:pt idx="10">
                  <c:v>21019.503115942036</c:v>
                </c:pt>
                <c:pt idx="11">
                  <c:v>19829.543695652177</c:v>
                </c:pt>
                <c:pt idx="12">
                  <c:v>20377.369782608701</c:v>
                </c:pt>
                <c:pt idx="13">
                  <c:v>20377.369782608701</c:v>
                </c:pt>
                <c:pt idx="14">
                  <c:v>20377.369782608701</c:v>
                </c:pt>
              </c:numCache>
            </c:numRef>
          </c:val>
          <c:extLst>
            <c:ext xmlns:c16="http://schemas.microsoft.com/office/drawing/2014/chart" uri="{C3380CC4-5D6E-409C-BE32-E72D297353CC}">
              <c16:uniqueId val="{00000009-227E-442E-A23E-AB19BD659ACE}"/>
            </c:ext>
          </c:extLst>
        </c:ser>
        <c:ser>
          <c:idx val="2"/>
          <c:order val="2"/>
          <c:tx>
            <c:v>Woody Biomass</c:v>
          </c:tx>
          <c:spPr>
            <a:solidFill>
              <a:srgbClr val="63CF3C"/>
            </a:solidFill>
            <a:ln>
              <a:solidFill>
                <a:schemeClr val="tx1"/>
              </a:solidFill>
            </a:ln>
            <a:effectLst/>
          </c:spPr>
          <c:invertIfNegative val="0"/>
          <c:cat>
            <c:strRef>
              <c:f>'Global Capacity Data'!$B$70:$P$70</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f>'Global Capacity Data'!$B$73:$P$73</c:f>
              <c:numCache>
                <c:formatCode>#,##0_);[Red]\(#,##0\)</c:formatCode>
                <c:ptCount val="15"/>
                <c:pt idx="0">
                  <c:v>0</c:v>
                </c:pt>
                <c:pt idx="1">
                  <c:v>0</c:v>
                </c:pt>
                <c:pt idx="2">
                  <c:v>0</c:v>
                </c:pt>
                <c:pt idx="3">
                  <c:v>0</c:v>
                </c:pt>
                <c:pt idx="4">
                  <c:v>0</c:v>
                </c:pt>
                <c:pt idx="5">
                  <c:v>3678.15</c:v>
                </c:pt>
                <c:pt idx="6">
                  <c:v>2489.4625000000001</c:v>
                </c:pt>
                <c:pt idx="7">
                  <c:v>9062.6549999999988</c:v>
                </c:pt>
                <c:pt idx="8">
                  <c:v>8549.2049999999999</c:v>
                </c:pt>
                <c:pt idx="9">
                  <c:v>10631.705</c:v>
                </c:pt>
                <c:pt idx="10">
                  <c:v>15832.529999999999</c:v>
                </c:pt>
                <c:pt idx="11">
                  <c:v>15832.529999999999</c:v>
                </c:pt>
                <c:pt idx="12">
                  <c:v>15832.529999999999</c:v>
                </c:pt>
                <c:pt idx="13">
                  <c:v>15832.529999999999</c:v>
                </c:pt>
                <c:pt idx="14">
                  <c:v>15832.529999999999</c:v>
                </c:pt>
              </c:numCache>
            </c:numRef>
          </c:val>
          <c:extLst>
            <c:ext xmlns:c16="http://schemas.microsoft.com/office/drawing/2014/chart" uri="{C3380CC4-5D6E-409C-BE32-E72D297353CC}">
              <c16:uniqueId val="{0000000A-227E-442E-A23E-AB19BD659ACE}"/>
            </c:ext>
          </c:extLst>
        </c:ser>
        <c:ser>
          <c:idx val="3"/>
          <c:order val="3"/>
          <c:tx>
            <c:v>CCS</c:v>
          </c:tx>
          <c:spPr>
            <a:solidFill>
              <a:srgbClr val="CFB93C"/>
            </a:solidFill>
            <a:ln>
              <a:solidFill>
                <a:schemeClr val="tx1"/>
              </a:solidFill>
            </a:ln>
            <a:effectLst/>
          </c:spPr>
          <c:invertIfNegative val="0"/>
          <c:cat>
            <c:strRef>
              <c:f>'Global Capacity Data'!$B$70:$P$70</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f>'Global Capacity Data'!$B$74:$P$74</c:f>
              <c:numCache>
                <c:formatCode>#,##0_);[Red]\(#,##0\)</c:formatCode>
                <c:ptCount val="15"/>
                <c:pt idx="0">
                  <c:v>0</c:v>
                </c:pt>
                <c:pt idx="1">
                  <c:v>0.12687356660655597</c:v>
                </c:pt>
                <c:pt idx="2">
                  <c:v>1.2879589337332198</c:v>
                </c:pt>
                <c:pt idx="3">
                  <c:v>1.9223267667659995E-2</c:v>
                </c:pt>
                <c:pt idx="4">
                  <c:v>25.457617487889998</c:v>
                </c:pt>
                <c:pt idx="5">
                  <c:v>28.791768313605782</c:v>
                </c:pt>
                <c:pt idx="6">
                  <c:v>1518.5157165781263</c:v>
                </c:pt>
                <c:pt idx="7">
                  <c:v>1841.718918782952</c:v>
                </c:pt>
                <c:pt idx="8">
                  <c:v>3327.9850817757529</c:v>
                </c:pt>
                <c:pt idx="9">
                  <c:v>936.37990470683724</c:v>
                </c:pt>
                <c:pt idx="10">
                  <c:v>3724.7148799009201</c:v>
                </c:pt>
                <c:pt idx="11">
                  <c:v>4965.2211773965219</c:v>
                </c:pt>
                <c:pt idx="12">
                  <c:v>7816.2336168210104</c:v>
                </c:pt>
                <c:pt idx="13">
                  <c:v>2847.5956227609295</c:v>
                </c:pt>
                <c:pt idx="14">
                  <c:v>1261.6068364153759</c:v>
                </c:pt>
              </c:numCache>
            </c:numRef>
          </c:val>
          <c:extLst>
            <c:ext xmlns:c16="http://schemas.microsoft.com/office/drawing/2014/chart" uri="{C3380CC4-5D6E-409C-BE32-E72D297353CC}">
              <c16:uniqueId val="{0000000B-227E-442E-A23E-AB19BD659ACE}"/>
            </c:ext>
          </c:extLst>
        </c:ser>
        <c:ser>
          <c:idx val="4"/>
          <c:order val="4"/>
          <c:tx>
            <c:v>MSW</c:v>
          </c:tx>
          <c:spPr>
            <a:solidFill>
              <a:srgbClr val="CF883C"/>
            </a:solidFill>
            <a:ln>
              <a:solidFill>
                <a:schemeClr val="tx1"/>
              </a:solidFill>
            </a:ln>
            <a:effectLst/>
          </c:spPr>
          <c:invertIfNegative val="0"/>
          <c:cat>
            <c:strRef>
              <c:f>'Global Capacity Data'!$B$70:$P$70</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f>'Global Capacity Data'!$B$75:$P$75</c:f>
              <c:numCache>
                <c:formatCode>#,##0_);[Red]\(#,##0\)</c:formatCode>
                <c:ptCount val="15"/>
                <c:pt idx="0">
                  <c:v>0</c:v>
                </c:pt>
                <c:pt idx="1">
                  <c:v>0</c:v>
                </c:pt>
                <c:pt idx="2">
                  <c:v>0</c:v>
                </c:pt>
                <c:pt idx="3">
                  <c:v>0</c:v>
                </c:pt>
                <c:pt idx="4">
                  <c:v>18.387599999999999</c:v>
                </c:pt>
                <c:pt idx="5">
                  <c:v>1396.4227999999998</c:v>
                </c:pt>
                <c:pt idx="6">
                  <c:v>384.06999999999994</c:v>
                </c:pt>
                <c:pt idx="7">
                  <c:v>2810.5764999999997</c:v>
                </c:pt>
                <c:pt idx="8">
                  <c:v>3379.0199999999995</c:v>
                </c:pt>
                <c:pt idx="9">
                  <c:v>200.98999999999998</c:v>
                </c:pt>
                <c:pt idx="10">
                  <c:v>1510.41</c:v>
                </c:pt>
                <c:pt idx="11">
                  <c:v>515.41</c:v>
                </c:pt>
                <c:pt idx="12">
                  <c:v>2438.9439999999995</c:v>
                </c:pt>
                <c:pt idx="13">
                  <c:v>515.41</c:v>
                </c:pt>
                <c:pt idx="14">
                  <c:v>515.41</c:v>
                </c:pt>
              </c:numCache>
            </c:numRef>
          </c:val>
          <c:extLst>
            <c:ext xmlns:c16="http://schemas.microsoft.com/office/drawing/2014/chart" uri="{C3380CC4-5D6E-409C-BE32-E72D297353CC}">
              <c16:uniqueId val="{0000000C-227E-442E-A23E-AB19BD659ACE}"/>
            </c:ext>
          </c:extLst>
        </c:ser>
        <c:dLbls>
          <c:showLegendKey val="0"/>
          <c:showVal val="0"/>
          <c:showCatName val="0"/>
          <c:showSerName val="0"/>
          <c:showPercent val="0"/>
          <c:showBubbleSize val="0"/>
        </c:dLbls>
        <c:gapWidth val="25"/>
        <c:overlap val="100"/>
        <c:axId val="310542991"/>
        <c:axId val="310566991"/>
      </c:barChart>
      <c:catAx>
        <c:axId val="31054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0566991"/>
        <c:crosses val="autoZero"/>
        <c:auto val="1"/>
        <c:lblAlgn val="ctr"/>
        <c:lblOffset val="100"/>
        <c:noMultiLvlLbl val="0"/>
      </c:catAx>
      <c:valAx>
        <c:axId val="310566991"/>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GB"/>
                  <a:t>million pounds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0542991"/>
        <c:crosses val="autoZero"/>
        <c:crossBetween val="between"/>
      </c:valAx>
      <c:spPr>
        <a:noFill/>
        <a:ln w="22225">
          <a:solidFill>
            <a:srgbClr val="8C8C8C"/>
          </a:solidFill>
        </a:ln>
        <a:effectLst/>
      </c:spPr>
    </c:plotArea>
    <c:legend>
      <c:legendPos val="b"/>
      <c:layout>
        <c:manualLayout>
          <c:xMode val="edge"/>
          <c:yMode val="edge"/>
          <c:x val="0.22354877515310587"/>
          <c:y val="0.92100357247010789"/>
          <c:w val="0.77512467191601042"/>
          <c:h val="7.899642752989209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22225" cap="flat" cmpd="sng" algn="ctr">
      <a:noFill/>
      <a:round/>
    </a:ln>
    <a:effectLst/>
  </c:spPr>
  <c:txPr>
    <a:bodyPr/>
    <a:lstStyle/>
    <a:p>
      <a:pPr>
        <a:defRPr sz="10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200"/>
              <a:t>HEFA Remains Nearly All of Announced Supply, but ATJ could Add Two or Three Times the HEFA Capacity</a:t>
            </a:r>
          </a:p>
        </c:rich>
      </c:tx>
      <c:overlay val="0"/>
      <c:spPr>
        <a:noFill/>
        <a:ln>
          <a:noFill/>
        </a:ln>
        <a:effectLst/>
      </c:spPr>
      <c:txPr>
        <a:bodyPr rot="0" spcFirstLastPara="1" vertOverflow="ellipsis" vert="horz" wrap="square" anchor="ctr" anchorCtr="1"/>
        <a:lstStyle/>
        <a:p>
          <a:pPr algn="l">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6.586820165904686E-2"/>
          <c:y val="0.19815499151390936"/>
          <c:w val="0.78518630270707257"/>
          <c:h val="0.68846925677388937"/>
        </c:manualLayout>
      </c:layout>
      <c:areaChart>
        <c:grouping val="stacked"/>
        <c:varyColors val="0"/>
        <c:ser>
          <c:idx val="0"/>
          <c:order val="0"/>
          <c:tx>
            <c:strRef>
              <c:f>'Global Capacity Data'!$A$43</c:f>
              <c:strCache>
                <c:ptCount val="1"/>
                <c:pt idx="0">
                  <c:v>HEFA</c:v>
                </c:pt>
              </c:strCache>
            </c:strRef>
          </c:tx>
          <c:spPr>
            <a:solidFill>
              <a:srgbClr val="CF3C53"/>
            </a:solidFill>
            <a:ln>
              <a:solidFill>
                <a:schemeClr val="tx1"/>
              </a:solidFill>
            </a:ln>
            <a:effectLst/>
          </c:spPr>
          <c:cat>
            <c:strRef>
              <c:extLst>
                <c:ext xmlns:c15="http://schemas.microsoft.com/office/drawing/2012/chart" uri="{02D57815-91ED-43cb-92C2-25804820EDAC}">
                  <c15:fullRef>
                    <c15:sqref>'Global Capacity Data'!$B$32:$Q$32</c15:sqref>
                  </c15:fullRef>
                </c:ext>
              </c:extLst>
              <c:f>'Global Capacity Data'!$B$32:$P$32</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extLst>
                <c:ext xmlns:c15="http://schemas.microsoft.com/office/drawing/2012/chart" uri="{02D57815-91ED-43cb-92C2-25804820EDAC}">
                  <c15:fullRef>
                    <c15:sqref>'Global Capacity Data'!$B$33:$Q$33</c15:sqref>
                  </c15:fullRef>
                </c:ext>
              </c:extLst>
              <c:f>'Global Capacity Data'!$B$33:$P$33</c:f>
              <c:numCache>
                <c:formatCode>#,##0_);[Red]\(#,##0\)</c:formatCode>
                <c:ptCount val="15"/>
                <c:pt idx="0">
                  <c:v>247</c:v>
                </c:pt>
                <c:pt idx="1">
                  <c:v>597</c:v>
                </c:pt>
                <c:pt idx="2">
                  <c:v>1070.6500000000001</c:v>
                </c:pt>
                <c:pt idx="3">
                  <c:v>1400.65</c:v>
                </c:pt>
                <c:pt idx="4">
                  <c:v>2640.1875</c:v>
                </c:pt>
                <c:pt idx="5">
                  <c:v>4292.5030000000006</c:v>
                </c:pt>
                <c:pt idx="6">
                  <c:v>5480.9575000000004</c:v>
                </c:pt>
                <c:pt idx="7">
                  <c:v>7257.0700000000006</c:v>
                </c:pt>
                <c:pt idx="8">
                  <c:v>7747.7950000000001</c:v>
                </c:pt>
                <c:pt idx="9">
                  <c:v>7864.2950000000001</c:v>
                </c:pt>
                <c:pt idx="10">
                  <c:v>8194.125</c:v>
                </c:pt>
                <c:pt idx="11">
                  <c:v>8194.125</c:v>
                </c:pt>
                <c:pt idx="12">
                  <c:v>8254.0249999999996</c:v>
                </c:pt>
                <c:pt idx="13">
                  <c:v>8254.0249999999996</c:v>
                </c:pt>
                <c:pt idx="14">
                  <c:v>8254.0249999999996</c:v>
                </c:pt>
              </c:numCache>
            </c:numRef>
          </c:val>
          <c:extLst>
            <c:ext xmlns:c16="http://schemas.microsoft.com/office/drawing/2014/chart" uri="{C3380CC4-5D6E-409C-BE32-E72D297353CC}">
              <c16:uniqueId val="{00000000-C8BA-4F8D-B4E3-E35F8B94559B}"/>
            </c:ext>
          </c:extLst>
        </c:ser>
        <c:ser>
          <c:idx val="1"/>
          <c:order val="1"/>
          <c:tx>
            <c:strRef>
              <c:f>'Global Capacity Data'!$A$44</c:f>
              <c:strCache>
                <c:ptCount val="1"/>
                <c:pt idx="0">
                  <c:v>ATJ</c:v>
                </c:pt>
              </c:strCache>
            </c:strRef>
          </c:tx>
          <c:spPr>
            <a:solidFill>
              <a:srgbClr val="3C91CF"/>
            </a:solidFill>
            <a:ln>
              <a:solidFill>
                <a:schemeClr val="tx1"/>
              </a:solidFill>
            </a:ln>
            <a:effectLst/>
          </c:spPr>
          <c:cat>
            <c:strRef>
              <c:extLst>
                <c:ext xmlns:c15="http://schemas.microsoft.com/office/drawing/2012/chart" uri="{02D57815-91ED-43cb-92C2-25804820EDAC}">
                  <c15:fullRef>
                    <c15:sqref>'Global Capacity Data'!$B$32:$Q$32</c15:sqref>
                  </c15:fullRef>
                </c:ext>
              </c:extLst>
              <c:f>'Global Capacity Data'!$B$32:$P$32</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extLst>
                <c:ext xmlns:c15="http://schemas.microsoft.com/office/drawing/2012/chart" uri="{02D57815-91ED-43cb-92C2-25804820EDAC}">
                  <c15:fullRef>
                    <c15:sqref>'Global Capacity Data'!$B$34:$Q$34</c15:sqref>
                  </c15:fullRef>
                </c:ext>
              </c:extLst>
              <c:f>'Global Capacity Data'!$B$34:$P$34</c:f>
              <c:numCache>
                <c:formatCode>#,##0_);[Red]\(#,##0\)</c:formatCode>
                <c:ptCount val="15"/>
                <c:pt idx="0">
                  <c:v>60.1</c:v>
                </c:pt>
                <c:pt idx="1">
                  <c:v>60.1</c:v>
                </c:pt>
                <c:pt idx="2">
                  <c:v>60.1</c:v>
                </c:pt>
                <c:pt idx="3">
                  <c:v>60.1</c:v>
                </c:pt>
                <c:pt idx="4">
                  <c:v>69.099999999999994</c:v>
                </c:pt>
                <c:pt idx="5">
                  <c:v>304.29124999999999</c:v>
                </c:pt>
                <c:pt idx="6">
                  <c:v>697.49125000000004</c:v>
                </c:pt>
                <c:pt idx="7">
                  <c:v>1399.10375</c:v>
                </c:pt>
                <c:pt idx="8">
                  <c:v>1748.2527500000001</c:v>
                </c:pt>
                <c:pt idx="9">
                  <c:v>1854.1837500000001</c:v>
                </c:pt>
                <c:pt idx="10">
                  <c:v>2162.2687500000002</c:v>
                </c:pt>
                <c:pt idx="11">
                  <c:v>2230.3087500000001</c:v>
                </c:pt>
                <c:pt idx="12">
                  <c:v>2309.3587500000003</c:v>
                </c:pt>
                <c:pt idx="13">
                  <c:v>2309.3587500000003</c:v>
                </c:pt>
                <c:pt idx="14">
                  <c:v>2309.3587500000003</c:v>
                </c:pt>
              </c:numCache>
            </c:numRef>
          </c:val>
          <c:extLst>
            <c:ext xmlns:c16="http://schemas.microsoft.com/office/drawing/2014/chart" uri="{C3380CC4-5D6E-409C-BE32-E72D297353CC}">
              <c16:uniqueId val="{00000001-C8BA-4F8D-B4E3-E35F8B94559B}"/>
            </c:ext>
          </c:extLst>
        </c:ser>
        <c:ser>
          <c:idx val="2"/>
          <c:order val="2"/>
          <c:tx>
            <c:strRef>
              <c:f>'Global Capacity Data'!$A$45</c:f>
              <c:strCache>
                <c:ptCount val="1"/>
                <c:pt idx="0">
                  <c:v>FT</c:v>
                </c:pt>
              </c:strCache>
            </c:strRef>
          </c:tx>
          <c:spPr>
            <a:solidFill>
              <a:srgbClr val="CFB93C"/>
            </a:solidFill>
            <a:ln>
              <a:solidFill>
                <a:schemeClr val="tx1"/>
              </a:solidFill>
            </a:ln>
            <a:effectLst/>
          </c:spPr>
          <c:cat>
            <c:strRef>
              <c:extLst>
                <c:ext xmlns:c15="http://schemas.microsoft.com/office/drawing/2012/chart" uri="{02D57815-91ED-43cb-92C2-25804820EDAC}">
                  <c15:fullRef>
                    <c15:sqref>'Global Capacity Data'!$B$32:$Q$32</c15:sqref>
                  </c15:fullRef>
                </c:ext>
              </c:extLst>
              <c:f>'Global Capacity Data'!$B$32:$P$32</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extLst>
                <c:ext xmlns:c15="http://schemas.microsoft.com/office/drawing/2012/chart" uri="{02D57815-91ED-43cb-92C2-25804820EDAC}">
                  <c15:fullRef>
                    <c15:sqref>'Global Capacity Data'!$B$35:$Q$35</c15:sqref>
                  </c15:fullRef>
                </c:ext>
              </c:extLst>
              <c:f>'Global Capacity Data'!$B$35:$P$35</c:f>
              <c:numCache>
                <c:formatCode>#,##0_);[Red]\(#,##0\)</c:formatCode>
                <c:ptCount val="15"/>
                <c:pt idx="0">
                  <c:v>0</c:v>
                </c:pt>
                <c:pt idx="1">
                  <c:v>0</c:v>
                </c:pt>
                <c:pt idx="2">
                  <c:v>0</c:v>
                </c:pt>
                <c:pt idx="3">
                  <c:v>0</c:v>
                </c:pt>
                <c:pt idx="4">
                  <c:v>0.46200000000000002</c:v>
                </c:pt>
                <c:pt idx="5">
                  <c:v>174.65600000000001</c:v>
                </c:pt>
                <c:pt idx="6">
                  <c:v>350.93600000000004</c:v>
                </c:pt>
                <c:pt idx="7">
                  <c:v>827.67600000000004</c:v>
                </c:pt>
                <c:pt idx="8">
                  <c:v>1024.826</c:v>
                </c:pt>
                <c:pt idx="9">
                  <c:v>1143.826</c:v>
                </c:pt>
                <c:pt idx="10">
                  <c:v>1241.2260000000001</c:v>
                </c:pt>
                <c:pt idx="11">
                  <c:v>1241.2260000000001</c:v>
                </c:pt>
                <c:pt idx="12">
                  <c:v>1256.556</c:v>
                </c:pt>
                <c:pt idx="13">
                  <c:v>1256.556</c:v>
                </c:pt>
                <c:pt idx="14">
                  <c:v>1256.556</c:v>
                </c:pt>
              </c:numCache>
            </c:numRef>
          </c:val>
          <c:extLst>
            <c:ext xmlns:c16="http://schemas.microsoft.com/office/drawing/2014/chart" uri="{C3380CC4-5D6E-409C-BE32-E72D297353CC}">
              <c16:uniqueId val="{00000002-C8BA-4F8D-B4E3-E35F8B94559B}"/>
            </c:ext>
          </c:extLst>
        </c:ser>
        <c:ser>
          <c:idx val="3"/>
          <c:order val="3"/>
          <c:tx>
            <c:strRef>
              <c:f>'Global Capacity Data'!$A$46</c:f>
              <c:strCache>
                <c:ptCount val="1"/>
                <c:pt idx="0">
                  <c:v>PTL</c:v>
                </c:pt>
              </c:strCache>
            </c:strRef>
          </c:tx>
          <c:spPr>
            <a:solidFill>
              <a:srgbClr val="63CF3C"/>
            </a:solidFill>
            <a:ln>
              <a:solidFill>
                <a:schemeClr val="tx1"/>
              </a:solidFill>
            </a:ln>
            <a:effectLst/>
          </c:spPr>
          <c:cat>
            <c:strRef>
              <c:extLst>
                <c:ext xmlns:c15="http://schemas.microsoft.com/office/drawing/2012/chart" uri="{02D57815-91ED-43cb-92C2-25804820EDAC}">
                  <c15:fullRef>
                    <c15:sqref>'Global Capacity Data'!$B$32:$Q$32</c15:sqref>
                  </c15:fullRef>
                </c:ext>
              </c:extLst>
              <c:f>'Global Capacity Data'!$B$32:$P$32</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extLst>
                <c:ext xmlns:c15="http://schemas.microsoft.com/office/drawing/2012/chart" uri="{02D57815-91ED-43cb-92C2-25804820EDAC}">
                  <c15:fullRef>
                    <c15:sqref>'Global Capacity Data'!$B$36:$Q$36</c15:sqref>
                  </c15:fullRef>
                </c:ext>
              </c:extLst>
              <c:f>'Global Capacity Data'!$B$36:$P$36</c:f>
              <c:numCache>
                <c:formatCode>#,##0_);[Red]\(#,##0\)</c:formatCode>
                <c:ptCount val="15"/>
                <c:pt idx="0">
                  <c:v>0</c:v>
                </c:pt>
                <c:pt idx="1">
                  <c:v>6.6E-3</c:v>
                </c:pt>
                <c:pt idx="2" formatCode="#,##0.000_);[Red]\(#,##0.000\)">
                  <c:v>7.3599999999999999E-2</c:v>
                </c:pt>
                <c:pt idx="3" formatCode="#,##0.000_);[Red]\(#,##0.000\)">
                  <c:v>7.3599999999999999E-2</c:v>
                </c:pt>
                <c:pt idx="4" formatCode="#,##0.000_);[Red]\(#,##0.000\)">
                  <c:v>1.4959772652869834</c:v>
                </c:pt>
                <c:pt idx="5" formatCode="#,##0.000_);[Red]\(#,##0.000\)">
                  <c:v>2.7155397652869837</c:v>
                </c:pt>
                <c:pt idx="6">
                  <c:v>85.616414765286976</c:v>
                </c:pt>
                <c:pt idx="7">
                  <c:v>148.28041476528696</c:v>
                </c:pt>
                <c:pt idx="8">
                  <c:v>337.11041476528692</c:v>
                </c:pt>
                <c:pt idx="9">
                  <c:v>392.82841476528694</c:v>
                </c:pt>
                <c:pt idx="10">
                  <c:v>799.34641476528691</c:v>
                </c:pt>
                <c:pt idx="11">
                  <c:v>992.10591476528691</c:v>
                </c:pt>
                <c:pt idx="12">
                  <c:v>1333.175914765287</c:v>
                </c:pt>
                <c:pt idx="13">
                  <c:v>1415.7759147652869</c:v>
                </c:pt>
                <c:pt idx="14">
                  <c:v>1415.8723147652868</c:v>
                </c:pt>
              </c:numCache>
            </c:numRef>
          </c:val>
          <c:extLst>
            <c:ext xmlns:c16="http://schemas.microsoft.com/office/drawing/2014/chart" uri="{C3380CC4-5D6E-409C-BE32-E72D297353CC}">
              <c16:uniqueId val="{00000003-C8BA-4F8D-B4E3-E35F8B94559B}"/>
            </c:ext>
          </c:extLst>
        </c:ser>
        <c:ser>
          <c:idx val="4"/>
          <c:order val="4"/>
          <c:tx>
            <c:strRef>
              <c:f>'Global Capacity Data'!$A$47</c:f>
              <c:strCache>
                <c:ptCount val="1"/>
                <c:pt idx="0">
                  <c:v>Pyrolysis</c:v>
                </c:pt>
              </c:strCache>
            </c:strRef>
          </c:tx>
          <c:spPr>
            <a:solidFill>
              <a:srgbClr val="CF883C"/>
            </a:solidFill>
            <a:ln>
              <a:solidFill>
                <a:schemeClr val="tx1"/>
              </a:solidFill>
            </a:ln>
            <a:effectLst/>
          </c:spPr>
          <c:cat>
            <c:strRef>
              <c:extLst>
                <c:ext xmlns:c15="http://schemas.microsoft.com/office/drawing/2012/chart" uri="{02D57815-91ED-43cb-92C2-25804820EDAC}">
                  <c15:fullRef>
                    <c15:sqref>'Global Capacity Data'!$B$32:$Q$32</c15:sqref>
                  </c15:fullRef>
                </c:ext>
              </c:extLst>
              <c:f>'Global Capacity Data'!$B$32:$P$32</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extLst>
                <c:ext xmlns:c15="http://schemas.microsoft.com/office/drawing/2012/chart" uri="{02D57815-91ED-43cb-92C2-25804820EDAC}">
                  <c15:fullRef>
                    <c15:sqref>'Global Capacity Data'!$B$37:$Q$37</c15:sqref>
                  </c15:fullRef>
                </c:ext>
              </c:extLst>
              <c:f>'Global Capacity Data'!$B$37:$P$37</c:f>
              <c:numCache>
                <c:formatCode>#,##0_);[Red]\(#,##0\)</c:formatCode>
                <c:ptCount val="15"/>
                <c:pt idx="0">
                  <c:v>0</c:v>
                </c:pt>
                <c:pt idx="1">
                  <c:v>0</c:v>
                </c:pt>
                <c:pt idx="2">
                  <c:v>0</c:v>
                </c:pt>
                <c:pt idx="3">
                  <c:v>0</c:v>
                </c:pt>
                <c:pt idx="4">
                  <c:v>0</c:v>
                </c:pt>
                <c:pt idx="5">
                  <c:v>10</c:v>
                </c:pt>
                <c:pt idx="6">
                  <c:v>11.429500000000001</c:v>
                </c:pt>
                <c:pt idx="7">
                  <c:v>11.429500000000001</c:v>
                </c:pt>
                <c:pt idx="8">
                  <c:v>11.429500000000001</c:v>
                </c:pt>
                <c:pt idx="9">
                  <c:v>11.429500000000001</c:v>
                </c:pt>
                <c:pt idx="10">
                  <c:v>11.429500000000001</c:v>
                </c:pt>
                <c:pt idx="11">
                  <c:v>11.429500000000001</c:v>
                </c:pt>
                <c:pt idx="12">
                  <c:v>44.429500000000004</c:v>
                </c:pt>
                <c:pt idx="13">
                  <c:v>44.429500000000004</c:v>
                </c:pt>
                <c:pt idx="14">
                  <c:v>44.429500000000004</c:v>
                </c:pt>
              </c:numCache>
            </c:numRef>
          </c:val>
          <c:extLst>
            <c:ext xmlns:c16="http://schemas.microsoft.com/office/drawing/2014/chart" uri="{C3380CC4-5D6E-409C-BE32-E72D297353CC}">
              <c16:uniqueId val="{00000004-C8BA-4F8D-B4E3-E35F8B94559B}"/>
            </c:ext>
          </c:extLst>
        </c:ser>
        <c:ser>
          <c:idx val="5"/>
          <c:order val="5"/>
          <c:tx>
            <c:strRef>
              <c:f>'Global Capacity Data'!$A$48</c:f>
              <c:strCache>
                <c:ptCount val="1"/>
                <c:pt idx="0">
                  <c:v>Co-Processing</c:v>
                </c:pt>
              </c:strCache>
            </c:strRef>
          </c:tx>
          <c:spPr>
            <a:solidFill>
              <a:srgbClr val="8C8C8C"/>
            </a:solidFill>
            <a:ln>
              <a:solidFill>
                <a:schemeClr val="tx1"/>
              </a:solidFill>
            </a:ln>
            <a:effectLst/>
          </c:spPr>
          <c:cat>
            <c:strRef>
              <c:extLst>
                <c:ext xmlns:c15="http://schemas.microsoft.com/office/drawing/2012/chart" uri="{02D57815-91ED-43cb-92C2-25804820EDAC}">
                  <c15:fullRef>
                    <c15:sqref>'Global Capacity Data'!$B$32:$Q$32</c15:sqref>
                  </c15:fullRef>
                </c:ext>
              </c:extLst>
              <c:f>'Global Capacity Data'!$B$32:$P$32</c:f>
              <c:strCache>
                <c:ptCount val="15"/>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strCache>
            </c:strRef>
          </c:cat>
          <c:val>
            <c:numRef>
              <c:extLst>
                <c:ext xmlns:c15="http://schemas.microsoft.com/office/drawing/2012/chart" uri="{02D57815-91ED-43cb-92C2-25804820EDAC}">
                  <c15:fullRef>
                    <c15:sqref>'Global Capacity Data'!$B$38:$Q$38</c15:sqref>
                  </c15:fullRef>
                </c:ext>
              </c:extLst>
              <c:f>'Global Capacity Data'!$B$38:$P$38</c:f>
              <c:numCache>
                <c:formatCode>#,##0_);[Red]\(#,##0\)</c:formatCode>
                <c:ptCount val="15"/>
                <c:pt idx="0">
                  <c:v>15.33</c:v>
                </c:pt>
                <c:pt idx="1">
                  <c:v>119.49</c:v>
                </c:pt>
                <c:pt idx="2">
                  <c:v>368.66447499999998</c:v>
                </c:pt>
                <c:pt idx="3">
                  <c:v>388.66447499999998</c:v>
                </c:pt>
                <c:pt idx="4">
                  <c:v>499.85197499999998</c:v>
                </c:pt>
                <c:pt idx="5">
                  <c:v>522.516975</c:v>
                </c:pt>
                <c:pt idx="6">
                  <c:v>550.18197499999997</c:v>
                </c:pt>
                <c:pt idx="7">
                  <c:v>623.68197499999997</c:v>
                </c:pt>
                <c:pt idx="8">
                  <c:v>704.24547499999994</c:v>
                </c:pt>
                <c:pt idx="9">
                  <c:v>805.74547499999994</c:v>
                </c:pt>
                <c:pt idx="10">
                  <c:v>805.74547499999994</c:v>
                </c:pt>
                <c:pt idx="11">
                  <c:v>805.74547499999994</c:v>
                </c:pt>
                <c:pt idx="12">
                  <c:v>805.74547499999994</c:v>
                </c:pt>
                <c:pt idx="13">
                  <c:v>805.74547499999994</c:v>
                </c:pt>
                <c:pt idx="14">
                  <c:v>805.74547499999994</c:v>
                </c:pt>
              </c:numCache>
            </c:numRef>
          </c:val>
          <c:extLst>
            <c:ext xmlns:c16="http://schemas.microsoft.com/office/drawing/2014/chart" uri="{C3380CC4-5D6E-409C-BE32-E72D297353CC}">
              <c16:uniqueId val="{00000005-C8BA-4F8D-B4E3-E35F8B94559B}"/>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0" spcFirstLastPara="1" vertOverflow="ellipsis"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r>
                  <a:rPr lang="en-GB" sz="900"/>
                  <a:t>mmgal / yr</a:t>
                </a:r>
              </a:p>
            </c:rich>
          </c:tx>
          <c:layout>
            <c:manualLayout>
              <c:xMode val="edge"/>
              <c:yMode val="edge"/>
              <c:x val="1.5723126727949799E-3"/>
              <c:y val="0.14519414607930756"/>
            </c:manualLayout>
          </c:layout>
          <c:overlay val="0"/>
          <c:spPr>
            <a:noFill/>
            <a:ln>
              <a:noFill/>
            </a:ln>
            <a:effectLst/>
          </c:spPr>
          <c:txPr>
            <a:bodyPr rot="0" spcFirstLastPara="1" vertOverflow="ellipsis"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8679934797735448"/>
          <c:y val="0.20063495847841789"/>
          <c:w val="0.13200652022645518"/>
          <c:h val="0.6834778745849983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sz="12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GB"/>
              <a:t>2034 Announced Capacity Implied Feedstock Mix</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CF3C53"/>
              </a:solidFill>
              <a:ln w="19050">
                <a:solidFill>
                  <a:schemeClr val="lt1"/>
                </a:solidFill>
              </a:ln>
              <a:effectLst/>
            </c:spPr>
            <c:extLst>
              <c:ext xmlns:c16="http://schemas.microsoft.com/office/drawing/2014/chart" uri="{C3380CC4-5D6E-409C-BE32-E72D297353CC}">
                <c16:uniqueId val="{00000001-A3C6-4C95-BBD5-0FE0B4515F33}"/>
              </c:ext>
            </c:extLst>
          </c:dPt>
          <c:dPt>
            <c:idx val="1"/>
            <c:bubble3D val="0"/>
            <c:spPr>
              <a:solidFill>
                <a:srgbClr val="3C91CF"/>
              </a:solidFill>
              <a:ln w="19050">
                <a:solidFill>
                  <a:schemeClr val="lt1"/>
                </a:solidFill>
              </a:ln>
              <a:effectLst/>
            </c:spPr>
            <c:extLst>
              <c:ext xmlns:c16="http://schemas.microsoft.com/office/drawing/2014/chart" uri="{C3380CC4-5D6E-409C-BE32-E72D297353CC}">
                <c16:uniqueId val="{00000003-A3C6-4C95-BBD5-0FE0B4515F33}"/>
              </c:ext>
            </c:extLst>
          </c:dPt>
          <c:dPt>
            <c:idx val="2"/>
            <c:bubble3D val="0"/>
            <c:spPr>
              <a:solidFill>
                <a:srgbClr val="CFB93C"/>
              </a:solidFill>
              <a:ln w="19050">
                <a:solidFill>
                  <a:schemeClr val="lt1"/>
                </a:solidFill>
              </a:ln>
              <a:effectLst/>
            </c:spPr>
            <c:extLst>
              <c:ext xmlns:c16="http://schemas.microsoft.com/office/drawing/2014/chart" uri="{C3380CC4-5D6E-409C-BE32-E72D297353CC}">
                <c16:uniqueId val="{00000005-A3C6-4C95-BBD5-0FE0B4515F33}"/>
              </c:ext>
            </c:extLst>
          </c:dPt>
          <c:dPt>
            <c:idx val="3"/>
            <c:bubble3D val="0"/>
            <c:spPr>
              <a:solidFill>
                <a:srgbClr val="63CF3C"/>
              </a:solidFill>
              <a:ln w="19050">
                <a:solidFill>
                  <a:schemeClr val="lt1"/>
                </a:solidFill>
              </a:ln>
              <a:effectLst/>
            </c:spPr>
            <c:extLst>
              <c:ext xmlns:c16="http://schemas.microsoft.com/office/drawing/2014/chart" uri="{C3380CC4-5D6E-409C-BE32-E72D297353CC}">
                <c16:uniqueId val="{00000007-A3C6-4C95-BBD5-0FE0B4515F33}"/>
              </c:ext>
            </c:extLst>
          </c:dPt>
          <c:dPt>
            <c:idx val="4"/>
            <c:bubble3D val="0"/>
            <c:spPr>
              <a:solidFill>
                <a:srgbClr val="CF883C"/>
              </a:solidFill>
              <a:ln w="19050">
                <a:solidFill>
                  <a:schemeClr val="lt1"/>
                </a:solidFill>
              </a:ln>
              <a:effectLst/>
            </c:spPr>
            <c:extLst>
              <c:ext xmlns:c16="http://schemas.microsoft.com/office/drawing/2014/chart" uri="{C3380CC4-5D6E-409C-BE32-E72D297353CC}">
                <c16:uniqueId val="{00000009-A3C6-4C95-BBD5-0FE0B4515F33}"/>
              </c:ext>
            </c:extLst>
          </c:dPt>
          <c:dLbls>
            <c:dLbl>
              <c:idx val="0"/>
              <c:spPr>
                <a:solidFill>
                  <a:sysClr val="window" lastClr="FFFFFF"/>
                </a:solidFill>
                <a:ln w="15875">
                  <a:solidFill>
                    <a:srgbClr val="CF3C53">
                      <a:alpha val="94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3C6-4C95-BBD5-0FE0B4515F33}"/>
                </c:ext>
              </c:extLst>
            </c:dLbl>
            <c:dLbl>
              <c:idx val="1"/>
              <c:layout>
                <c:manualLayout>
                  <c:x val="-8.884340887934053E-2"/>
                  <c:y val="0.17747391320400424"/>
                </c:manualLayout>
              </c:layout>
              <c:spPr>
                <a:solidFill>
                  <a:sysClr val="window" lastClr="FFFFFF"/>
                </a:solidFill>
                <a:ln w="15875">
                  <a:solidFill>
                    <a:srgbClr val="3C91CF">
                      <a:alpha val="94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3C6-4C95-BBD5-0FE0B4515F33}"/>
                </c:ext>
              </c:extLst>
            </c:dLbl>
            <c:dLbl>
              <c:idx val="2"/>
              <c:layout>
                <c:manualLayout>
                  <c:x val="-0.11881054073337668"/>
                  <c:y val="0.1397426086042112"/>
                </c:manualLayout>
              </c:layout>
              <c:spPr>
                <a:solidFill>
                  <a:sysClr val="window" lastClr="FFFFFF"/>
                </a:solidFill>
                <a:ln w="15875">
                  <a:solidFill>
                    <a:srgbClr val="CFB93C">
                      <a:alpha val="94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A3C6-4C95-BBD5-0FE0B4515F33}"/>
                </c:ext>
              </c:extLst>
            </c:dLbl>
            <c:dLbl>
              <c:idx val="3"/>
              <c:layout>
                <c:manualLayout>
                  <c:x val="-0.17358986166918008"/>
                  <c:y val="3.3913173075677754E-2"/>
                </c:manualLayout>
              </c:layout>
              <c:spPr>
                <a:solidFill>
                  <a:sysClr val="window" lastClr="FFFFFF"/>
                </a:solidFill>
                <a:ln w="15875">
                  <a:solidFill>
                    <a:srgbClr val="63CF3C">
                      <a:alpha val="94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A3C6-4C95-BBD5-0FE0B4515F33}"/>
                </c:ext>
              </c:extLst>
            </c:dLbl>
            <c:dLbl>
              <c:idx val="4"/>
              <c:layout>
                <c:manualLayout>
                  <c:x val="0.12925956743701589"/>
                  <c:y val="5.7007147011788231E-2"/>
                </c:manualLayout>
              </c:layout>
              <c:spPr>
                <a:solidFill>
                  <a:sysClr val="window" lastClr="FFFFFF"/>
                </a:solidFill>
                <a:ln w="19050">
                  <a:solidFill>
                    <a:srgbClr val="CF883C">
                      <a:alpha val="94000"/>
                    </a:srgb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A3C6-4C95-BBD5-0FE0B4515F33}"/>
                </c:ext>
              </c:extLst>
            </c:dLbl>
            <c:spPr>
              <a:solidFill>
                <a:sysClr val="window" lastClr="FFFFFF"/>
              </a:solidFill>
              <a:ln>
                <a:solidFill>
                  <a:sysClr val="windowText" lastClr="000000">
                    <a:lumMod val="25000"/>
                    <a:lumOff val="75000"/>
                    <a:alpha val="94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'Global Capacity Data'!$A$62:$A$66</c:f>
              <c:strCache>
                <c:ptCount val="5"/>
                <c:pt idx="0">
                  <c:v>Fats, Oils and Greases</c:v>
                </c:pt>
                <c:pt idx="1">
                  <c:v>Ethanol</c:v>
                </c:pt>
                <c:pt idx="2">
                  <c:v>Woody Biomass</c:v>
                </c:pt>
                <c:pt idx="3">
                  <c:v>CCS</c:v>
                </c:pt>
                <c:pt idx="4">
                  <c:v>MSW</c:v>
                </c:pt>
              </c:strCache>
            </c:strRef>
          </c:cat>
          <c:val>
            <c:numRef>
              <c:f>'Global Capacity Data'!$P$62:$P$66</c:f>
              <c:numCache>
                <c:formatCode>#,##0_);[Red]\(#,##0\)</c:formatCode>
                <c:ptCount val="5"/>
                <c:pt idx="0">
                  <c:v>48500.147875000002</c:v>
                </c:pt>
                <c:pt idx="1">
                  <c:v>7935.9607499999993</c:v>
                </c:pt>
                <c:pt idx="2">
                  <c:v>3244.9664999999995</c:v>
                </c:pt>
                <c:pt idx="3">
                  <c:v>1471.9482496886176</c:v>
                </c:pt>
                <c:pt idx="4">
                  <c:v>343.8454999999999</c:v>
                </c:pt>
              </c:numCache>
            </c:numRef>
          </c:val>
          <c:extLst>
            <c:ext xmlns:c16="http://schemas.microsoft.com/office/drawing/2014/chart" uri="{C3380CC4-5D6E-409C-BE32-E72D297353CC}">
              <c16:uniqueId val="{0000000A-A3C6-4C95-BBD5-0FE0B4515F3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t>N America Capacity by Technology (Probablility Adjusted)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29838145231846"/>
          <c:y val="0.20916666666666667"/>
          <c:w val="0.84112729658792651"/>
          <c:h val="0.61493802857976088"/>
        </c:manualLayout>
      </c:layout>
      <c:areaChart>
        <c:grouping val="stacked"/>
        <c:varyColors val="0"/>
        <c:ser>
          <c:idx val="0"/>
          <c:order val="0"/>
          <c:tx>
            <c:strRef>
              <c:f>'NAm Capacity Data'!$A$13</c:f>
              <c:strCache>
                <c:ptCount val="1"/>
                <c:pt idx="0">
                  <c:v>HEFA</c:v>
                </c:pt>
              </c:strCache>
            </c:strRef>
          </c:tx>
          <c:spPr>
            <a:solidFill>
              <a:schemeClr val="accent1"/>
            </a:solidFill>
            <a:ln>
              <a:noFill/>
            </a:ln>
            <a:effectLst/>
          </c:spPr>
          <c:cat>
            <c:strRef>
              <c:extLst>
                <c:ext xmlns:c15="http://schemas.microsoft.com/office/drawing/2012/chart" uri="{02D57815-91ED-43cb-92C2-25804820EDAC}">
                  <c15:fullRef>
                    <c15:sqref>'NAm Capacity Data'!$B$12:$Q$12</c15:sqref>
                  </c15:fullRef>
                </c:ext>
              </c:extLst>
              <c:f>'NAm Capacity Data'!$D$12:$Q$12</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extLst>
                <c:ext xmlns:c15="http://schemas.microsoft.com/office/drawing/2012/chart" uri="{02D57815-91ED-43cb-92C2-25804820EDAC}">
                  <c15:fullRef>
                    <c15:sqref>'NAm Capacity Data'!$B$13:$Q$13</c15:sqref>
                  </c15:fullRef>
                </c:ext>
              </c:extLst>
              <c:f>'NAm Capacity Data'!$D$13:$Q$13</c:f>
              <c:numCache>
                <c:formatCode>#,##0_);[Red]\(#,##0\)</c:formatCode>
                <c:ptCount val="14"/>
                <c:pt idx="0">
                  <c:v>482.35</c:v>
                </c:pt>
                <c:pt idx="1">
                  <c:v>482.35</c:v>
                </c:pt>
                <c:pt idx="2">
                  <c:v>1310.2249999999999</c:v>
                </c:pt>
                <c:pt idx="3">
                  <c:v>1720.0308</c:v>
                </c:pt>
                <c:pt idx="4">
                  <c:v>2109.7708000000002</c:v>
                </c:pt>
                <c:pt idx="5">
                  <c:v>2788.6458000000002</c:v>
                </c:pt>
                <c:pt idx="6">
                  <c:v>2799.2708000000002</c:v>
                </c:pt>
                <c:pt idx="7">
                  <c:v>2834.7708000000002</c:v>
                </c:pt>
                <c:pt idx="8">
                  <c:v>2839.7708000000002</c:v>
                </c:pt>
                <c:pt idx="9">
                  <c:v>2839.7708000000002</c:v>
                </c:pt>
                <c:pt idx="10">
                  <c:v>2839.7708000000002</c:v>
                </c:pt>
                <c:pt idx="11">
                  <c:v>2839.7708000000002</c:v>
                </c:pt>
                <c:pt idx="12">
                  <c:v>2839.7708000000002</c:v>
                </c:pt>
                <c:pt idx="13">
                  <c:v>2839.7708000000002</c:v>
                </c:pt>
              </c:numCache>
            </c:numRef>
          </c:val>
          <c:extLst>
            <c:ext xmlns:c16="http://schemas.microsoft.com/office/drawing/2014/chart" uri="{C3380CC4-5D6E-409C-BE32-E72D297353CC}">
              <c16:uniqueId val="{00000000-B6F9-4A38-8695-9E9458CB1078}"/>
            </c:ext>
          </c:extLst>
        </c:ser>
        <c:ser>
          <c:idx val="1"/>
          <c:order val="1"/>
          <c:tx>
            <c:strRef>
              <c:f>'NAm Capacity Data'!$A$14</c:f>
              <c:strCache>
                <c:ptCount val="1"/>
                <c:pt idx="0">
                  <c:v>ATJ</c:v>
                </c:pt>
              </c:strCache>
            </c:strRef>
          </c:tx>
          <c:spPr>
            <a:solidFill>
              <a:schemeClr val="accent2"/>
            </a:solidFill>
            <a:ln>
              <a:noFill/>
            </a:ln>
            <a:effectLst/>
          </c:spPr>
          <c:cat>
            <c:strRef>
              <c:extLst>
                <c:ext xmlns:c15="http://schemas.microsoft.com/office/drawing/2012/chart" uri="{02D57815-91ED-43cb-92C2-25804820EDAC}">
                  <c15:fullRef>
                    <c15:sqref>'NAm Capacity Data'!$B$12:$Q$12</c15:sqref>
                  </c15:fullRef>
                </c:ext>
              </c:extLst>
              <c:f>'NAm Capacity Data'!$D$12:$Q$12</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extLst>
                <c:ext xmlns:c15="http://schemas.microsoft.com/office/drawing/2012/chart" uri="{02D57815-91ED-43cb-92C2-25804820EDAC}">
                  <c15:fullRef>
                    <c15:sqref>'NAm Capacity Data'!$B$14:$Q$14</c15:sqref>
                  </c15:fullRef>
                </c:ext>
              </c:extLst>
              <c:f>'NAm Capacity Data'!$D$14:$Q$14</c:f>
              <c:numCache>
                <c:formatCode>#,##0_);[Red]\(#,##0\)</c:formatCode>
                <c:ptCount val="14"/>
                <c:pt idx="0">
                  <c:v>3.0001000000000002</c:v>
                </c:pt>
                <c:pt idx="1">
                  <c:v>3.0001000000000002</c:v>
                </c:pt>
                <c:pt idx="2">
                  <c:v>12.0001</c:v>
                </c:pt>
                <c:pt idx="3">
                  <c:v>63.545725000000004</c:v>
                </c:pt>
                <c:pt idx="4">
                  <c:v>236.045725</c:v>
                </c:pt>
                <c:pt idx="5">
                  <c:v>481.045725</c:v>
                </c:pt>
                <c:pt idx="6">
                  <c:v>597.29572499999995</c:v>
                </c:pt>
                <c:pt idx="7">
                  <c:v>604.79572499999995</c:v>
                </c:pt>
                <c:pt idx="8">
                  <c:v>604.79572499999995</c:v>
                </c:pt>
                <c:pt idx="9">
                  <c:v>608.19772499999999</c:v>
                </c:pt>
                <c:pt idx="10">
                  <c:v>608.19772499999999</c:v>
                </c:pt>
                <c:pt idx="11">
                  <c:v>608.19772499999999</c:v>
                </c:pt>
                <c:pt idx="12">
                  <c:v>608.19772499999999</c:v>
                </c:pt>
                <c:pt idx="13">
                  <c:v>608.19772499999999</c:v>
                </c:pt>
              </c:numCache>
            </c:numRef>
          </c:val>
          <c:extLst>
            <c:ext xmlns:c16="http://schemas.microsoft.com/office/drawing/2014/chart" uri="{C3380CC4-5D6E-409C-BE32-E72D297353CC}">
              <c16:uniqueId val="{00000001-B6F9-4A38-8695-9E9458CB1078}"/>
            </c:ext>
          </c:extLst>
        </c:ser>
        <c:ser>
          <c:idx val="2"/>
          <c:order val="2"/>
          <c:tx>
            <c:strRef>
              <c:f>'NAm Capacity Data'!$A$15</c:f>
              <c:strCache>
                <c:ptCount val="1"/>
                <c:pt idx="0">
                  <c:v>FT</c:v>
                </c:pt>
              </c:strCache>
            </c:strRef>
          </c:tx>
          <c:spPr>
            <a:solidFill>
              <a:schemeClr val="accent3"/>
            </a:solidFill>
            <a:ln>
              <a:noFill/>
            </a:ln>
            <a:effectLst/>
          </c:spPr>
          <c:cat>
            <c:strRef>
              <c:extLst>
                <c:ext xmlns:c15="http://schemas.microsoft.com/office/drawing/2012/chart" uri="{02D57815-91ED-43cb-92C2-25804820EDAC}">
                  <c15:fullRef>
                    <c15:sqref>'NAm Capacity Data'!$B$12:$Q$12</c15:sqref>
                  </c15:fullRef>
                </c:ext>
              </c:extLst>
              <c:f>'NAm Capacity Data'!$D$12:$Q$12</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extLst>
                <c:ext xmlns:c15="http://schemas.microsoft.com/office/drawing/2012/chart" uri="{02D57815-91ED-43cb-92C2-25804820EDAC}">
                  <c15:fullRef>
                    <c15:sqref>'NAm Capacity Data'!$B$15:$Q$15</c15:sqref>
                  </c15:fullRef>
                </c:ext>
              </c:extLst>
              <c:f>'NAm Capacity Data'!$D$15:$Q$15</c:f>
              <c:numCache>
                <c:formatCode>#,##0_);[Red]\(#,##0\)</c:formatCode>
                <c:ptCount val="14"/>
                <c:pt idx="0">
                  <c:v>0</c:v>
                </c:pt>
                <c:pt idx="1">
                  <c:v>0</c:v>
                </c:pt>
                <c:pt idx="2">
                  <c:v>0</c:v>
                </c:pt>
                <c:pt idx="3">
                  <c:v>39.018000000000001</c:v>
                </c:pt>
                <c:pt idx="4">
                  <c:v>39.018000000000001</c:v>
                </c:pt>
                <c:pt idx="5">
                  <c:v>222.93299999999999</c:v>
                </c:pt>
                <c:pt idx="6">
                  <c:v>244.26299999999998</c:v>
                </c:pt>
                <c:pt idx="7">
                  <c:v>303.76299999999998</c:v>
                </c:pt>
                <c:pt idx="8">
                  <c:v>328.51299999999998</c:v>
                </c:pt>
                <c:pt idx="9">
                  <c:v>328.51299999999998</c:v>
                </c:pt>
                <c:pt idx="10">
                  <c:v>328.51299999999998</c:v>
                </c:pt>
                <c:pt idx="11">
                  <c:v>328.51299999999998</c:v>
                </c:pt>
                <c:pt idx="12">
                  <c:v>328.51299999999998</c:v>
                </c:pt>
                <c:pt idx="13">
                  <c:v>328.51299999999998</c:v>
                </c:pt>
              </c:numCache>
            </c:numRef>
          </c:val>
          <c:extLst>
            <c:ext xmlns:c16="http://schemas.microsoft.com/office/drawing/2014/chart" uri="{C3380CC4-5D6E-409C-BE32-E72D297353CC}">
              <c16:uniqueId val="{00000002-B6F9-4A38-8695-9E9458CB1078}"/>
            </c:ext>
          </c:extLst>
        </c:ser>
        <c:ser>
          <c:idx val="3"/>
          <c:order val="3"/>
          <c:tx>
            <c:strRef>
              <c:f>'NAm Capacity Data'!$A$16</c:f>
              <c:strCache>
                <c:ptCount val="1"/>
                <c:pt idx="0">
                  <c:v>PTL</c:v>
                </c:pt>
              </c:strCache>
            </c:strRef>
          </c:tx>
          <c:spPr>
            <a:solidFill>
              <a:schemeClr val="accent4"/>
            </a:solidFill>
            <a:ln>
              <a:noFill/>
            </a:ln>
            <a:effectLst/>
          </c:spPr>
          <c:cat>
            <c:strRef>
              <c:extLst>
                <c:ext xmlns:c15="http://schemas.microsoft.com/office/drawing/2012/chart" uri="{02D57815-91ED-43cb-92C2-25804820EDAC}">
                  <c15:fullRef>
                    <c15:sqref>'NAm Capacity Data'!$B$12:$Q$12</c15:sqref>
                  </c15:fullRef>
                </c:ext>
              </c:extLst>
              <c:f>'NAm Capacity Data'!$D$12:$Q$12</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extLst>
                <c:ext xmlns:c15="http://schemas.microsoft.com/office/drawing/2012/chart" uri="{02D57815-91ED-43cb-92C2-25804820EDAC}">
                  <c15:fullRef>
                    <c15:sqref>'NAm Capacity Data'!$B$16:$Q$16</c15:sqref>
                  </c15:fullRef>
                </c:ext>
              </c:extLst>
              <c:f>'NAm Capacity Data'!$D$16:$Q$16</c:f>
              <c:numCache>
                <c:formatCode>#,##0_);[Red]\(#,##0\)</c:formatCode>
                <c:ptCount val="14"/>
                <c:pt idx="0">
                  <c:v>1E-3</c:v>
                </c:pt>
                <c:pt idx="1">
                  <c:v>1E-3</c:v>
                </c:pt>
                <c:pt idx="2">
                  <c:v>0.29819369896523751</c:v>
                </c:pt>
                <c:pt idx="3">
                  <c:v>0.34275619896523751</c:v>
                </c:pt>
                <c:pt idx="4">
                  <c:v>3.0927561989652377</c:v>
                </c:pt>
                <c:pt idx="5">
                  <c:v>3.0927561989652377</c:v>
                </c:pt>
                <c:pt idx="6">
                  <c:v>15.492756198965239</c:v>
                </c:pt>
                <c:pt idx="7">
                  <c:v>22.992756198965239</c:v>
                </c:pt>
                <c:pt idx="8">
                  <c:v>43.742756198965239</c:v>
                </c:pt>
                <c:pt idx="9">
                  <c:v>43.742756198965239</c:v>
                </c:pt>
                <c:pt idx="10">
                  <c:v>43.742756198965239</c:v>
                </c:pt>
                <c:pt idx="11">
                  <c:v>43.742756198965239</c:v>
                </c:pt>
                <c:pt idx="12">
                  <c:v>43.742756198965239</c:v>
                </c:pt>
                <c:pt idx="13">
                  <c:v>43.742756198965239</c:v>
                </c:pt>
              </c:numCache>
            </c:numRef>
          </c:val>
          <c:extLst>
            <c:ext xmlns:c16="http://schemas.microsoft.com/office/drawing/2014/chart" uri="{C3380CC4-5D6E-409C-BE32-E72D297353CC}">
              <c16:uniqueId val="{00000003-B6F9-4A38-8695-9E9458CB1078}"/>
            </c:ext>
          </c:extLst>
        </c:ser>
        <c:ser>
          <c:idx val="4"/>
          <c:order val="4"/>
          <c:tx>
            <c:strRef>
              <c:f>'NAm Capacity Data'!$A$17</c:f>
              <c:strCache>
                <c:ptCount val="1"/>
                <c:pt idx="0">
                  <c:v>Pyrolysis</c:v>
                </c:pt>
              </c:strCache>
            </c:strRef>
          </c:tx>
          <c:spPr>
            <a:solidFill>
              <a:schemeClr val="accent5"/>
            </a:solidFill>
            <a:ln>
              <a:noFill/>
            </a:ln>
            <a:effectLst/>
          </c:spPr>
          <c:cat>
            <c:strRef>
              <c:extLst>
                <c:ext xmlns:c15="http://schemas.microsoft.com/office/drawing/2012/chart" uri="{02D57815-91ED-43cb-92C2-25804820EDAC}">
                  <c15:fullRef>
                    <c15:sqref>'NAm Capacity Data'!$B$12:$Q$12</c15:sqref>
                  </c15:fullRef>
                </c:ext>
              </c:extLst>
              <c:f>'NAm Capacity Data'!$D$12:$Q$12</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extLst>
                <c:ext xmlns:c15="http://schemas.microsoft.com/office/drawing/2012/chart" uri="{02D57815-91ED-43cb-92C2-25804820EDAC}">
                  <c15:fullRef>
                    <c15:sqref>'NAm Capacity Data'!$B$17:$Q$17</c15:sqref>
                  </c15:fullRef>
                </c:ext>
              </c:extLst>
              <c:f>'NAm Capacity Data'!$D$17:$Q$17</c:f>
              <c:numCache>
                <c:formatCode>#,##0_);[Red]\(#,##0\)</c:formatCode>
                <c:ptCount val="14"/>
                <c:pt idx="0">
                  <c:v>0</c:v>
                </c:pt>
                <c:pt idx="1">
                  <c:v>0</c:v>
                </c:pt>
                <c:pt idx="2">
                  <c:v>0</c:v>
                </c:pt>
                <c:pt idx="3">
                  <c:v>5</c:v>
                </c:pt>
                <c:pt idx="4">
                  <c:v>5.05</c:v>
                </c:pt>
                <c:pt idx="5">
                  <c:v>5.05</c:v>
                </c:pt>
                <c:pt idx="6">
                  <c:v>5.05</c:v>
                </c:pt>
                <c:pt idx="7">
                  <c:v>5.05</c:v>
                </c:pt>
                <c:pt idx="8">
                  <c:v>5.05</c:v>
                </c:pt>
                <c:pt idx="9">
                  <c:v>5.05</c:v>
                </c:pt>
                <c:pt idx="10">
                  <c:v>5.05</c:v>
                </c:pt>
                <c:pt idx="11">
                  <c:v>5.05</c:v>
                </c:pt>
                <c:pt idx="12">
                  <c:v>5.05</c:v>
                </c:pt>
                <c:pt idx="13">
                  <c:v>5.05</c:v>
                </c:pt>
              </c:numCache>
            </c:numRef>
          </c:val>
          <c:extLst>
            <c:ext xmlns:c16="http://schemas.microsoft.com/office/drawing/2014/chart" uri="{C3380CC4-5D6E-409C-BE32-E72D297353CC}">
              <c16:uniqueId val="{00000004-B6F9-4A38-8695-9E9458CB1078}"/>
            </c:ext>
          </c:extLst>
        </c:ser>
        <c:ser>
          <c:idx val="5"/>
          <c:order val="5"/>
          <c:tx>
            <c:strRef>
              <c:f>'NAm Capacity Data'!$A$18</c:f>
              <c:strCache>
                <c:ptCount val="1"/>
                <c:pt idx="0">
                  <c:v>Co-Processing</c:v>
                </c:pt>
              </c:strCache>
            </c:strRef>
          </c:tx>
          <c:spPr>
            <a:solidFill>
              <a:schemeClr val="accent6"/>
            </a:solidFill>
            <a:ln>
              <a:noFill/>
            </a:ln>
            <a:effectLst/>
          </c:spPr>
          <c:cat>
            <c:strRef>
              <c:extLst>
                <c:ext xmlns:c15="http://schemas.microsoft.com/office/drawing/2012/chart" uri="{02D57815-91ED-43cb-92C2-25804820EDAC}">
                  <c15:fullRef>
                    <c15:sqref>'NAm Capacity Data'!$B$12:$Q$12</c15:sqref>
                  </c15:fullRef>
                </c:ext>
              </c:extLst>
              <c:f>'NAm Capacity Data'!$D$12:$Q$12</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extLst>
                <c:ext xmlns:c15="http://schemas.microsoft.com/office/drawing/2012/chart" uri="{02D57815-91ED-43cb-92C2-25804820EDAC}">
                  <c15:fullRef>
                    <c15:sqref>'NAm Capacity Data'!$B$18:$Q$18</c15:sqref>
                  </c15:fullRef>
                </c:ext>
              </c:extLst>
              <c:f>'NAm Capacity Data'!$D$18:$Q$18</c:f>
              <c:numCache>
                <c:formatCode>#,##0_);[Red]\(#,##0\)</c:formatCode>
                <c:ptCount val="14"/>
                <c:pt idx="0">
                  <c:v>73.5</c:v>
                </c:pt>
                <c:pt idx="1">
                  <c:v>73.5</c:v>
                </c:pt>
                <c:pt idx="2">
                  <c:v>73.819999999999993</c:v>
                </c:pt>
                <c:pt idx="3">
                  <c:v>78.819999999999993</c:v>
                </c:pt>
                <c:pt idx="4">
                  <c:v>78.819999999999993</c:v>
                </c:pt>
                <c:pt idx="5">
                  <c:v>97.194999999999993</c:v>
                </c:pt>
                <c:pt idx="6">
                  <c:v>97.194999999999993</c:v>
                </c:pt>
                <c:pt idx="7">
                  <c:v>97.194999999999993</c:v>
                </c:pt>
                <c:pt idx="8">
                  <c:v>97.194999999999993</c:v>
                </c:pt>
                <c:pt idx="9">
                  <c:v>97.194999999999993</c:v>
                </c:pt>
                <c:pt idx="10">
                  <c:v>97.194999999999993</c:v>
                </c:pt>
                <c:pt idx="11">
                  <c:v>97.194999999999993</c:v>
                </c:pt>
                <c:pt idx="12">
                  <c:v>97.194999999999993</c:v>
                </c:pt>
                <c:pt idx="13">
                  <c:v>97.194999999999993</c:v>
                </c:pt>
              </c:numCache>
            </c:numRef>
          </c:val>
          <c:extLst>
            <c:ext xmlns:c16="http://schemas.microsoft.com/office/drawing/2014/chart" uri="{C3380CC4-5D6E-409C-BE32-E72D297353CC}">
              <c16:uniqueId val="{00000005-B6F9-4A38-8695-9E9458CB1078}"/>
            </c:ext>
          </c:extLst>
        </c:ser>
        <c:dLbls>
          <c:showLegendKey val="0"/>
          <c:showVal val="0"/>
          <c:showCatName val="0"/>
          <c:showSerName val="0"/>
          <c:showPercent val="0"/>
          <c:showBubbleSize val="0"/>
        </c:dLbls>
        <c:axId val="1152154672"/>
        <c:axId val="1152149872"/>
      </c:areaChart>
      <c:catAx>
        <c:axId val="1152154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52149872"/>
        <c:crosses val="autoZero"/>
        <c:auto val="1"/>
        <c:lblAlgn val="ctr"/>
        <c:lblOffset val="100"/>
        <c:noMultiLvlLbl val="0"/>
      </c:catAx>
      <c:valAx>
        <c:axId val="1152149872"/>
        <c:scaling>
          <c:orientation val="minMax"/>
          <c:max val="4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52154672"/>
        <c:crosses val="autoZero"/>
        <c:crossBetween val="midCat"/>
      </c:valAx>
      <c:spPr>
        <a:noFill/>
        <a:ln>
          <a:noFill/>
        </a:ln>
        <a:effectLst/>
      </c:spPr>
    </c:plotArea>
    <c:legend>
      <c:legendPos val="b"/>
      <c:layout>
        <c:manualLayout>
          <c:xMode val="edge"/>
          <c:yMode val="edge"/>
          <c:x val="0.17428324584426946"/>
          <c:y val="0.92187445319335082"/>
          <c:w val="0.65143350831146107"/>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t>N America Capacity by Technology (Announced)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29838145231846"/>
          <c:y val="0.15361111111111111"/>
          <c:w val="0.84112729658792651"/>
          <c:h val="0.67049358413531646"/>
        </c:manualLayout>
      </c:layout>
      <c:areaChart>
        <c:grouping val="stacked"/>
        <c:varyColors val="0"/>
        <c:ser>
          <c:idx val="0"/>
          <c:order val="0"/>
          <c:tx>
            <c:strRef>
              <c:f>'NAm Capacity Data'!$A$13</c:f>
              <c:strCache>
                <c:ptCount val="1"/>
                <c:pt idx="0">
                  <c:v>HEFA</c:v>
                </c:pt>
              </c:strCache>
            </c:strRef>
          </c:tx>
          <c:spPr>
            <a:solidFill>
              <a:schemeClr val="accent1"/>
            </a:solidFill>
            <a:ln w="25400">
              <a:noFill/>
            </a:ln>
            <a:effectLst/>
          </c:spPr>
          <c:cat>
            <c:strRef>
              <c:f>'NAm Capacity Data'!$B$12:$Q$12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Data'!$B$33:$Q$33</c:f>
              <c:numCache>
                <c:formatCode>#,##0_);[Red]\(#,##0\)</c:formatCode>
                <c:ptCount val="16"/>
                <c:pt idx="0">
                  <c:v>82</c:v>
                </c:pt>
                <c:pt idx="1">
                  <c:v>432</c:v>
                </c:pt>
                <c:pt idx="2">
                  <c:v>832</c:v>
                </c:pt>
                <c:pt idx="3">
                  <c:v>832</c:v>
                </c:pt>
                <c:pt idx="4">
                  <c:v>1705</c:v>
                </c:pt>
                <c:pt idx="5">
                  <c:v>2148.326</c:v>
                </c:pt>
                <c:pt idx="6">
                  <c:v>2721.1260000000002</c:v>
                </c:pt>
                <c:pt idx="7">
                  <c:v>4172.1260000000002</c:v>
                </c:pt>
                <c:pt idx="8">
                  <c:v>4254.6260000000002</c:v>
                </c:pt>
                <c:pt idx="9">
                  <c:v>4325.6260000000002</c:v>
                </c:pt>
                <c:pt idx="10">
                  <c:v>4375.6260000000002</c:v>
                </c:pt>
                <c:pt idx="11">
                  <c:v>4375.6260000000002</c:v>
                </c:pt>
                <c:pt idx="12">
                  <c:v>4375.6260000000002</c:v>
                </c:pt>
                <c:pt idx="13">
                  <c:v>4375.6260000000002</c:v>
                </c:pt>
                <c:pt idx="14">
                  <c:v>4375.6260000000002</c:v>
                </c:pt>
                <c:pt idx="15">
                  <c:v>4375.6260000000002</c:v>
                </c:pt>
              </c:numCache>
            </c:numRef>
          </c:val>
          <c:extLst>
            <c:ext xmlns:c16="http://schemas.microsoft.com/office/drawing/2014/chart" uri="{C3380CC4-5D6E-409C-BE32-E72D297353CC}">
              <c16:uniqueId val="{00000000-65B2-4818-9D31-56A4F5E371C4}"/>
            </c:ext>
          </c:extLst>
        </c:ser>
        <c:ser>
          <c:idx val="1"/>
          <c:order val="1"/>
          <c:tx>
            <c:strRef>
              <c:f>'NAm Capacity Data'!$A$14</c:f>
              <c:strCache>
                <c:ptCount val="1"/>
                <c:pt idx="0">
                  <c:v>ATJ</c:v>
                </c:pt>
              </c:strCache>
            </c:strRef>
          </c:tx>
          <c:spPr>
            <a:solidFill>
              <a:schemeClr val="accent2"/>
            </a:solidFill>
            <a:ln w="25400">
              <a:noFill/>
            </a:ln>
            <a:effectLst/>
          </c:spPr>
          <c:cat>
            <c:strRef>
              <c:f>'NAm Capacity Data'!$B$12:$Q$12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Data'!$B$34:$Q$34</c:f>
              <c:numCache>
                <c:formatCode>#,##0_);[Red]\(#,##0\)</c:formatCode>
                <c:ptCount val="16"/>
                <c:pt idx="0">
                  <c:v>60.1</c:v>
                </c:pt>
                <c:pt idx="1">
                  <c:v>60.1</c:v>
                </c:pt>
                <c:pt idx="2">
                  <c:v>60.1</c:v>
                </c:pt>
                <c:pt idx="3">
                  <c:v>60.1</c:v>
                </c:pt>
                <c:pt idx="4">
                  <c:v>69.099999999999994</c:v>
                </c:pt>
                <c:pt idx="5">
                  <c:v>172.19125</c:v>
                </c:pt>
                <c:pt idx="6">
                  <c:v>517.19124999999997</c:v>
                </c:pt>
                <c:pt idx="7">
                  <c:v>1007.19125</c:v>
                </c:pt>
                <c:pt idx="8">
                  <c:v>1202.1912499999999</c:v>
                </c:pt>
                <c:pt idx="9">
                  <c:v>1232.1912499999999</c:v>
                </c:pt>
                <c:pt idx="10">
                  <c:v>1232.1912499999999</c:v>
                </c:pt>
                <c:pt idx="11">
                  <c:v>1300.2312499999998</c:v>
                </c:pt>
                <c:pt idx="12">
                  <c:v>1300.2312499999998</c:v>
                </c:pt>
                <c:pt idx="13">
                  <c:v>1300.2312499999998</c:v>
                </c:pt>
                <c:pt idx="14">
                  <c:v>1300.2312499999998</c:v>
                </c:pt>
                <c:pt idx="15">
                  <c:v>1300.2312499999998</c:v>
                </c:pt>
              </c:numCache>
            </c:numRef>
          </c:val>
          <c:extLst>
            <c:ext xmlns:c16="http://schemas.microsoft.com/office/drawing/2014/chart" uri="{C3380CC4-5D6E-409C-BE32-E72D297353CC}">
              <c16:uniqueId val="{00000001-65B2-4818-9D31-56A4F5E371C4}"/>
            </c:ext>
          </c:extLst>
        </c:ser>
        <c:ser>
          <c:idx val="2"/>
          <c:order val="2"/>
          <c:tx>
            <c:strRef>
              <c:f>'NAm Capacity Data'!$A$15</c:f>
              <c:strCache>
                <c:ptCount val="1"/>
                <c:pt idx="0">
                  <c:v>FT</c:v>
                </c:pt>
              </c:strCache>
            </c:strRef>
          </c:tx>
          <c:spPr>
            <a:solidFill>
              <a:schemeClr val="accent3"/>
            </a:solidFill>
            <a:ln w="25400">
              <a:noFill/>
            </a:ln>
            <a:effectLst/>
          </c:spPr>
          <c:cat>
            <c:strRef>
              <c:f>'NAm Capacity Data'!$B$12:$Q$12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Data'!$B$35:$Q$35</c:f>
              <c:numCache>
                <c:formatCode>#,##0_);[Red]\(#,##0\)</c:formatCode>
                <c:ptCount val="16"/>
                <c:pt idx="0">
                  <c:v>0</c:v>
                </c:pt>
                <c:pt idx="1">
                  <c:v>0</c:v>
                </c:pt>
                <c:pt idx="2">
                  <c:v>0</c:v>
                </c:pt>
                <c:pt idx="3">
                  <c:v>0</c:v>
                </c:pt>
                <c:pt idx="4">
                  <c:v>0</c:v>
                </c:pt>
                <c:pt idx="5">
                  <c:v>78.036000000000001</c:v>
                </c:pt>
                <c:pt idx="6">
                  <c:v>78.036000000000001</c:v>
                </c:pt>
                <c:pt idx="7">
                  <c:v>489.536</c:v>
                </c:pt>
                <c:pt idx="8">
                  <c:v>606.83600000000001</c:v>
                </c:pt>
                <c:pt idx="9">
                  <c:v>725.83600000000001</c:v>
                </c:pt>
                <c:pt idx="10">
                  <c:v>775.33600000000001</c:v>
                </c:pt>
                <c:pt idx="11">
                  <c:v>775.33600000000001</c:v>
                </c:pt>
                <c:pt idx="12">
                  <c:v>775.33600000000001</c:v>
                </c:pt>
                <c:pt idx="13">
                  <c:v>775.33600000000001</c:v>
                </c:pt>
                <c:pt idx="14">
                  <c:v>775.33600000000001</c:v>
                </c:pt>
                <c:pt idx="15">
                  <c:v>775.33600000000001</c:v>
                </c:pt>
              </c:numCache>
            </c:numRef>
          </c:val>
          <c:extLst>
            <c:ext xmlns:c16="http://schemas.microsoft.com/office/drawing/2014/chart" uri="{C3380CC4-5D6E-409C-BE32-E72D297353CC}">
              <c16:uniqueId val="{00000002-65B2-4818-9D31-56A4F5E371C4}"/>
            </c:ext>
          </c:extLst>
        </c:ser>
        <c:ser>
          <c:idx val="3"/>
          <c:order val="3"/>
          <c:tx>
            <c:strRef>
              <c:f>'NAm Capacity Data'!$A$16</c:f>
              <c:strCache>
                <c:ptCount val="1"/>
                <c:pt idx="0">
                  <c:v>PTL</c:v>
                </c:pt>
              </c:strCache>
            </c:strRef>
          </c:tx>
          <c:spPr>
            <a:solidFill>
              <a:schemeClr val="accent4"/>
            </a:solidFill>
            <a:ln w="25400">
              <a:noFill/>
            </a:ln>
            <a:effectLst/>
          </c:spPr>
          <c:cat>
            <c:strRef>
              <c:f>'NAm Capacity Data'!$B$12:$Q$12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Data'!$B$36:$Q$36</c:f>
              <c:numCache>
                <c:formatCode>#,##0_);[Red]\(#,##0\)</c:formatCode>
                <c:ptCount val="16"/>
                <c:pt idx="0">
                  <c:v>0</c:v>
                </c:pt>
                <c:pt idx="1">
                  <c:v>0</c:v>
                </c:pt>
                <c:pt idx="2" formatCode="#,##0.000_);[Red]\(#,##0.000\)">
                  <c:v>1E-3</c:v>
                </c:pt>
                <c:pt idx="3" formatCode="#,##0.000_);[Red]\(#,##0.000\)">
                  <c:v>1E-3</c:v>
                </c:pt>
                <c:pt idx="4" formatCode="#,##0.000_);[Red]\(#,##0.000\)">
                  <c:v>0.39725826528698338</c:v>
                </c:pt>
                <c:pt idx="5" formatCode="#,##0.000_);[Red]\(#,##0.000\)">
                  <c:v>0.46182076528698335</c:v>
                </c:pt>
                <c:pt idx="6">
                  <c:v>7.4618207652869835</c:v>
                </c:pt>
                <c:pt idx="7">
                  <c:v>7.4618207652869835</c:v>
                </c:pt>
                <c:pt idx="8">
                  <c:v>38.661820765286983</c:v>
                </c:pt>
                <c:pt idx="9">
                  <c:v>68.66182076528699</c:v>
                </c:pt>
                <c:pt idx="10">
                  <c:v>151.66182076528699</c:v>
                </c:pt>
                <c:pt idx="11">
                  <c:v>151.66182076528699</c:v>
                </c:pt>
                <c:pt idx="12">
                  <c:v>151.66182076528699</c:v>
                </c:pt>
                <c:pt idx="13">
                  <c:v>151.66182076528699</c:v>
                </c:pt>
                <c:pt idx="14">
                  <c:v>151.66182076528699</c:v>
                </c:pt>
                <c:pt idx="15">
                  <c:v>151.66182076528699</c:v>
                </c:pt>
              </c:numCache>
            </c:numRef>
          </c:val>
          <c:extLst>
            <c:ext xmlns:c16="http://schemas.microsoft.com/office/drawing/2014/chart" uri="{C3380CC4-5D6E-409C-BE32-E72D297353CC}">
              <c16:uniqueId val="{00000003-65B2-4818-9D31-56A4F5E371C4}"/>
            </c:ext>
          </c:extLst>
        </c:ser>
        <c:ser>
          <c:idx val="4"/>
          <c:order val="4"/>
          <c:tx>
            <c:strRef>
              <c:f>'NAm Capacity Data'!$A$17</c:f>
              <c:strCache>
                <c:ptCount val="1"/>
                <c:pt idx="0">
                  <c:v>Pyrolysis</c:v>
                </c:pt>
              </c:strCache>
            </c:strRef>
          </c:tx>
          <c:spPr>
            <a:solidFill>
              <a:schemeClr val="accent5"/>
            </a:solidFill>
            <a:ln w="25400">
              <a:noFill/>
            </a:ln>
            <a:effectLst/>
          </c:spPr>
          <c:cat>
            <c:strRef>
              <c:f>'NAm Capacity Data'!$B$12:$Q$12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Data'!$B$37:$Q$37</c:f>
              <c:numCache>
                <c:formatCode>#,##0_);[Red]\(#,##0\)</c:formatCode>
                <c:ptCount val="16"/>
                <c:pt idx="0">
                  <c:v>0</c:v>
                </c:pt>
                <c:pt idx="1">
                  <c:v>0</c:v>
                </c:pt>
                <c:pt idx="2">
                  <c:v>0</c:v>
                </c:pt>
                <c:pt idx="3">
                  <c:v>0</c:v>
                </c:pt>
                <c:pt idx="4">
                  <c:v>0</c:v>
                </c:pt>
                <c:pt idx="5">
                  <c:v>10</c:v>
                </c:pt>
                <c:pt idx="6">
                  <c:v>11</c:v>
                </c:pt>
                <c:pt idx="7">
                  <c:v>11</c:v>
                </c:pt>
                <c:pt idx="8">
                  <c:v>11</c:v>
                </c:pt>
                <c:pt idx="9">
                  <c:v>11</c:v>
                </c:pt>
                <c:pt idx="10">
                  <c:v>11</c:v>
                </c:pt>
                <c:pt idx="11">
                  <c:v>11</c:v>
                </c:pt>
                <c:pt idx="12">
                  <c:v>11</c:v>
                </c:pt>
                <c:pt idx="13">
                  <c:v>11</c:v>
                </c:pt>
                <c:pt idx="14">
                  <c:v>11</c:v>
                </c:pt>
                <c:pt idx="15">
                  <c:v>11</c:v>
                </c:pt>
              </c:numCache>
            </c:numRef>
          </c:val>
          <c:extLst>
            <c:ext xmlns:c16="http://schemas.microsoft.com/office/drawing/2014/chart" uri="{C3380CC4-5D6E-409C-BE32-E72D297353CC}">
              <c16:uniqueId val="{00000004-65B2-4818-9D31-56A4F5E371C4}"/>
            </c:ext>
          </c:extLst>
        </c:ser>
        <c:ser>
          <c:idx val="5"/>
          <c:order val="5"/>
          <c:tx>
            <c:strRef>
              <c:f>'NAm Capacity Data'!$A$18</c:f>
              <c:strCache>
                <c:ptCount val="1"/>
                <c:pt idx="0">
                  <c:v>Co-Processing</c:v>
                </c:pt>
              </c:strCache>
            </c:strRef>
          </c:tx>
          <c:spPr>
            <a:solidFill>
              <a:schemeClr val="accent6"/>
            </a:solidFill>
            <a:ln w="25400">
              <a:noFill/>
            </a:ln>
            <a:effectLst/>
          </c:spPr>
          <c:cat>
            <c:strRef>
              <c:f>'NAm Capacity Data'!$B$12:$Q$12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Data'!$B$38:$Q$38</c:f>
              <c:numCache>
                <c:formatCode>#,##0_);[Red]\(#,##0\)</c:formatCode>
                <c:ptCount val="16"/>
                <c:pt idx="0">
                  <c:v>0</c:v>
                </c:pt>
                <c:pt idx="1">
                  <c:v>73.5</c:v>
                </c:pt>
                <c:pt idx="2">
                  <c:v>73.5</c:v>
                </c:pt>
                <c:pt idx="3">
                  <c:v>73.5</c:v>
                </c:pt>
                <c:pt idx="4">
                  <c:v>73.819999999999993</c:v>
                </c:pt>
                <c:pt idx="5">
                  <c:v>83.82</c:v>
                </c:pt>
                <c:pt idx="6">
                  <c:v>83.82</c:v>
                </c:pt>
                <c:pt idx="7">
                  <c:v>157.32</c:v>
                </c:pt>
                <c:pt idx="8">
                  <c:v>157.32</c:v>
                </c:pt>
                <c:pt idx="9">
                  <c:v>157.32</c:v>
                </c:pt>
                <c:pt idx="10">
                  <c:v>157.32</c:v>
                </c:pt>
                <c:pt idx="11">
                  <c:v>157.32</c:v>
                </c:pt>
                <c:pt idx="12">
                  <c:v>157.32</c:v>
                </c:pt>
                <c:pt idx="13">
                  <c:v>157.32</c:v>
                </c:pt>
                <c:pt idx="14">
                  <c:v>157.32</c:v>
                </c:pt>
                <c:pt idx="15">
                  <c:v>157.32</c:v>
                </c:pt>
              </c:numCache>
            </c:numRef>
          </c:val>
          <c:extLst>
            <c:ext xmlns:c16="http://schemas.microsoft.com/office/drawing/2014/chart" uri="{C3380CC4-5D6E-409C-BE32-E72D297353CC}">
              <c16:uniqueId val="{00000005-65B2-4818-9D31-56A4F5E371C4}"/>
            </c:ext>
          </c:extLst>
        </c:ser>
        <c:dLbls>
          <c:showLegendKey val="0"/>
          <c:showVal val="0"/>
          <c:showCatName val="0"/>
          <c:showSerName val="0"/>
          <c:showPercent val="0"/>
          <c:showBubbleSize val="0"/>
        </c:dLbls>
        <c:axId val="1152154672"/>
        <c:axId val="1152149872"/>
      </c:areaChart>
      <c:catAx>
        <c:axId val="1152154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52149872"/>
        <c:crosses val="autoZero"/>
        <c:auto val="1"/>
        <c:lblAlgn val="ctr"/>
        <c:lblOffset val="100"/>
        <c:noMultiLvlLbl val="0"/>
      </c:catAx>
      <c:valAx>
        <c:axId val="1152149872"/>
        <c:scaling>
          <c:orientation val="minMax"/>
          <c:max val="7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52154672"/>
        <c:crosses val="autoZero"/>
        <c:crossBetween val="midCat"/>
      </c:valAx>
      <c:spPr>
        <a:noFill/>
        <a:ln>
          <a:noFill/>
        </a:ln>
        <a:effectLst/>
      </c:spPr>
    </c:plotArea>
    <c:legend>
      <c:legendPos val="b"/>
      <c:layout>
        <c:manualLayout>
          <c:xMode val="edge"/>
          <c:yMode val="edge"/>
          <c:x val="0.17428324584426946"/>
          <c:y val="0.92187445319335082"/>
          <c:w val="0.65143350831146107"/>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solidFill>
                  <a:schemeClr val="tx1"/>
                </a:solidFill>
              </a:rPr>
              <a:t>Added SAF Demand Not Overwhelming - do not use unless</a:t>
            </a:r>
            <a:r>
              <a:rPr lang="en-GB" b="0" baseline="0">
                <a:solidFill>
                  <a:schemeClr val="tx1"/>
                </a:solidFill>
              </a:rPr>
              <a:t> you have cleared it with Tore</a:t>
            </a:r>
            <a:endParaRPr lang="en-GB"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GB"/>
        </a:p>
      </c:txPr>
    </c:title>
    <c:autoTitleDeleted val="0"/>
    <c:plotArea>
      <c:layout>
        <c:manualLayout>
          <c:layoutTarget val="inner"/>
          <c:xMode val="edge"/>
          <c:yMode val="edge"/>
          <c:x val="0.14031955380577427"/>
          <c:y val="0.13962962962962963"/>
          <c:w val="0.67112212264584037"/>
          <c:h val="0.65700167687372413"/>
        </c:manualLayout>
      </c:layout>
      <c:barChart>
        <c:barDir val="col"/>
        <c:grouping val="stacked"/>
        <c:varyColors val="0"/>
        <c:ser>
          <c:idx val="0"/>
          <c:order val="0"/>
          <c:tx>
            <c:strRef>
              <c:f>'Global Capacity Data'!$A$62</c:f>
              <c:strCache>
                <c:ptCount val="1"/>
                <c:pt idx="0">
                  <c:v>Fats, Oils and Greases</c:v>
                </c:pt>
              </c:strCache>
            </c:strRef>
          </c:tx>
          <c:spPr>
            <a:solidFill>
              <a:srgbClr val="CF3C53"/>
            </a:solidFill>
            <a:ln>
              <a:solidFill>
                <a:schemeClr val="tx1"/>
              </a:solidFill>
            </a:ln>
            <a:effectLst/>
          </c:spPr>
          <c:invertIfNegative val="0"/>
          <c:dLbls>
            <c:dLbl>
              <c:idx val="0"/>
              <c:layout>
                <c:manualLayout>
                  <c:x val="0"/>
                  <c:y val="-9.4150991542723911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03-44AA-B195-1EDED02C4015}"/>
                </c:ext>
              </c:extLst>
            </c:dLbl>
            <c:dLbl>
              <c:idx val="1"/>
              <c:layout>
                <c:manualLayout>
                  <c:x val="0"/>
                  <c:y val="-9.9974846894138228E-2"/>
                </c:manualLayout>
              </c:layout>
              <c:spPr>
                <a:solidFill>
                  <a:schemeClr val="bg1"/>
                </a:solid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03-44AA-B195-1EDED02C4015}"/>
                </c:ext>
              </c:extLst>
            </c:dLbl>
            <c:dLbl>
              <c:idx val="5"/>
              <c:layout>
                <c:manualLayout>
                  <c:x val="0"/>
                  <c:y val="-0.10512229093975584"/>
                </c:manualLayout>
              </c:layout>
              <c:spPr>
                <a:solidFill>
                  <a:schemeClr val="bg1"/>
                </a:solid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03-44AA-B195-1EDED02C4015}"/>
                </c:ext>
              </c:extLst>
            </c:dLbl>
            <c:dLbl>
              <c:idx val="6"/>
              <c:layout>
                <c:manualLayout>
                  <c:x val="0"/>
                  <c:y val="-0.13187438980755908"/>
                </c:manualLayout>
              </c:layout>
              <c:spPr>
                <a:solidFill>
                  <a:schemeClr val="bg1"/>
                </a:solid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FF0000"/>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03-44AA-B195-1EDED02C4015}"/>
                </c:ext>
              </c:extLst>
            </c:dLbl>
            <c:dLbl>
              <c:idx val="7"/>
              <c:layout>
                <c:manualLayout>
                  <c:x val="-5.0420427558731556E-17"/>
                  <c:y val="-0.16953919334926038"/>
                </c:manualLayout>
              </c:layout>
              <c:spPr>
                <a:solidFill>
                  <a:schemeClr val="bg1"/>
                </a:solid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FF0000"/>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03-44AA-B195-1EDED02C4015}"/>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Brown" pitchFamily="2"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'Global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'Global Capacity Data'!$B$62:$Q$62</c:f>
              <c:numCache>
                <c:formatCode>#,##0_);[Red]\(#,##0\)</c:formatCode>
                <c:ptCount val="16"/>
                <c:pt idx="0">
                  <c:v>97.33</c:v>
                </c:pt>
                <c:pt idx="1">
                  <c:v>210.33999999999997</c:v>
                </c:pt>
                <c:pt idx="2">
                  <c:v>776.90037499999994</c:v>
                </c:pt>
                <c:pt idx="3">
                  <c:v>1663.6503749999999</c:v>
                </c:pt>
                <c:pt idx="4">
                  <c:v>3855.6803749999999</c:v>
                </c:pt>
                <c:pt idx="5">
                  <c:v>7391.6196749999999</c:v>
                </c:pt>
                <c:pt idx="6">
                  <c:v>11049.604975</c:v>
                </c:pt>
                <c:pt idx="7">
                  <c:v>15390.704275</c:v>
                </c:pt>
                <c:pt idx="8">
                  <c:v>20160.322075</c:v>
                </c:pt>
                <c:pt idx="9">
                  <c:v>24790.621375000002</c:v>
                </c:pt>
                <c:pt idx="10">
                  <c:v>29627.250675000003</c:v>
                </c:pt>
                <c:pt idx="11">
                  <c:v>34338.049975000002</c:v>
                </c:pt>
                <c:pt idx="12">
                  <c:v>39058.749275000002</c:v>
                </c:pt>
                <c:pt idx="13">
                  <c:v>43779.448575000002</c:v>
                </c:pt>
                <c:pt idx="14">
                  <c:v>48500.147875000002</c:v>
                </c:pt>
                <c:pt idx="15">
                  <c:v>53220.847175000003</c:v>
                </c:pt>
              </c:numCache>
            </c:numRef>
          </c:val>
          <c:extLst>
            <c:ext xmlns:c16="http://schemas.microsoft.com/office/drawing/2014/chart" uri="{C3380CC4-5D6E-409C-BE32-E72D297353CC}">
              <c16:uniqueId val="{00000005-3303-44AA-B195-1EDED02C4015}"/>
            </c:ext>
          </c:extLst>
        </c:ser>
        <c:ser>
          <c:idx val="1"/>
          <c:order val="1"/>
          <c:tx>
            <c:strRef>
              <c:f>'Global Capacity Data'!$A$63</c:f>
              <c:strCache>
                <c:ptCount val="1"/>
                <c:pt idx="0">
                  <c:v>Ethanol</c:v>
                </c:pt>
              </c:strCache>
            </c:strRef>
          </c:tx>
          <c:spPr>
            <a:solidFill>
              <a:srgbClr val="3C91CF"/>
            </a:solidFill>
            <a:ln>
              <a:solidFill>
                <a:schemeClr val="tx1"/>
              </a:solidFill>
            </a:ln>
            <a:effectLst/>
          </c:spPr>
          <c:invertIfNegative val="0"/>
          <c:cat>
            <c:strRef>
              <c:f>'Global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'Global Capacity Data'!$B$63:$Q$63</c:f>
              <c:numCache>
                <c:formatCode>#,##0_);[Red]\(#,##0\)</c:formatCode>
                <c:ptCount val="16"/>
                <c:pt idx="0">
                  <c:v>3.0001000000000002</c:v>
                </c:pt>
                <c:pt idx="1">
                  <c:v>6.0002000000000004</c:v>
                </c:pt>
                <c:pt idx="2">
                  <c:v>9.0003000000000011</c:v>
                </c:pt>
                <c:pt idx="3">
                  <c:v>12.000400000000001</c:v>
                </c:pt>
                <c:pt idx="4">
                  <c:v>24.000500000000002</c:v>
                </c:pt>
                <c:pt idx="5">
                  <c:v>219.64622500000002</c:v>
                </c:pt>
                <c:pt idx="6">
                  <c:v>503.89195000000001</c:v>
                </c:pt>
                <c:pt idx="7">
                  <c:v>1166.5001749999999</c:v>
                </c:pt>
                <c:pt idx="8">
                  <c:v>2047.4573999999998</c:v>
                </c:pt>
                <c:pt idx="9">
                  <c:v>2909.7466249999998</c:v>
                </c:pt>
                <c:pt idx="10">
                  <c:v>3945.7078499999998</c:v>
                </c:pt>
                <c:pt idx="11">
                  <c:v>4923.0210749999997</c:v>
                </c:pt>
                <c:pt idx="12">
                  <c:v>5927.3342999999995</c:v>
                </c:pt>
                <c:pt idx="13">
                  <c:v>6931.6475249999994</c:v>
                </c:pt>
                <c:pt idx="14">
                  <c:v>7935.9607499999993</c:v>
                </c:pt>
                <c:pt idx="15">
                  <c:v>8940.2739750000001</c:v>
                </c:pt>
              </c:numCache>
            </c:numRef>
          </c:val>
          <c:extLst>
            <c:ext xmlns:c16="http://schemas.microsoft.com/office/drawing/2014/chart" uri="{C3380CC4-5D6E-409C-BE32-E72D297353CC}">
              <c16:uniqueId val="{00000006-3303-44AA-B195-1EDED02C4015}"/>
            </c:ext>
          </c:extLst>
        </c:ser>
        <c:ser>
          <c:idx val="2"/>
          <c:order val="2"/>
          <c:tx>
            <c:strRef>
              <c:f>'Global Capacity Data'!$A$64</c:f>
              <c:strCache>
                <c:ptCount val="1"/>
                <c:pt idx="0">
                  <c:v>Woody Biomass</c:v>
                </c:pt>
              </c:strCache>
            </c:strRef>
          </c:tx>
          <c:spPr>
            <a:solidFill>
              <a:srgbClr val="CFB93C"/>
            </a:solidFill>
            <a:ln>
              <a:solidFill>
                <a:schemeClr val="tx1"/>
              </a:solidFill>
            </a:ln>
            <a:effectLst/>
          </c:spPr>
          <c:invertIfNegative val="0"/>
          <c:cat>
            <c:strRef>
              <c:f>'Global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'Global Capacity Data'!$B$64:$Q$64</c:f>
              <c:numCache>
                <c:formatCode>#,##0_);[Red]\(#,##0\)</c:formatCode>
                <c:ptCount val="16"/>
                <c:pt idx="0">
                  <c:v>0</c:v>
                </c:pt>
                <c:pt idx="1">
                  <c:v>0</c:v>
                </c:pt>
                <c:pt idx="2">
                  <c:v>0</c:v>
                </c:pt>
                <c:pt idx="3">
                  <c:v>0</c:v>
                </c:pt>
                <c:pt idx="4">
                  <c:v>0</c:v>
                </c:pt>
                <c:pt idx="5">
                  <c:v>105.09</c:v>
                </c:pt>
                <c:pt idx="6">
                  <c:v>176.2175</c:v>
                </c:pt>
                <c:pt idx="7">
                  <c:v>435.15049999999997</c:v>
                </c:pt>
                <c:pt idx="8">
                  <c:v>679.41349999999989</c:v>
                </c:pt>
                <c:pt idx="9">
                  <c:v>983.17649999999981</c:v>
                </c:pt>
                <c:pt idx="10">
                  <c:v>1435.5344999999998</c:v>
                </c:pt>
                <c:pt idx="11">
                  <c:v>1887.8924999999997</c:v>
                </c:pt>
                <c:pt idx="12">
                  <c:v>2340.2504999999996</c:v>
                </c:pt>
                <c:pt idx="13">
                  <c:v>2792.6084999999994</c:v>
                </c:pt>
                <c:pt idx="14">
                  <c:v>3244.9664999999995</c:v>
                </c:pt>
                <c:pt idx="15">
                  <c:v>3697.3244999999997</c:v>
                </c:pt>
              </c:numCache>
            </c:numRef>
          </c:val>
          <c:extLst>
            <c:ext xmlns:c16="http://schemas.microsoft.com/office/drawing/2014/chart" uri="{C3380CC4-5D6E-409C-BE32-E72D297353CC}">
              <c16:uniqueId val="{00000007-3303-44AA-B195-1EDED02C4015}"/>
            </c:ext>
          </c:extLst>
        </c:ser>
        <c:ser>
          <c:idx val="3"/>
          <c:order val="3"/>
          <c:tx>
            <c:strRef>
              <c:f>'Global Capacity Data'!$A$65</c:f>
              <c:strCache>
                <c:ptCount val="1"/>
                <c:pt idx="0">
                  <c:v>CCS</c:v>
                </c:pt>
              </c:strCache>
            </c:strRef>
          </c:tx>
          <c:spPr>
            <a:solidFill>
              <a:srgbClr val="63CF3C"/>
            </a:solidFill>
            <a:ln>
              <a:solidFill>
                <a:schemeClr val="tx1"/>
              </a:solidFill>
            </a:ln>
            <a:effectLst/>
          </c:spPr>
          <c:invertIfNegative val="0"/>
          <c:cat>
            <c:strRef>
              <c:f>'Global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'Global Capacity Data'!$B$65:$Q$65</c:f>
              <c:numCache>
                <c:formatCode>#,##0_);[Red]\(#,##0\)</c:formatCode>
                <c:ptCount val="16"/>
                <c:pt idx="0">
                  <c:v>0</c:v>
                </c:pt>
                <c:pt idx="1">
                  <c:v>6.6E-3</c:v>
                </c:pt>
                <c:pt idx="2">
                  <c:v>7.3599999999999999E-2</c:v>
                </c:pt>
                <c:pt idx="3">
                  <c:v>7.46E-2</c:v>
                </c:pt>
                <c:pt idx="4">
                  <c:v>1.3989126989652376</c:v>
                </c:pt>
                <c:pt idx="5">
                  <c:v>2.8966688979304749</c:v>
                </c:pt>
                <c:pt idx="6">
                  <c:v>81.890300096895714</c:v>
                </c:pt>
                <c:pt idx="7">
                  <c:v>177.69705629586093</c:v>
                </c:pt>
                <c:pt idx="8">
                  <c:v>350.81981249482618</c:v>
                </c:pt>
                <c:pt idx="9">
                  <c:v>399.53056869379145</c:v>
                </c:pt>
                <c:pt idx="10">
                  <c:v>593.29132489275673</c:v>
                </c:pt>
                <c:pt idx="11">
                  <c:v>851.58358109172195</c:v>
                </c:pt>
                <c:pt idx="12">
                  <c:v>1258.1863372906873</c:v>
                </c:pt>
                <c:pt idx="13">
                  <c:v>1406.3190934896525</c:v>
                </c:pt>
                <c:pt idx="14">
                  <c:v>1471.9482496886176</c:v>
                </c:pt>
                <c:pt idx="15">
                  <c:v>1537.5630058875829</c:v>
                </c:pt>
              </c:numCache>
            </c:numRef>
          </c:val>
          <c:extLst>
            <c:ext xmlns:c16="http://schemas.microsoft.com/office/drawing/2014/chart" uri="{C3380CC4-5D6E-409C-BE32-E72D297353CC}">
              <c16:uniqueId val="{00000008-3303-44AA-B195-1EDED02C4015}"/>
            </c:ext>
          </c:extLst>
        </c:ser>
        <c:ser>
          <c:idx val="4"/>
          <c:order val="4"/>
          <c:tx>
            <c:strRef>
              <c:f>'Global Capacity Data'!$A$66</c:f>
              <c:strCache>
                <c:ptCount val="1"/>
                <c:pt idx="0">
                  <c:v>MSW</c:v>
                </c:pt>
              </c:strCache>
            </c:strRef>
          </c:tx>
          <c:spPr>
            <a:solidFill>
              <a:srgbClr val="CF883C"/>
            </a:solidFill>
            <a:ln>
              <a:solidFill>
                <a:schemeClr val="tx1"/>
              </a:solidFill>
            </a:ln>
            <a:effectLst/>
          </c:spPr>
          <c:invertIfNegative val="0"/>
          <c:cat>
            <c:strRef>
              <c:f>'Global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'Global Capacity Data'!$B$66:$Q$66</c:f>
              <c:numCache>
                <c:formatCode>#,##0_);[Red]\(#,##0\)</c:formatCode>
                <c:ptCount val="16"/>
                <c:pt idx="0">
                  <c:v>0</c:v>
                </c:pt>
                <c:pt idx="1">
                  <c:v>0</c:v>
                </c:pt>
                <c:pt idx="2">
                  <c:v>0</c:v>
                </c:pt>
                <c:pt idx="3">
                  <c:v>0</c:v>
                </c:pt>
                <c:pt idx="4">
                  <c:v>0.46200000000000002</c:v>
                </c:pt>
                <c:pt idx="5">
                  <c:v>35.548000000000002</c:v>
                </c:pt>
                <c:pt idx="6">
                  <c:v>45.198</c:v>
                </c:pt>
                <c:pt idx="7">
                  <c:v>115.81549999999999</c:v>
                </c:pt>
                <c:pt idx="8">
                  <c:v>200.71549999999996</c:v>
                </c:pt>
                <c:pt idx="9">
                  <c:v>205.76549999999997</c:v>
                </c:pt>
                <c:pt idx="10">
                  <c:v>243.71549999999996</c:v>
                </c:pt>
                <c:pt idx="11">
                  <c:v>256.66549999999995</c:v>
                </c:pt>
                <c:pt idx="12">
                  <c:v>317.94549999999992</c:v>
                </c:pt>
                <c:pt idx="13">
                  <c:v>330.89549999999991</c:v>
                </c:pt>
                <c:pt idx="14">
                  <c:v>343.8454999999999</c:v>
                </c:pt>
                <c:pt idx="15">
                  <c:v>356.79549999999989</c:v>
                </c:pt>
              </c:numCache>
            </c:numRef>
          </c:val>
          <c:extLst>
            <c:ext xmlns:c16="http://schemas.microsoft.com/office/drawing/2014/chart" uri="{C3380CC4-5D6E-409C-BE32-E72D297353CC}">
              <c16:uniqueId val="{00000009-3303-44AA-B195-1EDED02C4015}"/>
            </c:ext>
          </c:extLst>
        </c:ser>
        <c:dLbls>
          <c:showLegendKey val="0"/>
          <c:showVal val="0"/>
          <c:showCatName val="0"/>
          <c:showSerName val="0"/>
          <c:showPercent val="0"/>
          <c:showBubbleSize val="0"/>
        </c:dLbls>
        <c:gapWidth val="25"/>
        <c:overlap val="100"/>
        <c:axId val="1065161327"/>
        <c:axId val="1065157007"/>
      </c:barChart>
      <c:catAx>
        <c:axId val="1065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57007"/>
        <c:crosses val="autoZero"/>
        <c:auto val="1"/>
        <c:lblAlgn val="ctr"/>
        <c:lblOffset val="100"/>
        <c:noMultiLvlLbl val="0"/>
      </c:catAx>
      <c:valAx>
        <c:axId val="10651570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r>
                  <a:rPr lang="en-GB" sz="800"/>
                  <a:t>million</a:t>
                </a:r>
                <a:r>
                  <a:rPr lang="en-GB" sz="800" baseline="0"/>
                  <a:t> pounds</a:t>
                </a:r>
                <a:endParaRPr lang="en-GB"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61327"/>
        <c:crosses val="autoZero"/>
        <c:crossBetween val="between"/>
      </c:valAx>
      <c:spPr>
        <a:noFill/>
        <a:ln w="22225">
          <a:solidFill>
            <a:srgbClr val="8C8C8C"/>
          </a:solidFill>
        </a:ln>
        <a:effectLst/>
      </c:spPr>
    </c:plotArea>
    <c:legend>
      <c:legendPos val="b"/>
      <c:layout>
        <c:manualLayout>
          <c:xMode val="edge"/>
          <c:yMode val="edge"/>
          <c:x val="0.81120188101487334"/>
          <c:y val="0.18464093030037912"/>
          <c:w val="0.18592935258092741"/>
          <c:h val="0.64869240303295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Brown" pitchFamily="2"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j-lt"/>
                <a:ea typeface="+mn-ea"/>
                <a:cs typeface="+mn-cs"/>
              </a:defRPr>
            </a:pPr>
            <a:r>
              <a:rPr lang="en-GB" b="1"/>
              <a:t>Added SAF Demand Not Overwhelming</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j-lt"/>
              <a:ea typeface="+mn-ea"/>
              <a:cs typeface="+mn-cs"/>
            </a:defRPr>
          </a:pPr>
          <a:endParaRPr lang="en-US"/>
        </a:p>
      </c:txPr>
    </c:title>
    <c:autoTitleDeleted val="0"/>
    <c:plotArea>
      <c:layout>
        <c:manualLayout>
          <c:layoutTarget val="inner"/>
          <c:xMode val="edge"/>
          <c:yMode val="edge"/>
          <c:x val="0.14031955380577427"/>
          <c:y val="0.13962962962962963"/>
          <c:w val="0.70412489063867012"/>
          <c:h val="0.65700167687372413"/>
        </c:manualLayout>
      </c:layout>
      <c:barChart>
        <c:barDir val="col"/>
        <c:grouping val="stacked"/>
        <c:varyColors val="0"/>
        <c:ser>
          <c:idx val="0"/>
          <c:order val="0"/>
          <c:tx>
            <c:strRef>
              <c:f>'Global Capacity Data'!$A$62</c:f>
              <c:strCache>
                <c:ptCount val="1"/>
                <c:pt idx="0">
                  <c:v>Fats, Oils and Greases</c:v>
                </c:pt>
              </c:strCache>
            </c:strRef>
          </c:tx>
          <c:spPr>
            <a:solidFill>
              <a:srgbClr val="CF3C53"/>
            </a:solidFill>
            <a:ln>
              <a:solidFill>
                <a:schemeClr val="tx1"/>
              </a:solidFill>
            </a:ln>
            <a:effectLst/>
          </c:spPr>
          <c:invertIfNegative val="0"/>
          <c:dLbls>
            <c:dLbl>
              <c:idx val="0"/>
              <c:layout>
                <c:manualLayout>
                  <c:x val="0"/>
                  <c:y val="-9.41509915427239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3C-43C0-B3CD-07C62AE87364}"/>
                </c:ext>
              </c:extLst>
            </c:dLbl>
            <c:dLbl>
              <c:idx val="1"/>
              <c:layout>
                <c:manualLayout>
                  <c:x val="0"/>
                  <c:y val="-9.997484689413822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3C-43C0-B3CD-07C62AE87364}"/>
                </c:ext>
              </c:extLst>
            </c:dLbl>
            <c:dLbl>
              <c:idx val="2"/>
              <c:layout>
                <c:manualLayout>
                  <c:x val="-4.9018494604752952E-17"/>
                  <c:y val="-9.465669848321223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3C-43C0-B3CD-07C62AE87364}"/>
                </c:ext>
              </c:extLst>
            </c:dLbl>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mj-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extLst>
                <c:ext xmlns:c15="http://schemas.microsoft.com/office/drawing/2012/chart" uri="{02D57815-91ED-43cb-92C2-25804820EDAC}">
                  <c15:fullRef>
                    <c15:sqref>'Global Capacity Data'!$S$61:$AD$61</c15:sqref>
                  </c15:fullRef>
                </c:ext>
              </c:extLst>
              <c:f>'Global Capacity Data'!$S$61:$AB$61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extLst>
                <c:ext xmlns:c15="http://schemas.microsoft.com/office/drawing/2012/chart" uri="{02D57815-91ED-43cb-92C2-25804820EDAC}">
                  <c15:fullRef>
                    <c15:sqref>'Global Capacity Data'!$S$62:$AD$62</c15:sqref>
                  </c15:fullRef>
                </c:ext>
              </c:extLst>
              <c:f>'Global Capacity Data'!$S$62:$AB$62</c:f>
              <c:numCache>
                <c:formatCode>0.0</c:formatCode>
                <c:ptCount val="10"/>
                <c:pt idx="0">
                  <c:v>0.42289856333999998</c:v>
                </c:pt>
                <c:pt idx="1">
                  <c:v>2.1201448423402502</c:v>
                </c:pt>
                <c:pt idx="2">
                  <c:v>3.3183373244999999</c:v>
                </c:pt>
                <c:pt idx="3">
                  <c:v>8.2028699920199983</c:v>
                </c:pt>
                <c:pt idx="4">
                  <c:v>13.231958676466199</c:v>
                </c:pt>
                <c:pt idx="5">
                  <c:v>13.688671162630202</c:v>
                </c:pt>
                <c:pt idx="6">
                  <c:v>16.2449752879062</c:v>
                </c:pt>
                <c:pt idx="7">
                  <c:v>17.8485489363852</c:v>
                </c:pt>
                <c:pt idx="8">
                  <c:v>17.5</c:v>
                </c:pt>
                <c:pt idx="9">
                  <c:v>18.099314948926203</c:v>
                </c:pt>
              </c:numCache>
            </c:numRef>
          </c:val>
          <c:extLst>
            <c:ext xmlns:c16="http://schemas.microsoft.com/office/drawing/2014/chart" uri="{C3380CC4-5D6E-409C-BE32-E72D297353CC}">
              <c16:uniqueId val="{00000003-413C-43C0-B3CD-07C62AE87364}"/>
            </c:ext>
          </c:extLst>
        </c:ser>
        <c:ser>
          <c:idx val="1"/>
          <c:order val="1"/>
          <c:tx>
            <c:strRef>
              <c:f>'Global Capacity Data'!$A$63</c:f>
              <c:strCache>
                <c:ptCount val="1"/>
                <c:pt idx="0">
                  <c:v>Ethanol</c:v>
                </c:pt>
              </c:strCache>
            </c:strRef>
          </c:tx>
          <c:spPr>
            <a:solidFill>
              <a:srgbClr val="3C91CF"/>
            </a:solidFill>
            <a:ln>
              <a:solidFill>
                <a:schemeClr val="tx1"/>
              </a:solidFill>
            </a:ln>
            <a:effectLst/>
          </c:spPr>
          <c:invertIfNegative val="0"/>
          <c:cat>
            <c:numRef>
              <c:extLst>
                <c:ext xmlns:c15="http://schemas.microsoft.com/office/drawing/2012/chart" uri="{02D57815-91ED-43cb-92C2-25804820EDAC}">
                  <c15:fullRef>
                    <c15:sqref>'Global Capacity Data'!$S$61:$AD$61</c15:sqref>
                  </c15:fullRef>
                </c:ext>
              </c:extLst>
              <c:f>'Global Capacity Data'!$S$61:$AB$61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extLst>
                <c:ext xmlns:c15="http://schemas.microsoft.com/office/drawing/2012/chart" uri="{02D57815-91ED-43cb-92C2-25804820EDAC}">
                  <c15:fullRef>
                    <c15:sqref>'Global Capacity Data'!$S$63:$AD$63</c15:sqref>
                  </c15:fullRef>
                </c:ext>
              </c:extLst>
              <c:f>'Global Capacity Data'!$S$63:$AB$63</c:f>
              <c:numCache>
                <c:formatCode>0.0</c:formatCode>
                <c:ptCount val="10"/>
                <c:pt idx="0">
                  <c:v>2.761086815768117E-2</c:v>
                </c:pt>
                <c:pt idx="1">
                  <c:v>2.761086815768117E-2</c:v>
                </c:pt>
                <c:pt idx="2">
                  <c:v>2.761086815768117E-2</c:v>
                </c:pt>
                <c:pt idx="3">
                  <c:v>0.11044071163594206</c:v>
                </c:pt>
                <c:pt idx="4">
                  <c:v>1.8005894198823194</c:v>
                </c:pt>
                <c:pt idx="5">
                  <c:v>2.6160032123460875</c:v>
                </c:pt>
                <c:pt idx="6">
                  <c:v>6.0981928404620298</c:v>
                </c:pt>
                <c:pt idx="7">
                  <c:v>8.1077276730881174</c:v>
                </c:pt>
                <c:pt idx="8">
                  <c:v>7.9359201710823202</c:v>
                </c:pt>
                <c:pt idx="9">
                  <c:v>9.5342784573663799</c:v>
                </c:pt>
              </c:numCache>
            </c:numRef>
          </c:val>
          <c:extLst>
            <c:ext xmlns:c16="http://schemas.microsoft.com/office/drawing/2014/chart" uri="{C3380CC4-5D6E-409C-BE32-E72D297353CC}">
              <c16:uniqueId val="{00000004-413C-43C0-B3CD-07C62AE87364}"/>
            </c:ext>
          </c:extLst>
        </c:ser>
        <c:ser>
          <c:idx val="2"/>
          <c:order val="2"/>
          <c:tx>
            <c:strRef>
              <c:f>'Global Capacity Data'!$A$64</c:f>
              <c:strCache>
                <c:ptCount val="1"/>
                <c:pt idx="0">
                  <c:v>Woody Biomass</c:v>
                </c:pt>
              </c:strCache>
            </c:strRef>
          </c:tx>
          <c:spPr>
            <a:solidFill>
              <a:srgbClr val="CFB93C"/>
            </a:solidFill>
            <a:ln>
              <a:solidFill>
                <a:schemeClr val="tx1"/>
              </a:solidFill>
            </a:ln>
            <a:effectLst/>
          </c:spPr>
          <c:invertIfNegative val="0"/>
          <c:cat>
            <c:numRef>
              <c:extLst>
                <c:ext xmlns:c15="http://schemas.microsoft.com/office/drawing/2012/chart" uri="{02D57815-91ED-43cb-92C2-25804820EDAC}">
                  <c15:fullRef>
                    <c15:sqref>'Global Capacity Data'!$S$61:$AD$61</c15:sqref>
                  </c15:fullRef>
                </c:ext>
              </c:extLst>
              <c:f>'Global Capacity Data'!$S$61:$AB$61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extLst>
                <c:ext xmlns:c15="http://schemas.microsoft.com/office/drawing/2012/chart" uri="{02D57815-91ED-43cb-92C2-25804820EDAC}">
                  <c15:fullRef>
                    <c15:sqref>'Global Capacity Data'!$S$64:$AD$64</c15:sqref>
                  </c15:fullRef>
                </c:ext>
              </c:extLst>
              <c:f>'Global Capacity Data'!$S$64:$AB$64</c:f>
              <c:numCache>
                <c:formatCode>0.0</c:formatCode>
                <c:ptCount val="10"/>
                <c:pt idx="0">
                  <c:v>0</c:v>
                </c:pt>
                <c:pt idx="1">
                  <c:v>0</c:v>
                </c:pt>
                <c:pt idx="2">
                  <c:v>0</c:v>
                </c:pt>
                <c:pt idx="3">
                  <c:v>0</c:v>
                </c:pt>
                <c:pt idx="4">
                  <c:v>1.6683794148</c:v>
                </c:pt>
                <c:pt idx="5">
                  <c:v>1.1292002743</c:v>
                </c:pt>
                <c:pt idx="6">
                  <c:v>4.1107478067599992</c:v>
                </c:pt>
                <c:pt idx="7">
                  <c:v>3.8778509943600001</c:v>
                </c:pt>
                <c:pt idx="8">
                  <c:v>4.82245633436</c:v>
                </c:pt>
                <c:pt idx="9">
                  <c:v>7.1815089477599994</c:v>
                </c:pt>
              </c:numCache>
            </c:numRef>
          </c:val>
          <c:extLst>
            <c:ext xmlns:c16="http://schemas.microsoft.com/office/drawing/2014/chart" uri="{C3380CC4-5D6E-409C-BE32-E72D297353CC}">
              <c16:uniqueId val="{00000005-413C-43C0-B3CD-07C62AE87364}"/>
            </c:ext>
          </c:extLst>
        </c:ser>
        <c:ser>
          <c:idx val="3"/>
          <c:order val="3"/>
          <c:tx>
            <c:strRef>
              <c:f>'Global Capacity Data'!$A$65</c:f>
              <c:strCache>
                <c:ptCount val="1"/>
                <c:pt idx="0">
                  <c:v>CCS</c:v>
                </c:pt>
              </c:strCache>
            </c:strRef>
          </c:tx>
          <c:spPr>
            <a:solidFill>
              <a:srgbClr val="63CF3C"/>
            </a:solidFill>
            <a:ln>
              <a:solidFill>
                <a:schemeClr val="tx1"/>
              </a:solidFill>
            </a:ln>
            <a:effectLst/>
          </c:spPr>
          <c:invertIfNegative val="0"/>
          <c:cat>
            <c:numRef>
              <c:extLst>
                <c:ext xmlns:c15="http://schemas.microsoft.com/office/drawing/2012/chart" uri="{02D57815-91ED-43cb-92C2-25804820EDAC}">
                  <c15:fullRef>
                    <c15:sqref>'Global Capacity Data'!$S$61:$AD$61</c15:sqref>
                  </c15:fullRef>
                </c:ext>
              </c:extLst>
              <c:f>'Global Capacity Data'!$S$61:$AB$61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extLst>
                <c:ext xmlns:c15="http://schemas.microsoft.com/office/drawing/2012/chart" uri="{02D57815-91ED-43cb-92C2-25804820EDAC}">
                  <c15:fullRef>
                    <c15:sqref>'Global Capacity Data'!$S$65:$AD$65</c15:sqref>
                  </c15:fullRef>
                </c:ext>
              </c:extLst>
              <c:f>'Global Capacity Data'!$S$65:$AB$65</c:f>
              <c:numCache>
                <c:formatCode>0.0</c:formatCode>
                <c:ptCount val="10"/>
                <c:pt idx="0">
                  <c:v>5.7548834824200937E-5</c:v>
                </c:pt>
                <c:pt idx="1">
                  <c:v>5.8420786866991866E-4</c:v>
                </c:pt>
                <c:pt idx="2">
                  <c:v>8.7195204279092321E-6</c:v>
                </c:pt>
                <c:pt idx="3">
                  <c:v>1.1547371631566999E-2</c:v>
                </c:pt>
                <c:pt idx="4">
                  <c:v>1.3059715772905075E-2</c:v>
                </c:pt>
                <c:pt idx="5">
                  <c:v>0.6887865809141055</c:v>
                </c:pt>
                <c:pt idx="6">
                  <c:v>0.83538896780859673</c:v>
                </c:pt>
                <c:pt idx="7">
                  <c:v>1.5095474092128274</c:v>
                </c:pt>
                <c:pt idx="8">
                  <c:v>0.42473443373578373</c:v>
                </c:pt>
                <c:pt idx="9">
                  <c:v>1.6895008718040181</c:v>
                </c:pt>
              </c:numCache>
            </c:numRef>
          </c:val>
          <c:extLst>
            <c:ext xmlns:c16="http://schemas.microsoft.com/office/drawing/2014/chart" uri="{C3380CC4-5D6E-409C-BE32-E72D297353CC}">
              <c16:uniqueId val="{00000006-413C-43C0-B3CD-07C62AE87364}"/>
            </c:ext>
          </c:extLst>
        </c:ser>
        <c:ser>
          <c:idx val="4"/>
          <c:order val="4"/>
          <c:tx>
            <c:strRef>
              <c:f>'Global Capacity Data'!$A$66</c:f>
              <c:strCache>
                <c:ptCount val="1"/>
                <c:pt idx="0">
                  <c:v>MSW</c:v>
                </c:pt>
              </c:strCache>
            </c:strRef>
          </c:tx>
          <c:spPr>
            <a:solidFill>
              <a:srgbClr val="CF883C"/>
            </a:solidFill>
            <a:ln>
              <a:solidFill>
                <a:schemeClr val="tx1"/>
              </a:solidFill>
            </a:ln>
            <a:effectLst/>
          </c:spPr>
          <c:invertIfNegative val="0"/>
          <c:cat>
            <c:numRef>
              <c:extLst>
                <c:ext xmlns:c15="http://schemas.microsoft.com/office/drawing/2012/chart" uri="{02D57815-91ED-43cb-92C2-25804820EDAC}">
                  <c15:fullRef>
                    <c15:sqref>'Global Capacity Data'!$S$61:$AD$61</c15:sqref>
                  </c15:fullRef>
                </c:ext>
              </c:extLst>
              <c:f>'Global Capacity Data'!$S$61:$AB$61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extLst>
                <c:ext xmlns:c15="http://schemas.microsoft.com/office/drawing/2012/chart" uri="{02D57815-91ED-43cb-92C2-25804820EDAC}">
                  <c15:fullRef>
                    <c15:sqref>'Global Capacity Data'!$S$66:$AD$66</c15:sqref>
                  </c15:fullRef>
                </c:ext>
              </c:extLst>
              <c:f>'Global Capacity Data'!$S$66:$AB$66</c:f>
              <c:numCache>
                <c:formatCode>0.0</c:formatCode>
                <c:ptCount val="10"/>
                <c:pt idx="0">
                  <c:v>0</c:v>
                </c:pt>
                <c:pt idx="1">
                  <c:v>0</c:v>
                </c:pt>
                <c:pt idx="2">
                  <c:v>0</c:v>
                </c:pt>
                <c:pt idx="3">
                  <c:v>8.3404682592000002E-3</c:v>
                </c:pt>
                <c:pt idx="4">
                  <c:v>0.63340621069759995</c:v>
                </c:pt>
                <c:pt idx="5">
                  <c:v>0.17421107943999997</c:v>
                </c:pt>
                <c:pt idx="6">
                  <c:v>1.2748550157879999</c:v>
                </c:pt>
                <c:pt idx="7">
                  <c:v>1.5326964398399998</c:v>
                </c:pt>
                <c:pt idx="8">
                  <c:v>9.1167456079999987E-2</c:v>
                </c:pt>
                <c:pt idx="9">
                  <c:v>0.68510989272</c:v>
                </c:pt>
              </c:numCache>
            </c:numRef>
          </c:val>
          <c:extLst>
            <c:ext xmlns:c16="http://schemas.microsoft.com/office/drawing/2014/chart" uri="{C3380CC4-5D6E-409C-BE32-E72D297353CC}">
              <c16:uniqueId val="{00000007-413C-43C0-B3CD-07C62AE87364}"/>
            </c:ext>
          </c:extLst>
        </c:ser>
        <c:dLbls>
          <c:showLegendKey val="0"/>
          <c:showVal val="0"/>
          <c:showCatName val="0"/>
          <c:showSerName val="0"/>
          <c:showPercent val="0"/>
          <c:showBubbleSize val="0"/>
        </c:dLbls>
        <c:gapWidth val="25"/>
        <c:overlap val="100"/>
        <c:axId val="1065161327"/>
        <c:axId val="1065157007"/>
      </c:barChart>
      <c:catAx>
        <c:axId val="1065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ysClr val="windowText" lastClr="000000"/>
                </a:solidFill>
                <a:latin typeface="+mj-lt"/>
                <a:ea typeface="+mn-ea"/>
                <a:cs typeface="+mn-cs"/>
              </a:defRPr>
            </a:pPr>
            <a:endParaRPr lang="en-US"/>
          </a:p>
        </c:txPr>
        <c:crossAx val="1065157007"/>
        <c:crosses val="autoZero"/>
        <c:auto val="1"/>
        <c:lblAlgn val="ctr"/>
        <c:lblOffset val="100"/>
        <c:noMultiLvlLbl val="0"/>
      </c:catAx>
      <c:valAx>
        <c:axId val="10651570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r>
                  <a:rPr lang="en-GB" b="1"/>
                  <a:t>SAF</a:t>
                </a:r>
                <a:r>
                  <a:rPr lang="en-GB" b="1" baseline="0"/>
                  <a:t> feedstock demand</a:t>
                </a:r>
                <a:br>
                  <a:rPr lang="en-GB" b="1"/>
                </a:br>
                <a:r>
                  <a:rPr lang="en-GB" b="1"/>
                  <a:t>(million tonnes)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j-lt"/>
                <a:ea typeface="+mn-ea"/>
                <a:cs typeface="+mn-cs"/>
              </a:defRPr>
            </a:pPr>
            <a:endParaRPr lang="en-US"/>
          </a:p>
        </c:txPr>
        <c:crossAx val="1065161327"/>
        <c:crosses val="autoZero"/>
        <c:crossBetween val="between"/>
      </c:valAx>
      <c:spPr>
        <a:noFill/>
        <a:ln w="22225">
          <a:solidFill>
            <a:srgbClr val="8C8C8C"/>
          </a:solidFill>
        </a:ln>
        <a:effectLst/>
      </c:spPr>
    </c:plotArea>
    <c:legend>
      <c:legendPos val="b"/>
      <c:layout>
        <c:manualLayout>
          <c:xMode val="edge"/>
          <c:yMode val="edge"/>
          <c:x val="0.85884801572695257"/>
          <c:y val="0.18464093030037912"/>
          <c:w val="0.13828321603842367"/>
          <c:h val="0.6486924030329541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mj-lt"/>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009733158355205"/>
          <c:y val="3.3148148148148135E-2"/>
          <c:w val="0.68443744531933504"/>
          <c:h val="0.77475612423447071"/>
        </c:manualLayout>
      </c:layout>
      <c:areaChart>
        <c:grouping val="stacked"/>
        <c:varyColors val="0"/>
        <c:ser>
          <c:idx val="0"/>
          <c:order val="0"/>
          <c:tx>
            <c:strRef>
              <c:f>'Global Capacity Data'!$A$43</c:f>
              <c:strCache>
                <c:ptCount val="1"/>
                <c:pt idx="0">
                  <c:v>HEFA</c:v>
                </c:pt>
              </c:strCache>
            </c:strRef>
          </c:tx>
          <c:spPr>
            <a:solidFill>
              <a:srgbClr val="CF3C53"/>
            </a:solidFill>
            <a:ln w="9525">
              <a:solidFill>
                <a:sysClr val="windowText" lastClr="000000"/>
              </a:solidFill>
            </a:ln>
            <a:effectLst/>
          </c:spPr>
          <c:cat>
            <c:strRef>
              <c:f>'Global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'Global Capacity Data'!$B$13:$L$13</c:f>
              <c:numCache>
                <c:formatCode>#,##0_);[Red]\(#,##0\)</c:formatCode>
                <c:ptCount val="11"/>
                <c:pt idx="0">
                  <c:v>247</c:v>
                </c:pt>
                <c:pt idx="1">
                  <c:v>247.35</c:v>
                </c:pt>
                <c:pt idx="2">
                  <c:v>721</c:v>
                </c:pt>
                <c:pt idx="3">
                  <c:v>1051</c:v>
                </c:pt>
                <c:pt idx="4">
                  <c:v>2040.8008749999999</c:v>
                </c:pt>
                <c:pt idx="5">
                  <c:v>3540.40715</c:v>
                </c:pt>
                <c:pt idx="6">
                  <c:v>4332.4318249999997</c:v>
                </c:pt>
                <c:pt idx="7">
                  <c:v>5212.3186999999998</c:v>
                </c:pt>
                <c:pt idx="8">
                  <c:v>5427.3997300000001</c:v>
                </c:pt>
                <c:pt idx="9">
                  <c:v>5487.9247299999997</c:v>
                </c:pt>
                <c:pt idx="10">
                  <c:v>5613.60923</c:v>
                </c:pt>
              </c:numCache>
            </c:numRef>
          </c:val>
          <c:extLst>
            <c:ext xmlns:c16="http://schemas.microsoft.com/office/drawing/2014/chart" uri="{C3380CC4-5D6E-409C-BE32-E72D297353CC}">
              <c16:uniqueId val="{00000000-F1D9-4617-B6C7-273382C41E62}"/>
            </c:ext>
          </c:extLst>
        </c:ser>
        <c:ser>
          <c:idx val="1"/>
          <c:order val="1"/>
          <c:tx>
            <c:strRef>
              <c:f>'Global Capacity Data'!$A$44</c:f>
              <c:strCache>
                <c:ptCount val="1"/>
                <c:pt idx="0">
                  <c:v>ATJ</c:v>
                </c:pt>
              </c:strCache>
            </c:strRef>
          </c:tx>
          <c:spPr>
            <a:solidFill>
              <a:srgbClr val="3C91CF"/>
            </a:solidFill>
            <a:ln w="9525">
              <a:solidFill>
                <a:sysClr val="windowText" lastClr="000000"/>
              </a:solidFill>
            </a:ln>
            <a:effectLst/>
          </c:spPr>
          <c:cat>
            <c:strRef>
              <c:f>'Global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'Global Capacity Data'!$B$14:$L$14</c:f>
              <c:numCache>
                <c:formatCode>#,##0_);[Red]\(#,##0\)</c:formatCode>
                <c:ptCount val="11"/>
                <c:pt idx="0">
                  <c:v>3.0001000000000002</c:v>
                </c:pt>
                <c:pt idx="1">
                  <c:v>3.0001000000000002</c:v>
                </c:pt>
                <c:pt idx="2">
                  <c:v>3.0001000000000002</c:v>
                </c:pt>
                <c:pt idx="3">
                  <c:v>3.0001000000000002</c:v>
                </c:pt>
                <c:pt idx="4">
                  <c:v>12.0001</c:v>
                </c:pt>
                <c:pt idx="5">
                  <c:v>136.20072500000001</c:v>
                </c:pt>
                <c:pt idx="6">
                  <c:v>340.89072499999997</c:v>
                </c:pt>
                <c:pt idx="7">
                  <c:v>688.75509999999997</c:v>
                </c:pt>
                <c:pt idx="8">
                  <c:v>885.28704999999991</c:v>
                </c:pt>
                <c:pt idx="9">
                  <c:v>924.74464999999987</c:v>
                </c:pt>
                <c:pt idx="10">
                  <c:v>1073.2529</c:v>
                </c:pt>
              </c:numCache>
            </c:numRef>
          </c:val>
          <c:extLst>
            <c:ext xmlns:c16="http://schemas.microsoft.com/office/drawing/2014/chart" uri="{C3380CC4-5D6E-409C-BE32-E72D297353CC}">
              <c16:uniqueId val="{00000001-F1D9-4617-B6C7-273382C41E62}"/>
            </c:ext>
          </c:extLst>
        </c:ser>
        <c:ser>
          <c:idx val="2"/>
          <c:order val="2"/>
          <c:tx>
            <c:strRef>
              <c:f>'Global Capacity Data'!$A$45</c:f>
              <c:strCache>
                <c:ptCount val="1"/>
                <c:pt idx="0">
                  <c:v>FT</c:v>
                </c:pt>
              </c:strCache>
            </c:strRef>
          </c:tx>
          <c:spPr>
            <a:solidFill>
              <a:srgbClr val="CFB93C"/>
            </a:solidFill>
            <a:ln w="9525">
              <a:solidFill>
                <a:sysClr val="windowText" lastClr="000000"/>
              </a:solidFill>
            </a:ln>
            <a:effectLst/>
          </c:spPr>
          <c:cat>
            <c:strRef>
              <c:f>'Global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'Global Capacity Data'!$B$15:$L$15</c:f>
              <c:numCache>
                <c:formatCode>#,##0_);[Red]\(#,##0\)</c:formatCode>
                <c:ptCount val="11"/>
                <c:pt idx="0">
                  <c:v>0</c:v>
                </c:pt>
                <c:pt idx="1">
                  <c:v>0</c:v>
                </c:pt>
                <c:pt idx="2">
                  <c:v>0</c:v>
                </c:pt>
                <c:pt idx="3">
                  <c:v>0</c:v>
                </c:pt>
                <c:pt idx="4">
                  <c:v>0.25410000000000005</c:v>
                </c:pt>
                <c:pt idx="5">
                  <c:v>80.307500000000005</c:v>
                </c:pt>
                <c:pt idx="6">
                  <c:v>177.26150000000001</c:v>
                </c:pt>
                <c:pt idx="7">
                  <c:v>384.94050000000004</c:v>
                </c:pt>
                <c:pt idx="8">
                  <c:v>460.38800000000003</c:v>
                </c:pt>
                <c:pt idx="9">
                  <c:v>519.88800000000003</c:v>
                </c:pt>
                <c:pt idx="10">
                  <c:v>568.73300000000006</c:v>
                </c:pt>
              </c:numCache>
            </c:numRef>
          </c:val>
          <c:extLst>
            <c:ext xmlns:c16="http://schemas.microsoft.com/office/drawing/2014/chart" uri="{C3380CC4-5D6E-409C-BE32-E72D297353CC}">
              <c16:uniqueId val="{00000002-F1D9-4617-B6C7-273382C41E62}"/>
            </c:ext>
          </c:extLst>
        </c:ser>
        <c:ser>
          <c:idx val="3"/>
          <c:order val="3"/>
          <c:tx>
            <c:strRef>
              <c:f>'Global Capacity Data'!$A$46</c:f>
              <c:strCache>
                <c:ptCount val="1"/>
                <c:pt idx="0">
                  <c:v>PTL</c:v>
                </c:pt>
              </c:strCache>
            </c:strRef>
          </c:tx>
          <c:spPr>
            <a:solidFill>
              <a:srgbClr val="63CF3C"/>
            </a:solidFill>
            <a:ln w="9525">
              <a:solidFill>
                <a:sysClr val="windowText" lastClr="000000"/>
              </a:solidFill>
            </a:ln>
            <a:effectLst/>
          </c:spPr>
          <c:cat>
            <c:strRef>
              <c:f>'Global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'Global Capacity Data'!$B$16:$L$16</c:f>
              <c:numCache>
                <c:formatCode>#,##0_);[Red]\(#,##0\)</c:formatCode>
                <c:ptCount val="11"/>
                <c:pt idx="0">
                  <c:v>0</c:v>
                </c:pt>
                <c:pt idx="1">
                  <c:v>6.6E-3</c:v>
                </c:pt>
                <c:pt idx="2">
                  <c:v>7.3599999999999999E-2</c:v>
                </c:pt>
                <c:pt idx="3">
                  <c:v>7.3599999999999999E-2</c:v>
                </c:pt>
                <c:pt idx="4">
                  <c:v>0.93611269896523752</c:v>
                </c:pt>
                <c:pt idx="5">
                  <c:v>1.8221751989652375</c:v>
                </c:pt>
                <c:pt idx="6">
                  <c:v>48.53812519896524</c:v>
                </c:pt>
                <c:pt idx="7">
                  <c:v>93.538125198965247</c:v>
                </c:pt>
                <c:pt idx="8">
                  <c:v>198.32212519896524</c:v>
                </c:pt>
                <c:pt idx="9">
                  <c:v>219.96702519896525</c:v>
                </c:pt>
                <c:pt idx="10">
                  <c:v>352.68890519896524</c:v>
                </c:pt>
              </c:numCache>
            </c:numRef>
          </c:val>
          <c:extLst>
            <c:ext xmlns:c16="http://schemas.microsoft.com/office/drawing/2014/chart" uri="{C3380CC4-5D6E-409C-BE32-E72D297353CC}">
              <c16:uniqueId val="{00000003-F1D9-4617-B6C7-273382C41E62}"/>
            </c:ext>
          </c:extLst>
        </c:ser>
        <c:ser>
          <c:idx val="4"/>
          <c:order val="4"/>
          <c:tx>
            <c:strRef>
              <c:f>'Global Capacity Data'!$A$47</c:f>
              <c:strCache>
                <c:ptCount val="1"/>
                <c:pt idx="0">
                  <c:v>Pyrolysis</c:v>
                </c:pt>
              </c:strCache>
            </c:strRef>
          </c:tx>
          <c:spPr>
            <a:solidFill>
              <a:srgbClr val="CF883C"/>
            </a:solidFill>
            <a:ln w="9525">
              <a:solidFill>
                <a:sysClr val="windowText" lastClr="000000"/>
              </a:solidFill>
            </a:ln>
            <a:effectLst/>
          </c:spPr>
          <c:cat>
            <c:strRef>
              <c:f>'Global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'Global Capacity Data'!$B$17:$L$17</c:f>
              <c:numCache>
                <c:formatCode>#,##0_);[Red]\(#,##0\)</c:formatCode>
                <c:ptCount val="11"/>
                <c:pt idx="0">
                  <c:v>0</c:v>
                </c:pt>
                <c:pt idx="1">
                  <c:v>0</c:v>
                </c:pt>
                <c:pt idx="2">
                  <c:v>0</c:v>
                </c:pt>
                <c:pt idx="3">
                  <c:v>0</c:v>
                </c:pt>
                <c:pt idx="4">
                  <c:v>0</c:v>
                </c:pt>
                <c:pt idx="5">
                  <c:v>5</c:v>
                </c:pt>
                <c:pt idx="6">
                  <c:v>5.286225</c:v>
                </c:pt>
                <c:pt idx="7">
                  <c:v>5.286225</c:v>
                </c:pt>
                <c:pt idx="8">
                  <c:v>5.286225</c:v>
                </c:pt>
                <c:pt idx="9">
                  <c:v>5.286225</c:v>
                </c:pt>
                <c:pt idx="10">
                  <c:v>5.286225</c:v>
                </c:pt>
              </c:numCache>
            </c:numRef>
          </c:val>
          <c:extLst>
            <c:ext xmlns:c16="http://schemas.microsoft.com/office/drawing/2014/chart" uri="{C3380CC4-5D6E-409C-BE32-E72D297353CC}">
              <c16:uniqueId val="{00000004-F1D9-4617-B6C7-273382C41E62}"/>
            </c:ext>
          </c:extLst>
        </c:ser>
        <c:ser>
          <c:idx val="5"/>
          <c:order val="5"/>
          <c:tx>
            <c:strRef>
              <c:f>'Global Capacity Data'!$A$48</c:f>
              <c:strCache>
                <c:ptCount val="1"/>
                <c:pt idx="0">
                  <c:v>Co-Processing</c:v>
                </c:pt>
              </c:strCache>
            </c:strRef>
          </c:tx>
          <c:spPr>
            <a:solidFill>
              <a:srgbClr val="8C8C8C"/>
            </a:solidFill>
            <a:ln w="9525">
              <a:solidFill>
                <a:sysClr val="windowText" lastClr="000000"/>
              </a:solidFill>
            </a:ln>
            <a:effectLst/>
          </c:spPr>
          <c:cat>
            <c:strRef>
              <c:f>'Global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'Global Capacity Data'!$B$18:$L$18</c:f>
              <c:numCache>
                <c:formatCode>#,##0_);[Red]\(#,##0\)</c:formatCode>
                <c:ptCount val="11"/>
                <c:pt idx="0">
                  <c:v>15.33</c:v>
                </c:pt>
                <c:pt idx="1">
                  <c:v>119.49</c:v>
                </c:pt>
                <c:pt idx="2">
                  <c:v>368.66447499999998</c:v>
                </c:pt>
                <c:pt idx="3">
                  <c:v>379.66447499999998</c:v>
                </c:pt>
                <c:pt idx="4">
                  <c:v>453.69884999999999</c:v>
                </c:pt>
                <c:pt idx="5">
                  <c:v>471.36385000000001</c:v>
                </c:pt>
                <c:pt idx="6">
                  <c:v>490.57960000000003</c:v>
                </c:pt>
                <c:pt idx="7">
                  <c:v>508.95460000000003</c:v>
                </c:pt>
                <c:pt idx="8">
                  <c:v>546.18444999999997</c:v>
                </c:pt>
                <c:pt idx="9">
                  <c:v>602.00945000000002</c:v>
                </c:pt>
                <c:pt idx="10">
                  <c:v>602.00945000000002</c:v>
                </c:pt>
              </c:numCache>
            </c:numRef>
          </c:val>
          <c:extLst>
            <c:ext xmlns:c16="http://schemas.microsoft.com/office/drawing/2014/chart" uri="{C3380CC4-5D6E-409C-BE32-E72D297353CC}">
              <c16:uniqueId val="{00000005-F1D9-4617-B6C7-273382C41E62}"/>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a:t>million gallons</a:t>
                </a:r>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84700962379702527"/>
          <c:y val="6.0867235345581784E-2"/>
          <c:w val="0.15299037620297462"/>
          <c:h val="0.80024387576552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solidFill>
                  <a:schemeClr val="tx1"/>
                </a:solidFill>
              </a:rPr>
              <a:t>Added SAF Demand Not Overwhelming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US"/>
        </a:p>
      </c:txPr>
    </c:title>
    <c:autoTitleDeleted val="0"/>
    <c:plotArea>
      <c:layout>
        <c:manualLayout>
          <c:layoutTarget val="inner"/>
          <c:xMode val="edge"/>
          <c:yMode val="edge"/>
          <c:x val="0.14031955380577427"/>
          <c:y val="0.13962962962962963"/>
          <c:w val="0.70412489063867012"/>
          <c:h val="0.65700167687372413"/>
        </c:manualLayout>
      </c:layout>
      <c:barChart>
        <c:barDir val="col"/>
        <c:grouping val="stacked"/>
        <c:varyColors val="0"/>
        <c:ser>
          <c:idx val="0"/>
          <c:order val="0"/>
          <c:tx>
            <c:strRef>
              <c:f>'NAm Capacity Data'!$A$62</c:f>
              <c:strCache>
                <c:ptCount val="1"/>
                <c:pt idx="0">
                  <c:v>FOGs</c:v>
                </c:pt>
              </c:strCache>
            </c:strRef>
          </c:tx>
          <c:spPr>
            <a:solidFill>
              <a:srgbClr val="CF3C53"/>
            </a:solidFill>
            <a:ln>
              <a:solidFill>
                <a:schemeClr val="tx1"/>
              </a:solidFill>
            </a:ln>
            <a:effectLst/>
          </c:spPr>
          <c:invertIfNegative val="0"/>
          <c:dLbls>
            <c:dLbl>
              <c:idx val="0"/>
              <c:layout>
                <c:manualLayout>
                  <c:x val="0"/>
                  <c:y val="-9.4150991542723911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A7-4F87-98B7-741F806A3435}"/>
                </c:ext>
              </c:extLst>
            </c:dLbl>
            <c:dLbl>
              <c:idx val="1"/>
              <c:layout>
                <c:manualLayout>
                  <c:x val="0"/>
                  <c:y val="-9.9974846894138228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A7-4F87-98B7-741F806A3435}"/>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Brown" pitchFamily="2"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Data'!$B$62:$Q$62</c:f>
              <c:numCache>
                <c:formatCode>#,##0_);[Red]\(#,##0\)</c:formatCode>
                <c:ptCount val="16"/>
                <c:pt idx="0">
                  <c:v>82</c:v>
                </c:pt>
                <c:pt idx="1">
                  <c:v>446.7</c:v>
                </c:pt>
                <c:pt idx="2">
                  <c:v>546.70000000000005</c:v>
                </c:pt>
                <c:pt idx="3">
                  <c:v>546.70000000000005</c:v>
                </c:pt>
                <c:pt idx="4">
                  <c:v>1420.02</c:v>
                </c:pt>
                <c:pt idx="5">
                  <c:v>1643.346</c:v>
                </c:pt>
                <c:pt idx="6">
                  <c:v>2216.1459999999997</c:v>
                </c:pt>
                <c:pt idx="7">
                  <c:v>3654.1459999999997</c:v>
                </c:pt>
                <c:pt idx="8">
                  <c:v>3736.6459999999997</c:v>
                </c:pt>
                <c:pt idx="9">
                  <c:v>3807.6459999999997</c:v>
                </c:pt>
                <c:pt idx="10">
                  <c:v>3857.6459999999997</c:v>
                </c:pt>
                <c:pt idx="11">
                  <c:v>3857.6459999999997</c:v>
                </c:pt>
                <c:pt idx="12">
                  <c:v>3857.6459999999997</c:v>
                </c:pt>
                <c:pt idx="13">
                  <c:v>3857.6459999999997</c:v>
                </c:pt>
                <c:pt idx="14">
                  <c:v>3857.6459999999997</c:v>
                </c:pt>
                <c:pt idx="15">
                  <c:v>3857.6459999999997</c:v>
                </c:pt>
              </c:numCache>
            </c:numRef>
          </c:val>
          <c:extLst>
            <c:ext xmlns:c16="http://schemas.microsoft.com/office/drawing/2014/chart" uri="{C3380CC4-5D6E-409C-BE32-E72D297353CC}">
              <c16:uniqueId val="{00000002-CFA7-4F87-98B7-741F806A3435}"/>
            </c:ext>
          </c:extLst>
        </c:ser>
        <c:ser>
          <c:idx val="1"/>
          <c:order val="1"/>
          <c:tx>
            <c:strRef>
              <c:f>'NAm Capacity Data'!$A$63</c:f>
              <c:strCache>
                <c:ptCount val="1"/>
                <c:pt idx="0">
                  <c:v>Ethanol</c:v>
                </c:pt>
              </c:strCache>
            </c:strRef>
          </c:tx>
          <c:spPr>
            <a:solidFill>
              <a:srgbClr val="3C91CF"/>
            </a:solidFill>
            <a:ln>
              <a:solidFill>
                <a:schemeClr val="tx1"/>
              </a:solidFill>
            </a:ln>
            <a:effectLst/>
          </c:spPr>
          <c:invertIfNegative val="0"/>
          <c:cat>
            <c:strRef>
              <c:f>'NAm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Data'!$B$63:$Q$63</c:f>
              <c:numCache>
                <c:formatCode>#,##0_);[Red]\(#,##0\)</c:formatCode>
                <c:ptCount val="16"/>
                <c:pt idx="0">
                  <c:v>60.1</c:v>
                </c:pt>
                <c:pt idx="1">
                  <c:v>60.1</c:v>
                </c:pt>
                <c:pt idx="2">
                  <c:v>60.1</c:v>
                </c:pt>
                <c:pt idx="3">
                  <c:v>60.1</c:v>
                </c:pt>
                <c:pt idx="4">
                  <c:v>69.099999999999994</c:v>
                </c:pt>
                <c:pt idx="5">
                  <c:v>72.191249999999997</c:v>
                </c:pt>
                <c:pt idx="6">
                  <c:v>278.19124999999997</c:v>
                </c:pt>
                <c:pt idx="7">
                  <c:v>768.19124999999997</c:v>
                </c:pt>
                <c:pt idx="8">
                  <c:v>963.19124999999997</c:v>
                </c:pt>
                <c:pt idx="9">
                  <c:v>993.19124999999997</c:v>
                </c:pt>
                <c:pt idx="10">
                  <c:v>993.19124999999997</c:v>
                </c:pt>
                <c:pt idx="11">
                  <c:v>1061.23125</c:v>
                </c:pt>
                <c:pt idx="12">
                  <c:v>1061.23125</c:v>
                </c:pt>
                <c:pt idx="13">
                  <c:v>1061.23125</c:v>
                </c:pt>
                <c:pt idx="14">
                  <c:v>1061.23125</c:v>
                </c:pt>
                <c:pt idx="15">
                  <c:v>1061.23125</c:v>
                </c:pt>
              </c:numCache>
            </c:numRef>
          </c:val>
          <c:extLst>
            <c:ext xmlns:c16="http://schemas.microsoft.com/office/drawing/2014/chart" uri="{C3380CC4-5D6E-409C-BE32-E72D297353CC}">
              <c16:uniqueId val="{00000003-CFA7-4F87-98B7-741F806A3435}"/>
            </c:ext>
          </c:extLst>
        </c:ser>
        <c:ser>
          <c:idx val="2"/>
          <c:order val="2"/>
          <c:tx>
            <c:strRef>
              <c:f>'NAm Capacity Data'!$A$64</c:f>
              <c:strCache>
                <c:ptCount val="1"/>
                <c:pt idx="0">
                  <c:v>Woody Biomass</c:v>
                </c:pt>
              </c:strCache>
            </c:strRef>
          </c:tx>
          <c:spPr>
            <a:solidFill>
              <a:srgbClr val="CFB93C"/>
            </a:solidFill>
            <a:ln>
              <a:solidFill>
                <a:schemeClr val="tx1"/>
              </a:solidFill>
            </a:ln>
            <a:effectLst/>
          </c:spPr>
          <c:invertIfNegative val="0"/>
          <c:cat>
            <c:strRef>
              <c:f>'NAm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Data'!$B$64:$Q$64</c:f>
              <c:numCache>
                <c:formatCode>#,##0_);[Red]\(#,##0\)</c:formatCode>
                <c:ptCount val="16"/>
                <c:pt idx="0">
                  <c:v>0</c:v>
                </c:pt>
                <c:pt idx="1">
                  <c:v>0</c:v>
                </c:pt>
                <c:pt idx="2">
                  <c:v>0</c:v>
                </c:pt>
                <c:pt idx="3">
                  <c:v>0</c:v>
                </c:pt>
                <c:pt idx="4">
                  <c:v>0</c:v>
                </c:pt>
                <c:pt idx="5">
                  <c:v>88</c:v>
                </c:pt>
                <c:pt idx="6">
                  <c:v>89</c:v>
                </c:pt>
                <c:pt idx="7">
                  <c:v>123</c:v>
                </c:pt>
                <c:pt idx="8">
                  <c:v>240.3</c:v>
                </c:pt>
                <c:pt idx="9">
                  <c:v>240.3</c:v>
                </c:pt>
                <c:pt idx="10">
                  <c:v>289.8</c:v>
                </c:pt>
                <c:pt idx="11">
                  <c:v>289.8</c:v>
                </c:pt>
                <c:pt idx="12">
                  <c:v>289.8</c:v>
                </c:pt>
                <c:pt idx="13">
                  <c:v>289.8</c:v>
                </c:pt>
                <c:pt idx="14">
                  <c:v>289.8</c:v>
                </c:pt>
                <c:pt idx="15">
                  <c:v>289.8</c:v>
                </c:pt>
              </c:numCache>
            </c:numRef>
          </c:val>
          <c:extLst>
            <c:ext xmlns:c16="http://schemas.microsoft.com/office/drawing/2014/chart" uri="{C3380CC4-5D6E-409C-BE32-E72D297353CC}">
              <c16:uniqueId val="{00000004-CFA7-4F87-98B7-741F806A3435}"/>
            </c:ext>
          </c:extLst>
        </c:ser>
        <c:ser>
          <c:idx val="3"/>
          <c:order val="3"/>
          <c:tx>
            <c:strRef>
              <c:f>'NAm Capacity Data'!$A$65</c:f>
              <c:strCache>
                <c:ptCount val="1"/>
                <c:pt idx="0">
                  <c:v>CCS</c:v>
                </c:pt>
              </c:strCache>
            </c:strRef>
          </c:tx>
          <c:spPr>
            <a:solidFill>
              <a:srgbClr val="63CF3C"/>
            </a:solidFill>
            <a:ln>
              <a:solidFill>
                <a:schemeClr val="tx1"/>
              </a:solidFill>
            </a:ln>
            <a:effectLst/>
          </c:spPr>
          <c:invertIfNegative val="0"/>
          <c:cat>
            <c:strRef>
              <c:f>'NAm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Data'!$B$65:$Q$65</c:f>
              <c:numCache>
                <c:formatCode>#,##0_);[Red]\(#,##0\)</c:formatCode>
                <c:ptCount val="16"/>
                <c:pt idx="0">
                  <c:v>0</c:v>
                </c:pt>
                <c:pt idx="1">
                  <c:v>0</c:v>
                </c:pt>
                <c:pt idx="2">
                  <c:v>1E-3</c:v>
                </c:pt>
                <c:pt idx="3">
                  <c:v>1E-3</c:v>
                </c:pt>
                <c:pt idx="4">
                  <c:v>0.39725826528698338</c:v>
                </c:pt>
                <c:pt idx="5">
                  <c:v>0.46182076528698335</c:v>
                </c:pt>
                <c:pt idx="6">
                  <c:v>5.4618207652869835</c:v>
                </c:pt>
                <c:pt idx="7">
                  <c:v>5.4618207652869835</c:v>
                </c:pt>
                <c:pt idx="8">
                  <c:v>36.661820765286983</c:v>
                </c:pt>
                <c:pt idx="9">
                  <c:v>66.66182076528699</c:v>
                </c:pt>
                <c:pt idx="10">
                  <c:v>149.66182076528699</c:v>
                </c:pt>
                <c:pt idx="11">
                  <c:v>149.66182076528699</c:v>
                </c:pt>
                <c:pt idx="12">
                  <c:v>149.66182076528699</c:v>
                </c:pt>
                <c:pt idx="13">
                  <c:v>149.66182076528699</c:v>
                </c:pt>
                <c:pt idx="14">
                  <c:v>149.66182076528699</c:v>
                </c:pt>
                <c:pt idx="15">
                  <c:v>149.66182076528699</c:v>
                </c:pt>
              </c:numCache>
            </c:numRef>
          </c:val>
          <c:extLst>
            <c:ext xmlns:c16="http://schemas.microsoft.com/office/drawing/2014/chart" uri="{C3380CC4-5D6E-409C-BE32-E72D297353CC}">
              <c16:uniqueId val="{00000005-CFA7-4F87-98B7-741F806A3435}"/>
            </c:ext>
          </c:extLst>
        </c:ser>
        <c:ser>
          <c:idx val="4"/>
          <c:order val="4"/>
          <c:tx>
            <c:strRef>
              <c:f>'NAm Capacity Data'!$A$66</c:f>
              <c:strCache>
                <c:ptCount val="1"/>
                <c:pt idx="0">
                  <c:v>MSW</c:v>
                </c:pt>
              </c:strCache>
            </c:strRef>
          </c:tx>
          <c:spPr>
            <a:solidFill>
              <a:srgbClr val="CF883C"/>
            </a:solidFill>
            <a:ln>
              <a:solidFill>
                <a:schemeClr val="tx1"/>
              </a:solidFill>
            </a:ln>
            <a:effectLst/>
          </c:spPr>
          <c:invertIfNegative val="0"/>
          <c:cat>
            <c:strRef>
              <c:f>'NAm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'NAm Capacity Data'!$B$66:$Q$66</c:f>
              <c:numCache>
                <c:formatCode>#,##0_);[Red]\(#,##0\)</c:formatCode>
                <c:ptCount val="16"/>
                <c:pt idx="0">
                  <c:v>0</c:v>
                </c:pt>
                <c:pt idx="1">
                  <c:v>0</c:v>
                </c:pt>
                <c:pt idx="2">
                  <c:v>0</c:v>
                </c:pt>
                <c:pt idx="3">
                  <c:v>0</c:v>
                </c:pt>
                <c:pt idx="4">
                  <c:v>0</c:v>
                </c:pt>
                <c:pt idx="5">
                  <c:v>3.5999999999999997E-2</c:v>
                </c:pt>
                <c:pt idx="6">
                  <c:v>3.5999999999999997E-2</c:v>
                </c:pt>
                <c:pt idx="7">
                  <c:v>377.536</c:v>
                </c:pt>
                <c:pt idx="8">
                  <c:v>377.536</c:v>
                </c:pt>
                <c:pt idx="9">
                  <c:v>496.536</c:v>
                </c:pt>
                <c:pt idx="10">
                  <c:v>496.536</c:v>
                </c:pt>
                <c:pt idx="11">
                  <c:v>496.536</c:v>
                </c:pt>
                <c:pt idx="12">
                  <c:v>496.536</c:v>
                </c:pt>
                <c:pt idx="13">
                  <c:v>496.536</c:v>
                </c:pt>
                <c:pt idx="14">
                  <c:v>496.536</c:v>
                </c:pt>
                <c:pt idx="15">
                  <c:v>496.536</c:v>
                </c:pt>
              </c:numCache>
            </c:numRef>
          </c:val>
          <c:extLst>
            <c:ext xmlns:c16="http://schemas.microsoft.com/office/drawing/2014/chart" uri="{C3380CC4-5D6E-409C-BE32-E72D297353CC}">
              <c16:uniqueId val="{00000006-CFA7-4F87-98B7-741F806A3435}"/>
            </c:ext>
          </c:extLst>
        </c:ser>
        <c:dLbls>
          <c:showLegendKey val="0"/>
          <c:showVal val="0"/>
          <c:showCatName val="0"/>
          <c:showSerName val="0"/>
          <c:showPercent val="0"/>
          <c:showBubbleSize val="0"/>
        </c:dLbls>
        <c:gapWidth val="25"/>
        <c:overlap val="100"/>
        <c:axId val="1065161327"/>
        <c:axId val="1065157007"/>
      </c:barChart>
      <c:catAx>
        <c:axId val="1065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57007"/>
        <c:crosses val="autoZero"/>
        <c:auto val="1"/>
        <c:lblAlgn val="ctr"/>
        <c:lblOffset val="100"/>
        <c:noMultiLvlLbl val="0"/>
      </c:catAx>
      <c:valAx>
        <c:axId val="10651570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r>
                  <a:rPr lang="en-GB" sz="800"/>
                  <a:t>million</a:t>
                </a:r>
                <a:r>
                  <a:rPr lang="en-GB" sz="800" baseline="0"/>
                  <a:t> pounds</a:t>
                </a:r>
                <a:endParaRPr lang="en-GB"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61327"/>
        <c:crosses val="autoZero"/>
        <c:crossBetween val="between"/>
      </c:valAx>
      <c:spPr>
        <a:noFill/>
        <a:ln w="22225">
          <a:solidFill>
            <a:srgbClr val="8C8C8C"/>
          </a:solidFill>
        </a:ln>
        <a:effectLst/>
      </c:spPr>
    </c:plotArea>
    <c:legend>
      <c:legendPos val="b"/>
      <c:layout>
        <c:manualLayout>
          <c:xMode val="edge"/>
          <c:yMode val="edge"/>
          <c:x val="0.81120188101487334"/>
          <c:y val="0.18464093030037912"/>
          <c:w val="0.18592935258092741"/>
          <c:h val="0.64869240303295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Brown" pitchFamily="2"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009733158355205"/>
          <c:y val="3.3148148148148135E-2"/>
          <c:w val="0.68443744531933504"/>
          <c:h val="0.77475612423447071"/>
        </c:manualLayout>
      </c:layout>
      <c:areaChart>
        <c:grouping val="stacked"/>
        <c:varyColors val="0"/>
        <c:ser>
          <c:idx val="0"/>
          <c:order val="0"/>
          <c:tx>
            <c:strRef>
              <c:f>'NAm Capacity Data'!$A$43</c:f>
              <c:strCache>
                <c:ptCount val="1"/>
                <c:pt idx="0">
                  <c:v>HEFA</c:v>
                </c:pt>
              </c:strCache>
            </c:strRef>
          </c:tx>
          <c:spPr>
            <a:solidFill>
              <a:srgbClr val="CF3C53"/>
            </a:solidFill>
            <a:ln w="9525">
              <a:solidFill>
                <a:sysClr val="windowText" lastClr="000000"/>
              </a:solidFill>
            </a:ln>
            <a:effectLst/>
          </c:spPr>
          <c:cat>
            <c:strRef>
              <c:f>'NAm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'NAm Capacity Data'!$B$13:$L$13</c:f>
              <c:numCache>
                <c:formatCode>#,##0_);[Red]\(#,##0\)</c:formatCode>
                <c:ptCount val="11"/>
                <c:pt idx="0">
                  <c:v>82</c:v>
                </c:pt>
                <c:pt idx="1">
                  <c:v>82.35</c:v>
                </c:pt>
                <c:pt idx="2">
                  <c:v>482.35</c:v>
                </c:pt>
                <c:pt idx="3">
                  <c:v>482.35</c:v>
                </c:pt>
                <c:pt idx="4">
                  <c:v>1310.2249999999999</c:v>
                </c:pt>
                <c:pt idx="5">
                  <c:v>1720.0308</c:v>
                </c:pt>
                <c:pt idx="6">
                  <c:v>2109.7708000000002</c:v>
                </c:pt>
                <c:pt idx="7">
                  <c:v>2788.6458000000002</c:v>
                </c:pt>
                <c:pt idx="8">
                  <c:v>2799.2708000000002</c:v>
                </c:pt>
                <c:pt idx="9">
                  <c:v>2834.7708000000002</c:v>
                </c:pt>
                <c:pt idx="10">
                  <c:v>2839.7708000000002</c:v>
                </c:pt>
              </c:numCache>
            </c:numRef>
          </c:val>
          <c:extLst>
            <c:ext xmlns:c16="http://schemas.microsoft.com/office/drawing/2014/chart" uri="{C3380CC4-5D6E-409C-BE32-E72D297353CC}">
              <c16:uniqueId val="{00000000-40B9-40F6-A77F-B8C191ADEAD2}"/>
            </c:ext>
          </c:extLst>
        </c:ser>
        <c:ser>
          <c:idx val="1"/>
          <c:order val="1"/>
          <c:tx>
            <c:strRef>
              <c:f>'NAm Capacity Data'!$A$44</c:f>
              <c:strCache>
                <c:ptCount val="1"/>
                <c:pt idx="0">
                  <c:v>ATJ</c:v>
                </c:pt>
              </c:strCache>
            </c:strRef>
          </c:tx>
          <c:spPr>
            <a:solidFill>
              <a:srgbClr val="3C91CF"/>
            </a:solidFill>
            <a:ln w="9525">
              <a:solidFill>
                <a:sysClr val="windowText" lastClr="000000"/>
              </a:solidFill>
            </a:ln>
            <a:effectLst/>
          </c:spPr>
          <c:cat>
            <c:strRef>
              <c:f>'NAm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'NAm Capacity Data'!$B$14:$L$14</c:f>
              <c:numCache>
                <c:formatCode>#,##0_);[Red]\(#,##0\)</c:formatCode>
                <c:ptCount val="11"/>
                <c:pt idx="0">
                  <c:v>3.0001000000000002</c:v>
                </c:pt>
                <c:pt idx="1">
                  <c:v>3.0001000000000002</c:v>
                </c:pt>
                <c:pt idx="2">
                  <c:v>3.0001000000000002</c:v>
                </c:pt>
                <c:pt idx="3">
                  <c:v>3.0001000000000002</c:v>
                </c:pt>
                <c:pt idx="4">
                  <c:v>12.0001</c:v>
                </c:pt>
                <c:pt idx="5">
                  <c:v>63.545725000000004</c:v>
                </c:pt>
                <c:pt idx="6">
                  <c:v>236.045725</c:v>
                </c:pt>
                <c:pt idx="7">
                  <c:v>481.045725</c:v>
                </c:pt>
                <c:pt idx="8">
                  <c:v>597.29572499999995</c:v>
                </c:pt>
                <c:pt idx="9">
                  <c:v>604.79572499999995</c:v>
                </c:pt>
                <c:pt idx="10">
                  <c:v>604.79572499999995</c:v>
                </c:pt>
              </c:numCache>
            </c:numRef>
          </c:val>
          <c:extLst>
            <c:ext xmlns:c16="http://schemas.microsoft.com/office/drawing/2014/chart" uri="{C3380CC4-5D6E-409C-BE32-E72D297353CC}">
              <c16:uniqueId val="{00000001-40B9-40F6-A77F-B8C191ADEAD2}"/>
            </c:ext>
          </c:extLst>
        </c:ser>
        <c:ser>
          <c:idx val="2"/>
          <c:order val="2"/>
          <c:tx>
            <c:strRef>
              <c:f>'NAm Capacity Data'!$A$45</c:f>
              <c:strCache>
                <c:ptCount val="1"/>
                <c:pt idx="0">
                  <c:v>FT</c:v>
                </c:pt>
              </c:strCache>
            </c:strRef>
          </c:tx>
          <c:spPr>
            <a:solidFill>
              <a:srgbClr val="CFB93C"/>
            </a:solidFill>
            <a:ln w="9525">
              <a:solidFill>
                <a:sysClr val="windowText" lastClr="000000"/>
              </a:solidFill>
            </a:ln>
            <a:effectLst/>
          </c:spPr>
          <c:cat>
            <c:strRef>
              <c:f>'NAm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'NAm Capacity Data'!$B$15:$L$15</c:f>
              <c:numCache>
                <c:formatCode>#,##0_);[Red]\(#,##0\)</c:formatCode>
                <c:ptCount val="11"/>
                <c:pt idx="0">
                  <c:v>0</c:v>
                </c:pt>
                <c:pt idx="1">
                  <c:v>0</c:v>
                </c:pt>
                <c:pt idx="2">
                  <c:v>0</c:v>
                </c:pt>
                <c:pt idx="3">
                  <c:v>0</c:v>
                </c:pt>
                <c:pt idx="4">
                  <c:v>0</c:v>
                </c:pt>
                <c:pt idx="5">
                  <c:v>39.018000000000001</c:v>
                </c:pt>
                <c:pt idx="6">
                  <c:v>39.018000000000001</c:v>
                </c:pt>
                <c:pt idx="7">
                  <c:v>222.93299999999999</c:v>
                </c:pt>
                <c:pt idx="8">
                  <c:v>244.26299999999998</c:v>
                </c:pt>
                <c:pt idx="9">
                  <c:v>303.76299999999998</c:v>
                </c:pt>
                <c:pt idx="10">
                  <c:v>328.51299999999998</c:v>
                </c:pt>
              </c:numCache>
            </c:numRef>
          </c:val>
          <c:extLst>
            <c:ext xmlns:c16="http://schemas.microsoft.com/office/drawing/2014/chart" uri="{C3380CC4-5D6E-409C-BE32-E72D297353CC}">
              <c16:uniqueId val="{00000002-40B9-40F6-A77F-B8C191ADEAD2}"/>
            </c:ext>
          </c:extLst>
        </c:ser>
        <c:ser>
          <c:idx val="3"/>
          <c:order val="3"/>
          <c:tx>
            <c:strRef>
              <c:f>'NAm Capacity Data'!$A$46</c:f>
              <c:strCache>
                <c:ptCount val="1"/>
                <c:pt idx="0">
                  <c:v>PTL</c:v>
                </c:pt>
              </c:strCache>
            </c:strRef>
          </c:tx>
          <c:spPr>
            <a:solidFill>
              <a:srgbClr val="63CF3C"/>
            </a:solidFill>
            <a:ln w="9525">
              <a:solidFill>
                <a:sysClr val="windowText" lastClr="000000"/>
              </a:solidFill>
            </a:ln>
            <a:effectLst/>
          </c:spPr>
          <c:cat>
            <c:strRef>
              <c:f>'NAm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'NAm Capacity Data'!$B$16:$L$16</c:f>
              <c:numCache>
                <c:formatCode>#,##0_);[Red]\(#,##0\)</c:formatCode>
                <c:ptCount val="11"/>
                <c:pt idx="0">
                  <c:v>0</c:v>
                </c:pt>
                <c:pt idx="1">
                  <c:v>0</c:v>
                </c:pt>
                <c:pt idx="2">
                  <c:v>1E-3</c:v>
                </c:pt>
                <c:pt idx="3">
                  <c:v>1E-3</c:v>
                </c:pt>
                <c:pt idx="4">
                  <c:v>0.29819369896523751</c:v>
                </c:pt>
                <c:pt idx="5">
                  <c:v>0.34275619896523751</c:v>
                </c:pt>
                <c:pt idx="6">
                  <c:v>3.0927561989652377</c:v>
                </c:pt>
                <c:pt idx="7">
                  <c:v>3.0927561989652377</c:v>
                </c:pt>
                <c:pt idx="8">
                  <c:v>15.492756198965239</c:v>
                </c:pt>
                <c:pt idx="9">
                  <c:v>22.992756198965239</c:v>
                </c:pt>
                <c:pt idx="10">
                  <c:v>43.742756198965239</c:v>
                </c:pt>
              </c:numCache>
            </c:numRef>
          </c:val>
          <c:extLst>
            <c:ext xmlns:c16="http://schemas.microsoft.com/office/drawing/2014/chart" uri="{C3380CC4-5D6E-409C-BE32-E72D297353CC}">
              <c16:uniqueId val="{00000003-40B9-40F6-A77F-B8C191ADEAD2}"/>
            </c:ext>
          </c:extLst>
        </c:ser>
        <c:ser>
          <c:idx val="4"/>
          <c:order val="4"/>
          <c:tx>
            <c:strRef>
              <c:f>'NAm Capacity Data'!$A$47</c:f>
              <c:strCache>
                <c:ptCount val="1"/>
                <c:pt idx="0">
                  <c:v>Pyrolysis</c:v>
                </c:pt>
              </c:strCache>
            </c:strRef>
          </c:tx>
          <c:spPr>
            <a:solidFill>
              <a:srgbClr val="CF883C"/>
            </a:solidFill>
            <a:ln w="9525">
              <a:solidFill>
                <a:sysClr val="windowText" lastClr="000000"/>
              </a:solidFill>
            </a:ln>
            <a:effectLst/>
          </c:spPr>
          <c:cat>
            <c:strRef>
              <c:f>'NAm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'NAm Capacity Data'!$B$17:$L$17</c:f>
              <c:numCache>
                <c:formatCode>#,##0_);[Red]\(#,##0\)</c:formatCode>
                <c:ptCount val="11"/>
                <c:pt idx="0">
                  <c:v>0</c:v>
                </c:pt>
                <c:pt idx="1">
                  <c:v>0</c:v>
                </c:pt>
                <c:pt idx="2">
                  <c:v>0</c:v>
                </c:pt>
                <c:pt idx="3">
                  <c:v>0</c:v>
                </c:pt>
                <c:pt idx="4">
                  <c:v>0</c:v>
                </c:pt>
                <c:pt idx="5">
                  <c:v>5</c:v>
                </c:pt>
                <c:pt idx="6">
                  <c:v>5.05</c:v>
                </c:pt>
                <c:pt idx="7">
                  <c:v>5.05</c:v>
                </c:pt>
                <c:pt idx="8">
                  <c:v>5.05</c:v>
                </c:pt>
                <c:pt idx="9">
                  <c:v>5.05</c:v>
                </c:pt>
                <c:pt idx="10">
                  <c:v>5.05</c:v>
                </c:pt>
              </c:numCache>
            </c:numRef>
          </c:val>
          <c:extLst>
            <c:ext xmlns:c16="http://schemas.microsoft.com/office/drawing/2014/chart" uri="{C3380CC4-5D6E-409C-BE32-E72D297353CC}">
              <c16:uniqueId val="{00000004-40B9-40F6-A77F-B8C191ADEAD2}"/>
            </c:ext>
          </c:extLst>
        </c:ser>
        <c:ser>
          <c:idx val="5"/>
          <c:order val="5"/>
          <c:tx>
            <c:strRef>
              <c:f>'NAm Capacity Data'!$A$48</c:f>
              <c:strCache>
                <c:ptCount val="1"/>
                <c:pt idx="0">
                  <c:v>Co-Processing</c:v>
                </c:pt>
              </c:strCache>
            </c:strRef>
          </c:tx>
          <c:spPr>
            <a:solidFill>
              <a:srgbClr val="8C8C8C"/>
            </a:solidFill>
            <a:ln w="9525">
              <a:solidFill>
                <a:sysClr val="windowText" lastClr="000000"/>
              </a:solidFill>
            </a:ln>
            <a:effectLst/>
          </c:spPr>
          <c:cat>
            <c:strRef>
              <c:f>'NAm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'NAm Capacity Data'!$B$18:$L$18</c:f>
              <c:numCache>
                <c:formatCode>#,##0_);[Red]\(#,##0\)</c:formatCode>
                <c:ptCount val="11"/>
                <c:pt idx="0">
                  <c:v>0</c:v>
                </c:pt>
                <c:pt idx="1">
                  <c:v>73.5</c:v>
                </c:pt>
                <c:pt idx="2">
                  <c:v>73.5</c:v>
                </c:pt>
                <c:pt idx="3">
                  <c:v>73.5</c:v>
                </c:pt>
                <c:pt idx="4">
                  <c:v>73.819999999999993</c:v>
                </c:pt>
                <c:pt idx="5">
                  <c:v>78.819999999999993</c:v>
                </c:pt>
                <c:pt idx="6">
                  <c:v>78.819999999999993</c:v>
                </c:pt>
                <c:pt idx="7">
                  <c:v>97.194999999999993</c:v>
                </c:pt>
                <c:pt idx="8">
                  <c:v>97.194999999999993</c:v>
                </c:pt>
                <c:pt idx="9">
                  <c:v>97.194999999999993</c:v>
                </c:pt>
                <c:pt idx="10">
                  <c:v>97.194999999999993</c:v>
                </c:pt>
              </c:numCache>
            </c:numRef>
          </c:val>
          <c:extLst>
            <c:ext xmlns:c16="http://schemas.microsoft.com/office/drawing/2014/chart" uri="{C3380CC4-5D6E-409C-BE32-E72D297353CC}">
              <c16:uniqueId val="{00000005-40B9-40F6-A77F-B8C191ADEAD2}"/>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a:t>million gallons</a:t>
                </a:r>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84700962379702527"/>
          <c:y val="6.0867235345581784E-2"/>
          <c:w val="0.15299037620297462"/>
          <c:h val="0.80024387576552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solidFill>
                  <a:schemeClr val="tx1"/>
                </a:solidFill>
              </a:rPr>
              <a:t>Added SAF Demand Not Overwhelming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US"/>
        </a:p>
      </c:txPr>
    </c:title>
    <c:autoTitleDeleted val="0"/>
    <c:plotArea>
      <c:layout>
        <c:manualLayout>
          <c:layoutTarget val="inner"/>
          <c:xMode val="edge"/>
          <c:yMode val="edge"/>
          <c:x val="0.14031955380577427"/>
          <c:y val="0.13962962962962963"/>
          <c:w val="0.70412489063867012"/>
          <c:h val="0.65700167687372413"/>
        </c:manualLayout>
      </c:layout>
      <c:barChart>
        <c:barDir val="col"/>
        <c:grouping val="stacked"/>
        <c:varyColors val="0"/>
        <c:ser>
          <c:idx val="0"/>
          <c:order val="0"/>
          <c:tx>
            <c:strRef>
              <c:f>'SAm Capacity Data'!$A$62</c:f>
              <c:strCache>
                <c:ptCount val="1"/>
                <c:pt idx="0">
                  <c:v>FOGs</c:v>
                </c:pt>
              </c:strCache>
            </c:strRef>
          </c:tx>
          <c:spPr>
            <a:solidFill>
              <a:srgbClr val="CF3C53"/>
            </a:solidFill>
            <a:ln>
              <a:solidFill>
                <a:schemeClr val="tx1"/>
              </a:solidFill>
            </a:ln>
            <a:effectLst/>
          </c:spPr>
          <c:invertIfNegative val="0"/>
          <c:dLbls>
            <c:dLbl>
              <c:idx val="0"/>
              <c:layout>
                <c:manualLayout>
                  <c:x val="0"/>
                  <c:y val="-9.4150991542723911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A9-41C4-ADCA-8DAF71C2B6CC}"/>
                </c:ext>
              </c:extLst>
            </c:dLbl>
            <c:dLbl>
              <c:idx val="1"/>
              <c:layout>
                <c:manualLayout>
                  <c:x val="0"/>
                  <c:y val="-9.9974846894138228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A9-41C4-ADCA-8DAF71C2B6CC}"/>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Brown" pitchFamily="2"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Data'!$B$62:$Q$62</c:f>
              <c:numCache>
                <c:formatCode>#,##0_);[Red]\(#,##0\)</c:formatCode>
                <c:ptCount val="16"/>
                <c:pt idx="0">
                  <c:v>0</c:v>
                </c:pt>
                <c:pt idx="1">
                  <c:v>0</c:v>
                </c:pt>
                <c:pt idx="2">
                  <c:v>0</c:v>
                </c:pt>
                <c:pt idx="3">
                  <c:v>0</c:v>
                </c:pt>
                <c:pt idx="4">
                  <c:v>0</c:v>
                </c:pt>
                <c:pt idx="5">
                  <c:v>147</c:v>
                </c:pt>
                <c:pt idx="6">
                  <c:v>213</c:v>
                </c:pt>
                <c:pt idx="7">
                  <c:v>345</c:v>
                </c:pt>
                <c:pt idx="8">
                  <c:v>474.5385</c:v>
                </c:pt>
                <c:pt idx="9">
                  <c:v>520.0385</c:v>
                </c:pt>
                <c:pt idx="10">
                  <c:v>629.36850000000004</c:v>
                </c:pt>
                <c:pt idx="11">
                  <c:v>629.36850000000004</c:v>
                </c:pt>
                <c:pt idx="12">
                  <c:v>629.36850000000004</c:v>
                </c:pt>
                <c:pt idx="13">
                  <c:v>629.36850000000004</c:v>
                </c:pt>
                <c:pt idx="14">
                  <c:v>629.36850000000004</c:v>
                </c:pt>
                <c:pt idx="15">
                  <c:v>629.36850000000004</c:v>
                </c:pt>
              </c:numCache>
            </c:numRef>
          </c:val>
          <c:extLst>
            <c:ext xmlns:c16="http://schemas.microsoft.com/office/drawing/2014/chart" uri="{C3380CC4-5D6E-409C-BE32-E72D297353CC}">
              <c16:uniqueId val="{00000002-73A9-41C4-ADCA-8DAF71C2B6CC}"/>
            </c:ext>
          </c:extLst>
        </c:ser>
        <c:ser>
          <c:idx val="1"/>
          <c:order val="1"/>
          <c:tx>
            <c:strRef>
              <c:f>'SAm Capacity Data'!$A$63</c:f>
              <c:strCache>
                <c:ptCount val="1"/>
                <c:pt idx="0">
                  <c:v>Ethanol</c:v>
                </c:pt>
              </c:strCache>
            </c:strRef>
          </c:tx>
          <c:spPr>
            <a:solidFill>
              <a:srgbClr val="3C91CF"/>
            </a:solidFill>
            <a:ln>
              <a:solidFill>
                <a:schemeClr val="tx1"/>
              </a:solidFill>
            </a:ln>
            <a:effectLst/>
          </c:spPr>
          <c:invertIfNegative val="0"/>
          <c:cat>
            <c:strRef>
              <c:f>'SAm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Data'!$B$63:$Q$63</c:f>
              <c:numCache>
                <c:formatCode>#,##0_);[Red]\(#,##0\)</c:formatCode>
                <c:ptCount val="16"/>
                <c:pt idx="0">
                  <c:v>0</c:v>
                </c:pt>
                <c:pt idx="1">
                  <c:v>0</c:v>
                </c:pt>
                <c:pt idx="2">
                  <c:v>0</c:v>
                </c:pt>
                <c:pt idx="3">
                  <c:v>0</c:v>
                </c:pt>
                <c:pt idx="4">
                  <c:v>0</c:v>
                </c:pt>
                <c:pt idx="5">
                  <c:v>0</c:v>
                </c:pt>
                <c:pt idx="6">
                  <c:v>0</c:v>
                </c:pt>
                <c:pt idx="7">
                  <c:v>0</c:v>
                </c:pt>
                <c:pt idx="8">
                  <c:v>0</c:v>
                </c:pt>
                <c:pt idx="9">
                  <c:v>0</c:v>
                </c:pt>
                <c:pt idx="10">
                  <c:v>52.05</c:v>
                </c:pt>
                <c:pt idx="11">
                  <c:v>52.05</c:v>
                </c:pt>
                <c:pt idx="12">
                  <c:v>52.05</c:v>
                </c:pt>
                <c:pt idx="13">
                  <c:v>52.05</c:v>
                </c:pt>
                <c:pt idx="14">
                  <c:v>52.05</c:v>
                </c:pt>
                <c:pt idx="15">
                  <c:v>52.05</c:v>
                </c:pt>
              </c:numCache>
            </c:numRef>
          </c:val>
          <c:extLst>
            <c:ext xmlns:c16="http://schemas.microsoft.com/office/drawing/2014/chart" uri="{C3380CC4-5D6E-409C-BE32-E72D297353CC}">
              <c16:uniqueId val="{00000003-73A9-41C4-ADCA-8DAF71C2B6CC}"/>
            </c:ext>
          </c:extLst>
        </c:ser>
        <c:ser>
          <c:idx val="2"/>
          <c:order val="2"/>
          <c:tx>
            <c:strRef>
              <c:f>'SAm Capacity Data'!$A$64</c:f>
              <c:strCache>
                <c:ptCount val="1"/>
                <c:pt idx="0">
                  <c:v>Woody Biomass</c:v>
                </c:pt>
              </c:strCache>
            </c:strRef>
          </c:tx>
          <c:spPr>
            <a:solidFill>
              <a:srgbClr val="CFB93C"/>
            </a:solidFill>
            <a:ln>
              <a:solidFill>
                <a:schemeClr val="tx1"/>
              </a:solidFill>
            </a:ln>
            <a:effectLst/>
          </c:spPr>
          <c:invertIfNegative val="0"/>
          <c:cat>
            <c:strRef>
              <c:f>'SAm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Data'!$B$64:$Q$64</c:f>
              <c:numCache>
                <c:formatCode>#,##0_);[Red]\(#,##0\)</c:formatCode>
                <c:ptCount val="16"/>
                <c:pt idx="0">
                  <c:v>0</c:v>
                </c:pt>
                <c:pt idx="1">
                  <c:v>0</c:v>
                </c:pt>
                <c:pt idx="2">
                  <c:v>0</c:v>
                </c:pt>
                <c:pt idx="3">
                  <c:v>0</c:v>
                </c:pt>
                <c:pt idx="4">
                  <c:v>0</c:v>
                </c:pt>
                <c:pt idx="5">
                  <c:v>7.1999999999999995E-2</c:v>
                </c:pt>
                <c:pt idx="6">
                  <c:v>7.1999999999999995E-2</c:v>
                </c:pt>
                <c:pt idx="7">
                  <c:v>7.1999999999999995E-2</c:v>
                </c:pt>
                <c:pt idx="8">
                  <c:v>7.1999999999999995E-2</c:v>
                </c:pt>
                <c:pt idx="9">
                  <c:v>7.1999999999999995E-2</c:v>
                </c:pt>
                <c:pt idx="10">
                  <c:v>7.1999999999999995E-2</c:v>
                </c:pt>
                <c:pt idx="11">
                  <c:v>7.1999999999999995E-2</c:v>
                </c:pt>
                <c:pt idx="12">
                  <c:v>7.1999999999999995E-2</c:v>
                </c:pt>
                <c:pt idx="13">
                  <c:v>7.1999999999999995E-2</c:v>
                </c:pt>
                <c:pt idx="14">
                  <c:v>7.1999999999999995E-2</c:v>
                </c:pt>
                <c:pt idx="15">
                  <c:v>7.1999999999999995E-2</c:v>
                </c:pt>
              </c:numCache>
            </c:numRef>
          </c:val>
          <c:extLst>
            <c:ext xmlns:c16="http://schemas.microsoft.com/office/drawing/2014/chart" uri="{C3380CC4-5D6E-409C-BE32-E72D297353CC}">
              <c16:uniqueId val="{00000004-73A9-41C4-ADCA-8DAF71C2B6CC}"/>
            </c:ext>
          </c:extLst>
        </c:ser>
        <c:ser>
          <c:idx val="3"/>
          <c:order val="3"/>
          <c:tx>
            <c:strRef>
              <c:f>'SAm Capacity Data'!$A$65</c:f>
              <c:strCache>
                <c:ptCount val="1"/>
                <c:pt idx="0">
                  <c:v>CCS</c:v>
                </c:pt>
              </c:strCache>
            </c:strRef>
          </c:tx>
          <c:spPr>
            <a:solidFill>
              <a:srgbClr val="63CF3C"/>
            </a:solidFill>
            <a:ln>
              <a:solidFill>
                <a:schemeClr val="tx1"/>
              </a:solidFill>
            </a:ln>
            <a:effectLst/>
          </c:spPr>
          <c:invertIfNegative val="0"/>
          <c:cat>
            <c:strRef>
              <c:f>'SAm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Data'!$B$65:$Q$65</c:f>
              <c:numCache>
                <c:formatCode>#,##0_);[Red]\(#,##0\)</c:formatCode>
                <c:ptCount val="16"/>
                <c:pt idx="0">
                  <c:v>0</c:v>
                </c:pt>
                <c:pt idx="1">
                  <c:v>0</c:v>
                </c:pt>
                <c:pt idx="2">
                  <c:v>0</c:v>
                </c:pt>
                <c:pt idx="3">
                  <c:v>0</c:v>
                </c:pt>
                <c:pt idx="4">
                  <c:v>0</c:v>
                </c:pt>
                <c:pt idx="5">
                  <c:v>0</c:v>
                </c:pt>
                <c:pt idx="6">
                  <c:v>0</c:v>
                </c:pt>
                <c:pt idx="7">
                  <c:v>0</c:v>
                </c:pt>
                <c:pt idx="8">
                  <c:v>0</c:v>
                </c:pt>
                <c:pt idx="9">
                  <c:v>0</c:v>
                </c:pt>
                <c:pt idx="10">
                  <c:v>34.700000000000003</c:v>
                </c:pt>
                <c:pt idx="11">
                  <c:v>35.914500000000004</c:v>
                </c:pt>
                <c:pt idx="12">
                  <c:v>35.914500000000004</c:v>
                </c:pt>
                <c:pt idx="13">
                  <c:v>35.914500000000004</c:v>
                </c:pt>
                <c:pt idx="14">
                  <c:v>35.914500000000004</c:v>
                </c:pt>
                <c:pt idx="15">
                  <c:v>35.914500000000004</c:v>
                </c:pt>
              </c:numCache>
            </c:numRef>
          </c:val>
          <c:extLst>
            <c:ext xmlns:c16="http://schemas.microsoft.com/office/drawing/2014/chart" uri="{C3380CC4-5D6E-409C-BE32-E72D297353CC}">
              <c16:uniqueId val="{00000005-73A9-41C4-ADCA-8DAF71C2B6CC}"/>
            </c:ext>
          </c:extLst>
        </c:ser>
        <c:ser>
          <c:idx val="4"/>
          <c:order val="4"/>
          <c:tx>
            <c:strRef>
              <c:f>'SAm Capacity Data'!$A$66</c:f>
              <c:strCache>
                <c:ptCount val="1"/>
                <c:pt idx="0">
                  <c:v>MSW</c:v>
                </c:pt>
              </c:strCache>
            </c:strRef>
          </c:tx>
          <c:spPr>
            <a:solidFill>
              <a:srgbClr val="CF883C"/>
            </a:solidFill>
            <a:ln>
              <a:solidFill>
                <a:schemeClr val="tx1"/>
              </a:solidFill>
            </a:ln>
            <a:effectLst/>
          </c:spPr>
          <c:invertIfNegative val="0"/>
          <c:cat>
            <c:strRef>
              <c:f>'SAm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Data'!$B$66:$Q$66</c:f>
              <c:numCache>
                <c:formatCode>#,##0_);[Red]\(#,##0\)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6-73A9-41C4-ADCA-8DAF71C2B6CC}"/>
            </c:ext>
          </c:extLst>
        </c:ser>
        <c:dLbls>
          <c:showLegendKey val="0"/>
          <c:showVal val="0"/>
          <c:showCatName val="0"/>
          <c:showSerName val="0"/>
          <c:showPercent val="0"/>
          <c:showBubbleSize val="0"/>
        </c:dLbls>
        <c:gapWidth val="25"/>
        <c:overlap val="100"/>
        <c:axId val="1065161327"/>
        <c:axId val="1065157007"/>
      </c:barChart>
      <c:catAx>
        <c:axId val="1065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57007"/>
        <c:crosses val="autoZero"/>
        <c:auto val="1"/>
        <c:lblAlgn val="ctr"/>
        <c:lblOffset val="100"/>
        <c:noMultiLvlLbl val="0"/>
      </c:catAx>
      <c:valAx>
        <c:axId val="10651570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r>
                  <a:rPr lang="en-GB" sz="800"/>
                  <a:t>million</a:t>
                </a:r>
                <a:r>
                  <a:rPr lang="en-GB" sz="800" baseline="0"/>
                  <a:t> pounds</a:t>
                </a:r>
                <a:endParaRPr lang="en-GB"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61327"/>
        <c:crosses val="autoZero"/>
        <c:crossBetween val="between"/>
      </c:valAx>
      <c:spPr>
        <a:noFill/>
        <a:ln w="22225">
          <a:solidFill>
            <a:srgbClr val="8C8C8C"/>
          </a:solidFill>
        </a:ln>
        <a:effectLst/>
      </c:spPr>
    </c:plotArea>
    <c:legend>
      <c:legendPos val="b"/>
      <c:layout>
        <c:manualLayout>
          <c:xMode val="edge"/>
          <c:yMode val="edge"/>
          <c:x val="0.81120188101487334"/>
          <c:y val="0.18464093030037912"/>
          <c:w val="0.18592935258092741"/>
          <c:h val="0.64869240303295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Brown" pitchFamily="2" charset="0"/>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t>HEFA</a:t>
            </a:r>
            <a:r>
              <a:rPr lang="en-GB" b="0" baseline="0"/>
              <a:t> Remains Nearly All of Announced Supply, but ATJ could Add Two or Three Times the HEFA Capacity</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GB"/>
        </a:p>
      </c:txPr>
    </c:title>
    <c:autoTitleDeleted val="0"/>
    <c:plotArea>
      <c:layout>
        <c:manualLayout>
          <c:layoutTarget val="inner"/>
          <c:xMode val="edge"/>
          <c:yMode val="edge"/>
          <c:x val="0.16009733158355205"/>
          <c:y val="0.33407407407407402"/>
          <c:w val="0.58443744531933506"/>
          <c:h val="0.42290427238261885"/>
        </c:manualLayout>
      </c:layout>
      <c:areaChart>
        <c:grouping val="stacked"/>
        <c:varyColors val="0"/>
        <c:ser>
          <c:idx val="0"/>
          <c:order val="0"/>
          <c:tx>
            <c:strRef>
              <c:f>'SAm Capacity Data'!$A$43</c:f>
              <c:strCache>
                <c:ptCount val="1"/>
                <c:pt idx="0">
                  <c:v>HEFA</c:v>
                </c:pt>
              </c:strCache>
            </c:strRef>
          </c:tx>
          <c:spPr>
            <a:solidFill>
              <a:srgbClr val="CF3C53"/>
            </a:solidFill>
            <a:ln>
              <a:solidFill>
                <a:schemeClr val="tx1"/>
              </a:solidFill>
            </a:ln>
            <a:effectLst/>
          </c:spPr>
          <c:cat>
            <c:strRef>
              <c:f>'SAm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Data'!$B$33:$Q$33</c:f>
              <c:numCache>
                <c:formatCode>#,##0_);[Red]\(#,##0\)</c:formatCode>
                <c:ptCount val="16"/>
                <c:pt idx="0">
                  <c:v>0</c:v>
                </c:pt>
                <c:pt idx="1">
                  <c:v>0</c:v>
                </c:pt>
                <c:pt idx="2">
                  <c:v>0</c:v>
                </c:pt>
                <c:pt idx="3">
                  <c:v>0</c:v>
                </c:pt>
                <c:pt idx="4">
                  <c:v>0</c:v>
                </c:pt>
                <c:pt idx="5">
                  <c:v>147</c:v>
                </c:pt>
                <c:pt idx="6">
                  <c:v>213</c:v>
                </c:pt>
                <c:pt idx="7">
                  <c:v>345</c:v>
                </c:pt>
                <c:pt idx="8">
                  <c:v>467.64</c:v>
                </c:pt>
                <c:pt idx="9">
                  <c:v>513.14</c:v>
                </c:pt>
                <c:pt idx="10">
                  <c:v>622.47</c:v>
                </c:pt>
                <c:pt idx="11">
                  <c:v>622.47</c:v>
                </c:pt>
                <c:pt idx="12">
                  <c:v>622.47</c:v>
                </c:pt>
                <c:pt idx="13">
                  <c:v>622.47</c:v>
                </c:pt>
                <c:pt idx="14">
                  <c:v>622.47</c:v>
                </c:pt>
                <c:pt idx="15">
                  <c:v>622.47</c:v>
                </c:pt>
              </c:numCache>
            </c:numRef>
          </c:val>
          <c:extLst>
            <c:ext xmlns:c16="http://schemas.microsoft.com/office/drawing/2014/chart" uri="{C3380CC4-5D6E-409C-BE32-E72D297353CC}">
              <c16:uniqueId val="{00000000-B0F4-409E-9ECE-34C3D70035C8}"/>
            </c:ext>
          </c:extLst>
        </c:ser>
        <c:ser>
          <c:idx val="1"/>
          <c:order val="1"/>
          <c:tx>
            <c:strRef>
              <c:f>'SAm Capacity Data'!$A$44</c:f>
              <c:strCache>
                <c:ptCount val="1"/>
                <c:pt idx="0">
                  <c:v>ATJ</c:v>
                </c:pt>
              </c:strCache>
            </c:strRef>
          </c:tx>
          <c:spPr>
            <a:solidFill>
              <a:srgbClr val="3C91CF"/>
            </a:solidFill>
            <a:ln>
              <a:solidFill>
                <a:schemeClr val="tx1"/>
              </a:solidFill>
            </a:ln>
            <a:effectLst/>
          </c:spPr>
          <c:cat>
            <c:strRef>
              <c:f>'SAm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Data'!$B$34:$Q$34</c:f>
              <c:numCache>
                <c:formatCode>#,##0_);[Red]\(#,##0\)</c:formatCode>
                <c:ptCount val="16"/>
                <c:pt idx="0">
                  <c:v>0</c:v>
                </c:pt>
                <c:pt idx="1">
                  <c:v>0</c:v>
                </c:pt>
                <c:pt idx="2">
                  <c:v>0</c:v>
                </c:pt>
                <c:pt idx="3">
                  <c:v>0</c:v>
                </c:pt>
                <c:pt idx="4">
                  <c:v>0</c:v>
                </c:pt>
                <c:pt idx="5">
                  <c:v>0</c:v>
                </c:pt>
                <c:pt idx="6">
                  <c:v>0</c:v>
                </c:pt>
                <c:pt idx="7">
                  <c:v>0</c:v>
                </c:pt>
                <c:pt idx="8">
                  <c:v>0</c:v>
                </c:pt>
                <c:pt idx="9">
                  <c:v>0</c:v>
                </c:pt>
                <c:pt idx="10">
                  <c:v>52.05</c:v>
                </c:pt>
                <c:pt idx="11">
                  <c:v>52.05</c:v>
                </c:pt>
                <c:pt idx="12">
                  <c:v>52.05</c:v>
                </c:pt>
                <c:pt idx="13">
                  <c:v>52.05</c:v>
                </c:pt>
                <c:pt idx="14">
                  <c:v>52.05</c:v>
                </c:pt>
                <c:pt idx="15">
                  <c:v>52.05</c:v>
                </c:pt>
              </c:numCache>
            </c:numRef>
          </c:val>
          <c:extLst>
            <c:ext xmlns:c16="http://schemas.microsoft.com/office/drawing/2014/chart" uri="{C3380CC4-5D6E-409C-BE32-E72D297353CC}">
              <c16:uniqueId val="{00000001-B0F4-409E-9ECE-34C3D70035C8}"/>
            </c:ext>
          </c:extLst>
        </c:ser>
        <c:ser>
          <c:idx val="2"/>
          <c:order val="2"/>
          <c:tx>
            <c:strRef>
              <c:f>'SAm Capacity Data'!$A$45</c:f>
              <c:strCache>
                <c:ptCount val="1"/>
                <c:pt idx="0">
                  <c:v>FT</c:v>
                </c:pt>
              </c:strCache>
            </c:strRef>
          </c:tx>
          <c:spPr>
            <a:solidFill>
              <a:srgbClr val="CFB93C"/>
            </a:solidFill>
            <a:ln>
              <a:solidFill>
                <a:schemeClr val="tx1"/>
              </a:solidFill>
            </a:ln>
            <a:effectLst/>
          </c:spPr>
          <c:cat>
            <c:strRef>
              <c:f>'SAm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Data'!$B$35:$Q$35</c:f>
              <c:numCache>
                <c:formatCode>#,##0_);[Red]\(#,##0\)</c:formatCode>
                <c:ptCount val="16"/>
                <c:pt idx="0">
                  <c:v>0</c:v>
                </c:pt>
                <c:pt idx="1">
                  <c:v>0</c:v>
                </c:pt>
                <c:pt idx="2">
                  <c:v>0</c:v>
                </c:pt>
                <c:pt idx="3">
                  <c:v>0</c:v>
                </c:pt>
                <c:pt idx="4">
                  <c:v>0</c:v>
                </c:pt>
                <c:pt idx="5">
                  <c:v>7.1999999999999995E-2</c:v>
                </c:pt>
                <c:pt idx="6">
                  <c:v>7.1999999999999995E-2</c:v>
                </c:pt>
                <c:pt idx="7">
                  <c:v>7.1999999999999995E-2</c:v>
                </c:pt>
                <c:pt idx="8">
                  <c:v>7.1999999999999995E-2</c:v>
                </c:pt>
                <c:pt idx="9">
                  <c:v>7.1999999999999995E-2</c:v>
                </c:pt>
                <c:pt idx="10">
                  <c:v>7.1999999999999995E-2</c:v>
                </c:pt>
                <c:pt idx="11">
                  <c:v>7.1999999999999995E-2</c:v>
                </c:pt>
                <c:pt idx="12">
                  <c:v>7.1999999999999995E-2</c:v>
                </c:pt>
                <c:pt idx="13">
                  <c:v>7.1999999999999995E-2</c:v>
                </c:pt>
                <c:pt idx="14">
                  <c:v>7.1999999999999995E-2</c:v>
                </c:pt>
                <c:pt idx="15">
                  <c:v>7.1999999999999995E-2</c:v>
                </c:pt>
              </c:numCache>
            </c:numRef>
          </c:val>
          <c:extLst>
            <c:ext xmlns:c16="http://schemas.microsoft.com/office/drawing/2014/chart" uri="{C3380CC4-5D6E-409C-BE32-E72D297353CC}">
              <c16:uniqueId val="{00000002-B0F4-409E-9ECE-34C3D70035C8}"/>
            </c:ext>
          </c:extLst>
        </c:ser>
        <c:ser>
          <c:idx val="3"/>
          <c:order val="3"/>
          <c:tx>
            <c:strRef>
              <c:f>'SAm Capacity Data'!$A$46</c:f>
              <c:strCache>
                <c:ptCount val="1"/>
                <c:pt idx="0">
                  <c:v>PTL</c:v>
                </c:pt>
              </c:strCache>
            </c:strRef>
          </c:tx>
          <c:spPr>
            <a:solidFill>
              <a:srgbClr val="63CF3C"/>
            </a:solidFill>
            <a:ln>
              <a:solidFill>
                <a:schemeClr val="tx1"/>
              </a:solidFill>
            </a:ln>
            <a:effectLst/>
          </c:spPr>
          <c:cat>
            <c:strRef>
              <c:f>'SAm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Data'!$B$36:$Q$36</c:f>
              <c:numCache>
                <c:formatCode>#,##0_);[Red]\(#,##0\)</c:formatCode>
                <c:ptCount val="16"/>
                <c:pt idx="0">
                  <c:v>0</c:v>
                </c:pt>
                <c:pt idx="1">
                  <c:v>0</c:v>
                </c:pt>
                <c:pt idx="2">
                  <c:v>0</c:v>
                </c:pt>
                <c:pt idx="3">
                  <c:v>0</c:v>
                </c:pt>
                <c:pt idx="4">
                  <c:v>0</c:v>
                </c:pt>
                <c:pt idx="5">
                  <c:v>0</c:v>
                </c:pt>
                <c:pt idx="6">
                  <c:v>0</c:v>
                </c:pt>
                <c:pt idx="7">
                  <c:v>0</c:v>
                </c:pt>
                <c:pt idx="8">
                  <c:v>0</c:v>
                </c:pt>
                <c:pt idx="9">
                  <c:v>0</c:v>
                </c:pt>
                <c:pt idx="10">
                  <c:v>208.2</c:v>
                </c:pt>
                <c:pt idx="11">
                  <c:v>209.41449999999998</c:v>
                </c:pt>
                <c:pt idx="12">
                  <c:v>209.41449999999998</c:v>
                </c:pt>
                <c:pt idx="13">
                  <c:v>209.41449999999998</c:v>
                </c:pt>
                <c:pt idx="14">
                  <c:v>209.41449999999998</c:v>
                </c:pt>
                <c:pt idx="15">
                  <c:v>209.41449999999998</c:v>
                </c:pt>
              </c:numCache>
            </c:numRef>
          </c:val>
          <c:extLst>
            <c:ext xmlns:c16="http://schemas.microsoft.com/office/drawing/2014/chart" uri="{C3380CC4-5D6E-409C-BE32-E72D297353CC}">
              <c16:uniqueId val="{00000003-B0F4-409E-9ECE-34C3D70035C8}"/>
            </c:ext>
          </c:extLst>
        </c:ser>
        <c:ser>
          <c:idx val="4"/>
          <c:order val="4"/>
          <c:tx>
            <c:strRef>
              <c:f>'SAm Capacity Data'!$A$47</c:f>
              <c:strCache>
                <c:ptCount val="1"/>
                <c:pt idx="0">
                  <c:v>Pyrolysis</c:v>
                </c:pt>
              </c:strCache>
            </c:strRef>
          </c:tx>
          <c:spPr>
            <a:solidFill>
              <a:srgbClr val="CF883C"/>
            </a:solidFill>
            <a:ln>
              <a:solidFill>
                <a:schemeClr val="tx1"/>
              </a:solidFill>
            </a:ln>
            <a:effectLst/>
          </c:spPr>
          <c:cat>
            <c:strRef>
              <c:f>'SAm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Data'!$B$37:$Q$37</c:f>
              <c:numCache>
                <c:formatCode>#,##0_);[Red]\(#,##0\)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0F4-409E-9ECE-34C3D70035C8}"/>
            </c:ext>
          </c:extLst>
        </c:ser>
        <c:ser>
          <c:idx val="5"/>
          <c:order val="5"/>
          <c:tx>
            <c:strRef>
              <c:f>'SAm Capacity Data'!$A$48</c:f>
              <c:strCache>
                <c:ptCount val="1"/>
                <c:pt idx="0">
                  <c:v>Co-Processing</c:v>
                </c:pt>
              </c:strCache>
            </c:strRef>
          </c:tx>
          <c:spPr>
            <a:solidFill>
              <a:srgbClr val="8C8C8C"/>
            </a:solidFill>
            <a:ln>
              <a:solidFill>
                <a:schemeClr val="tx1"/>
              </a:solidFill>
            </a:ln>
            <a:effectLst/>
          </c:spPr>
          <c:cat>
            <c:strRef>
              <c:f>'SAm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'SAm Capacity Data'!$B$38:$Q$38</c:f>
              <c:numCache>
                <c:formatCode>#,##0_);[Red]\(#,##0\)</c:formatCode>
                <c:ptCount val="16"/>
                <c:pt idx="0">
                  <c:v>0</c:v>
                </c:pt>
                <c:pt idx="1">
                  <c:v>0</c:v>
                </c:pt>
                <c:pt idx="2">
                  <c:v>0</c:v>
                </c:pt>
                <c:pt idx="3">
                  <c:v>0</c:v>
                </c:pt>
                <c:pt idx="4">
                  <c:v>0</c:v>
                </c:pt>
                <c:pt idx="5">
                  <c:v>0</c:v>
                </c:pt>
                <c:pt idx="6">
                  <c:v>0</c:v>
                </c:pt>
                <c:pt idx="7">
                  <c:v>0</c:v>
                </c:pt>
                <c:pt idx="8">
                  <c:v>6.8985000000000003</c:v>
                </c:pt>
                <c:pt idx="9">
                  <c:v>6.8985000000000003</c:v>
                </c:pt>
                <c:pt idx="10">
                  <c:v>6.8985000000000003</c:v>
                </c:pt>
                <c:pt idx="11">
                  <c:v>6.8985000000000003</c:v>
                </c:pt>
                <c:pt idx="12">
                  <c:v>6.8985000000000003</c:v>
                </c:pt>
                <c:pt idx="13">
                  <c:v>6.8985000000000003</c:v>
                </c:pt>
                <c:pt idx="14">
                  <c:v>6.8985000000000003</c:v>
                </c:pt>
                <c:pt idx="15">
                  <c:v>6.8985000000000003</c:v>
                </c:pt>
              </c:numCache>
            </c:numRef>
          </c:val>
          <c:extLst>
            <c:ext xmlns:c16="http://schemas.microsoft.com/office/drawing/2014/chart" uri="{C3380CC4-5D6E-409C-BE32-E72D297353CC}">
              <c16:uniqueId val="{00000005-B0F4-409E-9ECE-34C3D70035C8}"/>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r>
                  <a:rPr lang="en-GB"/>
                  <a:t>million</a:t>
                </a:r>
                <a:r>
                  <a:rPr lang="en-GB" baseline="0"/>
                  <a:t> gallons</a:t>
                </a:r>
                <a:endParaRPr lang="en-GB"/>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71367629046369208"/>
          <c:y val="0.33864501312335954"/>
          <c:w val="0.28632370953630804"/>
          <c:h val="0.52246609798775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Brown" pitchFamily="2" charset="0"/>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009733158355205"/>
          <c:y val="3.3148148148148135E-2"/>
          <c:w val="0.68443744531933504"/>
          <c:h val="0.77475612423447071"/>
        </c:manualLayout>
      </c:layout>
      <c:areaChart>
        <c:grouping val="stacked"/>
        <c:varyColors val="0"/>
        <c:ser>
          <c:idx val="0"/>
          <c:order val="0"/>
          <c:tx>
            <c:strRef>
              <c:f>'SAm Capacity Data'!$A$43</c:f>
              <c:strCache>
                <c:ptCount val="1"/>
                <c:pt idx="0">
                  <c:v>HEFA</c:v>
                </c:pt>
              </c:strCache>
            </c:strRef>
          </c:tx>
          <c:spPr>
            <a:solidFill>
              <a:srgbClr val="CF3C53"/>
            </a:solidFill>
            <a:ln w="9525">
              <a:solidFill>
                <a:sysClr val="windowText" lastClr="000000"/>
              </a:solidFill>
            </a:ln>
            <a:effectLst/>
          </c:spPr>
          <c:cat>
            <c:strRef>
              <c:f>'SAm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'SAm Capacity Data'!$B$13:$L$13</c:f>
              <c:numCache>
                <c:formatCode>#,##0_);[Red]\(#,##0\)</c:formatCode>
                <c:ptCount val="11"/>
                <c:pt idx="0">
                  <c:v>0</c:v>
                </c:pt>
                <c:pt idx="1">
                  <c:v>0</c:v>
                </c:pt>
                <c:pt idx="2">
                  <c:v>0</c:v>
                </c:pt>
                <c:pt idx="3">
                  <c:v>0</c:v>
                </c:pt>
                <c:pt idx="4">
                  <c:v>0</c:v>
                </c:pt>
                <c:pt idx="5">
                  <c:v>117.60000000000001</c:v>
                </c:pt>
                <c:pt idx="6">
                  <c:v>167.10000000000002</c:v>
                </c:pt>
                <c:pt idx="7">
                  <c:v>258.60000000000002</c:v>
                </c:pt>
                <c:pt idx="8">
                  <c:v>326.05200000000002</c:v>
                </c:pt>
                <c:pt idx="9">
                  <c:v>351.077</c:v>
                </c:pt>
                <c:pt idx="10">
                  <c:v>397.41149999999999</c:v>
                </c:pt>
              </c:numCache>
            </c:numRef>
          </c:val>
          <c:extLst>
            <c:ext xmlns:c16="http://schemas.microsoft.com/office/drawing/2014/chart" uri="{C3380CC4-5D6E-409C-BE32-E72D297353CC}">
              <c16:uniqueId val="{00000000-5DFF-441C-9048-9AEC7EFE4993}"/>
            </c:ext>
          </c:extLst>
        </c:ser>
        <c:ser>
          <c:idx val="1"/>
          <c:order val="1"/>
          <c:tx>
            <c:strRef>
              <c:f>'SAm Capacity Data'!$A$44</c:f>
              <c:strCache>
                <c:ptCount val="1"/>
                <c:pt idx="0">
                  <c:v>ATJ</c:v>
                </c:pt>
              </c:strCache>
            </c:strRef>
          </c:tx>
          <c:spPr>
            <a:solidFill>
              <a:srgbClr val="3C91CF"/>
            </a:solidFill>
            <a:ln w="9525">
              <a:solidFill>
                <a:sysClr val="windowText" lastClr="000000"/>
              </a:solidFill>
            </a:ln>
            <a:effectLst/>
          </c:spPr>
          <c:cat>
            <c:strRef>
              <c:f>'SAm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'SAm Capacity Data'!$B$14:$L$14</c:f>
              <c:numCache>
                <c:formatCode>#,##0_);[Red]\(#,##0\)</c:formatCode>
                <c:ptCount val="11"/>
                <c:pt idx="0">
                  <c:v>0</c:v>
                </c:pt>
                <c:pt idx="1">
                  <c:v>0</c:v>
                </c:pt>
                <c:pt idx="2">
                  <c:v>0</c:v>
                </c:pt>
                <c:pt idx="3">
                  <c:v>0</c:v>
                </c:pt>
                <c:pt idx="4">
                  <c:v>0</c:v>
                </c:pt>
                <c:pt idx="5">
                  <c:v>0</c:v>
                </c:pt>
                <c:pt idx="6">
                  <c:v>0</c:v>
                </c:pt>
                <c:pt idx="7">
                  <c:v>0</c:v>
                </c:pt>
                <c:pt idx="8">
                  <c:v>0</c:v>
                </c:pt>
                <c:pt idx="9">
                  <c:v>0</c:v>
                </c:pt>
                <c:pt idx="10">
                  <c:v>15.614999999999998</c:v>
                </c:pt>
              </c:numCache>
            </c:numRef>
          </c:val>
          <c:extLst>
            <c:ext xmlns:c16="http://schemas.microsoft.com/office/drawing/2014/chart" uri="{C3380CC4-5D6E-409C-BE32-E72D297353CC}">
              <c16:uniqueId val="{00000001-5DFF-441C-9048-9AEC7EFE4993}"/>
            </c:ext>
          </c:extLst>
        </c:ser>
        <c:ser>
          <c:idx val="2"/>
          <c:order val="2"/>
          <c:tx>
            <c:strRef>
              <c:f>'SAm Capacity Data'!$A$45</c:f>
              <c:strCache>
                <c:ptCount val="1"/>
                <c:pt idx="0">
                  <c:v>FT</c:v>
                </c:pt>
              </c:strCache>
            </c:strRef>
          </c:tx>
          <c:spPr>
            <a:solidFill>
              <a:srgbClr val="CFB93C"/>
            </a:solidFill>
            <a:ln w="9525">
              <a:solidFill>
                <a:sysClr val="windowText" lastClr="000000"/>
              </a:solidFill>
            </a:ln>
            <a:effectLst/>
          </c:spPr>
          <c:cat>
            <c:strRef>
              <c:f>'SAm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'SAm Capacity Data'!$B$15:$L$15</c:f>
              <c:numCache>
                <c:formatCode>#,##0_);[Red]\(#,##0\)</c:formatCode>
                <c:ptCount val="11"/>
                <c:pt idx="0">
                  <c:v>0</c:v>
                </c:pt>
                <c:pt idx="1">
                  <c:v>0</c:v>
                </c:pt>
                <c:pt idx="2">
                  <c:v>0</c:v>
                </c:pt>
                <c:pt idx="3">
                  <c:v>0</c:v>
                </c:pt>
                <c:pt idx="4">
                  <c:v>0</c:v>
                </c:pt>
                <c:pt idx="5">
                  <c:v>5.3999999999999992E-2</c:v>
                </c:pt>
                <c:pt idx="6">
                  <c:v>5.3999999999999992E-2</c:v>
                </c:pt>
                <c:pt idx="7">
                  <c:v>5.3999999999999992E-2</c:v>
                </c:pt>
                <c:pt idx="8">
                  <c:v>5.3999999999999992E-2</c:v>
                </c:pt>
                <c:pt idx="9">
                  <c:v>5.3999999999999992E-2</c:v>
                </c:pt>
                <c:pt idx="10">
                  <c:v>5.3999999999999992E-2</c:v>
                </c:pt>
              </c:numCache>
            </c:numRef>
          </c:val>
          <c:extLst>
            <c:ext xmlns:c16="http://schemas.microsoft.com/office/drawing/2014/chart" uri="{C3380CC4-5D6E-409C-BE32-E72D297353CC}">
              <c16:uniqueId val="{00000002-5DFF-441C-9048-9AEC7EFE4993}"/>
            </c:ext>
          </c:extLst>
        </c:ser>
        <c:ser>
          <c:idx val="3"/>
          <c:order val="3"/>
          <c:tx>
            <c:strRef>
              <c:f>'SAm Capacity Data'!$A$46</c:f>
              <c:strCache>
                <c:ptCount val="1"/>
                <c:pt idx="0">
                  <c:v>PTL</c:v>
                </c:pt>
              </c:strCache>
            </c:strRef>
          </c:tx>
          <c:spPr>
            <a:solidFill>
              <a:srgbClr val="63CF3C"/>
            </a:solidFill>
            <a:ln w="9525">
              <a:solidFill>
                <a:sysClr val="windowText" lastClr="000000"/>
              </a:solidFill>
            </a:ln>
            <a:effectLst/>
          </c:spPr>
          <c:cat>
            <c:strRef>
              <c:f>'SAm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'SAm Capacity Data'!$B$16:$L$16</c:f>
              <c:numCache>
                <c:formatCode>#,##0_);[Red]\(#,##0\)</c:formatCode>
                <c:ptCount val="11"/>
                <c:pt idx="0">
                  <c:v>0</c:v>
                </c:pt>
                <c:pt idx="1">
                  <c:v>0</c:v>
                </c:pt>
                <c:pt idx="2">
                  <c:v>0</c:v>
                </c:pt>
                <c:pt idx="3">
                  <c:v>0</c:v>
                </c:pt>
                <c:pt idx="4">
                  <c:v>0</c:v>
                </c:pt>
                <c:pt idx="5">
                  <c:v>0</c:v>
                </c:pt>
                <c:pt idx="6">
                  <c:v>0</c:v>
                </c:pt>
                <c:pt idx="7">
                  <c:v>0</c:v>
                </c:pt>
                <c:pt idx="8">
                  <c:v>0</c:v>
                </c:pt>
                <c:pt idx="9">
                  <c:v>0</c:v>
                </c:pt>
                <c:pt idx="10">
                  <c:v>62.459999999999994</c:v>
                </c:pt>
              </c:numCache>
            </c:numRef>
          </c:val>
          <c:extLst>
            <c:ext xmlns:c16="http://schemas.microsoft.com/office/drawing/2014/chart" uri="{C3380CC4-5D6E-409C-BE32-E72D297353CC}">
              <c16:uniqueId val="{00000003-5DFF-441C-9048-9AEC7EFE4993}"/>
            </c:ext>
          </c:extLst>
        </c:ser>
        <c:ser>
          <c:idx val="4"/>
          <c:order val="4"/>
          <c:tx>
            <c:strRef>
              <c:f>'SAm Capacity Data'!$A$47</c:f>
              <c:strCache>
                <c:ptCount val="1"/>
                <c:pt idx="0">
                  <c:v>Pyrolysis</c:v>
                </c:pt>
              </c:strCache>
            </c:strRef>
          </c:tx>
          <c:spPr>
            <a:solidFill>
              <a:srgbClr val="CF883C"/>
            </a:solidFill>
            <a:ln w="9525">
              <a:solidFill>
                <a:sysClr val="windowText" lastClr="000000"/>
              </a:solidFill>
            </a:ln>
            <a:effectLst/>
          </c:spPr>
          <c:cat>
            <c:strRef>
              <c:f>'SAm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'SAm Capacity Data'!$B$17:$L$17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5DFF-441C-9048-9AEC7EFE4993}"/>
            </c:ext>
          </c:extLst>
        </c:ser>
        <c:ser>
          <c:idx val="5"/>
          <c:order val="5"/>
          <c:tx>
            <c:strRef>
              <c:f>'SAm Capacity Data'!$A$48</c:f>
              <c:strCache>
                <c:ptCount val="1"/>
                <c:pt idx="0">
                  <c:v>Co-Processing</c:v>
                </c:pt>
              </c:strCache>
            </c:strRef>
          </c:tx>
          <c:spPr>
            <a:solidFill>
              <a:srgbClr val="8C8C8C"/>
            </a:solidFill>
            <a:ln w="9525">
              <a:solidFill>
                <a:sysClr val="windowText" lastClr="000000"/>
              </a:solidFill>
            </a:ln>
            <a:effectLst/>
          </c:spPr>
          <c:cat>
            <c:strRef>
              <c:f>'SAm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'SAm Capacity Data'!$B$18:$L$18</c:f>
              <c:numCache>
                <c:formatCode>#,##0_);[Red]\(#,##0\)</c:formatCode>
                <c:ptCount val="11"/>
                <c:pt idx="0">
                  <c:v>0</c:v>
                </c:pt>
                <c:pt idx="1">
                  <c:v>0</c:v>
                </c:pt>
                <c:pt idx="2">
                  <c:v>0</c:v>
                </c:pt>
                <c:pt idx="3">
                  <c:v>0</c:v>
                </c:pt>
                <c:pt idx="4">
                  <c:v>0</c:v>
                </c:pt>
                <c:pt idx="5">
                  <c:v>0</c:v>
                </c:pt>
                <c:pt idx="6">
                  <c:v>0</c:v>
                </c:pt>
                <c:pt idx="7">
                  <c:v>0</c:v>
                </c:pt>
                <c:pt idx="8">
                  <c:v>4.1391</c:v>
                </c:pt>
                <c:pt idx="9">
                  <c:v>4.1391</c:v>
                </c:pt>
                <c:pt idx="10">
                  <c:v>4.1391</c:v>
                </c:pt>
              </c:numCache>
            </c:numRef>
          </c:val>
          <c:extLst>
            <c:ext xmlns:c16="http://schemas.microsoft.com/office/drawing/2014/chart" uri="{C3380CC4-5D6E-409C-BE32-E72D297353CC}">
              <c16:uniqueId val="{00000005-5DFF-441C-9048-9AEC7EFE4993}"/>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a:t>million gallons</a:t>
                </a:r>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84700962379702527"/>
          <c:y val="6.0867235345581784E-2"/>
          <c:w val="0.15299037620297462"/>
          <c:h val="0.80024387576552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solidFill>
                  <a:schemeClr val="tx1"/>
                </a:solidFill>
              </a:rPr>
              <a:t>Added SAF Demand Not Overwhelming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US"/>
        </a:p>
      </c:txPr>
    </c:title>
    <c:autoTitleDeleted val="0"/>
    <c:plotArea>
      <c:layout>
        <c:manualLayout>
          <c:layoutTarget val="inner"/>
          <c:xMode val="edge"/>
          <c:yMode val="edge"/>
          <c:x val="0.14031955380577427"/>
          <c:y val="0.13962962962962963"/>
          <c:w val="0.70412489063867012"/>
          <c:h val="0.65700167687372413"/>
        </c:manualLayout>
      </c:layout>
      <c:barChart>
        <c:barDir val="col"/>
        <c:grouping val="stacked"/>
        <c:varyColors val="0"/>
        <c:ser>
          <c:idx val="0"/>
          <c:order val="0"/>
          <c:tx>
            <c:strRef>
              <c:f>'Europe Capacity Data'!$A$62</c:f>
              <c:strCache>
                <c:ptCount val="1"/>
                <c:pt idx="0">
                  <c:v>FOGs</c:v>
                </c:pt>
              </c:strCache>
            </c:strRef>
          </c:tx>
          <c:spPr>
            <a:solidFill>
              <a:srgbClr val="CF3C53"/>
            </a:solidFill>
            <a:ln>
              <a:solidFill>
                <a:schemeClr val="tx1"/>
              </a:solidFill>
            </a:ln>
            <a:effectLst/>
          </c:spPr>
          <c:invertIfNegative val="0"/>
          <c:dLbls>
            <c:dLbl>
              <c:idx val="0"/>
              <c:layout>
                <c:manualLayout>
                  <c:x val="0"/>
                  <c:y val="-9.4150991542723911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A6-4185-AA15-C3ABD6ED974B}"/>
                </c:ext>
              </c:extLst>
            </c:dLbl>
            <c:dLbl>
              <c:idx val="1"/>
              <c:layout>
                <c:manualLayout>
                  <c:x val="0"/>
                  <c:y val="-9.9974846894138228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A6-4185-AA15-C3ABD6ED974B}"/>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Brown" pitchFamily="2"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'Europe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Data'!$B$62:$Q$62</c:f>
              <c:numCache>
                <c:formatCode>#,##0_);[Red]\(#,##0\)</c:formatCode>
                <c:ptCount val="16"/>
                <c:pt idx="0">
                  <c:v>15.33</c:v>
                </c:pt>
                <c:pt idx="1">
                  <c:v>45.99</c:v>
                </c:pt>
                <c:pt idx="2">
                  <c:v>55.800375000000003</c:v>
                </c:pt>
                <c:pt idx="3">
                  <c:v>55.800375000000003</c:v>
                </c:pt>
                <c:pt idx="4">
                  <c:v>297.94037500000002</c:v>
                </c:pt>
                <c:pt idx="5">
                  <c:v>1021.9538749999999</c:v>
                </c:pt>
                <c:pt idx="6">
                  <c:v>1214.4748749999999</c:v>
                </c:pt>
                <c:pt idx="7">
                  <c:v>1345.2348749999999</c:v>
                </c:pt>
                <c:pt idx="8">
                  <c:v>1485.5148749999998</c:v>
                </c:pt>
                <c:pt idx="9">
                  <c:v>1535.0148749999998</c:v>
                </c:pt>
                <c:pt idx="10">
                  <c:v>1551.5148749999998</c:v>
                </c:pt>
                <c:pt idx="11">
                  <c:v>1551.5148749999998</c:v>
                </c:pt>
                <c:pt idx="12">
                  <c:v>1551.5148749999998</c:v>
                </c:pt>
                <c:pt idx="13">
                  <c:v>1551.5148749999998</c:v>
                </c:pt>
                <c:pt idx="14">
                  <c:v>1551.5148749999998</c:v>
                </c:pt>
                <c:pt idx="15">
                  <c:v>1551.5148749999998</c:v>
                </c:pt>
              </c:numCache>
            </c:numRef>
          </c:val>
          <c:extLst>
            <c:ext xmlns:c16="http://schemas.microsoft.com/office/drawing/2014/chart" uri="{C3380CC4-5D6E-409C-BE32-E72D297353CC}">
              <c16:uniqueId val="{00000002-FCA6-4185-AA15-C3ABD6ED974B}"/>
            </c:ext>
          </c:extLst>
        </c:ser>
        <c:ser>
          <c:idx val="1"/>
          <c:order val="1"/>
          <c:tx>
            <c:strRef>
              <c:f>'Europe Capacity Data'!$A$63</c:f>
              <c:strCache>
                <c:ptCount val="1"/>
                <c:pt idx="0">
                  <c:v>Ethanol</c:v>
                </c:pt>
              </c:strCache>
            </c:strRef>
          </c:tx>
          <c:spPr>
            <a:solidFill>
              <a:srgbClr val="3C91CF"/>
            </a:solidFill>
            <a:ln>
              <a:solidFill>
                <a:schemeClr val="tx1"/>
              </a:solidFill>
            </a:ln>
            <a:effectLst/>
          </c:spPr>
          <c:invertIfNegative val="0"/>
          <c:cat>
            <c:strRef>
              <c:f>'Europe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Data'!$B$63:$Q$63</c:f>
              <c:numCache>
                <c:formatCode>#,##0_);[Red]\(#,##0\)</c:formatCode>
                <c:ptCount val="16"/>
                <c:pt idx="0">
                  <c:v>0</c:v>
                </c:pt>
                <c:pt idx="1">
                  <c:v>0</c:v>
                </c:pt>
                <c:pt idx="2">
                  <c:v>0</c:v>
                </c:pt>
                <c:pt idx="3">
                  <c:v>0</c:v>
                </c:pt>
                <c:pt idx="4">
                  <c:v>0</c:v>
                </c:pt>
                <c:pt idx="5">
                  <c:v>132.1</c:v>
                </c:pt>
                <c:pt idx="6">
                  <c:v>180.3</c:v>
                </c:pt>
                <c:pt idx="7">
                  <c:v>180.3</c:v>
                </c:pt>
                <c:pt idx="8">
                  <c:v>282.399</c:v>
                </c:pt>
                <c:pt idx="9">
                  <c:v>292.96699999999998</c:v>
                </c:pt>
                <c:pt idx="10">
                  <c:v>302.96699999999998</c:v>
                </c:pt>
                <c:pt idx="11">
                  <c:v>302.96699999999998</c:v>
                </c:pt>
                <c:pt idx="12">
                  <c:v>302.96699999999998</c:v>
                </c:pt>
                <c:pt idx="13">
                  <c:v>302.96699999999998</c:v>
                </c:pt>
                <c:pt idx="14">
                  <c:v>302.96699999999998</c:v>
                </c:pt>
                <c:pt idx="15">
                  <c:v>302.96699999999998</c:v>
                </c:pt>
              </c:numCache>
            </c:numRef>
          </c:val>
          <c:extLst>
            <c:ext xmlns:c16="http://schemas.microsoft.com/office/drawing/2014/chart" uri="{C3380CC4-5D6E-409C-BE32-E72D297353CC}">
              <c16:uniqueId val="{00000003-FCA6-4185-AA15-C3ABD6ED974B}"/>
            </c:ext>
          </c:extLst>
        </c:ser>
        <c:ser>
          <c:idx val="2"/>
          <c:order val="2"/>
          <c:tx>
            <c:strRef>
              <c:f>'Europe Capacity Data'!$A$64</c:f>
              <c:strCache>
                <c:ptCount val="1"/>
                <c:pt idx="0">
                  <c:v>Woody Biomass</c:v>
                </c:pt>
              </c:strCache>
            </c:strRef>
          </c:tx>
          <c:spPr>
            <a:solidFill>
              <a:srgbClr val="CFB93C"/>
            </a:solidFill>
            <a:ln>
              <a:solidFill>
                <a:schemeClr val="tx1"/>
              </a:solidFill>
            </a:ln>
            <a:effectLst/>
          </c:spPr>
          <c:invertIfNegative val="0"/>
          <c:cat>
            <c:strRef>
              <c:f>'Europe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Data'!$B$64:$Q$64</c:f>
              <c:numCache>
                <c:formatCode>#,##0_);[Red]\(#,##0\)</c:formatCode>
                <c:ptCount val="16"/>
                <c:pt idx="0">
                  <c:v>0</c:v>
                </c:pt>
                <c:pt idx="1">
                  <c:v>0</c:v>
                </c:pt>
                <c:pt idx="2">
                  <c:v>0</c:v>
                </c:pt>
                <c:pt idx="3">
                  <c:v>0</c:v>
                </c:pt>
                <c:pt idx="4">
                  <c:v>0</c:v>
                </c:pt>
                <c:pt idx="5">
                  <c:v>66</c:v>
                </c:pt>
                <c:pt idx="6">
                  <c:v>98.109499999999997</c:v>
                </c:pt>
                <c:pt idx="7">
                  <c:v>134.1095</c:v>
                </c:pt>
                <c:pt idx="8">
                  <c:v>134.1095</c:v>
                </c:pt>
                <c:pt idx="9">
                  <c:v>134.1095</c:v>
                </c:pt>
                <c:pt idx="10">
                  <c:v>134.1095</c:v>
                </c:pt>
                <c:pt idx="11">
                  <c:v>134.1095</c:v>
                </c:pt>
                <c:pt idx="12">
                  <c:v>134.1095</c:v>
                </c:pt>
                <c:pt idx="13">
                  <c:v>134.1095</c:v>
                </c:pt>
                <c:pt idx="14">
                  <c:v>134.1095</c:v>
                </c:pt>
                <c:pt idx="15">
                  <c:v>134.1095</c:v>
                </c:pt>
              </c:numCache>
            </c:numRef>
          </c:val>
          <c:extLst>
            <c:ext xmlns:c16="http://schemas.microsoft.com/office/drawing/2014/chart" uri="{C3380CC4-5D6E-409C-BE32-E72D297353CC}">
              <c16:uniqueId val="{00000004-FCA6-4185-AA15-C3ABD6ED974B}"/>
            </c:ext>
          </c:extLst>
        </c:ser>
        <c:ser>
          <c:idx val="3"/>
          <c:order val="3"/>
          <c:tx>
            <c:strRef>
              <c:f>'Europe Capacity Data'!$A$65</c:f>
              <c:strCache>
                <c:ptCount val="1"/>
                <c:pt idx="0">
                  <c:v>CCS</c:v>
                </c:pt>
              </c:strCache>
            </c:strRef>
          </c:tx>
          <c:spPr>
            <a:solidFill>
              <a:srgbClr val="63CF3C"/>
            </a:solidFill>
            <a:ln>
              <a:solidFill>
                <a:schemeClr val="tx1"/>
              </a:solidFill>
            </a:ln>
            <a:effectLst/>
          </c:spPr>
          <c:invertIfNegative val="0"/>
          <c:cat>
            <c:strRef>
              <c:f>'Europe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Data'!$B$65:$Q$65</c:f>
              <c:numCache>
                <c:formatCode>#,##0_);[Red]\(#,##0\)</c:formatCode>
                <c:ptCount val="16"/>
                <c:pt idx="0">
                  <c:v>0</c:v>
                </c:pt>
                <c:pt idx="1">
                  <c:v>6.6E-3</c:v>
                </c:pt>
                <c:pt idx="2">
                  <c:v>7.2599999999999998E-2</c:v>
                </c:pt>
                <c:pt idx="3">
                  <c:v>7.2599999999999998E-2</c:v>
                </c:pt>
                <c:pt idx="4">
                  <c:v>1.098719</c:v>
                </c:pt>
                <c:pt idx="5">
                  <c:v>2.2537190000000002</c:v>
                </c:pt>
                <c:pt idx="6">
                  <c:v>78.154594000000003</c:v>
                </c:pt>
                <c:pt idx="7">
                  <c:v>170.86859399999997</c:v>
                </c:pt>
                <c:pt idx="8">
                  <c:v>328.49859399999997</c:v>
                </c:pt>
                <c:pt idx="9">
                  <c:v>354.21659399999999</c:v>
                </c:pt>
                <c:pt idx="10">
                  <c:v>447.74459400000001</c:v>
                </c:pt>
                <c:pt idx="11">
                  <c:v>639.28959400000008</c:v>
                </c:pt>
                <c:pt idx="12">
                  <c:v>980.35959400000013</c:v>
                </c:pt>
                <c:pt idx="13">
                  <c:v>1062.9595940000002</c:v>
                </c:pt>
                <c:pt idx="14">
                  <c:v>1063.0559940000001</c:v>
                </c:pt>
                <c:pt idx="15">
                  <c:v>1063.1379940000002</c:v>
                </c:pt>
              </c:numCache>
            </c:numRef>
          </c:val>
          <c:extLst>
            <c:ext xmlns:c16="http://schemas.microsoft.com/office/drawing/2014/chart" uri="{C3380CC4-5D6E-409C-BE32-E72D297353CC}">
              <c16:uniqueId val="{00000005-FCA6-4185-AA15-C3ABD6ED974B}"/>
            </c:ext>
          </c:extLst>
        </c:ser>
        <c:ser>
          <c:idx val="4"/>
          <c:order val="4"/>
          <c:tx>
            <c:strRef>
              <c:f>'Europe Capacity Data'!$A$66</c:f>
              <c:strCache>
                <c:ptCount val="1"/>
                <c:pt idx="0">
                  <c:v>MSW</c:v>
                </c:pt>
              </c:strCache>
            </c:strRef>
          </c:tx>
          <c:spPr>
            <a:solidFill>
              <a:srgbClr val="CF883C"/>
            </a:solidFill>
            <a:ln>
              <a:solidFill>
                <a:schemeClr val="tx1"/>
              </a:solidFill>
            </a:ln>
            <a:effectLst/>
          </c:spPr>
          <c:invertIfNegative val="0"/>
          <c:cat>
            <c:strRef>
              <c:f>'Europe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Data'!$B$66:$Q$66</c:f>
              <c:numCache>
                <c:formatCode>#,##0_);[Red]\(#,##0\)</c:formatCode>
                <c:ptCount val="16"/>
                <c:pt idx="0">
                  <c:v>0</c:v>
                </c:pt>
                <c:pt idx="1">
                  <c:v>0</c:v>
                </c:pt>
                <c:pt idx="2">
                  <c:v>0</c:v>
                </c:pt>
                <c:pt idx="3">
                  <c:v>0</c:v>
                </c:pt>
                <c:pt idx="4">
                  <c:v>0.46200000000000002</c:v>
                </c:pt>
                <c:pt idx="5">
                  <c:v>30.548000000000002</c:v>
                </c:pt>
                <c:pt idx="6">
                  <c:v>35.148000000000003</c:v>
                </c:pt>
                <c:pt idx="7">
                  <c:v>100.71549999999999</c:v>
                </c:pt>
                <c:pt idx="8">
                  <c:v>180.56549999999999</c:v>
                </c:pt>
                <c:pt idx="9">
                  <c:v>180.56549999999999</c:v>
                </c:pt>
                <c:pt idx="10">
                  <c:v>205.56549999999999</c:v>
                </c:pt>
                <c:pt idx="11">
                  <c:v>205.56549999999999</c:v>
                </c:pt>
                <c:pt idx="12">
                  <c:v>253.89549999999997</c:v>
                </c:pt>
                <c:pt idx="13">
                  <c:v>253.89549999999997</c:v>
                </c:pt>
                <c:pt idx="14">
                  <c:v>253.89549999999997</c:v>
                </c:pt>
                <c:pt idx="15">
                  <c:v>253.89549999999997</c:v>
                </c:pt>
              </c:numCache>
            </c:numRef>
          </c:val>
          <c:extLst>
            <c:ext xmlns:c16="http://schemas.microsoft.com/office/drawing/2014/chart" uri="{C3380CC4-5D6E-409C-BE32-E72D297353CC}">
              <c16:uniqueId val="{00000006-FCA6-4185-AA15-C3ABD6ED974B}"/>
            </c:ext>
          </c:extLst>
        </c:ser>
        <c:dLbls>
          <c:showLegendKey val="0"/>
          <c:showVal val="0"/>
          <c:showCatName val="0"/>
          <c:showSerName val="0"/>
          <c:showPercent val="0"/>
          <c:showBubbleSize val="0"/>
        </c:dLbls>
        <c:gapWidth val="25"/>
        <c:overlap val="100"/>
        <c:axId val="1065161327"/>
        <c:axId val="1065157007"/>
      </c:barChart>
      <c:catAx>
        <c:axId val="1065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57007"/>
        <c:crosses val="autoZero"/>
        <c:auto val="1"/>
        <c:lblAlgn val="ctr"/>
        <c:lblOffset val="100"/>
        <c:noMultiLvlLbl val="0"/>
      </c:catAx>
      <c:valAx>
        <c:axId val="10651570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r>
                  <a:rPr lang="en-GB" sz="800"/>
                  <a:t>million</a:t>
                </a:r>
                <a:r>
                  <a:rPr lang="en-GB" sz="800" baseline="0"/>
                  <a:t> pounds</a:t>
                </a:r>
                <a:endParaRPr lang="en-GB"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61327"/>
        <c:crosses val="autoZero"/>
        <c:crossBetween val="between"/>
      </c:valAx>
      <c:spPr>
        <a:noFill/>
        <a:ln w="22225">
          <a:solidFill>
            <a:srgbClr val="8C8C8C"/>
          </a:solidFill>
        </a:ln>
        <a:effectLst/>
      </c:spPr>
    </c:plotArea>
    <c:legend>
      <c:legendPos val="b"/>
      <c:layout>
        <c:manualLayout>
          <c:xMode val="edge"/>
          <c:yMode val="edge"/>
          <c:x val="0.81120188101487334"/>
          <c:y val="0.18464093030037912"/>
          <c:w val="0.18592935258092741"/>
          <c:h val="0.64869240303295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Brown" pitchFamily="2" charset="0"/>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t>HEFA</a:t>
            </a:r>
            <a:r>
              <a:rPr lang="en-GB" b="0" baseline="0"/>
              <a:t> Remains Nearly All of Announced Supply, but ATJ could Add Two or Three Times the HEFA Capacity</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GB"/>
        </a:p>
      </c:txPr>
    </c:title>
    <c:autoTitleDeleted val="0"/>
    <c:plotArea>
      <c:layout>
        <c:manualLayout>
          <c:layoutTarget val="inner"/>
          <c:xMode val="edge"/>
          <c:yMode val="edge"/>
          <c:x val="0.16009733158355205"/>
          <c:y val="0.33407407407407402"/>
          <c:w val="0.58443744531933506"/>
          <c:h val="0.42290427238261885"/>
        </c:manualLayout>
      </c:layout>
      <c:areaChart>
        <c:grouping val="stacked"/>
        <c:varyColors val="0"/>
        <c:ser>
          <c:idx val="0"/>
          <c:order val="0"/>
          <c:tx>
            <c:strRef>
              <c:f>'Europe Capacity Data'!$A$43</c:f>
              <c:strCache>
                <c:ptCount val="1"/>
                <c:pt idx="0">
                  <c:v>HEFA</c:v>
                </c:pt>
              </c:strCache>
            </c:strRef>
          </c:tx>
          <c:spPr>
            <a:solidFill>
              <a:srgbClr val="CF3C53"/>
            </a:solidFill>
            <a:ln>
              <a:solidFill>
                <a:schemeClr val="tx1"/>
              </a:solidFill>
            </a:ln>
            <a:effectLst/>
          </c:spPr>
          <c:cat>
            <c:strRef>
              <c:f>'Europe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Data'!$B$33:$Q$33</c:f>
              <c:numCache>
                <c:formatCode>#,##0_);[Red]\(#,##0\)</c:formatCode>
                <c:ptCount val="16"/>
                <c:pt idx="0">
                  <c:v>165</c:v>
                </c:pt>
                <c:pt idx="1">
                  <c:v>165</c:v>
                </c:pt>
                <c:pt idx="2">
                  <c:v>166.65</c:v>
                </c:pt>
                <c:pt idx="3">
                  <c:v>166.65</c:v>
                </c:pt>
                <c:pt idx="4">
                  <c:v>401.125</c:v>
                </c:pt>
                <c:pt idx="5">
                  <c:v>1159.4735000000001</c:v>
                </c:pt>
                <c:pt idx="6">
                  <c:v>1344.3295000000001</c:v>
                </c:pt>
                <c:pt idx="7">
                  <c:v>1511.4169999999999</c:v>
                </c:pt>
                <c:pt idx="8">
                  <c:v>1585.6969999999999</c:v>
                </c:pt>
                <c:pt idx="9">
                  <c:v>1585.6969999999999</c:v>
                </c:pt>
                <c:pt idx="10">
                  <c:v>1602.1969999999999</c:v>
                </c:pt>
                <c:pt idx="11">
                  <c:v>1602.1969999999999</c:v>
                </c:pt>
                <c:pt idx="12">
                  <c:v>1602.1969999999999</c:v>
                </c:pt>
                <c:pt idx="13">
                  <c:v>1602.1969999999999</c:v>
                </c:pt>
                <c:pt idx="14">
                  <c:v>1602.1969999999999</c:v>
                </c:pt>
                <c:pt idx="15">
                  <c:v>1602.1969999999999</c:v>
                </c:pt>
              </c:numCache>
            </c:numRef>
          </c:val>
          <c:extLst>
            <c:ext xmlns:c16="http://schemas.microsoft.com/office/drawing/2014/chart" uri="{C3380CC4-5D6E-409C-BE32-E72D297353CC}">
              <c16:uniqueId val="{00000000-7F33-457C-AE55-644AC942B721}"/>
            </c:ext>
          </c:extLst>
        </c:ser>
        <c:ser>
          <c:idx val="1"/>
          <c:order val="1"/>
          <c:tx>
            <c:strRef>
              <c:f>'Europe Capacity Data'!$A$44</c:f>
              <c:strCache>
                <c:ptCount val="1"/>
                <c:pt idx="0">
                  <c:v>ATJ</c:v>
                </c:pt>
              </c:strCache>
            </c:strRef>
          </c:tx>
          <c:spPr>
            <a:solidFill>
              <a:srgbClr val="3C91CF"/>
            </a:solidFill>
            <a:ln>
              <a:solidFill>
                <a:schemeClr val="tx1"/>
              </a:solidFill>
            </a:ln>
            <a:effectLst/>
          </c:spPr>
          <c:cat>
            <c:strRef>
              <c:f>'Europe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Data'!$B$34:$Q$34</c:f>
              <c:numCache>
                <c:formatCode>#,##0_);[Red]\(#,##0\)</c:formatCode>
                <c:ptCount val="16"/>
                <c:pt idx="0">
                  <c:v>0</c:v>
                </c:pt>
                <c:pt idx="1">
                  <c:v>0</c:v>
                </c:pt>
                <c:pt idx="2">
                  <c:v>0</c:v>
                </c:pt>
                <c:pt idx="3">
                  <c:v>0</c:v>
                </c:pt>
                <c:pt idx="4">
                  <c:v>0</c:v>
                </c:pt>
                <c:pt idx="5">
                  <c:v>132.1</c:v>
                </c:pt>
                <c:pt idx="6">
                  <c:v>180.3</c:v>
                </c:pt>
                <c:pt idx="7">
                  <c:v>210.35000000000002</c:v>
                </c:pt>
                <c:pt idx="8">
                  <c:v>312.44900000000001</c:v>
                </c:pt>
                <c:pt idx="9">
                  <c:v>323.017</c:v>
                </c:pt>
                <c:pt idx="10">
                  <c:v>333.017</c:v>
                </c:pt>
                <c:pt idx="11">
                  <c:v>333.017</c:v>
                </c:pt>
                <c:pt idx="12">
                  <c:v>333.017</c:v>
                </c:pt>
                <c:pt idx="13">
                  <c:v>333.017</c:v>
                </c:pt>
                <c:pt idx="14">
                  <c:v>333.017</c:v>
                </c:pt>
                <c:pt idx="15">
                  <c:v>333.017</c:v>
                </c:pt>
              </c:numCache>
            </c:numRef>
          </c:val>
          <c:extLst>
            <c:ext xmlns:c16="http://schemas.microsoft.com/office/drawing/2014/chart" uri="{C3380CC4-5D6E-409C-BE32-E72D297353CC}">
              <c16:uniqueId val="{00000001-7F33-457C-AE55-644AC942B721}"/>
            </c:ext>
          </c:extLst>
        </c:ser>
        <c:ser>
          <c:idx val="2"/>
          <c:order val="2"/>
          <c:tx>
            <c:strRef>
              <c:f>'Europe Capacity Data'!$A$45</c:f>
              <c:strCache>
                <c:ptCount val="1"/>
                <c:pt idx="0">
                  <c:v>FT</c:v>
                </c:pt>
              </c:strCache>
            </c:strRef>
          </c:tx>
          <c:spPr>
            <a:solidFill>
              <a:srgbClr val="CFB93C"/>
            </a:solidFill>
            <a:ln>
              <a:solidFill>
                <a:schemeClr val="tx1"/>
              </a:solidFill>
            </a:ln>
            <a:effectLst/>
          </c:spPr>
          <c:cat>
            <c:strRef>
              <c:f>'Europe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Data'!$B$35:$Q$35</c:f>
              <c:numCache>
                <c:formatCode>#,##0_);[Red]\(#,##0\)</c:formatCode>
                <c:ptCount val="16"/>
                <c:pt idx="0">
                  <c:v>0</c:v>
                </c:pt>
                <c:pt idx="1">
                  <c:v>0</c:v>
                </c:pt>
                <c:pt idx="2">
                  <c:v>0</c:v>
                </c:pt>
                <c:pt idx="3">
                  <c:v>0</c:v>
                </c:pt>
                <c:pt idx="4">
                  <c:v>0.46200000000000002</c:v>
                </c:pt>
                <c:pt idx="5">
                  <c:v>96.548000000000002</c:v>
                </c:pt>
                <c:pt idx="6">
                  <c:v>132.828</c:v>
                </c:pt>
                <c:pt idx="7">
                  <c:v>198.06799999999998</c:v>
                </c:pt>
                <c:pt idx="8">
                  <c:v>277.91800000000001</c:v>
                </c:pt>
                <c:pt idx="9">
                  <c:v>277.91800000000001</c:v>
                </c:pt>
                <c:pt idx="10">
                  <c:v>302.91800000000001</c:v>
                </c:pt>
                <c:pt idx="11">
                  <c:v>302.91800000000001</c:v>
                </c:pt>
                <c:pt idx="12">
                  <c:v>318.24799999999999</c:v>
                </c:pt>
                <c:pt idx="13">
                  <c:v>318.24799999999999</c:v>
                </c:pt>
                <c:pt idx="14">
                  <c:v>318.24799999999999</c:v>
                </c:pt>
                <c:pt idx="15">
                  <c:v>318.24799999999999</c:v>
                </c:pt>
              </c:numCache>
            </c:numRef>
          </c:val>
          <c:extLst>
            <c:ext xmlns:c16="http://schemas.microsoft.com/office/drawing/2014/chart" uri="{C3380CC4-5D6E-409C-BE32-E72D297353CC}">
              <c16:uniqueId val="{00000002-7F33-457C-AE55-644AC942B721}"/>
            </c:ext>
          </c:extLst>
        </c:ser>
        <c:ser>
          <c:idx val="3"/>
          <c:order val="3"/>
          <c:tx>
            <c:strRef>
              <c:f>'Europe Capacity Data'!$A$46</c:f>
              <c:strCache>
                <c:ptCount val="1"/>
                <c:pt idx="0">
                  <c:v>PTL</c:v>
                </c:pt>
              </c:strCache>
            </c:strRef>
          </c:tx>
          <c:spPr>
            <a:solidFill>
              <a:srgbClr val="63CF3C"/>
            </a:solidFill>
            <a:ln>
              <a:solidFill>
                <a:schemeClr val="tx1"/>
              </a:solidFill>
            </a:ln>
            <a:effectLst/>
          </c:spPr>
          <c:cat>
            <c:strRef>
              <c:f>'Europe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Data'!$B$36:$Q$36</c:f>
              <c:numCache>
                <c:formatCode>#,##0_);[Red]\(#,##0\)</c:formatCode>
                <c:ptCount val="16"/>
                <c:pt idx="0">
                  <c:v>0</c:v>
                </c:pt>
                <c:pt idx="1">
                  <c:v>6.6E-3</c:v>
                </c:pt>
                <c:pt idx="2" formatCode="#,##0.000_);[Red]\(#,##0.000\)">
                  <c:v>7.2599999999999998E-2</c:v>
                </c:pt>
                <c:pt idx="3" formatCode="#,##0.000_);[Red]\(#,##0.000\)">
                  <c:v>7.2599999999999998E-2</c:v>
                </c:pt>
                <c:pt idx="4" formatCode="#,##0.000_);[Red]\(#,##0.000\)">
                  <c:v>1.098719</c:v>
                </c:pt>
                <c:pt idx="5" formatCode="#,##0.000_);[Red]\(#,##0.000\)">
                  <c:v>2.2537190000000002</c:v>
                </c:pt>
                <c:pt idx="6">
                  <c:v>78.154594000000003</c:v>
                </c:pt>
                <c:pt idx="7">
                  <c:v>140.81859399999999</c:v>
                </c:pt>
                <c:pt idx="8">
                  <c:v>298.44859399999996</c:v>
                </c:pt>
                <c:pt idx="9">
                  <c:v>324.16659399999998</c:v>
                </c:pt>
                <c:pt idx="10">
                  <c:v>417.694594</c:v>
                </c:pt>
                <c:pt idx="11">
                  <c:v>609.23959400000001</c:v>
                </c:pt>
                <c:pt idx="12">
                  <c:v>950.30959400000006</c:v>
                </c:pt>
                <c:pt idx="13">
                  <c:v>1032.909594</c:v>
                </c:pt>
                <c:pt idx="14">
                  <c:v>1033.0059939999999</c:v>
                </c:pt>
                <c:pt idx="15">
                  <c:v>1033.087994</c:v>
                </c:pt>
              </c:numCache>
            </c:numRef>
          </c:val>
          <c:extLst>
            <c:ext xmlns:c16="http://schemas.microsoft.com/office/drawing/2014/chart" uri="{C3380CC4-5D6E-409C-BE32-E72D297353CC}">
              <c16:uniqueId val="{00000003-7F33-457C-AE55-644AC942B721}"/>
            </c:ext>
          </c:extLst>
        </c:ser>
        <c:ser>
          <c:idx val="4"/>
          <c:order val="4"/>
          <c:tx>
            <c:strRef>
              <c:f>'Europe Capacity Data'!$A$47</c:f>
              <c:strCache>
                <c:ptCount val="1"/>
                <c:pt idx="0">
                  <c:v>Pyrolysis</c:v>
                </c:pt>
              </c:strCache>
            </c:strRef>
          </c:tx>
          <c:spPr>
            <a:solidFill>
              <a:srgbClr val="CF883C"/>
            </a:solidFill>
            <a:ln>
              <a:solidFill>
                <a:schemeClr val="tx1"/>
              </a:solidFill>
            </a:ln>
            <a:effectLst/>
          </c:spPr>
          <c:cat>
            <c:strRef>
              <c:f>'Europe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Data'!$B$37:$Q$37</c:f>
              <c:numCache>
                <c:formatCode>#,##0_);[Red]\(#,##0\)</c:formatCode>
                <c:ptCount val="16"/>
                <c:pt idx="0">
                  <c:v>0</c:v>
                </c:pt>
                <c:pt idx="1">
                  <c:v>0</c:v>
                </c:pt>
                <c:pt idx="2">
                  <c:v>0</c:v>
                </c:pt>
                <c:pt idx="3">
                  <c:v>0</c:v>
                </c:pt>
                <c:pt idx="4">
                  <c:v>0</c:v>
                </c:pt>
                <c:pt idx="5">
                  <c:v>0</c:v>
                </c:pt>
                <c:pt idx="6">
                  <c:v>0.42949999999999999</c:v>
                </c:pt>
                <c:pt idx="7">
                  <c:v>0.42949999999999999</c:v>
                </c:pt>
                <c:pt idx="8">
                  <c:v>0.42949999999999999</c:v>
                </c:pt>
                <c:pt idx="9">
                  <c:v>0.42949999999999999</c:v>
                </c:pt>
                <c:pt idx="10">
                  <c:v>0.42949999999999999</c:v>
                </c:pt>
                <c:pt idx="11">
                  <c:v>0.42949999999999999</c:v>
                </c:pt>
                <c:pt idx="12">
                  <c:v>33.429499999999997</c:v>
                </c:pt>
                <c:pt idx="13">
                  <c:v>33.429499999999997</c:v>
                </c:pt>
                <c:pt idx="14">
                  <c:v>33.429499999999997</c:v>
                </c:pt>
                <c:pt idx="15">
                  <c:v>33.429499999999997</c:v>
                </c:pt>
              </c:numCache>
            </c:numRef>
          </c:val>
          <c:extLst>
            <c:ext xmlns:c16="http://schemas.microsoft.com/office/drawing/2014/chart" uri="{C3380CC4-5D6E-409C-BE32-E72D297353CC}">
              <c16:uniqueId val="{00000004-7F33-457C-AE55-644AC942B721}"/>
            </c:ext>
          </c:extLst>
        </c:ser>
        <c:ser>
          <c:idx val="5"/>
          <c:order val="5"/>
          <c:tx>
            <c:strRef>
              <c:f>'Europe Capacity Data'!$A$48</c:f>
              <c:strCache>
                <c:ptCount val="1"/>
                <c:pt idx="0">
                  <c:v>Co-Processing</c:v>
                </c:pt>
              </c:strCache>
            </c:strRef>
          </c:tx>
          <c:spPr>
            <a:solidFill>
              <a:srgbClr val="8C8C8C"/>
            </a:solidFill>
            <a:ln>
              <a:solidFill>
                <a:schemeClr val="tx1"/>
              </a:solidFill>
            </a:ln>
            <a:effectLst/>
          </c:spPr>
          <c:cat>
            <c:strRef>
              <c:f>'Europe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'Europe Capacity Data'!$B$38:$Q$38</c:f>
              <c:numCache>
                <c:formatCode>#,##0_);[Red]\(#,##0\)</c:formatCode>
                <c:ptCount val="16"/>
                <c:pt idx="0">
                  <c:v>15.33</c:v>
                </c:pt>
                <c:pt idx="1">
                  <c:v>45.99</c:v>
                </c:pt>
                <c:pt idx="2">
                  <c:v>288.62537500000002</c:v>
                </c:pt>
                <c:pt idx="3">
                  <c:v>288.62537500000002</c:v>
                </c:pt>
                <c:pt idx="4">
                  <c:v>296.29037500000004</c:v>
                </c:pt>
                <c:pt idx="5">
                  <c:v>308.95537500000006</c:v>
                </c:pt>
                <c:pt idx="6">
                  <c:v>316.62037500000008</c:v>
                </c:pt>
                <c:pt idx="7">
                  <c:v>316.62037500000008</c:v>
                </c:pt>
                <c:pt idx="8">
                  <c:v>382.62037500000008</c:v>
                </c:pt>
                <c:pt idx="9">
                  <c:v>432.12037500000008</c:v>
                </c:pt>
                <c:pt idx="10">
                  <c:v>432.12037500000008</c:v>
                </c:pt>
                <c:pt idx="11">
                  <c:v>432.12037500000008</c:v>
                </c:pt>
                <c:pt idx="12">
                  <c:v>432.12037500000008</c:v>
                </c:pt>
                <c:pt idx="13">
                  <c:v>432.12037500000008</c:v>
                </c:pt>
                <c:pt idx="14">
                  <c:v>432.12037500000008</c:v>
                </c:pt>
                <c:pt idx="15">
                  <c:v>432.12037500000008</c:v>
                </c:pt>
              </c:numCache>
            </c:numRef>
          </c:val>
          <c:extLst>
            <c:ext xmlns:c16="http://schemas.microsoft.com/office/drawing/2014/chart" uri="{C3380CC4-5D6E-409C-BE32-E72D297353CC}">
              <c16:uniqueId val="{00000005-7F33-457C-AE55-644AC942B721}"/>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r>
                  <a:rPr lang="en-GB"/>
                  <a:t>million</a:t>
                </a:r>
                <a:r>
                  <a:rPr lang="en-GB" baseline="0"/>
                  <a:t> gallons</a:t>
                </a:r>
                <a:endParaRPr lang="en-GB"/>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71367629046369208"/>
          <c:y val="0.33864501312335954"/>
          <c:w val="0.28632370953630804"/>
          <c:h val="0.52246609798775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Brown" pitchFamily="2" charset="0"/>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009733158355205"/>
          <c:y val="3.3148148148148135E-2"/>
          <c:w val="0.68443744531933504"/>
          <c:h val="0.77475612423447071"/>
        </c:manualLayout>
      </c:layout>
      <c:areaChart>
        <c:grouping val="stacked"/>
        <c:varyColors val="0"/>
        <c:ser>
          <c:idx val="0"/>
          <c:order val="0"/>
          <c:tx>
            <c:strRef>
              <c:f>'Europe Capacity Data'!$A$43</c:f>
              <c:strCache>
                <c:ptCount val="1"/>
                <c:pt idx="0">
                  <c:v>HEFA</c:v>
                </c:pt>
              </c:strCache>
            </c:strRef>
          </c:tx>
          <c:spPr>
            <a:solidFill>
              <a:srgbClr val="CF3C53"/>
            </a:solidFill>
            <a:ln w="9525">
              <a:solidFill>
                <a:sysClr val="windowText" lastClr="000000"/>
              </a:solidFill>
            </a:ln>
            <a:effectLst/>
          </c:spPr>
          <c:cat>
            <c:strRef>
              <c:f>'Europe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'Europe Capacity Data'!$B$13:$L$13</c:f>
              <c:numCache>
                <c:formatCode>#,##0_);[Red]\(#,##0\)</c:formatCode>
                <c:ptCount val="11"/>
                <c:pt idx="0">
                  <c:v>165</c:v>
                </c:pt>
                <c:pt idx="1">
                  <c:v>165</c:v>
                </c:pt>
                <c:pt idx="2">
                  <c:v>166.65</c:v>
                </c:pt>
                <c:pt idx="3">
                  <c:v>166.65</c:v>
                </c:pt>
                <c:pt idx="4">
                  <c:v>255.94150000000002</c:v>
                </c:pt>
                <c:pt idx="5">
                  <c:v>990.28942500000005</c:v>
                </c:pt>
                <c:pt idx="6">
                  <c:v>1119.5977250000001</c:v>
                </c:pt>
                <c:pt idx="7">
                  <c:v>1214.79585</c:v>
                </c:pt>
                <c:pt idx="8">
                  <c:v>1265.96985</c:v>
                </c:pt>
                <c:pt idx="9">
                  <c:v>1265.96985</c:v>
                </c:pt>
                <c:pt idx="10">
                  <c:v>1275.04485</c:v>
                </c:pt>
              </c:numCache>
            </c:numRef>
          </c:val>
          <c:extLst>
            <c:ext xmlns:c16="http://schemas.microsoft.com/office/drawing/2014/chart" uri="{C3380CC4-5D6E-409C-BE32-E72D297353CC}">
              <c16:uniqueId val="{00000000-86C1-4C60-876E-1B679ACBD6C2}"/>
            </c:ext>
          </c:extLst>
        </c:ser>
        <c:ser>
          <c:idx val="1"/>
          <c:order val="1"/>
          <c:tx>
            <c:strRef>
              <c:f>'Europe Capacity Data'!$A$44</c:f>
              <c:strCache>
                <c:ptCount val="1"/>
                <c:pt idx="0">
                  <c:v>ATJ</c:v>
                </c:pt>
              </c:strCache>
            </c:strRef>
          </c:tx>
          <c:spPr>
            <a:solidFill>
              <a:srgbClr val="3C91CF"/>
            </a:solidFill>
            <a:ln w="9525">
              <a:solidFill>
                <a:sysClr val="windowText" lastClr="000000"/>
              </a:solidFill>
            </a:ln>
            <a:effectLst/>
          </c:spPr>
          <c:cat>
            <c:strRef>
              <c:f>'Europe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'Europe Capacity Data'!$B$14:$L$14</c:f>
              <c:numCache>
                <c:formatCode>#,##0_);[Red]\(#,##0\)</c:formatCode>
                <c:ptCount val="11"/>
                <c:pt idx="0">
                  <c:v>0</c:v>
                </c:pt>
                <c:pt idx="1">
                  <c:v>0</c:v>
                </c:pt>
                <c:pt idx="2">
                  <c:v>0</c:v>
                </c:pt>
                <c:pt idx="3">
                  <c:v>0</c:v>
                </c:pt>
                <c:pt idx="4">
                  <c:v>0</c:v>
                </c:pt>
                <c:pt idx="5">
                  <c:v>72.655000000000001</c:v>
                </c:pt>
                <c:pt idx="6">
                  <c:v>104.845</c:v>
                </c:pt>
                <c:pt idx="7">
                  <c:v>107.85</c:v>
                </c:pt>
                <c:pt idx="8">
                  <c:v>159.50444999999999</c:v>
                </c:pt>
                <c:pt idx="9">
                  <c:v>165.31684999999999</c:v>
                </c:pt>
                <c:pt idx="10">
                  <c:v>170.81684999999999</c:v>
                </c:pt>
              </c:numCache>
            </c:numRef>
          </c:val>
          <c:extLst>
            <c:ext xmlns:c16="http://schemas.microsoft.com/office/drawing/2014/chart" uri="{C3380CC4-5D6E-409C-BE32-E72D297353CC}">
              <c16:uniqueId val="{00000001-86C1-4C60-876E-1B679ACBD6C2}"/>
            </c:ext>
          </c:extLst>
        </c:ser>
        <c:ser>
          <c:idx val="2"/>
          <c:order val="2"/>
          <c:tx>
            <c:strRef>
              <c:f>'Europe Capacity Data'!$A$45</c:f>
              <c:strCache>
                <c:ptCount val="1"/>
                <c:pt idx="0">
                  <c:v>FT</c:v>
                </c:pt>
              </c:strCache>
            </c:strRef>
          </c:tx>
          <c:spPr>
            <a:solidFill>
              <a:srgbClr val="CFB93C"/>
            </a:solidFill>
            <a:ln w="9525">
              <a:solidFill>
                <a:sysClr val="windowText" lastClr="000000"/>
              </a:solidFill>
            </a:ln>
            <a:effectLst/>
          </c:spPr>
          <c:cat>
            <c:strRef>
              <c:f>'Europe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'Europe Capacity Data'!$B$15:$L$15</c:f>
              <c:numCache>
                <c:formatCode>#,##0_);[Red]\(#,##0\)</c:formatCode>
                <c:ptCount val="11"/>
                <c:pt idx="0">
                  <c:v>0</c:v>
                </c:pt>
                <c:pt idx="1">
                  <c:v>0</c:v>
                </c:pt>
                <c:pt idx="2">
                  <c:v>0</c:v>
                </c:pt>
                <c:pt idx="3">
                  <c:v>0</c:v>
                </c:pt>
                <c:pt idx="4">
                  <c:v>0.25410000000000005</c:v>
                </c:pt>
                <c:pt idx="5">
                  <c:v>41.235500000000002</c:v>
                </c:pt>
                <c:pt idx="6">
                  <c:v>61.189500000000002</c:v>
                </c:pt>
                <c:pt idx="7">
                  <c:v>84.953500000000005</c:v>
                </c:pt>
                <c:pt idx="8">
                  <c:v>139.07100000000003</c:v>
                </c:pt>
                <c:pt idx="9">
                  <c:v>139.07100000000003</c:v>
                </c:pt>
                <c:pt idx="10">
                  <c:v>152.82100000000003</c:v>
                </c:pt>
              </c:numCache>
            </c:numRef>
          </c:val>
          <c:extLst>
            <c:ext xmlns:c16="http://schemas.microsoft.com/office/drawing/2014/chart" uri="{C3380CC4-5D6E-409C-BE32-E72D297353CC}">
              <c16:uniqueId val="{00000002-86C1-4C60-876E-1B679ACBD6C2}"/>
            </c:ext>
          </c:extLst>
        </c:ser>
        <c:ser>
          <c:idx val="3"/>
          <c:order val="3"/>
          <c:tx>
            <c:strRef>
              <c:f>'Europe Capacity Data'!$A$46</c:f>
              <c:strCache>
                <c:ptCount val="1"/>
                <c:pt idx="0">
                  <c:v>PTL</c:v>
                </c:pt>
              </c:strCache>
            </c:strRef>
          </c:tx>
          <c:spPr>
            <a:solidFill>
              <a:srgbClr val="63CF3C"/>
            </a:solidFill>
            <a:ln w="9525">
              <a:solidFill>
                <a:sysClr val="windowText" lastClr="000000"/>
              </a:solidFill>
            </a:ln>
            <a:effectLst/>
          </c:spPr>
          <c:cat>
            <c:strRef>
              <c:f>'Europe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'Europe Capacity Data'!$B$16:$L$16</c:f>
              <c:numCache>
                <c:formatCode>#,##0_);[Red]\(#,##0\)</c:formatCode>
                <c:ptCount val="11"/>
                <c:pt idx="0">
                  <c:v>0</c:v>
                </c:pt>
                <c:pt idx="1">
                  <c:v>6.6E-3</c:v>
                </c:pt>
                <c:pt idx="2">
                  <c:v>7.2599999999999998E-2</c:v>
                </c:pt>
                <c:pt idx="3">
                  <c:v>7.2599999999999998E-2</c:v>
                </c:pt>
                <c:pt idx="4">
                  <c:v>0.63791900000000001</c:v>
                </c:pt>
                <c:pt idx="5">
                  <c:v>1.479419</c:v>
                </c:pt>
                <c:pt idx="6">
                  <c:v>45.445368999999999</c:v>
                </c:pt>
                <c:pt idx="7">
                  <c:v>90.445368999999999</c:v>
                </c:pt>
                <c:pt idx="8">
                  <c:v>182.82936899999999</c:v>
                </c:pt>
                <c:pt idx="9">
                  <c:v>196.97426899999999</c:v>
                </c:pt>
                <c:pt idx="10">
                  <c:v>236.18266899999998</c:v>
                </c:pt>
              </c:numCache>
            </c:numRef>
          </c:val>
          <c:extLst>
            <c:ext xmlns:c16="http://schemas.microsoft.com/office/drawing/2014/chart" uri="{C3380CC4-5D6E-409C-BE32-E72D297353CC}">
              <c16:uniqueId val="{00000003-86C1-4C60-876E-1B679ACBD6C2}"/>
            </c:ext>
          </c:extLst>
        </c:ser>
        <c:ser>
          <c:idx val="4"/>
          <c:order val="4"/>
          <c:tx>
            <c:strRef>
              <c:f>'Europe Capacity Data'!$A$47</c:f>
              <c:strCache>
                <c:ptCount val="1"/>
                <c:pt idx="0">
                  <c:v>Pyrolysis</c:v>
                </c:pt>
              </c:strCache>
            </c:strRef>
          </c:tx>
          <c:spPr>
            <a:solidFill>
              <a:srgbClr val="CF883C"/>
            </a:solidFill>
            <a:ln w="9525">
              <a:solidFill>
                <a:sysClr val="windowText" lastClr="000000"/>
              </a:solidFill>
            </a:ln>
            <a:effectLst/>
          </c:spPr>
          <c:cat>
            <c:strRef>
              <c:f>'Europe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'Europe Capacity Data'!$B$17:$L$17</c:f>
              <c:numCache>
                <c:formatCode>#,##0_);[Red]\(#,##0\)</c:formatCode>
                <c:ptCount val="11"/>
                <c:pt idx="0">
                  <c:v>0</c:v>
                </c:pt>
                <c:pt idx="1">
                  <c:v>0</c:v>
                </c:pt>
                <c:pt idx="2">
                  <c:v>0</c:v>
                </c:pt>
                <c:pt idx="3">
                  <c:v>0</c:v>
                </c:pt>
                <c:pt idx="4">
                  <c:v>0</c:v>
                </c:pt>
                <c:pt idx="5">
                  <c:v>0</c:v>
                </c:pt>
                <c:pt idx="6">
                  <c:v>0.23622500000000002</c:v>
                </c:pt>
                <c:pt idx="7">
                  <c:v>0.23622500000000002</c:v>
                </c:pt>
                <c:pt idx="8">
                  <c:v>0.23622500000000002</c:v>
                </c:pt>
                <c:pt idx="9">
                  <c:v>0.23622500000000002</c:v>
                </c:pt>
                <c:pt idx="10">
                  <c:v>0.23622500000000002</c:v>
                </c:pt>
              </c:numCache>
            </c:numRef>
          </c:val>
          <c:extLst>
            <c:ext xmlns:c16="http://schemas.microsoft.com/office/drawing/2014/chart" uri="{C3380CC4-5D6E-409C-BE32-E72D297353CC}">
              <c16:uniqueId val="{00000004-86C1-4C60-876E-1B679ACBD6C2}"/>
            </c:ext>
          </c:extLst>
        </c:ser>
        <c:ser>
          <c:idx val="5"/>
          <c:order val="5"/>
          <c:tx>
            <c:strRef>
              <c:f>'Europe Capacity Data'!$A$48</c:f>
              <c:strCache>
                <c:ptCount val="1"/>
                <c:pt idx="0">
                  <c:v>Co-Processing</c:v>
                </c:pt>
              </c:strCache>
            </c:strRef>
          </c:tx>
          <c:spPr>
            <a:solidFill>
              <a:srgbClr val="8C8C8C"/>
            </a:solidFill>
            <a:ln w="9525">
              <a:solidFill>
                <a:sysClr val="windowText" lastClr="000000"/>
              </a:solidFill>
            </a:ln>
            <a:effectLst/>
          </c:spPr>
          <c:cat>
            <c:strRef>
              <c:f>'Europe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'Europe Capacity Data'!$B$18:$L$18</c:f>
              <c:numCache>
                <c:formatCode>#,##0_);[Red]\(#,##0\)</c:formatCode>
                <c:ptCount val="11"/>
                <c:pt idx="0">
                  <c:v>15.33</c:v>
                </c:pt>
                <c:pt idx="1">
                  <c:v>45.99</c:v>
                </c:pt>
                <c:pt idx="2">
                  <c:v>288.62537500000002</c:v>
                </c:pt>
                <c:pt idx="3">
                  <c:v>288.62537500000002</c:v>
                </c:pt>
                <c:pt idx="4">
                  <c:v>296.29037500000004</c:v>
                </c:pt>
                <c:pt idx="5">
                  <c:v>308.95537500000006</c:v>
                </c:pt>
                <c:pt idx="6">
                  <c:v>313.17112500000007</c:v>
                </c:pt>
                <c:pt idx="7">
                  <c:v>313.17112500000007</c:v>
                </c:pt>
                <c:pt idx="8">
                  <c:v>342.04612500000007</c:v>
                </c:pt>
                <c:pt idx="9">
                  <c:v>369.2711250000001</c:v>
                </c:pt>
                <c:pt idx="10">
                  <c:v>369.2711250000001</c:v>
                </c:pt>
              </c:numCache>
            </c:numRef>
          </c:val>
          <c:extLst>
            <c:ext xmlns:c16="http://schemas.microsoft.com/office/drawing/2014/chart" uri="{C3380CC4-5D6E-409C-BE32-E72D297353CC}">
              <c16:uniqueId val="{00000005-86C1-4C60-876E-1B679ACBD6C2}"/>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a:t>million gallons</a:t>
                </a:r>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84700962379702527"/>
          <c:y val="6.0867235345581784E-2"/>
          <c:w val="0.15299037620297462"/>
          <c:h val="0.80024387576552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solidFill>
                  <a:schemeClr val="tx1"/>
                </a:solidFill>
              </a:rPr>
              <a:t>Added SAF Demand Not Overwhelming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US"/>
        </a:p>
      </c:txPr>
    </c:title>
    <c:autoTitleDeleted val="0"/>
    <c:plotArea>
      <c:layout>
        <c:manualLayout>
          <c:layoutTarget val="inner"/>
          <c:xMode val="edge"/>
          <c:yMode val="edge"/>
          <c:x val="0.14031955380577427"/>
          <c:y val="0.13962962962962963"/>
          <c:w val="0.70412489063867012"/>
          <c:h val="0.65700167687372413"/>
        </c:manualLayout>
      </c:layout>
      <c:barChart>
        <c:barDir val="col"/>
        <c:grouping val="stacked"/>
        <c:varyColors val="0"/>
        <c:ser>
          <c:idx val="0"/>
          <c:order val="0"/>
          <c:tx>
            <c:strRef>
              <c:f>'Asia Capacity Data'!$A$62</c:f>
              <c:strCache>
                <c:ptCount val="1"/>
                <c:pt idx="0">
                  <c:v>FOGs</c:v>
                </c:pt>
              </c:strCache>
            </c:strRef>
          </c:tx>
          <c:spPr>
            <a:solidFill>
              <a:srgbClr val="CF3C53"/>
            </a:solidFill>
            <a:ln>
              <a:solidFill>
                <a:schemeClr val="tx1"/>
              </a:solidFill>
            </a:ln>
            <a:effectLst/>
          </c:spPr>
          <c:invertIfNegative val="0"/>
          <c:dLbls>
            <c:dLbl>
              <c:idx val="0"/>
              <c:layout>
                <c:manualLayout>
                  <c:x val="0"/>
                  <c:y val="-9.4150991542723911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B5-4488-B7EF-279CD5CC2F35}"/>
                </c:ext>
              </c:extLst>
            </c:dLbl>
            <c:dLbl>
              <c:idx val="1"/>
              <c:layout>
                <c:manualLayout>
                  <c:x val="0"/>
                  <c:y val="-9.9974846894138228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B5-4488-B7EF-279CD5CC2F35}"/>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Brown" pitchFamily="2"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'Asia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Data'!$B$62:$Q$62</c:f>
              <c:numCache>
                <c:formatCode>#,##0_);[Red]\(#,##0\)</c:formatCode>
                <c:ptCount val="16"/>
                <c:pt idx="0">
                  <c:v>0</c:v>
                </c:pt>
                <c:pt idx="1">
                  <c:v>0</c:v>
                </c:pt>
                <c:pt idx="2">
                  <c:v>74.400000000000006</c:v>
                </c:pt>
                <c:pt idx="3">
                  <c:v>404.4</c:v>
                </c:pt>
                <c:pt idx="4">
                  <c:v>639.66499999999996</c:v>
                </c:pt>
                <c:pt idx="5">
                  <c:v>944.89499999999998</c:v>
                </c:pt>
                <c:pt idx="6">
                  <c:v>1289.6934999999999</c:v>
                </c:pt>
                <c:pt idx="7">
                  <c:v>1289.6934999999999</c:v>
                </c:pt>
                <c:pt idx="8">
                  <c:v>1700.5284999999999</c:v>
                </c:pt>
                <c:pt idx="9">
                  <c:v>1700.5284999999999</c:v>
                </c:pt>
                <c:pt idx="10">
                  <c:v>1871.0284999999999</c:v>
                </c:pt>
                <c:pt idx="11">
                  <c:v>1871.0284999999999</c:v>
                </c:pt>
                <c:pt idx="12">
                  <c:v>1880.9285</c:v>
                </c:pt>
                <c:pt idx="13">
                  <c:v>1880.9285</c:v>
                </c:pt>
                <c:pt idx="14">
                  <c:v>1880.9285</c:v>
                </c:pt>
                <c:pt idx="15">
                  <c:v>1880.9285</c:v>
                </c:pt>
              </c:numCache>
            </c:numRef>
          </c:val>
          <c:extLst>
            <c:ext xmlns:c16="http://schemas.microsoft.com/office/drawing/2014/chart" uri="{C3380CC4-5D6E-409C-BE32-E72D297353CC}">
              <c16:uniqueId val="{00000002-51B5-4488-B7EF-279CD5CC2F35}"/>
            </c:ext>
          </c:extLst>
        </c:ser>
        <c:ser>
          <c:idx val="1"/>
          <c:order val="1"/>
          <c:tx>
            <c:strRef>
              <c:f>'Asia Capacity Data'!$A$63</c:f>
              <c:strCache>
                <c:ptCount val="1"/>
                <c:pt idx="0">
                  <c:v>Ethanol</c:v>
                </c:pt>
              </c:strCache>
            </c:strRef>
          </c:tx>
          <c:spPr>
            <a:solidFill>
              <a:srgbClr val="3C91CF"/>
            </a:solidFill>
            <a:ln>
              <a:solidFill>
                <a:schemeClr val="tx1"/>
              </a:solidFill>
            </a:ln>
            <a:effectLst/>
          </c:spPr>
          <c:invertIfNegative val="0"/>
          <c:cat>
            <c:strRef>
              <c:f>'Asia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Data'!$B$63:$Q$63</c:f>
              <c:numCache>
                <c:formatCode>#,##0_);[Red]\(#,##0\)</c:formatCode>
                <c:ptCount val="16"/>
                <c:pt idx="0">
                  <c:v>0</c:v>
                </c:pt>
                <c:pt idx="1">
                  <c:v>0</c:v>
                </c:pt>
                <c:pt idx="2">
                  <c:v>0</c:v>
                </c:pt>
                <c:pt idx="3">
                  <c:v>0</c:v>
                </c:pt>
                <c:pt idx="4">
                  <c:v>0</c:v>
                </c:pt>
                <c:pt idx="5">
                  <c:v>0</c:v>
                </c:pt>
                <c:pt idx="6">
                  <c:v>0</c:v>
                </c:pt>
                <c:pt idx="7">
                  <c:v>181.5625</c:v>
                </c:pt>
                <c:pt idx="8">
                  <c:v>181.5625</c:v>
                </c:pt>
                <c:pt idx="9">
                  <c:v>246.9255</c:v>
                </c:pt>
                <c:pt idx="10">
                  <c:v>369.1155</c:v>
                </c:pt>
                <c:pt idx="11">
                  <c:v>369.1155</c:v>
                </c:pt>
                <c:pt idx="12">
                  <c:v>396.1155</c:v>
                </c:pt>
                <c:pt idx="13">
                  <c:v>396.1155</c:v>
                </c:pt>
                <c:pt idx="14">
                  <c:v>396.1155</c:v>
                </c:pt>
                <c:pt idx="15">
                  <c:v>396.1155</c:v>
                </c:pt>
              </c:numCache>
            </c:numRef>
          </c:val>
          <c:extLst>
            <c:ext xmlns:c16="http://schemas.microsoft.com/office/drawing/2014/chart" uri="{C3380CC4-5D6E-409C-BE32-E72D297353CC}">
              <c16:uniqueId val="{00000003-51B5-4488-B7EF-279CD5CC2F35}"/>
            </c:ext>
          </c:extLst>
        </c:ser>
        <c:ser>
          <c:idx val="2"/>
          <c:order val="2"/>
          <c:tx>
            <c:strRef>
              <c:f>'Asia Capacity Data'!$A$64</c:f>
              <c:strCache>
                <c:ptCount val="1"/>
                <c:pt idx="0">
                  <c:v>Woody Biomass</c:v>
                </c:pt>
              </c:strCache>
            </c:strRef>
          </c:tx>
          <c:spPr>
            <a:solidFill>
              <a:srgbClr val="CFB93C"/>
            </a:solidFill>
            <a:ln>
              <a:solidFill>
                <a:schemeClr val="tx1"/>
              </a:solidFill>
            </a:ln>
            <a:effectLst/>
          </c:spPr>
          <c:invertIfNegative val="0"/>
          <c:cat>
            <c:strRef>
              <c:f>'Asia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Data'!$B$64:$Q$64</c:f>
              <c:numCache>
                <c:formatCode>#,##0_);[Red]\(#,##0\)</c:formatCode>
                <c:ptCount val="16"/>
                <c:pt idx="0">
                  <c:v>0</c:v>
                </c:pt>
                <c:pt idx="1">
                  <c:v>0</c:v>
                </c:pt>
                <c:pt idx="2">
                  <c:v>0</c:v>
                </c:pt>
                <c:pt idx="3">
                  <c:v>0</c:v>
                </c:pt>
                <c:pt idx="4">
                  <c:v>0</c:v>
                </c:pt>
                <c:pt idx="5">
                  <c:v>0</c:v>
                </c:pt>
                <c:pt idx="6">
                  <c:v>0</c:v>
                </c:pt>
                <c:pt idx="7">
                  <c:v>0</c:v>
                </c:pt>
                <c:pt idx="8">
                  <c:v>0</c:v>
                </c:pt>
                <c:pt idx="9">
                  <c:v>0</c:v>
                </c:pt>
                <c:pt idx="10">
                  <c:v>123.845</c:v>
                </c:pt>
                <c:pt idx="11">
                  <c:v>123.845</c:v>
                </c:pt>
                <c:pt idx="12">
                  <c:v>123.845</c:v>
                </c:pt>
                <c:pt idx="13">
                  <c:v>123.845</c:v>
                </c:pt>
                <c:pt idx="14">
                  <c:v>123.845</c:v>
                </c:pt>
                <c:pt idx="15">
                  <c:v>123.845</c:v>
                </c:pt>
              </c:numCache>
            </c:numRef>
          </c:val>
          <c:extLst>
            <c:ext xmlns:c16="http://schemas.microsoft.com/office/drawing/2014/chart" uri="{C3380CC4-5D6E-409C-BE32-E72D297353CC}">
              <c16:uniqueId val="{00000004-51B5-4488-B7EF-279CD5CC2F35}"/>
            </c:ext>
          </c:extLst>
        </c:ser>
        <c:ser>
          <c:idx val="3"/>
          <c:order val="3"/>
          <c:tx>
            <c:strRef>
              <c:f>'Asia Capacity Data'!$A$65</c:f>
              <c:strCache>
                <c:ptCount val="1"/>
                <c:pt idx="0">
                  <c:v>CCS</c:v>
                </c:pt>
              </c:strCache>
            </c:strRef>
          </c:tx>
          <c:spPr>
            <a:solidFill>
              <a:srgbClr val="63CF3C"/>
            </a:solidFill>
            <a:ln>
              <a:solidFill>
                <a:schemeClr val="tx1"/>
              </a:solidFill>
            </a:ln>
            <a:effectLst/>
          </c:spPr>
          <c:invertIfNegative val="0"/>
          <c:cat>
            <c:strRef>
              <c:f>'Asia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Data'!$B$65:$Q$65</c:f>
              <c:numCache>
                <c:formatCode>#,##0_);[Red]\(#,##0\)</c:formatCode>
                <c:ptCount val="16"/>
                <c:pt idx="0">
                  <c:v>0</c:v>
                </c:pt>
                <c:pt idx="1">
                  <c:v>0</c:v>
                </c:pt>
                <c:pt idx="2">
                  <c:v>0</c:v>
                </c:pt>
                <c:pt idx="3">
                  <c:v>0</c:v>
                </c:pt>
                <c:pt idx="4">
                  <c:v>0</c:v>
                </c:pt>
                <c:pt idx="5">
                  <c:v>0</c:v>
                </c:pt>
                <c:pt idx="6">
                  <c:v>0</c:v>
                </c:pt>
                <c:pt idx="7">
                  <c:v>0</c:v>
                </c:pt>
                <c:pt idx="8">
                  <c:v>0</c:v>
                </c:pt>
                <c:pt idx="9">
                  <c:v>0</c:v>
                </c:pt>
                <c:pt idx="10">
                  <c:v>21.79</c:v>
                </c:pt>
                <c:pt idx="11">
                  <c:v>21.79</c:v>
                </c:pt>
                <c:pt idx="12">
                  <c:v>21.79</c:v>
                </c:pt>
                <c:pt idx="13">
                  <c:v>21.79</c:v>
                </c:pt>
                <c:pt idx="14">
                  <c:v>21.79</c:v>
                </c:pt>
                <c:pt idx="15">
                  <c:v>21.79</c:v>
                </c:pt>
              </c:numCache>
            </c:numRef>
          </c:val>
          <c:extLst>
            <c:ext xmlns:c16="http://schemas.microsoft.com/office/drawing/2014/chart" uri="{C3380CC4-5D6E-409C-BE32-E72D297353CC}">
              <c16:uniqueId val="{00000005-51B5-4488-B7EF-279CD5CC2F35}"/>
            </c:ext>
          </c:extLst>
        </c:ser>
        <c:ser>
          <c:idx val="4"/>
          <c:order val="4"/>
          <c:tx>
            <c:strRef>
              <c:f>'Asia Capacity Data'!$A$66</c:f>
              <c:strCache>
                <c:ptCount val="1"/>
                <c:pt idx="0">
                  <c:v>MSW</c:v>
                </c:pt>
              </c:strCache>
            </c:strRef>
          </c:tx>
          <c:spPr>
            <a:solidFill>
              <a:srgbClr val="CF883C"/>
            </a:solidFill>
            <a:ln>
              <a:solidFill>
                <a:schemeClr val="tx1"/>
              </a:solidFill>
            </a:ln>
            <a:effectLst/>
          </c:spPr>
          <c:invertIfNegative val="0"/>
          <c:cat>
            <c:strRef>
              <c:f>'Asia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Data'!$B$66:$Q$66</c:f>
              <c:numCache>
                <c:formatCode>#,##0_);[Red]\(#,##0\)</c:formatCode>
                <c:ptCount val="16"/>
                <c:pt idx="0">
                  <c:v>0</c:v>
                </c:pt>
                <c:pt idx="1">
                  <c:v>0</c:v>
                </c:pt>
                <c:pt idx="2">
                  <c:v>0</c:v>
                </c:pt>
                <c:pt idx="3">
                  <c:v>0</c:v>
                </c:pt>
                <c:pt idx="4">
                  <c:v>0</c:v>
                </c:pt>
                <c:pt idx="5">
                  <c:v>0</c:v>
                </c:pt>
                <c:pt idx="6">
                  <c:v>0</c:v>
                </c:pt>
                <c:pt idx="7">
                  <c:v>0</c:v>
                </c:pt>
                <c:pt idx="8">
                  <c:v>0</c:v>
                </c:pt>
                <c:pt idx="9">
                  <c:v>0</c:v>
                </c:pt>
                <c:pt idx="10">
                  <c:v>7.9</c:v>
                </c:pt>
                <c:pt idx="11">
                  <c:v>7.9</c:v>
                </c:pt>
                <c:pt idx="12">
                  <c:v>7.9</c:v>
                </c:pt>
                <c:pt idx="13">
                  <c:v>7.9</c:v>
                </c:pt>
                <c:pt idx="14">
                  <c:v>7.9</c:v>
                </c:pt>
                <c:pt idx="15">
                  <c:v>7.9</c:v>
                </c:pt>
              </c:numCache>
            </c:numRef>
          </c:val>
          <c:extLst>
            <c:ext xmlns:c16="http://schemas.microsoft.com/office/drawing/2014/chart" uri="{C3380CC4-5D6E-409C-BE32-E72D297353CC}">
              <c16:uniqueId val="{00000006-51B5-4488-B7EF-279CD5CC2F35}"/>
            </c:ext>
          </c:extLst>
        </c:ser>
        <c:dLbls>
          <c:showLegendKey val="0"/>
          <c:showVal val="0"/>
          <c:showCatName val="0"/>
          <c:showSerName val="0"/>
          <c:showPercent val="0"/>
          <c:showBubbleSize val="0"/>
        </c:dLbls>
        <c:gapWidth val="25"/>
        <c:overlap val="100"/>
        <c:axId val="1065161327"/>
        <c:axId val="1065157007"/>
      </c:barChart>
      <c:catAx>
        <c:axId val="1065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57007"/>
        <c:crosses val="autoZero"/>
        <c:auto val="1"/>
        <c:lblAlgn val="ctr"/>
        <c:lblOffset val="100"/>
        <c:noMultiLvlLbl val="0"/>
      </c:catAx>
      <c:valAx>
        <c:axId val="10651570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r>
                  <a:rPr lang="en-GB" sz="800"/>
                  <a:t>million</a:t>
                </a:r>
                <a:r>
                  <a:rPr lang="en-GB" sz="800" baseline="0"/>
                  <a:t> pounds</a:t>
                </a:r>
                <a:endParaRPr lang="en-GB"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61327"/>
        <c:crosses val="autoZero"/>
        <c:crossBetween val="between"/>
      </c:valAx>
      <c:spPr>
        <a:noFill/>
        <a:ln w="22225">
          <a:solidFill>
            <a:srgbClr val="8C8C8C"/>
          </a:solidFill>
        </a:ln>
        <a:effectLst/>
      </c:spPr>
    </c:plotArea>
    <c:legend>
      <c:legendPos val="b"/>
      <c:layout>
        <c:manualLayout>
          <c:xMode val="edge"/>
          <c:yMode val="edge"/>
          <c:x val="0.81120188101487334"/>
          <c:y val="0.18464093030037912"/>
          <c:w val="0.18592935258092741"/>
          <c:h val="0.64869240303295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Brown" pitchFamily="2" charset="0"/>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t>HEFA</a:t>
            </a:r>
            <a:r>
              <a:rPr lang="en-GB" b="0" baseline="0"/>
              <a:t> Remains Nearly All of Announced Supply, but ATJ could Add Two or Three Times the HEFA Capacity</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GB"/>
        </a:p>
      </c:txPr>
    </c:title>
    <c:autoTitleDeleted val="0"/>
    <c:plotArea>
      <c:layout>
        <c:manualLayout>
          <c:layoutTarget val="inner"/>
          <c:xMode val="edge"/>
          <c:yMode val="edge"/>
          <c:x val="0.16009733158355205"/>
          <c:y val="0.33407407407407402"/>
          <c:w val="0.58443744531933506"/>
          <c:h val="0.42290427238261885"/>
        </c:manualLayout>
      </c:layout>
      <c:areaChart>
        <c:grouping val="stacked"/>
        <c:varyColors val="0"/>
        <c:ser>
          <c:idx val="0"/>
          <c:order val="0"/>
          <c:tx>
            <c:strRef>
              <c:f>'Asia Capacity Data'!$A$43</c:f>
              <c:strCache>
                <c:ptCount val="1"/>
                <c:pt idx="0">
                  <c:v>HEFA</c:v>
                </c:pt>
              </c:strCache>
            </c:strRef>
          </c:tx>
          <c:spPr>
            <a:solidFill>
              <a:srgbClr val="CF3C53"/>
            </a:solidFill>
            <a:ln>
              <a:solidFill>
                <a:schemeClr val="tx1"/>
              </a:solidFill>
            </a:ln>
            <a:effectLst/>
          </c:spPr>
          <c:cat>
            <c:strRef>
              <c:f>'Asia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Data'!$B$33:$Q$33</c:f>
              <c:numCache>
                <c:formatCode>#,##0_);[Red]\(#,##0\)</c:formatCode>
                <c:ptCount val="16"/>
                <c:pt idx="0">
                  <c:v>0</c:v>
                </c:pt>
                <c:pt idx="1">
                  <c:v>0</c:v>
                </c:pt>
                <c:pt idx="2">
                  <c:v>72</c:v>
                </c:pt>
                <c:pt idx="3">
                  <c:v>402</c:v>
                </c:pt>
                <c:pt idx="4">
                  <c:v>534.0625</c:v>
                </c:pt>
                <c:pt idx="5">
                  <c:v>837.70350000000008</c:v>
                </c:pt>
                <c:pt idx="6">
                  <c:v>1182.502</c:v>
                </c:pt>
                <c:pt idx="7">
                  <c:v>1182.502</c:v>
                </c:pt>
                <c:pt idx="8">
                  <c:v>1367.7819999999999</c:v>
                </c:pt>
                <c:pt idx="9">
                  <c:v>1367.7819999999999</c:v>
                </c:pt>
                <c:pt idx="10">
                  <c:v>1521.7819999999999</c:v>
                </c:pt>
                <c:pt idx="11">
                  <c:v>1521.7819999999999</c:v>
                </c:pt>
                <c:pt idx="12">
                  <c:v>1531.682</c:v>
                </c:pt>
                <c:pt idx="13">
                  <c:v>1531.682</c:v>
                </c:pt>
                <c:pt idx="14">
                  <c:v>1531.682</c:v>
                </c:pt>
                <c:pt idx="15">
                  <c:v>1531.682</c:v>
                </c:pt>
              </c:numCache>
            </c:numRef>
          </c:val>
          <c:extLst>
            <c:ext xmlns:c16="http://schemas.microsoft.com/office/drawing/2014/chart" uri="{C3380CC4-5D6E-409C-BE32-E72D297353CC}">
              <c16:uniqueId val="{00000000-E5D0-4F37-BDA5-CC26F8290EF4}"/>
            </c:ext>
          </c:extLst>
        </c:ser>
        <c:ser>
          <c:idx val="1"/>
          <c:order val="1"/>
          <c:tx>
            <c:strRef>
              <c:f>'Asia Capacity Data'!$A$44</c:f>
              <c:strCache>
                <c:ptCount val="1"/>
                <c:pt idx="0">
                  <c:v>ATJ</c:v>
                </c:pt>
              </c:strCache>
            </c:strRef>
          </c:tx>
          <c:spPr>
            <a:solidFill>
              <a:srgbClr val="3C91CF"/>
            </a:solidFill>
            <a:ln>
              <a:solidFill>
                <a:schemeClr val="tx1"/>
              </a:solidFill>
            </a:ln>
            <a:effectLst/>
          </c:spPr>
          <c:cat>
            <c:strRef>
              <c:f>'Asia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Data'!$B$34:$Q$34</c:f>
              <c:numCache>
                <c:formatCode>#,##0_);[Red]\(#,##0\)</c:formatCode>
                <c:ptCount val="16"/>
                <c:pt idx="0">
                  <c:v>0</c:v>
                </c:pt>
                <c:pt idx="1">
                  <c:v>0</c:v>
                </c:pt>
                <c:pt idx="2">
                  <c:v>0</c:v>
                </c:pt>
                <c:pt idx="3">
                  <c:v>0</c:v>
                </c:pt>
                <c:pt idx="4">
                  <c:v>0</c:v>
                </c:pt>
                <c:pt idx="5">
                  <c:v>0</c:v>
                </c:pt>
                <c:pt idx="6">
                  <c:v>0</c:v>
                </c:pt>
                <c:pt idx="7">
                  <c:v>181.5625</c:v>
                </c:pt>
                <c:pt idx="8">
                  <c:v>181.5625</c:v>
                </c:pt>
                <c:pt idx="9">
                  <c:v>246.9255</c:v>
                </c:pt>
                <c:pt idx="10">
                  <c:v>492.96050000000002</c:v>
                </c:pt>
                <c:pt idx="11">
                  <c:v>492.96050000000002</c:v>
                </c:pt>
                <c:pt idx="12">
                  <c:v>519.96050000000002</c:v>
                </c:pt>
                <c:pt idx="13">
                  <c:v>519.96050000000002</c:v>
                </c:pt>
                <c:pt idx="14">
                  <c:v>519.96050000000002</c:v>
                </c:pt>
                <c:pt idx="15">
                  <c:v>519.96050000000002</c:v>
                </c:pt>
              </c:numCache>
            </c:numRef>
          </c:val>
          <c:extLst>
            <c:ext xmlns:c16="http://schemas.microsoft.com/office/drawing/2014/chart" uri="{C3380CC4-5D6E-409C-BE32-E72D297353CC}">
              <c16:uniqueId val="{00000001-E5D0-4F37-BDA5-CC26F8290EF4}"/>
            </c:ext>
          </c:extLst>
        </c:ser>
        <c:ser>
          <c:idx val="2"/>
          <c:order val="2"/>
          <c:tx>
            <c:strRef>
              <c:f>'Asia Capacity Data'!$A$45</c:f>
              <c:strCache>
                <c:ptCount val="1"/>
                <c:pt idx="0">
                  <c:v>FT</c:v>
                </c:pt>
              </c:strCache>
            </c:strRef>
          </c:tx>
          <c:spPr>
            <a:solidFill>
              <a:srgbClr val="CFB93C"/>
            </a:solidFill>
            <a:ln>
              <a:solidFill>
                <a:schemeClr val="tx1"/>
              </a:solidFill>
            </a:ln>
            <a:effectLst/>
          </c:spPr>
          <c:cat>
            <c:strRef>
              <c:f>'Asia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Data'!$B$35:$Q$35</c:f>
              <c:numCache>
                <c:formatCode>#,##0_);[Red]\(#,##0\)</c:formatCode>
                <c:ptCount val="16"/>
                <c:pt idx="0">
                  <c:v>0</c:v>
                </c:pt>
                <c:pt idx="1">
                  <c:v>0</c:v>
                </c:pt>
                <c:pt idx="2">
                  <c:v>0</c:v>
                </c:pt>
                <c:pt idx="3">
                  <c:v>0</c:v>
                </c:pt>
                <c:pt idx="4">
                  <c:v>0</c:v>
                </c:pt>
                <c:pt idx="5">
                  <c:v>0</c:v>
                </c:pt>
                <c:pt idx="6">
                  <c:v>0</c:v>
                </c:pt>
                <c:pt idx="7">
                  <c:v>0</c:v>
                </c:pt>
                <c:pt idx="8">
                  <c:v>0</c:v>
                </c:pt>
                <c:pt idx="9">
                  <c:v>0</c:v>
                </c:pt>
                <c:pt idx="10">
                  <c:v>7.9</c:v>
                </c:pt>
                <c:pt idx="11">
                  <c:v>7.9</c:v>
                </c:pt>
                <c:pt idx="12">
                  <c:v>7.9</c:v>
                </c:pt>
                <c:pt idx="13">
                  <c:v>7.9</c:v>
                </c:pt>
                <c:pt idx="14">
                  <c:v>7.9</c:v>
                </c:pt>
                <c:pt idx="15">
                  <c:v>7.9</c:v>
                </c:pt>
              </c:numCache>
            </c:numRef>
          </c:val>
          <c:extLst>
            <c:ext xmlns:c16="http://schemas.microsoft.com/office/drawing/2014/chart" uri="{C3380CC4-5D6E-409C-BE32-E72D297353CC}">
              <c16:uniqueId val="{00000002-E5D0-4F37-BDA5-CC26F8290EF4}"/>
            </c:ext>
          </c:extLst>
        </c:ser>
        <c:ser>
          <c:idx val="3"/>
          <c:order val="3"/>
          <c:tx>
            <c:strRef>
              <c:f>'Asia Capacity Data'!$A$46</c:f>
              <c:strCache>
                <c:ptCount val="1"/>
                <c:pt idx="0">
                  <c:v>PTL</c:v>
                </c:pt>
              </c:strCache>
            </c:strRef>
          </c:tx>
          <c:spPr>
            <a:solidFill>
              <a:srgbClr val="63CF3C"/>
            </a:solidFill>
            <a:ln>
              <a:solidFill>
                <a:schemeClr val="tx1"/>
              </a:solidFill>
            </a:ln>
            <a:effectLst/>
          </c:spPr>
          <c:cat>
            <c:strRef>
              <c:f>'Asia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Data'!$B$36:$Q$36</c:f>
              <c:numCache>
                <c:formatCode>#,##0_);[Red]\(#,##0\)</c:formatCode>
                <c:ptCount val="16"/>
                <c:pt idx="0">
                  <c:v>0</c:v>
                </c:pt>
                <c:pt idx="1">
                  <c:v>0</c:v>
                </c:pt>
                <c:pt idx="2" formatCode="#,##0.000_);[Red]\(#,##0.000\)">
                  <c:v>0</c:v>
                </c:pt>
                <c:pt idx="3" formatCode="#,##0.000_);[Red]\(#,##0.000\)">
                  <c:v>0</c:v>
                </c:pt>
                <c:pt idx="4" formatCode="#,##0.000_);[Red]\(#,##0.000\)">
                  <c:v>0</c:v>
                </c:pt>
                <c:pt idx="5" formatCode="#,##0.000_);[Red]\(#,##0.000\)">
                  <c:v>0</c:v>
                </c:pt>
                <c:pt idx="6">
                  <c:v>0</c:v>
                </c:pt>
                <c:pt idx="7">
                  <c:v>0</c:v>
                </c:pt>
                <c:pt idx="8">
                  <c:v>0</c:v>
                </c:pt>
                <c:pt idx="9">
                  <c:v>0</c:v>
                </c:pt>
                <c:pt idx="10">
                  <c:v>21.79</c:v>
                </c:pt>
                <c:pt idx="11">
                  <c:v>21.79</c:v>
                </c:pt>
                <c:pt idx="12">
                  <c:v>21.79</c:v>
                </c:pt>
                <c:pt idx="13">
                  <c:v>21.79</c:v>
                </c:pt>
                <c:pt idx="14">
                  <c:v>21.79</c:v>
                </c:pt>
                <c:pt idx="15">
                  <c:v>21.79</c:v>
                </c:pt>
              </c:numCache>
            </c:numRef>
          </c:val>
          <c:extLst>
            <c:ext xmlns:c16="http://schemas.microsoft.com/office/drawing/2014/chart" uri="{C3380CC4-5D6E-409C-BE32-E72D297353CC}">
              <c16:uniqueId val="{00000003-E5D0-4F37-BDA5-CC26F8290EF4}"/>
            </c:ext>
          </c:extLst>
        </c:ser>
        <c:ser>
          <c:idx val="4"/>
          <c:order val="4"/>
          <c:tx>
            <c:strRef>
              <c:f>'Asia Capacity Data'!$A$47</c:f>
              <c:strCache>
                <c:ptCount val="1"/>
                <c:pt idx="0">
                  <c:v>Pyrolysis</c:v>
                </c:pt>
              </c:strCache>
            </c:strRef>
          </c:tx>
          <c:spPr>
            <a:solidFill>
              <a:srgbClr val="CF883C"/>
            </a:solidFill>
            <a:ln>
              <a:solidFill>
                <a:schemeClr val="tx1"/>
              </a:solidFill>
            </a:ln>
            <a:effectLst/>
          </c:spPr>
          <c:cat>
            <c:strRef>
              <c:f>'Asia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Data'!$B$37:$Q$37</c:f>
              <c:numCache>
                <c:formatCode>#,##0_);[Red]\(#,##0\)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E5D0-4F37-BDA5-CC26F8290EF4}"/>
            </c:ext>
          </c:extLst>
        </c:ser>
        <c:ser>
          <c:idx val="5"/>
          <c:order val="5"/>
          <c:tx>
            <c:strRef>
              <c:f>'Asia Capacity Data'!$A$48</c:f>
              <c:strCache>
                <c:ptCount val="1"/>
                <c:pt idx="0">
                  <c:v>Co-Processing</c:v>
                </c:pt>
              </c:strCache>
            </c:strRef>
          </c:tx>
          <c:spPr>
            <a:solidFill>
              <a:srgbClr val="8C8C8C"/>
            </a:solidFill>
            <a:ln>
              <a:solidFill>
                <a:schemeClr val="tx1"/>
              </a:solidFill>
            </a:ln>
            <a:effectLst/>
          </c:spPr>
          <c:cat>
            <c:strRef>
              <c:f>'Asia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'Asia Capacity Data'!$B$38:$Q$38</c:f>
              <c:numCache>
                <c:formatCode>#,##0_);[Red]\(#,##0\)</c:formatCode>
                <c:ptCount val="16"/>
                <c:pt idx="0">
                  <c:v>0</c:v>
                </c:pt>
                <c:pt idx="1">
                  <c:v>0</c:v>
                </c:pt>
                <c:pt idx="2">
                  <c:v>6.5391000000000004</c:v>
                </c:pt>
                <c:pt idx="3">
                  <c:v>6.5391000000000004</c:v>
                </c:pt>
                <c:pt idx="4">
                  <c:v>109.74160000000001</c:v>
                </c:pt>
                <c:pt idx="5">
                  <c:v>109.74160000000001</c:v>
                </c:pt>
                <c:pt idx="6">
                  <c:v>109.74160000000001</c:v>
                </c:pt>
                <c:pt idx="7">
                  <c:v>109.74160000000001</c:v>
                </c:pt>
                <c:pt idx="8">
                  <c:v>117.40660000000001</c:v>
                </c:pt>
                <c:pt idx="9">
                  <c:v>117.40660000000001</c:v>
                </c:pt>
                <c:pt idx="10">
                  <c:v>117.40660000000001</c:v>
                </c:pt>
                <c:pt idx="11">
                  <c:v>117.40660000000001</c:v>
                </c:pt>
                <c:pt idx="12">
                  <c:v>117.40660000000001</c:v>
                </c:pt>
                <c:pt idx="13">
                  <c:v>117.40660000000001</c:v>
                </c:pt>
                <c:pt idx="14">
                  <c:v>117.40660000000001</c:v>
                </c:pt>
                <c:pt idx="15">
                  <c:v>117.40660000000001</c:v>
                </c:pt>
              </c:numCache>
            </c:numRef>
          </c:val>
          <c:extLst>
            <c:ext xmlns:c16="http://schemas.microsoft.com/office/drawing/2014/chart" uri="{C3380CC4-5D6E-409C-BE32-E72D297353CC}">
              <c16:uniqueId val="{00000005-E5D0-4F37-BDA5-CC26F8290EF4}"/>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r>
                  <a:rPr lang="en-GB"/>
                  <a:t>million</a:t>
                </a:r>
                <a:r>
                  <a:rPr lang="en-GB" baseline="0"/>
                  <a:t> gallons</a:t>
                </a:r>
                <a:endParaRPr lang="en-GB"/>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71367629046369208"/>
          <c:y val="0.33864501312335954"/>
          <c:w val="0.28632370953630804"/>
          <c:h val="0.52246609798775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Brown" pitchFamily="2" charset="0"/>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009733158355205"/>
          <c:y val="3.3148148148148135E-2"/>
          <c:w val="0.68443744531933504"/>
          <c:h val="0.77475612423447071"/>
        </c:manualLayout>
      </c:layout>
      <c:areaChart>
        <c:grouping val="stacked"/>
        <c:varyColors val="0"/>
        <c:ser>
          <c:idx val="0"/>
          <c:order val="0"/>
          <c:tx>
            <c:strRef>
              <c:f>'Asia Capacity Data'!$A$43</c:f>
              <c:strCache>
                <c:ptCount val="1"/>
                <c:pt idx="0">
                  <c:v>HEFA</c:v>
                </c:pt>
              </c:strCache>
            </c:strRef>
          </c:tx>
          <c:spPr>
            <a:solidFill>
              <a:srgbClr val="CF3C53"/>
            </a:solidFill>
            <a:ln w="9525">
              <a:solidFill>
                <a:sysClr val="windowText" lastClr="000000"/>
              </a:solidFill>
            </a:ln>
            <a:effectLst/>
          </c:spPr>
          <c:cat>
            <c:strRef>
              <c:f>'Asia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'Asia Capacity Data'!$B$13:$L$13</c:f>
              <c:numCache>
                <c:formatCode>#,##0_);[Red]\(#,##0\)</c:formatCode>
                <c:ptCount val="11"/>
                <c:pt idx="0">
                  <c:v>0</c:v>
                </c:pt>
                <c:pt idx="1">
                  <c:v>0</c:v>
                </c:pt>
                <c:pt idx="2">
                  <c:v>72</c:v>
                </c:pt>
                <c:pt idx="3">
                  <c:v>402</c:v>
                </c:pt>
                <c:pt idx="4">
                  <c:v>474.63437499999998</c:v>
                </c:pt>
                <c:pt idx="5">
                  <c:v>712.48692499999993</c:v>
                </c:pt>
                <c:pt idx="6">
                  <c:v>920.96329999999989</c:v>
                </c:pt>
                <c:pt idx="7">
                  <c:v>920.96329999999989</c:v>
                </c:pt>
                <c:pt idx="8">
                  <c:v>992.47957999999994</c:v>
                </c:pt>
                <c:pt idx="9">
                  <c:v>992.47957999999994</c:v>
                </c:pt>
                <c:pt idx="10">
                  <c:v>1057.75458</c:v>
                </c:pt>
              </c:numCache>
            </c:numRef>
          </c:val>
          <c:extLst>
            <c:ext xmlns:c16="http://schemas.microsoft.com/office/drawing/2014/chart" uri="{C3380CC4-5D6E-409C-BE32-E72D297353CC}">
              <c16:uniqueId val="{00000000-D8BD-404C-B789-F0DD9F4368C1}"/>
            </c:ext>
          </c:extLst>
        </c:ser>
        <c:ser>
          <c:idx val="1"/>
          <c:order val="1"/>
          <c:tx>
            <c:strRef>
              <c:f>'Asia Capacity Data'!$A$44</c:f>
              <c:strCache>
                <c:ptCount val="1"/>
                <c:pt idx="0">
                  <c:v>ATJ</c:v>
                </c:pt>
              </c:strCache>
            </c:strRef>
          </c:tx>
          <c:spPr>
            <a:solidFill>
              <a:srgbClr val="3C91CF"/>
            </a:solidFill>
            <a:ln w="9525">
              <a:solidFill>
                <a:sysClr val="windowText" lastClr="000000"/>
              </a:solidFill>
            </a:ln>
            <a:effectLst/>
          </c:spPr>
          <c:cat>
            <c:strRef>
              <c:f>'Asia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'Asia Capacity Data'!$B$14:$L$14</c:f>
              <c:numCache>
                <c:formatCode>#,##0_);[Red]\(#,##0\)</c:formatCode>
                <c:ptCount val="11"/>
                <c:pt idx="0">
                  <c:v>0</c:v>
                </c:pt>
                <c:pt idx="1">
                  <c:v>0</c:v>
                </c:pt>
                <c:pt idx="2">
                  <c:v>0</c:v>
                </c:pt>
                <c:pt idx="3">
                  <c:v>0</c:v>
                </c:pt>
                <c:pt idx="4">
                  <c:v>0</c:v>
                </c:pt>
                <c:pt idx="5">
                  <c:v>0</c:v>
                </c:pt>
                <c:pt idx="6">
                  <c:v>0</c:v>
                </c:pt>
                <c:pt idx="7">
                  <c:v>99.859375</c:v>
                </c:pt>
                <c:pt idx="8">
                  <c:v>99.859375</c:v>
                </c:pt>
                <c:pt idx="9">
                  <c:v>126.004575</c:v>
                </c:pt>
                <c:pt idx="10">
                  <c:v>253.39782500000001</c:v>
                </c:pt>
              </c:numCache>
            </c:numRef>
          </c:val>
          <c:extLst>
            <c:ext xmlns:c16="http://schemas.microsoft.com/office/drawing/2014/chart" uri="{C3380CC4-5D6E-409C-BE32-E72D297353CC}">
              <c16:uniqueId val="{00000001-D8BD-404C-B789-F0DD9F4368C1}"/>
            </c:ext>
          </c:extLst>
        </c:ser>
        <c:ser>
          <c:idx val="2"/>
          <c:order val="2"/>
          <c:tx>
            <c:strRef>
              <c:f>'Asia Capacity Data'!$A$45</c:f>
              <c:strCache>
                <c:ptCount val="1"/>
                <c:pt idx="0">
                  <c:v>FT</c:v>
                </c:pt>
              </c:strCache>
            </c:strRef>
          </c:tx>
          <c:spPr>
            <a:solidFill>
              <a:srgbClr val="CFB93C"/>
            </a:solidFill>
            <a:ln w="9525">
              <a:solidFill>
                <a:sysClr val="windowText" lastClr="000000"/>
              </a:solidFill>
            </a:ln>
            <a:effectLst/>
          </c:spPr>
          <c:cat>
            <c:strRef>
              <c:f>'Asia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'Asia Capacity Data'!$B$15:$L$15</c:f>
              <c:numCache>
                <c:formatCode>#,##0_);[Red]\(#,##0\)</c:formatCode>
                <c:ptCount val="11"/>
                <c:pt idx="0">
                  <c:v>0</c:v>
                </c:pt>
                <c:pt idx="1">
                  <c:v>0</c:v>
                </c:pt>
                <c:pt idx="2">
                  <c:v>0</c:v>
                </c:pt>
                <c:pt idx="3">
                  <c:v>0</c:v>
                </c:pt>
                <c:pt idx="4">
                  <c:v>0</c:v>
                </c:pt>
                <c:pt idx="5">
                  <c:v>0</c:v>
                </c:pt>
                <c:pt idx="6">
                  <c:v>0</c:v>
                </c:pt>
                <c:pt idx="7">
                  <c:v>0</c:v>
                </c:pt>
                <c:pt idx="8">
                  <c:v>0</c:v>
                </c:pt>
                <c:pt idx="9">
                  <c:v>0</c:v>
                </c:pt>
                <c:pt idx="10">
                  <c:v>4.3450000000000006</c:v>
                </c:pt>
              </c:numCache>
            </c:numRef>
          </c:val>
          <c:extLst>
            <c:ext xmlns:c16="http://schemas.microsoft.com/office/drawing/2014/chart" uri="{C3380CC4-5D6E-409C-BE32-E72D297353CC}">
              <c16:uniqueId val="{00000002-D8BD-404C-B789-F0DD9F4368C1}"/>
            </c:ext>
          </c:extLst>
        </c:ser>
        <c:ser>
          <c:idx val="3"/>
          <c:order val="3"/>
          <c:tx>
            <c:strRef>
              <c:f>'Asia Capacity Data'!$A$46</c:f>
              <c:strCache>
                <c:ptCount val="1"/>
                <c:pt idx="0">
                  <c:v>PTL</c:v>
                </c:pt>
              </c:strCache>
            </c:strRef>
          </c:tx>
          <c:spPr>
            <a:solidFill>
              <a:srgbClr val="63CF3C"/>
            </a:solidFill>
            <a:ln w="9525">
              <a:solidFill>
                <a:sysClr val="windowText" lastClr="000000"/>
              </a:solidFill>
            </a:ln>
            <a:effectLst/>
          </c:spPr>
          <c:cat>
            <c:strRef>
              <c:f>'Asia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'Asia Capacity Data'!$B$16:$L$16</c:f>
              <c:numCache>
                <c:formatCode>#,##0_);[Red]\(#,##0\)</c:formatCode>
                <c:ptCount val="11"/>
                <c:pt idx="0">
                  <c:v>0</c:v>
                </c:pt>
                <c:pt idx="1">
                  <c:v>0</c:v>
                </c:pt>
                <c:pt idx="2">
                  <c:v>0</c:v>
                </c:pt>
                <c:pt idx="3">
                  <c:v>0</c:v>
                </c:pt>
                <c:pt idx="4">
                  <c:v>0</c:v>
                </c:pt>
                <c:pt idx="5">
                  <c:v>0</c:v>
                </c:pt>
                <c:pt idx="6">
                  <c:v>0</c:v>
                </c:pt>
                <c:pt idx="7">
                  <c:v>0</c:v>
                </c:pt>
                <c:pt idx="8">
                  <c:v>0</c:v>
                </c:pt>
                <c:pt idx="9">
                  <c:v>0</c:v>
                </c:pt>
                <c:pt idx="10">
                  <c:v>10.30348</c:v>
                </c:pt>
              </c:numCache>
            </c:numRef>
          </c:val>
          <c:extLst>
            <c:ext xmlns:c16="http://schemas.microsoft.com/office/drawing/2014/chart" uri="{C3380CC4-5D6E-409C-BE32-E72D297353CC}">
              <c16:uniqueId val="{00000003-D8BD-404C-B789-F0DD9F4368C1}"/>
            </c:ext>
          </c:extLst>
        </c:ser>
        <c:ser>
          <c:idx val="4"/>
          <c:order val="4"/>
          <c:tx>
            <c:strRef>
              <c:f>'Asia Capacity Data'!$A$47</c:f>
              <c:strCache>
                <c:ptCount val="1"/>
                <c:pt idx="0">
                  <c:v>Pyrolysis</c:v>
                </c:pt>
              </c:strCache>
            </c:strRef>
          </c:tx>
          <c:spPr>
            <a:solidFill>
              <a:srgbClr val="CF883C"/>
            </a:solidFill>
            <a:ln w="9525">
              <a:solidFill>
                <a:sysClr val="windowText" lastClr="000000"/>
              </a:solidFill>
            </a:ln>
            <a:effectLst/>
          </c:spPr>
          <c:cat>
            <c:strRef>
              <c:f>'Asia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'Asia Capacity Data'!$B$17:$L$17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D8BD-404C-B789-F0DD9F4368C1}"/>
            </c:ext>
          </c:extLst>
        </c:ser>
        <c:ser>
          <c:idx val="5"/>
          <c:order val="5"/>
          <c:tx>
            <c:strRef>
              <c:f>'Asia Capacity Data'!$A$48</c:f>
              <c:strCache>
                <c:ptCount val="1"/>
                <c:pt idx="0">
                  <c:v>Co-Processing</c:v>
                </c:pt>
              </c:strCache>
            </c:strRef>
          </c:tx>
          <c:spPr>
            <a:solidFill>
              <a:srgbClr val="8C8C8C"/>
            </a:solidFill>
            <a:ln w="9525">
              <a:solidFill>
                <a:sysClr val="windowText" lastClr="000000"/>
              </a:solidFill>
            </a:ln>
            <a:effectLst/>
          </c:spPr>
          <c:cat>
            <c:strRef>
              <c:f>'Asia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'Asia Capacity Data'!$B$18:$L$18</c:f>
              <c:numCache>
                <c:formatCode>#,##0_);[Red]\(#,##0\)</c:formatCode>
                <c:ptCount val="11"/>
                <c:pt idx="0">
                  <c:v>0</c:v>
                </c:pt>
                <c:pt idx="1">
                  <c:v>0</c:v>
                </c:pt>
                <c:pt idx="2">
                  <c:v>6.5391000000000004</c:v>
                </c:pt>
                <c:pt idx="3">
                  <c:v>6.5391000000000004</c:v>
                </c:pt>
                <c:pt idx="4">
                  <c:v>72.588475000000017</c:v>
                </c:pt>
                <c:pt idx="5">
                  <c:v>72.588475000000017</c:v>
                </c:pt>
                <c:pt idx="6">
                  <c:v>72.588475000000017</c:v>
                </c:pt>
                <c:pt idx="7">
                  <c:v>72.588475000000017</c:v>
                </c:pt>
                <c:pt idx="8">
                  <c:v>76.804225000000017</c:v>
                </c:pt>
                <c:pt idx="9">
                  <c:v>76.804225000000017</c:v>
                </c:pt>
                <c:pt idx="10">
                  <c:v>76.804225000000017</c:v>
                </c:pt>
              </c:numCache>
            </c:numRef>
          </c:val>
          <c:extLst>
            <c:ext xmlns:c16="http://schemas.microsoft.com/office/drawing/2014/chart" uri="{C3380CC4-5D6E-409C-BE32-E72D297353CC}">
              <c16:uniqueId val="{00000005-D8BD-404C-B789-F0DD9F4368C1}"/>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a:t>million gallons</a:t>
                </a:r>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84700962379702527"/>
          <c:y val="6.0867235345581784E-2"/>
          <c:w val="0.15299037620297462"/>
          <c:h val="0.80024387576552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solidFill>
                  <a:schemeClr val="tx1"/>
                </a:solidFill>
              </a:rPr>
              <a:t>Added SAF Demand Not Overwhelming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US"/>
        </a:p>
      </c:txPr>
    </c:title>
    <c:autoTitleDeleted val="0"/>
    <c:plotArea>
      <c:layout>
        <c:manualLayout>
          <c:layoutTarget val="inner"/>
          <c:xMode val="edge"/>
          <c:yMode val="edge"/>
          <c:x val="0.14031955380577427"/>
          <c:y val="0.13962962962962963"/>
          <c:w val="0.70412489063867012"/>
          <c:h val="0.65700167687372413"/>
        </c:manualLayout>
      </c:layout>
      <c:barChart>
        <c:barDir val="col"/>
        <c:grouping val="stacked"/>
        <c:varyColors val="0"/>
        <c:ser>
          <c:idx val="0"/>
          <c:order val="0"/>
          <c:tx>
            <c:strRef>
              <c:f>'MEA Capacity Data'!$A$62</c:f>
              <c:strCache>
                <c:ptCount val="1"/>
                <c:pt idx="0">
                  <c:v>FOGs</c:v>
                </c:pt>
              </c:strCache>
            </c:strRef>
          </c:tx>
          <c:spPr>
            <a:solidFill>
              <a:srgbClr val="CF3C53"/>
            </a:solidFill>
            <a:ln>
              <a:solidFill>
                <a:schemeClr val="tx1"/>
              </a:solidFill>
            </a:ln>
            <a:effectLst/>
          </c:spPr>
          <c:invertIfNegative val="0"/>
          <c:dLbls>
            <c:dLbl>
              <c:idx val="0"/>
              <c:layout>
                <c:manualLayout>
                  <c:x val="0"/>
                  <c:y val="-9.4150991542723911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08-4D76-8B65-4E62EB7B7864}"/>
                </c:ext>
              </c:extLst>
            </c:dLbl>
            <c:dLbl>
              <c:idx val="1"/>
              <c:layout>
                <c:manualLayout>
                  <c:x val="0"/>
                  <c:y val="-9.9974846894138228E-2"/>
                </c:manualLayout>
              </c:layout>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rgbClr val="CF3C53"/>
                      </a:solidFill>
                      <a:latin typeface="Brown" pitchFamily="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08-4D76-8B65-4E62EB7B7864}"/>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Brown" pitchFamily="2"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Data'!$B$62:$Q$62</c:f>
              <c:numCache>
                <c:formatCode>#,##0_);[Red]\(#,##0\)</c:formatCode>
                <c:ptCount val="16"/>
                <c:pt idx="0">
                  <c:v>0</c:v>
                </c:pt>
                <c:pt idx="1">
                  <c:v>0</c:v>
                </c:pt>
                <c:pt idx="2">
                  <c:v>0</c:v>
                </c:pt>
                <c:pt idx="3">
                  <c:v>20</c:v>
                </c:pt>
                <c:pt idx="4">
                  <c:v>20</c:v>
                </c:pt>
                <c:pt idx="5">
                  <c:v>20</c:v>
                </c:pt>
                <c:pt idx="6">
                  <c:v>60</c:v>
                </c:pt>
                <c:pt idx="7">
                  <c:v>86.025000000000006</c:v>
                </c:pt>
                <c:pt idx="8">
                  <c:v>112.05000000000001</c:v>
                </c:pt>
                <c:pt idx="9">
                  <c:v>164.05</c:v>
                </c:pt>
                <c:pt idx="10">
                  <c:v>164.05</c:v>
                </c:pt>
                <c:pt idx="11">
                  <c:v>164.05</c:v>
                </c:pt>
                <c:pt idx="12">
                  <c:v>214.05</c:v>
                </c:pt>
                <c:pt idx="13">
                  <c:v>214.05</c:v>
                </c:pt>
                <c:pt idx="14">
                  <c:v>214.05</c:v>
                </c:pt>
                <c:pt idx="15">
                  <c:v>214.05</c:v>
                </c:pt>
              </c:numCache>
            </c:numRef>
          </c:val>
          <c:extLst>
            <c:ext xmlns:c16="http://schemas.microsoft.com/office/drawing/2014/chart" uri="{C3380CC4-5D6E-409C-BE32-E72D297353CC}">
              <c16:uniqueId val="{00000002-7C08-4D76-8B65-4E62EB7B7864}"/>
            </c:ext>
          </c:extLst>
        </c:ser>
        <c:ser>
          <c:idx val="1"/>
          <c:order val="1"/>
          <c:tx>
            <c:strRef>
              <c:f>'MEA Capacity Data'!$A$63</c:f>
              <c:strCache>
                <c:ptCount val="1"/>
                <c:pt idx="0">
                  <c:v>Ethanol</c:v>
                </c:pt>
              </c:strCache>
            </c:strRef>
          </c:tx>
          <c:spPr>
            <a:solidFill>
              <a:srgbClr val="3C91CF"/>
            </a:solidFill>
            <a:ln>
              <a:solidFill>
                <a:schemeClr val="tx1"/>
              </a:solidFill>
            </a:ln>
            <a:effectLst/>
          </c:spPr>
          <c:invertIfNegative val="0"/>
          <c:cat>
            <c:strRef>
              <c:f>'MEA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Data'!$B$63:$Q$63</c:f>
              <c:numCache>
                <c:formatCode>#,##0_);[Red]\(#,##0\)</c:formatCode>
                <c:ptCount val="16"/>
                <c:pt idx="0">
                  <c:v>0</c:v>
                </c:pt>
                <c:pt idx="1">
                  <c:v>0</c:v>
                </c:pt>
                <c:pt idx="2">
                  <c:v>0</c:v>
                </c:pt>
                <c:pt idx="3">
                  <c:v>0</c:v>
                </c:pt>
                <c:pt idx="4">
                  <c:v>0</c:v>
                </c:pt>
                <c:pt idx="5">
                  <c:v>0</c:v>
                </c:pt>
                <c:pt idx="6">
                  <c:v>0</c:v>
                </c:pt>
                <c:pt idx="7">
                  <c:v>0</c:v>
                </c:pt>
                <c:pt idx="8">
                  <c:v>52.05</c:v>
                </c:pt>
                <c:pt idx="9">
                  <c:v>52.05</c:v>
                </c:pt>
                <c:pt idx="10">
                  <c:v>52.05</c:v>
                </c:pt>
                <c:pt idx="11">
                  <c:v>52.05</c:v>
                </c:pt>
                <c:pt idx="12">
                  <c:v>104.1</c:v>
                </c:pt>
                <c:pt idx="13">
                  <c:v>104.1</c:v>
                </c:pt>
                <c:pt idx="14">
                  <c:v>104.1</c:v>
                </c:pt>
                <c:pt idx="15">
                  <c:v>104.1</c:v>
                </c:pt>
              </c:numCache>
            </c:numRef>
          </c:val>
          <c:extLst>
            <c:ext xmlns:c16="http://schemas.microsoft.com/office/drawing/2014/chart" uri="{C3380CC4-5D6E-409C-BE32-E72D297353CC}">
              <c16:uniqueId val="{00000003-7C08-4D76-8B65-4E62EB7B7864}"/>
            </c:ext>
          </c:extLst>
        </c:ser>
        <c:ser>
          <c:idx val="2"/>
          <c:order val="2"/>
          <c:tx>
            <c:strRef>
              <c:f>'MEA Capacity Data'!$A$64</c:f>
              <c:strCache>
                <c:ptCount val="1"/>
                <c:pt idx="0">
                  <c:v>Woody Biomass</c:v>
                </c:pt>
              </c:strCache>
            </c:strRef>
          </c:tx>
          <c:spPr>
            <a:solidFill>
              <a:srgbClr val="CFB93C"/>
            </a:solidFill>
            <a:ln>
              <a:solidFill>
                <a:schemeClr val="tx1"/>
              </a:solidFill>
            </a:ln>
            <a:effectLst/>
          </c:spPr>
          <c:invertIfNegative val="0"/>
          <c:cat>
            <c:strRef>
              <c:f>'MEA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Data'!$B$64:$Q$64</c:f>
              <c:numCache>
                <c:formatCode>#,##0_);[Red]\(#,##0\)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7C08-4D76-8B65-4E62EB7B7864}"/>
            </c:ext>
          </c:extLst>
        </c:ser>
        <c:ser>
          <c:idx val="3"/>
          <c:order val="3"/>
          <c:tx>
            <c:strRef>
              <c:f>'MEA Capacity Data'!$A$65</c:f>
              <c:strCache>
                <c:ptCount val="1"/>
                <c:pt idx="0">
                  <c:v>CCS</c:v>
                </c:pt>
              </c:strCache>
            </c:strRef>
          </c:tx>
          <c:spPr>
            <a:solidFill>
              <a:srgbClr val="63CF3C"/>
            </a:solidFill>
            <a:ln>
              <a:solidFill>
                <a:schemeClr val="tx1"/>
              </a:solidFill>
            </a:ln>
            <a:effectLst/>
          </c:spPr>
          <c:invertIfNegative val="0"/>
          <c:cat>
            <c:strRef>
              <c:f>'MEA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Data'!$B$65:$Q$65</c:f>
              <c:numCache>
                <c:formatCode>#,##0_);[Red]\(#,##0\)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7C08-4D76-8B65-4E62EB7B7864}"/>
            </c:ext>
          </c:extLst>
        </c:ser>
        <c:ser>
          <c:idx val="4"/>
          <c:order val="4"/>
          <c:tx>
            <c:strRef>
              <c:f>'MEA Capacity Data'!$A$66</c:f>
              <c:strCache>
                <c:ptCount val="1"/>
                <c:pt idx="0">
                  <c:v>MSW</c:v>
                </c:pt>
              </c:strCache>
            </c:strRef>
          </c:tx>
          <c:spPr>
            <a:solidFill>
              <a:srgbClr val="CF883C"/>
            </a:solidFill>
            <a:ln>
              <a:solidFill>
                <a:schemeClr val="tx1"/>
              </a:solidFill>
            </a:ln>
            <a:effectLst/>
          </c:spPr>
          <c:invertIfNegative val="0"/>
          <c:cat>
            <c:strRef>
              <c:f>'MEA Capacity Data'!$B$61:$Q$61</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Data'!$B$66:$Q$66</c:f>
              <c:numCache>
                <c:formatCode>#,##0_);[Red]\(#,##0\)</c:formatCode>
                <c:ptCount val="16"/>
                <c:pt idx="0">
                  <c:v>0</c:v>
                </c:pt>
                <c:pt idx="1">
                  <c:v>0</c:v>
                </c:pt>
                <c:pt idx="2">
                  <c:v>0</c:v>
                </c:pt>
                <c:pt idx="3">
                  <c:v>0</c:v>
                </c:pt>
                <c:pt idx="4">
                  <c:v>0</c:v>
                </c:pt>
                <c:pt idx="5">
                  <c:v>0</c:v>
                </c:pt>
                <c:pt idx="6">
                  <c:v>140</c:v>
                </c:pt>
                <c:pt idx="7">
                  <c:v>140</c:v>
                </c:pt>
                <c:pt idx="8">
                  <c:v>140</c:v>
                </c:pt>
                <c:pt idx="9">
                  <c:v>140</c:v>
                </c:pt>
                <c:pt idx="10">
                  <c:v>155</c:v>
                </c:pt>
                <c:pt idx="11">
                  <c:v>155</c:v>
                </c:pt>
                <c:pt idx="12">
                  <c:v>155</c:v>
                </c:pt>
                <c:pt idx="13">
                  <c:v>155</c:v>
                </c:pt>
                <c:pt idx="14">
                  <c:v>155</c:v>
                </c:pt>
                <c:pt idx="15">
                  <c:v>155</c:v>
                </c:pt>
              </c:numCache>
            </c:numRef>
          </c:val>
          <c:extLst>
            <c:ext xmlns:c16="http://schemas.microsoft.com/office/drawing/2014/chart" uri="{C3380CC4-5D6E-409C-BE32-E72D297353CC}">
              <c16:uniqueId val="{00000006-7C08-4D76-8B65-4E62EB7B7864}"/>
            </c:ext>
          </c:extLst>
        </c:ser>
        <c:dLbls>
          <c:showLegendKey val="0"/>
          <c:showVal val="0"/>
          <c:showCatName val="0"/>
          <c:showSerName val="0"/>
          <c:showPercent val="0"/>
          <c:showBubbleSize val="0"/>
        </c:dLbls>
        <c:gapWidth val="25"/>
        <c:overlap val="100"/>
        <c:axId val="1065161327"/>
        <c:axId val="1065157007"/>
      </c:barChart>
      <c:catAx>
        <c:axId val="1065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57007"/>
        <c:crosses val="autoZero"/>
        <c:auto val="1"/>
        <c:lblAlgn val="ctr"/>
        <c:lblOffset val="100"/>
        <c:noMultiLvlLbl val="0"/>
      </c:catAx>
      <c:valAx>
        <c:axId val="10651570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r>
                  <a:rPr lang="en-GB" sz="800"/>
                  <a:t>million</a:t>
                </a:r>
                <a:r>
                  <a:rPr lang="en-GB" sz="800" baseline="0"/>
                  <a:t> pounds</a:t>
                </a:r>
                <a:endParaRPr lang="en-GB"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65161327"/>
        <c:crosses val="autoZero"/>
        <c:crossBetween val="between"/>
      </c:valAx>
      <c:spPr>
        <a:noFill/>
        <a:ln w="22225">
          <a:solidFill>
            <a:srgbClr val="8C8C8C"/>
          </a:solidFill>
        </a:ln>
        <a:effectLst/>
      </c:spPr>
    </c:plotArea>
    <c:legend>
      <c:legendPos val="b"/>
      <c:layout>
        <c:manualLayout>
          <c:xMode val="edge"/>
          <c:yMode val="edge"/>
          <c:x val="0.81120188101487334"/>
          <c:y val="0.18464093030037912"/>
          <c:w val="0.18592935258092741"/>
          <c:h val="0.64869240303295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Brown" pitchFamily="2" charset="0"/>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r>
              <a:rPr lang="en-GB" b="0"/>
              <a:t>HEFA</a:t>
            </a:r>
            <a:r>
              <a:rPr lang="en-GB" b="0" baseline="0"/>
              <a:t> Remains Nearly All of Announced Supply, but ATJ could Add Two or Three Times the HEFA Capacity</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own" pitchFamily="2" charset="0"/>
              <a:ea typeface="+mn-ea"/>
              <a:cs typeface="+mn-cs"/>
            </a:defRPr>
          </a:pPr>
          <a:endParaRPr lang="en-GB"/>
        </a:p>
      </c:txPr>
    </c:title>
    <c:autoTitleDeleted val="0"/>
    <c:plotArea>
      <c:layout>
        <c:manualLayout>
          <c:layoutTarget val="inner"/>
          <c:xMode val="edge"/>
          <c:yMode val="edge"/>
          <c:x val="0.16009733158355205"/>
          <c:y val="0.33407407407407402"/>
          <c:w val="0.58443744531933506"/>
          <c:h val="0.42290427238261885"/>
        </c:manualLayout>
      </c:layout>
      <c:areaChart>
        <c:grouping val="stacked"/>
        <c:varyColors val="0"/>
        <c:ser>
          <c:idx val="0"/>
          <c:order val="0"/>
          <c:tx>
            <c:strRef>
              <c:f>'MEA Capacity Data'!$A$43</c:f>
              <c:strCache>
                <c:ptCount val="1"/>
                <c:pt idx="0">
                  <c:v>HEFA</c:v>
                </c:pt>
              </c:strCache>
            </c:strRef>
          </c:tx>
          <c:spPr>
            <a:solidFill>
              <a:srgbClr val="CF3C53"/>
            </a:solidFill>
            <a:ln>
              <a:solidFill>
                <a:schemeClr val="tx1"/>
              </a:solidFill>
            </a:ln>
            <a:effectLst/>
          </c:spPr>
          <c:cat>
            <c:strRef>
              <c:f>'MEA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Data'!$B$33:$Q$33</c:f>
              <c:numCache>
                <c:formatCode>#,##0_);[Red]\(#,##0\)</c:formatCode>
                <c:ptCount val="16"/>
                <c:pt idx="0">
                  <c:v>0</c:v>
                </c:pt>
                <c:pt idx="1">
                  <c:v>0</c:v>
                </c:pt>
                <c:pt idx="2">
                  <c:v>0</c:v>
                </c:pt>
                <c:pt idx="3">
                  <c:v>0</c:v>
                </c:pt>
                <c:pt idx="4">
                  <c:v>0</c:v>
                </c:pt>
                <c:pt idx="5">
                  <c:v>0</c:v>
                </c:pt>
                <c:pt idx="6">
                  <c:v>20</c:v>
                </c:pt>
                <c:pt idx="7">
                  <c:v>46.024999999999999</c:v>
                </c:pt>
                <c:pt idx="8">
                  <c:v>72.05</c:v>
                </c:pt>
                <c:pt idx="9">
                  <c:v>72.05</c:v>
                </c:pt>
                <c:pt idx="10">
                  <c:v>72.05</c:v>
                </c:pt>
                <c:pt idx="11">
                  <c:v>72.05</c:v>
                </c:pt>
                <c:pt idx="12">
                  <c:v>122.05</c:v>
                </c:pt>
                <c:pt idx="13">
                  <c:v>122.05</c:v>
                </c:pt>
                <c:pt idx="14">
                  <c:v>122.05</c:v>
                </c:pt>
                <c:pt idx="15">
                  <c:v>122.05</c:v>
                </c:pt>
              </c:numCache>
            </c:numRef>
          </c:val>
          <c:extLst>
            <c:ext xmlns:c16="http://schemas.microsoft.com/office/drawing/2014/chart" uri="{C3380CC4-5D6E-409C-BE32-E72D297353CC}">
              <c16:uniqueId val="{00000000-2072-4484-8360-5F72E9636F01}"/>
            </c:ext>
          </c:extLst>
        </c:ser>
        <c:ser>
          <c:idx val="1"/>
          <c:order val="1"/>
          <c:tx>
            <c:strRef>
              <c:f>'MEA Capacity Data'!$A$44</c:f>
              <c:strCache>
                <c:ptCount val="1"/>
                <c:pt idx="0">
                  <c:v>ATJ</c:v>
                </c:pt>
              </c:strCache>
            </c:strRef>
          </c:tx>
          <c:spPr>
            <a:solidFill>
              <a:srgbClr val="3C91CF"/>
            </a:solidFill>
            <a:ln>
              <a:solidFill>
                <a:schemeClr val="tx1"/>
              </a:solidFill>
            </a:ln>
            <a:effectLst/>
          </c:spPr>
          <c:cat>
            <c:strRef>
              <c:f>'MEA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Data'!$B$34:$Q$34</c:f>
              <c:numCache>
                <c:formatCode>#,##0_);[Red]\(#,##0\)</c:formatCode>
                <c:ptCount val="16"/>
                <c:pt idx="0">
                  <c:v>0</c:v>
                </c:pt>
                <c:pt idx="1">
                  <c:v>0</c:v>
                </c:pt>
                <c:pt idx="2">
                  <c:v>0</c:v>
                </c:pt>
                <c:pt idx="3">
                  <c:v>0</c:v>
                </c:pt>
                <c:pt idx="4">
                  <c:v>0</c:v>
                </c:pt>
                <c:pt idx="5">
                  <c:v>0</c:v>
                </c:pt>
                <c:pt idx="6">
                  <c:v>0</c:v>
                </c:pt>
                <c:pt idx="7">
                  <c:v>0</c:v>
                </c:pt>
                <c:pt idx="8">
                  <c:v>52.05</c:v>
                </c:pt>
                <c:pt idx="9">
                  <c:v>52.05</c:v>
                </c:pt>
                <c:pt idx="10">
                  <c:v>52.05</c:v>
                </c:pt>
                <c:pt idx="11">
                  <c:v>52.05</c:v>
                </c:pt>
                <c:pt idx="12">
                  <c:v>104.1</c:v>
                </c:pt>
                <c:pt idx="13">
                  <c:v>104.1</c:v>
                </c:pt>
                <c:pt idx="14">
                  <c:v>104.1</c:v>
                </c:pt>
                <c:pt idx="15">
                  <c:v>104.1</c:v>
                </c:pt>
              </c:numCache>
            </c:numRef>
          </c:val>
          <c:extLst>
            <c:ext xmlns:c16="http://schemas.microsoft.com/office/drawing/2014/chart" uri="{C3380CC4-5D6E-409C-BE32-E72D297353CC}">
              <c16:uniqueId val="{00000001-2072-4484-8360-5F72E9636F01}"/>
            </c:ext>
          </c:extLst>
        </c:ser>
        <c:ser>
          <c:idx val="2"/>
          <c:order val="2"/>
          <c:tx>
            <c:strRef>
              <c:f>'MEA Capacity Data'!$A$45</c:f>
              <c:strCache>
                <c:ptCount val="1"/>
                <c:pt idx="0">
                  <c:v>FT</c:v>
                </c:pt>
              </c:strCache>
            </c:strRef>
          </c:tx>
          <c:spPr>
            <a:solidFill>
              <a:srgbClr val="CFB93C"/>
            </a:solidFill>
            <a:ln>
              <a:solidFill>
                <a:schemeClr val="tx1"/>
              </a:solidFill>
            </a:ln>
            <a:effectLst/>
          </c:spPr>
          <c:cat>
            <c:strRef>
              <c:f>'MEA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Data'!$B$35:$Q$35</c:f>
              <c:numCache>
                <c:formatCode>#,##0_);[Red]\(#,##0\)</c:formatCode>
                <c:ptCount val="16"/>
                <c:pt idx="0">
                  <c:v>0</c:v>
                </c:pt>
                <c:pt idx="1">
                  <c:v>0</c:v>
                </c:pt>
                <c:pt idx="2">
                  <c:v>0</c:v>
                </c:pt>
                <c:pt idx="3">
                  <c:v>0</c:v>
                </c:pt>
                <c:pt idx="4">
                  <c:v>0</c:v>
                </c:pt>
                <c:pt idx="5">
                  <c:v>0</c:v>
                </c:pt>
                <c:pt idx="6">
                  <c:v>140</c:v>
                </c:pt>
                <c:pt idx="7">
                  <c:v>140</c:v>
                </c:pt>
                <c:pt idx="8">
                  <c:v>140</c:v>
                </c:pt>
                <c:pt idx="9">
                  <c:v>140</c:v>
                </c:pt>
                <c:pt idx="10">
                  <c:v>155</c:v>
                </c:pt>
                <c:pt idx="11">
                  <c:v>155</c:v>
                </c:pt>
                <c:pt idx="12">
                  <c:v>155</c:v>
                </c:pt>
                <c:pt idx="13">
                  <c:v>155</c:v>
                </c:pt>
                <c:pt idx="14">
                  <c:v>155</c:v>
                </c:pt>
                <c:pt idx="15">
                  <c:v>155</c:v>
                </c:pt>
              </c:numCache>
            </c:numRef>
          </c:val>
          <c:extLst>
            <c:ext xmlns:c16="http://schemas.microsoft.com/office/drawing/2014/chart" uri="{C3380CC4-5D6E-409C-BE32-E72D297353CC}">
              <c16:uniqueId val="{00000002-2072-4484-8360-5F72E9636F01}"/>
            </c:ext>
          </c:extLst>
        </c:ser>
        <c:ser>
          <c:idx val="3"/>
          <c:order val="3"/>
          <c:tx>
            <c:strRef>
              <c:f>'MEA Capacity Data'!$A$46</c:f>
              <c:strCache>
                <c:ptCount val="1"/>
                <c:pt idx="0">
                  <c:v>PTL</c:v>
                </c:pt>
              </c:strCache>
            </c:strRef>
          </c:tx>
          <c:spPr>
            <a:solidFill>
              <a:srgbClr val="63CF3C"/>
            </a:solidFill>
            <a:ln>
              <a:solidFill>
                <a:schemeClr val="tx1"/>
              </a:solidFill>
            </a:ln>
            <a:effectLst/>
          </c:spPr>
          <c:cat>
            <c:strRef>
              <c:f>'MEA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Data'!$B$36:$Q$36</c:f>
              <c:numCache>
                <c:formatCode>#,##0_);[Red]\(#,##0\)</c:formatCode>
                <c:ptCount val="16"/>
                <c:pt idx="0">
                  <c:v>0</c:v>
                </c:pt>
                <c:pt idx="1">
                  <c:v>0</c:v>
                </c:pt>
                <c:pt idx="2" formatCode="#,##0.000_);[Red]\(#,##0.000\)">
                  <c:v>0</c:v>
                </c:pt>
                <c:pt idx="3" formatCode="#,##0.000_);[Red]\(#,##0.000\)">
                  <c:v>0</c:v>
                </c:pt>
                <c:pt idx="4" formatCode="#,##0.000_);[Red]\(#,##0.000\)">
                  <c:v>0</c:v>
                </c:pt>
                <c:pt idx="5" formatCode="#,##0.000_);[Red]\(#,##0.000\)">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2072-4484-8360-5F72E9636F01}"/>
            </c:ext>
          </c:extLst>
        </c:ser>
        <c:ser>
          <c:idx val="4"/>
          <c:order val="4"/>
          <c:tx>
            <c:strRef>
              <c:f>'MEA Capacity Data'!$A$47</c:f>
              <c:strCache>
                <c:ptCount val="1"/>
                <c:pt idx="0">
                  <c:v>Pyrolysis</c:v>
                </c:pt>
              </c:strCache>
            </c:strRef>
          </c:tx>
          <c:spPr>
            <a:solidFill>
              <a:srgbClr val="CF883C"/>
            </a:solidFill>
            <a:ln>
              <a:solidFill>
                <a:schemeClr val="tx1"/>
              </a:solidFill>
            </a:ln>
            <a:effectLst/>
          </c:spPr>
          <c:cat>
            <c:strRef>
              <c:f>'MEA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Data'!$B$37:$Q$37</c:f>
              <c:numCache>
                <c:formatCode>#,##0_);[Red]\(#,##0\)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2072-4484-8360-5F72E9636F01}"/>
            </c:ext>
          </c:extLst>
        </c:ser>
        <c:ser>
          <c:idx val="5"/>
          <c:order val="5"/>
          <c:tx>
            <c:strRef>
              <c:f>'MEA Capacity Data'!$A$48</c:f>
              <c:strCache>
                <c:ptCount val="1"/>
                <c:pt idx="0">
                  <c:v>Co-Processing</c:v>
                </c:pt>
              </c:strCache>
            </c:strRef>
          </c:tx>
          <c:spPr>
            <a:solidFill>
              <a:srgbClr val="8C8C8C"/>
            </a:solidFill>
            <a:ln>
              <a:solidFill>
                <a:schemeClr val="tx1"/>
              </a:solidFill>
            </a:ln>
            <a:effectLst/>
          </c:spPr>
          <c:cat>
            <c:strRef>
              <c:f>'MEA Capacity Data'!$B$32:$Q$32</c:f>
              <c:strCache>
                <c:ptCount val="16"/>
                <c:pt idx="0">
                  <c:v>&lt; 2021</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strCache>
            </c:strRef>
          </c:cat>
          <c:val>
            <c:numRef>
              <c:f>'MEA Capacity Data'!$B$38:$Q$38</c:f>
              <c:numCache>
                <c:formatCode>#,##0_);[Red]\(#,##0\)</c:formatCode>
                <c:ptCount val="16"/>
                <c:pt idx="0">
                  <c:v>0</c:v>
                </c:pt>
                <c:pt idx="1">
                  <c:v>0</c:v>
                </c:pt>
                <c:pt idx="2">
                  <c:v>0</c:v>
                </c:pt>
                <c:pt idx="3">
                  <c:v>20</c:v>
                </c:pt>
                <c:pt idx="4">
                  <c:v>20</c:v>
                </c:pt>
                <c:pt idx="5">
                  <c:v>20</c:v>
                </c:pt>
                <c:pt idx="6">
                  <c:v>40</c:v>
                </c:pt>
                <c:pt idx="7">
                  <c:v>40</c:v>
                </c:pt>
                <c:pt idx="8">
                  <c:v>40</c:v>
                </c:pt>
                <c:pt idx="9">
                  <c:v>92</c:v>
                </c:pt>
                <c:pt idx="10">
                  <c:v>92</c:v>
                </c:pt>
                <c:pt idx="11">
                  <c:v>92</c:v>
                </c:pt>
                <c:pt idx="12">
                  <c:v>92</c:v>
                </c:pt>
                <c:pt idx="13">
                  <c:v>92</c:v>
                </c:pt>
                <c:pt idx="14">
                  <c:v>92</c:v>
                </c:pt>
                <c:pt idx="15">
                  <c:v>92</c:v>
                </c:pt>
              </c:numCache>
            </c:numRef>
          </c:val>
          <c:extLst>
            <c:ext xmlns:c16="http://schemas.microsoft.com/office/drawing/2014/chart" uri="{C3380CC4-5D6E-409C-BE32-E72D297353CC}">
              <c16:uniqueId val="{00000005-2072-4484-8360-5F72E9636F01}"/>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r>
                  <a:rPr lang="en-GB"/>
                  <a:t>million</a:t>
                </a:r>
                <a:r>
                  <a:rPr lang="en-GB" baseline="0"/>
                  <a:t> gallons</a:t>
                </a:r>
                <a:endParaRPr lang="en-GB"/>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Brown" pitchFamily="2" charset="0"/>
                  <a:ea typeface="+mn-ea"/>
                  <a:cs typeface="+mn-cs"/>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71367629046369208"/>
          <c:y val="0.33864501312335954"/>
          <c:w val="0.28632370953630804"/>
          <c:h val="0.52246609798775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Brown" pitchFamily="2" charset="0"/>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Brown" pitchFamily="2" charset="0"/>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009733158355205"/>
          <c:y val="3.3148148148148135E-2"/>
          <c:w val="0.68443744531933504"/>
          <c:h val="0.77475612423447071"/>
        </c:manualLayout>
      </c:layout>
      <c:areaChart>
        <c:grouping val="stacked"/>
        <c:varyColors val="0"/>
        <c:ser>
          <c:idx val="0"/>
          <c:order val="0"/>
          <c:tx>
            <c:strRef>
              <c:f>'MEA Capacity Data'!$A$43</c:f>
              <c:strCache>
                <c:ptCount val="1"/>
                <c:pt idx="0">
                  <c:v>HEFA</c:v>
                </c:pt>
              </c:strCache>
            </c:strRef>
          </c:tx>
          <c:spPr>
            <a:solidFill>
              <a:srgbClr val="CF3C53"/>
            </a:solidFill>
            <a:ln w="9525">
              <a:solidFill>
                <a:sysClr val="windowText" lastClr="000000"/>
              </a:solidFill>
            </a:ln>
            <a:effectLst/>
          </c:spPr>
          <c:cat>
            <c:strRef>
              <c:f>'MEA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'MEA Capacity Data'!$B$13:$L$13</c:f>
              <c:numCache>
                <c:formatCode>#,##0_);[Red]\(#,##0\)</c:formatCode>
                <c:ptCount val="11"/>
                <c:pt idx="0">
                  <c:v>0</c:v>
                </c:pt>
                <c:pt idx="1">
                  <c:v>0</c:v>
                </c:pt>
                <c:pt idx="2">
                  <c:v>0</c:v>
                </c:pt>
                <c:pt idx="3">
                  <c:v>0</c:v>
                </c:pt>
                <c:pt idx="4">
                  <c:v>0</c:v>
                </c:pt>
                <c:pt idx="5">
                  <c:v>0</c:v>
                </c:pt>
                <c:pt idx="6">
                  <c:v>15</c:v>
                </c:pt>
                <c:pt idx="7">
                  <c:v>29.313749999999999</c:v>
                </c:pt>
                <c:pt idx="8">
                  <c:v>43.627499999999998</c:v>
                </c:pt>
                <c:pt idx="9">
                  <c:v>43.627499999999998</c:v>
                </c:pt>
                <c:pt idx="10">
                  <c:v>43.627499999999998</c:v>
                </c:pt>
              </c:numCache>
            </c:numRef>
          </c:val>
          <c:extLst>
            <c:ext xmlns:c16="http://schemas.microsoft.com/office/drawing/2014/chart" uri="{C3380CC4-5D6E-409C-BE32-E72D297353CC}">
              <c16:uniqueId val="{00000000-9F75-48E8-A4FF-1D3EF282E4A8}"/>
            </c:ext>
          </c:extLst>
        </c:ser>
        <c:ser>
          <c:idx val="1"/>
          <c:order val="1"/>
          <c:tx>
            <c:strRef>
              <c:f>'MEA Capacity Data'!$A$44</c:f>
              <c:strCache>
                <c:ptCount val="1"/>
                <c:pt idx="0">
                  <c:v>ATJ</c:v>
                </c:pt>
              </c:strCache>
            </c:strRef>
          </c:tx>
          <c:spPr>
            <a:solidFill>
              <a:srgbClr val="3C91CF"/>
            </a:solidFill>
            <a:ln w="9525">
              <a:solidFill>
                <a:sysClr val="windowText" lastClr="000000"/>
              </a:solidFill>
            </a:ln>
            <a:effectLst/>
          </c:spPr>
          <c:cat>
            <c:strRef>
              <c:f>'MEA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'MEA Capacity Data'!$B$14:$L$14</c:f>
              <c:numCache>
                <c:formatCode>#,##0_);[Red]\(#,##0\)</c:formatCode>
                <c:ptCount val="11"/>
                <c:pt idx="0">
                  <c:v>0</c:v>
                </c:pt>
                <c:pt idx="1">
                  <c:v>0</c:v>
                </c:pt>
                <c:pt idx="2">
                  <c:v>0</c:v>
                </c:pt>
                <c:pt idx="3">
                  <c:v>0</c:v>
                </c:pt>
                <c:pt idx="4">
                  <c:v>0</c:v>
                </c:pt>
                <c:pt idx="5">
                  <c:v>0</c:v>
                </c:pt>
                <c:pt idx="6">
                  <c:v>0</c:v>
                </c:pt>
                <c:pt idx="7">
                  <c:v>0</c:v>
                </c:pt>
                <c:pt idx="8">
                  <c:v>28.627500000000001</c:v>
                </c:pt>
                <c:pt idx="9">
                  <c:v>28.627500000000001</c:v>
                </c:pt>
                <c:pt idx="10">
                  <c:v>28.627500000000001</c:v>
                </c:pt>
              </c:numCache>
            </c:numRef>
          </c:val>
          <c:extLst>
            <c:ext xmlns:c16="http://schemas.microsoft.com/office/drawing/2014/chart" uri="{C3380CC4-5D6E-409C-BE32-E72D297353CC}">
              <c16:uniqueId val="{00000001-9F75-48E8-A4FF-1D3EF282E4A8}"/>
            </c:ext>
          </c:extLst>
        </c:ser>
        <c:ser>
          <c:idx val="2"/>
          <c:order val="2"/>
          <c:tx>
            <c:strRef>
              <c:f>'MEA Capacity Data'!$A$45</c:f>
              <c:strCache>
                <c:ptCount val="1"/>
                <c:pt idx="0">
                  <c:v>FT</c:v>
                </c:pt>
              </c:strCache>
            </c:strRef>
          </c:tx>
          <c:spPr>
            <a:solidFill>
              <a:srgbClr val="CFB93C"/>
            </a:solidFill>
            <a:ln w="9525">
              <a:solidFill>
                <a:sysClr val="windowText" lastClr="000000"/>
              </a:solidFill>
            </a:ln>
            <a:effectLst/>
          </c:spPr>
          <c:cat>
            <c:strRef>
              <c:f>'MEA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'MEA Capacity Data'!$B$15:$L$15</c:f>
              <c:numCache>
                <c:formatCode>#,##0_);[Red]\(#,##0\)</c:formatCode>
                <c:ptCount val="11"/>
                <c:pt idx="0">
                  <c:v>0</c:v>
                </c:pt>
                <c:pt idx="1">
                  <c:v>0</c:v>
                </c:pt>
                <c:pt idx="2">
                  <c:v>0</c:v>
                </c:pt>
                <c:pt idx="3">
                  <c:v>0</c:v>
                </c:pt>
                <c:pt idx="4">
                  <c:v>0</c:v>
                </c:pt>
                <c:pt idx="5">
                  <c:v>0</c:v>
                </c:pt>
                <c:pt idx="6">
                  <c:v>77</c:v>
                </c:pt>
                <c:pt idx="7">
                  <c:v>77</c:v>
                </c:pt>
                <c:pt idx="8">
                  <c:v>77</c:v>
                </c:pt>
                <c:pt idx="9">
                  <c:v>77</c:v>
                </c:pt>
                <c:pt idx="10">
                  <c:v>83</c:v>
                </c:pt>
              </c:numCache>
            </c:numRef>
          </c:val>
          <c:extLst>
            <c:ext xmlns:c16="http://schemas.microsoft.com/office/drawing/2014/chart" uri="{C3380CC4-5D6E-409C-BE32-E72D297353CC}">
              <c16:uniqueId val="{00000002-9F75-48E8-A4FF-1D3EF282E4A8}"/>
            </c:ext>
          </c:extLst>
        </c:ser>
        <c:ser>
          <c:idx val="3"/>
          <c:order val="3"/>
          <c:tx>
            <c:strRef>
              <c:f>'MEA Capacity Data'!$A$46</c:f>
              <c:strCache>
                <c:ptCount val="1"/>
                <c:pt idx="0">
                  <c:v>PTL</c:v>
                </c:pt>
              </c:strCache>
            </c:strRef>
          </c:tx>
          <c:spPr>
            <a:solidFill>
              <a:srgbClr val="63CF3C"/>
            </a:solidFill>
            <a:ln w="9525">
              <a:solidFill>
                <a:sysClr val="windowText" lastClr="000000"/>
              </a:solidFill>
            </a:ln>
            <a:effectLst/>
          </c:spPr>
          <c:cat>
            <c:strRef>
              <c:f>'MEA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'MEA Capacity Data'!$B$16:$L$16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9F75-48E8-A4FF-1D3EF282E4A8}"/>
            </c:ext>
          </c:extLst>
        </c:ser>
        <c:ser>
          <c:idx val="4"/>
          <c:order val="4"/>
          <c:tx>
            <c:strRef>
              <c:f>'MEA Capacity Data'!$A$47</c:f>
              <c:strCache>
                <c:ptCount val="1"/>
                <c:pt idx="0">
                  <c:v>Pyrolysis</c:v>
                </c:pt>
              </c:strCache>
            </c:strRef>
          </c:tx>
          <c:spPr>
            <a:solidFill>
              <a:srgbClr val="CF883C"/>
            </a:solidFill>
            <a:ln w="9525">
              <a:solidFill>
                <a:sysClr val="windowText" lastClr="000000"/>
              </a:solidFill>
            </a:ln>
            <a:effectLst/>
          </c:spPr>
          <c:cat>
            <c:strRef>
              <c:f>'MEA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'MEA Capacity Data'!$B$17:$L$17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9F75-48E8-A4FF-1D3EF282E4A8}"/>
            </c:ext>
          </c:extLst>
        </c:ser>
        <c:ser>
          <c:idx val="5"/>
          <c:order val="5"/>
          <c:tx>
            <c:strRef>
              <c:f>'MEA Capacity Data'!$A$48</c:f>
              <c:strCache>
                <c:ptCount val="1"/>
                <c:pt idx="0">
                  <c:v>Co-Processing</c:v>
                </c:pt>
              </c:strCache>
            </c:strRef>
          </c:tx>
          <c:spPr>
            <a:solidFill>
              <a:srgbClr val="8C8C8C"/>
            </a:solidFill>
            <a:ln w="9525">
              <a:solidFill>
                <a:sysClr val="windowText" lastClr="000000"/>
              </a:solidFill>
            </a:ln>
            <a:effectLst/>
          </c:spPr>
          <c:cat>
            <c:strRef>
              <c:f>'MEA Capacity Data'!$B$12:$L$12</c:f>
              <c:strCache>
                <c:ptCount val="11"/>
                <c:pt idx="0">
                  <c:v>&lt; 2021</c:v>
                </c:pt>
                <c:pt idx="1">
                  <c:v>2021</c:v>
                </c:pt>
                <c:pt idx="2">
                  <c:v>2022</c:v>
                </c:pt>
                <c:pt idx="3">
                  <c:v>2023</c:v>
                </c:pt>
                <c:pt idx="4">
                  <c:v>2024</c:v>
                </c:pt>
                <c:pt idx="5">
                  <c:v>2025</c:v>
                </c:pt>
                <c:pt idx="6">
                  <c:v>2026</c:v>
                </c:pt>
                <c:pt idx="7">
                  <c:v>2027</c:v>
                </c:pt>
                <c:pt idx="8">
                  <c:v>2028</c:v>
                </c:pt>
                <c:pt idx="9">
                  <c:v>2029</c:v>
                </c:pt>
                <c:pt idx="10">
                  <c:v>2030</c:v>
                </c:pt>
              </c:strCache>
            </c:strRef>
          </c:cat>
          <c:val>
            <c:numRef>
              <c:f>'MEA Capacity Data'!$B$18:$L$18</c:f>
              <c:numCache>
                <c:formatCode>#,##0_);[Red]\(#,##0\)</c:formatCode>
                <c:ptCount val="11"/>
                <c:pt idx="0">
                  <c:v>0</c:v>
                </c:pt>
                <c:pt idx="1">
                  <c:v>0</c:v>
                </c:pt>
                <c:pt idx="2">
                  <c:v>0</c:v>
                </c:pt>
                <c:pt idx="3">
                  <c:v>11</c:v>
                </c:pt>
                <c:pt idx="4">
                  <c:v>11</c:v>
                </c:pt>
                <c:pt idx="5">
                  <c:v>11</c:v>
                </c:pt>
                <c:pt idx="6">
                  <c:v>26</c:v>
                </c:pt>
                <c:pt idx="7">
                  <c:v>26</c:v>
                </c:pt>
                <c:pt idx="8">
                  <c:v>26</c:v>
                </c:pt>
                <c:pt idx="9">
                  <c:v>54.6</c:v>
                </c:pt>
                <c:pt idx="10">
                  <c:v>54.6</c:v>
                </c:pt>
              </c:numCache>
            </c:numRef>
          </c:val>
          <c:extLst>
            <c:ext xmlns:c16="http://schemas.microsoft.com/office/drawing/2014/chart" uri="{C3380CC4-5D6E-409C-BE32-E72D297353CC}">
              <c16:uniqueId val="{00000005-9F75-48E8-A4FF-1D3EF282E4A8}"/>
            </c:ext>
          </c:extLst>
        </c:ser>
        <c:dLbls>
          <c:showLegendKey val="0"/>
          <c:showVal val="0"/>
          <c:showCatName val="0"/>
          <c:showSerName val="0"/>
          <c:showPercent val="0"/>
          <c:showBubbleSize val="0"/>
        </c:dLbls>
        <c:axId val="1025352720"/>
        <c:axId val="1025353200"/>
      </c:areaChart>
      <c:catAx>
        <c:axId val="102535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3200"/>
        <c:crosses val="autoZero"/>
        <c:auto val="1"/>
        <c:lblAlgn val="ctr"/>
        <c:lblOffset val="100"/>
        <c:noMultiLvlLbl val="0"/>
      </c:catAx>
      <c:valAx>
        <c:axId val="10253532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a:t>million gallons</a:t>
                </a:r>
              </a:p>
            </c:rich>
          </c:tx>
          <c:layout>
            <c:manualLayout>
              <c:xMode val="edge"/>
              <c:yMode val="edge"/>
              <c:x val="6.6666666666666671E-3"/>
              <c:y val="0.38714639836687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5352720"/>
        <c:crosses val="autoZero"/>
        <c:crossBetween val="midCat"/>
      </c:valAx>
      <c:spPr>
        <a:noFill/>
        <a:ln w="22225">
          <a:solidFill>
            <a:srgbClr val="8C8C8C"/>
          </a:solidFill>
        </a:ln>
        <a:effectLst/>
      </c:spPr>
    </c:plotArea>
    <c:legend>
      <c:legendPos val="b"/>
      <c:layout>
        <c:manualLayout>
          <c:xMode val="edge"/>
          <c:yMode val="edge"/>
          <c:x val="0.84700962379702527"/>
          <c:y val="6.0867235345581784E-2"/>
          <c:w val="0.15299037620297462"/>
          <c:h val="0.80024387576552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solidFill>
                <a:latin typeface="+mj-lt"/>
                <a:ea typeface="+mn-ea"/>
                <a:cs typeface="Arial" panose="020B0604020202020204" pitchFamily="34" charset="0"/>
              </a:defRPr>
            </a:pPr>
            <a:r>
              <a:rPr lang="en-GB"/>
              <a:t>Announced HEFA Capacity by Region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j-lt"/>
              <a:ea typeface="+mn-ea"/>
              <a:cs typeface="Arial" panose="020B0604020202020204" pitchFamily="34" charset="0"/>
            </a:defRPr>
          </a:pPr>
          <a:endParaRPr lang="en-US"/>
        </a:p>
      </c:txPr>
    </c:title>
    <c:autoTitleDeleted val="0"/>
    <c:plotArea>
      <c:layout>
        <c:manualLayout>
          <c:layoutTarget val="inner"/>
          <c:xMode val="edge"/>
          <c:yMode val="edge"/>
          <c:x val="8.8442820617047155E-2"/>
          <c:y val="0.10129166364556003"/>
          <c:w val="0.74641974422840751"/>
          <c:h val="0.7852694975760709"/>
        </c:manualLayout>
      </c:layout>
      <c:areaChart>
        <c:grouping val="stacked"/>
        <c:varyColors val="0"/>
        <c:ser>
          <c:idx val="1"/>
          <c:order val="0"/>
          <c:tx>
            <c:strRef>
              <c:f>'Capacity by Region'!$Q$4</c:f>
              <c:strCache>
                <c:ptCount val="1"/>
                <c:pt idx="0">
                  <c:v>North America</c:v>
                </c:pt>
              </c:strCache>
            </c:strRef>
          </c:tx>
          <c:spPr>
            <a:solidFill>
              <a:srgbClr val="CF3C53"/>
            </a:solidFill>
            <a:ln w="25400">
              <a:no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Region'!$R$4:$AD$4</c15:sqref>
                  </c15:fullRef>
                </c:ext>
              </c:extLst>
              <c:f>'Capacity by Region'!$R$4:$Y$4</c:f>
              <c:numCache>
                <c:formatCode>0.0</c:formatCode>
                <c:ptCount val="8"/>
                <c:pt idx="0">
                  <c:v>1.8258925135000001</c:v>
                </c:pt>
                <c:pt idx="1">
                  <c:v>4.9597388172499999</c:v>
                </c:pt>
                <c:pt idx="2">
                  <c:v>6.5110217906280008</c:v>
                </c:pt>
                <c:pt idx="3">
                  <c:v>7.9863474840280011</c:v>
                </c:pt>
                <c:pt idx="4">
                  <c:v>10.556167697778001</c:v>
                </c:pt>
                <c:pt idx="5">
                  <c:v>10.596387679028002</c:v>
                </c:pt>
                <c:pt idx="6">
                  <c:v>10.730769734028001</c:v>
                </c:pt>
                <c:pt idx="7">
                  <c:v>10.749696784028002</c:v>
                </c:pt>
              </c:numCache>
            </c:numRef>
          </c:val>
          <c:extLst>
            <c:ext xmlns:c16="http://schemas.microsoft.com/office/drawing/2014/chart" uri="{C3380CC4-5D6E-409C-BE32-E72D297353CC}">
              <c16:uniqueId val="{00000000-A857-4C0C-80E4-D1BC922EC543}"/>
            </c:ext>
          </c:extLst>
        </c:ser>
        <c:ser>
          <c:idx val="3"/>
          <c:order val="1"/>
          <c:tx>
            <c:strRef>
              <c:f>'Capacity by Region'!$Q$5</c:f>
              <c:strCache>
                <c:ptCount val="1"/>
                <c:pt idx="0">
                  <c:v>Europe</c:v>
                </c:pt>
              </c:strCache>
            </c:strRef>
          </c:tx>
          <c:spPr>
            <a:solidFill>
              <a:schemeClr val="accent4"/>
            </a:solidFill>
            <a:ln w="25400">
              <a:no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Region'!$R$5:$AD$5</c15:sqref>
                  </c15:fullRef>
                </c:ext>
              </c:extLst>
              <c:f>'Capacity by Region'!$R$5:$Y$5</c:f>
              <c:numCache>
                <c:formatCode>0.0</c:formatCode>
                <c:ptCount val="8"/>
                <c:pt idx="0">
                  <c:v>0.63083857650000008</c:v>
                </c:pt>
                <c:pt idx="1">
                  <c:v>0.9688435135150002</c:v>
                </c:pt>
                <c:pt idx="2">
                  <c:v>3.74865149228925</c:v>
                </c:pt>
                <c:pt idx="3">
                  <c:v>4.2381364241922501</c:v>
                </c:pt>
                <c:pt idx="4">
                  <c:v>4.5985003585484998</c:v>
                </c:pt>
                <c:pt idx="5">
                  <c:v>4.7922149298885</c:v>
                </c:pt>
                <c:pt idx="6">
                  <c:v>4.7922149298885</c:v>
                </c:pt>
                <c:pt idx="7">
                  <c:v>4.8265675256385006</c:v>
                </c:pt>
              </c:numCache>
            </c:numRef>
          </c:val>
          <c:extLst>
            <c:ext xmlns:c16="http://schemas.microsoft.com/office/drawing/2014/chart" uri="{C3380CC4-5D6E-409C-BE32-E72D297353CC}">
              <c16:uniqueId val="{00000001-A857-4C0C-80E4-D1BC922EC543}"/>
            </c:ext>
          </c:extLst>
        </c:ser>
        <c:ser>
          <c:idx val="0"/>
          <c:order val="2"/>
          <c:tx>
            <c:strRef>
              <c:f>'Capacity by Region'!$A$31</c:f>
              <c:strCache>
                <c:ptCount val="1"/>
                <c:pt idx="0">
                  <c:v>Asia</c:v>
                </c:pt>
              </c:strCache>
            </c:strRef>
          </c:tx>
          <c:spPr>
            <a:solidFill>
              <a:srgbClr val="6F0791"/>
            </a:solidFill>
            <a:ln>
              <a:no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Region'!$R$6:$AD$6</c15:sqref>
                  </c15:fullRef>
                </c:ext>
              </c:extLst>
              <c:f>'Capacity by Region'!$R$6:$Y$6</c:f>
              <c:numCache>
                <c:formatCode>0.0</c:formatCode>
                <c:ptCount val="8"/>
                <c:pt idx="0">
                  <c:v>1.52173482</c:v>
                </c:pt>
                <c:pt idx="1">
                  <c:v>1.7966857094687501</c:v>
                </c:pt>
                <c:pt idx="2">
                  <c:v>2.6970551307642499</c:v>
                </c:pt>
                <c:pt idx="3">
                  <c:v>3.4862236854529995</c:v>
                </c:pt>
                <c:pt idx="4">
                  <c:v>3.4862236854529995</c:v>
                </c:pt>
                <c:pt idx="5">
                  <c:v>3.7569421269277998</c:v>
                </c:pt>
                <c:pt idx="6">
                  <c:v>3.7569421269277998</c:v>
                </c:pt>
                <c:pt idx="7">
                  <c:v>4.0040347646778001</c:v>
                </c:pt>
              </c:numCache>
            </c:numRef>
          </c:val>
          <c:extLst>
            <c:ext xmlns:c16="http://schemas.microsoft.com/office/drawing/2014/chart" uri="{C3380CC4-5D6E-409C-BE32-E72D297353CC}">
              <c16:uniqueId val="{00000002-A857-4C0C-80E4-D1BC922EC543}"/>
            </c:ext>
          </c:extLst>
        </c:ser>
        <c:ser>
          <c:idx val="2"/>
          <c:order val="3"/>
          <c:tx>
            <c:strRef>
              <c:f>'Capacity by Region'!$A$10</c:f>
              <c:strCache>
                <c:ptCount val="1"/>
                <c:pt idx="0">
                  <c:v>South America</c:v>
                </c:pt>
              </c:strCache>
            </c:strRef>
          </c:tx>
          <c:spPr>
            <a:solidFill>
              <a:srgbClr val="FFC000"/>
            </a:solidFill>
            <a:ln w="25400">
              <a:no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Region'!$R$7:$AD$7</c15:sqref>
                  </c15:fullRef>
                </c:ext>
              </c:extLst>
              <c:f>'Capacity by Region'!$R$7:$Y$7</c:f>
              <c:numCache>
                <c:formatCode>0.0</c:formatCode>
                <c:ptCount val="8"/>
                <c:pt idx="0">
                  <c:v>0</c:v>
                </c:pt>
                <c:pt idx="1">
                  <c:v>0</c:v>
                </c:pt>
                <c:pt idx="2">
                  <c:v>0.44516421600000006</c:v>
                </c:pt>
                <c:pt idx="3">
                  <c:v>0.63254201100000007</c:v>
                </c:pt>
                <c:pt idx="4">
                  <c:v>0.97890702600000012</c:v>
                </c:pt>
                <c:pt idx="5">
                  <c:v>1.23424050132</c:v>
                </c:pt>
                <c:pt idx="6">
                  <c:v>1.32897038657</c:v>
                </c:pt>
                <c:pt idx="7">
                  <c:v>1.5043654662149999</c:v>
                </c:pt>
              </c:numCache>
            </c:numRef>
          </c:val>
          <c:extLst>
            <c:ext xmlns:c16="http://schemas.microsoft.com/office/drawing/2014/chart" uri="{C3380CC4-5D6E-409C-BE32-E72D297353CC}">
              <c16:uniqueId val="{00000003-A857-4C0C-80E4-D1BC922EC543}"/>
            </c:ext>
          </c:extLst>
        </c:ser>
        <c:ser>
          <c:idx val="4"/>
          <c:order val="4"/>
          <c:tx>
            <c:strRef>
              <c:f>'Capacity by Region'!$A$24</c:f>
              <c:strCache>
                <c:ptCount val="1"/>
                <c:pt idx="0">
                  <c:v>Middle East/Africa</c:v>
                </c:pt>
              </c:strCache>
            </c:strRef>
          </c:tx>
          <c:spPr>
            <a:solidFill>
              <a:schemeClr val="accent5"/>
            </a:solidFill>
            <a:ln w="25400">
              <a:no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Region'!$R$8:$AD$8</c15:sqref>
                  </c15:fullRef>
                </c:ext>
              </c:extLst>
              <c:f>'Capacity by Region'!$R$8:$Y$8</c:f>
              <c:numCache>
                <c:formatCode>0.0</c:formatCode>
                <c:ptCount val="8"/>
                <c:pt idx="0">
                  <c:v>0</c:v>
                </c:pt>
                <c:pt idx="1">
                  <c:v>0</c:v>
                </c:pt>
                <c:pt idx="2">
                  <c:v>0</c:v>
                </c:pt>
                <c:pt idx="3">
                  <c:v>5.6781150000000002E-2</c:v>
                </c:pt>
                <c:pt idx="4">
                  <c:v>0.11096456238749999</c:v>
                </c:pt>
                <c:pt idx="5">
                  <c:v>0.16514797477499998</c:v>
                </c:pt>
                <c:pt idx="6">
                  <c:v>0.16514797477499998</c:v>
                </c:pt>
                <c:pt idx="7">
                  <c:v>0.16514797477499998</c:v>
                </c:pt>
              </c:numCache>
            </c:numRef>
          </c:val>
          <c:extLst>
            <c:ext xmlns:c16="http://schemas.microsoft.com/office/drawing/2014/chart" uri="{C3380CC4-5D6E-409C-BE32-E72D297353CC}">
              <c16:uniqueId val="{00000004-A857-4C0C-80E4-D1BC922EC543}"/>
            </c:ext>
          </c:extLst>
        </c:ser>
        <c:dLbls>
          <c:showLegendKey val="0"/>
          <c:showVal val="0"/>
          <c:showCatName val="0"/>
          <c:showSerName val="0"/>
          <c:showPercent val="0"/>
          <c:showBubbleSize val="0"/>
        </c:dLbls>
        <c:axId val="633827167"/>
        <c:axId val="633830047"/>
      </c:areaChart>
      <c:catAx>
        <c:axId val="6338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US"/>
          </a:p>
        </c:txPr>
        <c:crossAx val="633830047"/>
        <c:crosses val="autoZero"/>
        <c:auto val="1"/>
        <c:lblAlgn val="ctr"/>
        <c:lblOffset val="100"/>
        <c:noMultiLvlLbl val="0"/>
      </c:catAx>
      <c:valAx>
        <c:axId val="63383004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r>
                  <a:rPr lang="en-GB"/>
                  <a:t>Announced Capacity </a:t>
                </a:r>
                <a:br>
                  <a:rPr lang="en-GB"/>
                </a:br>
                <a:r>
                  <a:rPr lang="en-GB"/>
                  <a:t>(billion</a:t>
                </a:r>
                <a:r>
                  <a:rPr lang="en-GB" baseline="0"/>
                  <a:t> liiters</a:t>
                </a:r>
                <a:r>
                  <a:rPr lang="en-GB"/>
                  <a:t>/yr, probability adjusted)</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US"/>
          </a:p>
        </c:txPr>
        <c:crossAx val="633827167"/>
        <c:crosses val="autoZero"/>
        <c:crossBetween val="midCat"/>
      </c:valAx>
      <c:spPr>
        <a:noFill/>
        <a:ln w="22225">
          <a:solidFill>
            <a:srgbClr val="8C8C8C"/>
          </a:solidFill>
        </a:ln>
        <a:effectLst/>
      </c:spPr>
    </c:plotArea>
    <c:legend>
      <c:legendPos val="b"/>
      <c:layout>
        <c:manualLayout>
          <c:xMode val="edge"/>
          <c:yMode val="edge"/>
          <c:x val="0.82774722364461617"/>
          <c:y val="0.31953047535724699"/>
          <c:w val="0.17038249120594284"/>
          <c:h val="0.3915806357538640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chemeClr val="tx1"/>
          </a:solidFill>
          <a:latin typeface="+mj-lt"/>
          <a:cs typeface="Arial" panose="020B0604020202020204" pitchFamily="34" charset="0"/>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solidFill>
                <a:latin typeface="+mj-lt"/>
                <a:ea typeface="+mn-ea"/>
                <a:cs typeface="Arial" panose="020B0604020202020204" pitchFamily="34" charset="0"/>
              </a:defRPr>
            </a:pPr>
            <a:r>
              <a:rPr lang="en-GB"/>
              <a:t>Announced HEFA Capacity by Region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j-lt"/>
              <a:ea typeface="+mn-ea"/>
              <a:cs typeface="Arial" panose="020B0604020202020204" pitchFamily="34" charset="0"/>
            </a:defRPr>
          </a:pPr>
          <a:endParaRPr lang="en-US"/>
        </a:p>
      </c:txPr>
    </c:title>
    <c:autoTitleDeleted val="0"/>
    <c:plotArea>
      <c:layout>
        <c:manualLayout>
          <c:layoutTarget val="inner"/>
          <c:xMode val="edge"/>
          <c:yMode val="edge"/>
          <c:x val="8.8442820617047155E-2"/>
          <c:y val="0.10129166364556003"/>
          <c:w val="0.74641974422840751"/>
          <c:h val="0.7852694975760709"/>
        </c:manualLayout>
      </c:layout>
      <c:areaChart>
        <c:grouping val="stacked"/>
        <c:varyColors val="0"/>
        <c:ser>
          <c:idx val="0"/>
          <c:order val="0"/>
          <c:tx>
            <c:strRef>
              <c:f>'Capacity by Region'!$A$31</c:f>
              <c:strCache>
                <c:ptCount val="1"/>
                <c:pt idx="0">
                  <c:v>Asia</c:v>
                </c:pt>
              </c:strCache>
            </c:strRef>
          </c:tx>
          <c:spPr>
            <a:solidFill>
              <a:srgbClr val="CF3C53"/>
            </a:solidFill>
            <a:ln w="9525">
              <a:solidFill>
                <a:schemeClr val="tx1"/>
              </a:solid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Region'!$C$32:$O$32</c15:sqref>
                  </c15:fullRef>
                </c:ext>
              </c:extLst>
              <c:f>'Capacity by Region'!$C$32:$J$32</c:f>
              <c:numCache>
                <c:formatCode>#,##0_);[Red]\(#,##0\)</c:formatCode>
                <c:ptCount val="8"/>
                <c:pt idx="0">
                  <c:v>402</c:v>
                </c:pt>
                <c:pt idx="1">
                  <c:v>474.63437499999998</c:v>
                </c:pt>
                <c:pt idx="2">
                  <c:v>712.48692499999993</c:v>
                </c:pt>
                <c:pt idx="3">
                  <c:v>920.96329999999989</c:v>
                </c:pt>
                <c:pt idx="4">
                  <c:v>920.96329999999989</c:v>
                </c:pt>
                <c:pt idx="5">
                  <c:v>992.47957999999994</c:v>
                </c:pt>
                <c:pt idx="6">
                  <c:v>992.47957999999994</c:v>
                </c:pt>
                <c:pt idx="7">
                  <c:v>1057.75458</c:v>
                </c:pt>
              </c:numCache>
            </c:numRef>
          </c:val>
          <c:extLst>
            <c:ext xmlns:c16="http://schemas.microsoft.com/office/drawing/2014/chart" uri="{C3380CC4-5D6E-409C-BE32-E72D297353CC}">
              <c16:uniqueId val="{00000000-79EC-44D3-B421-8D5A088FE4BE}"/>
            </c:ext>
          </c:extLst>
        </c:ser>
        <c:ser>
          <c:idx val="1"/>
          <c:order val="1"/>
          <c:tx>
            <c:strRef>
              <c:f>'Capacity by Region'!$A$3</c:f>
              <c:strCache>
                <c:ptCount val="1"/>
                <c:pt idx="0">
                  <c:v>North America</c:v>
                </c:pt>
              </c:strCache>
            </c:strRef>
          </c:tx>
          <c:spPr>
            <a:solidFill>
              <a:srgbClr val="63CF3C"/>
            </a:solidFill>
            <a:ln w="9525">
              <a:solidFill>
                <a:schemeClr val="tx1"/>
              </a:solid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Region'!$C$4:$O$4</c15:sqref>
                  </c15:fullRef>
                </c:ext>
              </c:extLst>
              <c:f>'Capacity by Region'!$C$4:$J$4</c:f>
              <c:numCache>
                <c:formatCode>#,##0_);[Red]\(#,##0\)</c:formatCode>
                <c:ptCount val="8"/>
                <c:pt idx="0">
                  <c:v>482.35</c:v>
                </c:pt>
                <c:pt idx="1">
                  <c:v>1310.2249999999999</c:v>
                </c:pt>
                <c:pt idx="2">
                  <c:v>1720.0308</c:v>
                </c:pt>
                <c:pt idx="3">
                  <c:v>2109.7708000000002</c:v>
                </c:pt>
                <c:pt idx="4">
                  <c:v>2788.6458000000002</c:v>
                </c:pt>
                <c:pt idx="5">
                  <c:v>2799.2708000000002</c:v>
                </c:pt>
                <c:pt idx="6">
                  <c:v>2834.7708000000002</c:v>
                </c:pt>
                <c:pt idx="7">
                  <c:v>2839.7708000000002</c:v>
                </c:pt>
              </c:numCache>
            </c:numRef>
          </c:val>
          <c:extLst>
            <c:ext xmlns:c16="http://schemas.microsoft.com/office/drawing/2014/chart" uri="{C3380CC4-5D6E-409C-BE32-E72D297353CC}">
              <c16:uniqueId val="{00000001-79EC-44D3-B421-8D5A088FE4BE}"/>
            </c:ext>
          </c:extLst>
        </c:ser>
        <c:ser>
          <c:idx val="2"/>
          <c:order val="2"/>
          <c:tx>
            <c:strRef>
              <c:f>'Capacity by Region'!$A$10</c:f>
              <c:strCache>
                <c:ptCount val="1"/>
                <c:pt idx="0">
                  <c:v>South America</c:v>
                </c:pt>
              </c:strCache>
            </c:strRef>
          </c:tx>
          <c:spPr>
            <a:solidFill>
              <a:srgbClr val="CFB93C"/>
            </a:solidFill>
            <a:ln w="9525">
              <a:solidFill>
                <a:schemeClr val="tx1"/>
              </a:solid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Region'!$C$11:$O$11</c15:sqref>
                  </c15:fullRef>
                </c:ext>
              </c:extLst>
              <c:f>'Capacity by Region'!$C$11:$J$11</c:f>
              <c:numCache>
                <c:formatCode>#,##0_);[Red]\(#,##0\)</c:formatCode>
                <c:ptCount val="8"/>
                <c:pt idx="0">
                  <c:v>0</c:v>
                </c:pt>
                <c:pt idx="1">
                  <c:v>0</c:v>
                </c:pt>
                <c:pt idx="2">
                  <c:v>117.60000000000001</c:v>
                </c:pt>
                <c:pt idx="3">
                  <c:v>167.10000000000002</c:v>
                </c:pt>
                <c:pt idx="4">
                  <c:v>258.60000000000002</c:v>
                </c:pt>
                <c:pt idx="5">
                  <c:v>326.05200000000002</c:v>
                </c:pt>
                <c:pt idx="6">
                  <c:v>351.077</c:v>
                </c:pt>
                <c:pt idx="7">
                  <c:v>397.41149999999999</c:v>
                </c:pt>
              </c:numCache>
            </c:numRef>
          </c:val>
          <c:extLst>
            <c:ext xmlns:c16="http://schemas.microsoft.com/office/drawing/2014/chart" uri="{C3380CC4-5D6E-409C-BE32-E72D297353CC}">
              <c16:uniqueId val="{00000002-79EC-44D3-B421-8D5A088FE4BE}"/>
            </c:ext>
          </c:extLst>
        </c:ser>
        <c:ser>
          <c:idx val="3"/>
          <c:order val="3"/>
          <c:tx>
            <c:strRef>
              <c:f>'Capacity by Region'!$A$17</c:f>
              <c:strCache>
                <c:ptCount val="1"/>
                <c:pt idx="0">
                  <c:v>Europe</c:v>
                </c:pt>
              </c:strCache>
            </c:strRef>
          </c:tx>
          <c:spPr>
            <a:solidFill>
              <a:srgbClr val="CF883C"/>
            </a:solidFill>
            <a:ln w="9525">
              <a:solidFill>
                <a:schemeClr val="tx1"/>
              </a:solid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Region'!$C$18:$O$18</c15:sqref>
                  </c15:fullRef>
                </c:ext>
              </c:extLst>
              <c:f>'Capacity by Region'!$C$18:$J$18</c:f>
              <c:numCache>
                <c:formatCode>#,##0_);[Red]\(#,##0\)</c:formatCode>
                <c:ptCount val="8"/>
                <c:pt idx="0">
                  <c:v>166.65</c:v>
                </c:pt>
                <c:pt idx="1">
                  <c:v>255.94150000000002</c:v>
                </c:pt>
                <c:pt idx="2">
                  <c:v>990.28942500000005</c:v>
                </c:pt>
                <c:pt idx="3">
                  <c:v>1119.5977250000001</c:v>
                </c:pt>
                <c:pt idx="4">
                  <c:v>1214.79585</c:v>
                </c:pt>
                <c:pt idx="5">
                  <c:v>1265.96985</c:v>
                </c:pt>
                <c:pt idx="6">
                  <c:v>1265.96985</c:v>
                </c:pt>
                <c:pt idx="7">
                  <c:v>1275.04485</c:v>
                </c:pt>
              </c:numCache>
            </c:numRef>
          </c:val>
          <c:extLst>
            <c:ext xmlns:c16="http://schemas.microsoft.com/office/drawing/2014/chart" uri="{C3380CC4-5D6E-409C-BE32-E72D297353CC}">
              <c16:uniqueId val="{00000003-79EC-44D3-B421-8D5A088FE4BE}"/>
            </c:ext>
          </c:extLst>
        </c:ser>
        <c:ser>
          <c:idx val="4"/>
          <c:order val="4"/>
          <c:tx>
            <c:strRef>
              <c:f>'Capacity by Region'!$A$24</c:f>
              <c:strCache>
                <c:ptCount val="1"/>
                <c:pt idx="0">
                  <c:v>Middle East/Africa</c:v>
                </c:pt>
              </c:strCache>
            </c:strRef>
          </c:tx>
          <c:spPr>
            <a:solidFill>
              <a:srgbClr val="3C91CF"/>
            </a:solidFill>
            <a:ln w="9525">
              <a:solidFill>
                <a:schemeClr val="tx1"/>
              </a:solidFill>
            </a:ln>
            <a:effectLst/>
          </c:spPr>
          <c:cat>
            <c:numRef>
              <c:extLst>
                <c:ext xmlns:c15="http://schemas.microsoft.com/office/drawing/2012/chart" uri="{02D57815-91ED-43cb-92C2-25804820EDAC}">
                  <c15:fullRef>
                    <c15:sqref>'Capacity by Region'!$C$2:$O$2</c15:sqref>
                  </c15:fullRef>
                </c:ext>
              </c:extLst>
              <c:f>'Capacity by Region'!$C$2:$J$2</c:f>
              <c:numCache>
                <c:formatCode>General</c:formatCode>
                <c:ptCount val="8"/>
                <c:pt idx="0">
                  <c:v>2023</c:v>
                </c:pt>
                <c:pt idx="1">
                  <c:v>2024</c:v>
                </c:pt>
                <c:pt idx="2">
                  <c:v>2025</c:v>
                </c:pt>
                <c:pt idx="3">
                  <c:v>2026</c:v>
                </c:pt>
                <c:pt idx="4">
                  <c:v>2027</c:v>
                </c:pt>
                <c:pt idx="5">
                  <c:v>2028</c:v>
                </c:pt>
                <c:pt idx="6">
                  <c:v>2029</c:v>
                </c:pt>
                <c:pt idx="7">
                  <c:v>2030</c:v>
                </c:pt>
              </c:numCache>
            </c:numRef>
          </c:cat>
          <c:val>
            <c:numRef>
              <c:extLst>
                <c:ext xmlns:c15="http://schemas.microsoft.com/office/drawing/2012/chart" uri="{02D57815-91ED-43cb-92C2-25804820EDAC}">
                  <c15:fullRef>
                    <c15:sqref>'Capacity by Region'!$C$25:$O$25</c15:sqref>
                  </c15:fullRef>
                </c:ext>
              </c:extLst>
              <c:f>'Capacity by Region'!$C$25:$J$25</c:f>
              <c:numCache>
                <c:formatCode>#,##0_);[Red]\(#,##0\)</c:formatCode>
                <c:ptCount val="8"/>
                <c:pt idx="0">
                  <c:v>0</c:v>
                </c:pt>
                <c:pt idx="1">
                  <c:v>0</c:v>
                </c:pt>
                <c:pt idx="2">
                  <c:v>0</c:v>
                </c:pt>
                <c:pt idx="3">
                  <c:v>15</c:v>
                </c:pt>
                <c:pt idx="4">
                  <c:v>29.313749999999999</c:v>
                </c:pt>
                <c:pt idx="5">
                  <c:v>43.627499999999998</c:v>
                </c:pt>
                <c:pt idx="6">
                  <c:v>43.627499999999998</c:v>
                </c:pt>
                <c:pt idx="7">
                  <c:v>43.627499999999998</c:v>
                </c:pt>
              </c:numCache>
            </c:numRef>
          </c:val>
          <c:extLst>
            <c:ext xmlns:c16="http://schemas.microsoft.com/office/drawing/2014/chart" uri="{C3380CC4-5D6E-409C-BE32-E72D297353CC}">
              <c16:uniqueId val="{00000004-79EC-44D3-B421-8D5A088FE4BE}"/>
            </c:ext>
          </c:extLst>
        </c:ser>
        <c:dLbls>
          <c:showLegendKey val="0"/>
          <c:showVal val="0"/>
          <c:showCatName val="0"/>
          <c:showSerName val="0"/>
          <c:showPercent val="0"/>
          <c:showBubbleSize val="0"/>
        </c:dLbls>
        <c:axId val="633827167"/>
        <c:axId val="633830047"/>
      </c:areaChart>
      <c:catAx>
        <c:axId val="6338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US"/>
          </a:p>
        </c:txPr>
        <c:crossAx val="633830047"/>
        <c:crosses val="autoZero"/>
        <c:auto val="1"/>
        <c:lblAlgn val="ctr"/>
        <c:lblOffset val="100"/>
        <c:noMultiLvlLbl val="0"/>
      </c:catAx>
      <c:valAx>
        <c:axId val="63383004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r>
                  <a:rPr lang="en-GB"/>
                  <a:t>Announced Capacity (mm gal/yr, probability adjusted)</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US"/>
          </a:p>
        </c:txPr>
        <c:crossAx val="633827167"/>
        <c:crosses val="autoZero"/>
        <c:crossBetween val="midCat"/>
      </c:valAx>
      <c:spPr>
        <a:noFill/>
        <a:ln w="22225">
          <a:solidFill>
            <a:srgbClr val="8C8C8C"/>
          </a:solidFill>
        </a:ln>
        <a:effectLst/>
      </c:spPr>
    </c:plotArea>
    <c:legend>
      <c:legendPos val="b"/>
      <c:layout>
        <c:manualLayout>
          <c:xMode val="edge"/>
          <c:yMode val="edge"/>
          <c:x val="0.82649105137421319"/>
          <c:y val="0.10505929059116881"/>
          <c:w val="0.17038249120594284"/>
          <c:h val="0.774296773613195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j-lt"/>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chemeClr val="tx1"/>
          </a:solidFill>
          <a:latin typeface="+mj-lt"/>
          <a:cs typeface="Arial" panose="020B0604020202020204" pitchFamily="34" charset="0"/>
        </a:defRPr>
      </a:pPr>
      <a:endParaRPr lang="en-US"/>
    </a:p>
  </c:txPr>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2800"/>
              <a:t>Announced AtJ Capacity by Region</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8807796348088205E-2"/>
          <c:y val="0.10867182329182107"/>
          <c:w val="0.73949054210804965"/>
          <c:h val="0.73442223710265342"/>
        </c:manualLayout>
      </c:layout>
      <c:areaChart>
        <c:grouping val="stacked"/>
        <c:varyColors val="0"/>
        <c:ser>
          <c:idx val="0"/>
          <c:order val="0"/>
          <c:tx>
            <c:strRef>
              <c:f>'Capacity by Region'!$A$31</c:f>
              <c:strCache>
                <c:ptCount val="1"/>
                <c:pt idx="0">
                  <c:v>Asia</c:v>
                </c:pt>
              </c:strCache>
            </c:strRef>
          </c:tx>
          <c:spPr>
            <a:solidFill>
              <a:srgbClr val="CF3C53"/>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Region'!$C$33:$O$33</c:f>
              <c:numCache>
                <c:formatCode>#,##0_);[Red]\(#,##0\)</c:formatCode>
                <c:ptCount val="13"/>
                <c:pt idx="0">
                  <c:v>0</c:v>
                </c:pt>
                <c:pt idx="1">
                  <c:v>0</c:v>
                </c:pt>
                <c:pt idx="2">
                  <c:v>0</c:v>
                </c:pt>
                <c:pt idx="3">
                  <c:v>0</c:v>
                </c:pt>
                <c:pt idx="4">
                  <c:v>99.859375</c:v>
                </c:pt>
                <c:pt idx="5">
                  <c:v>99.859375</c:v>
                </c:pt>
                <c:pt idx="6">
                  <c:v>126.004575</c:v>
                </c:pt>
                <c:pt idx="7">
                  <c:v>253.39782500000001</c:v>
                </c:pt>
                <c:pt idx="8">
                  <c:v>253.39782500000001</c:v>
                </c:pt>
                <c:pt idx="9">
                  <c:v>264.19782500000002</c:v>
                </c:pt>
                <c:pt idx="10">
                  <c:v>264.19782500000002</c:v>
                </c:pt>
                <c:pt idx="11">
                  <c:v>264.19782500000002</c:v>
                </c:pt>
                <c:pt idx="12">
                  <c:v>264.19782500000002</c:v>
                </c:pt>
              </c:numCache>
            </c:numRef>
          </c:val>
          <c:extLst>
            <c:ext xmlns:c16="http://schemas.microsoft.com/office/drawing/2014/chart" uri="{C3380CC4-5D6E-409C-BE32-E72D297353CC}">
              <c16:uniqueId val="{00000000-D9F0-4129-B1B2-6775FCF2FD84}"/>
            </c:ext>
          </c:extLst>
        </c:ser>
        <c:ser>
          <c:idx val="1"/>
          <c:order val="1"/>
          <c:tx>
            <c:strRef>
              <c:f>'Capacity by Region'!$A$3</c:f>
              <c:strCache>
                <c:ptCount val="1"/>
                <c:pt idx="0">
                  <c:v>North America</c:v>
                </c:pt>
              </c:strCache>
            </c:strRef>
          </c:tx>
          <c:spPr>
            <a:solidFill>
              <a:srgbClr val="63CF3C"/>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Region'!$C$5:$O$5</c:f>
              <c:numCache>
                <c:formatCode>#,##0_);[Red]\(#,##0\)</c:formatCode>
                <c:ptCount val="13"/>
                <c:pt idx="0">
                  <c:v>3.0001000000000002</c:v>
                </c:pt>
                <c:pt idx="1">
                  <c:v>12.0001</c:v>
                </c:pt>
                <c:pt idx="2">
                  <c:v>63.545725000000004</c:v>
                </c:pt>
                <c:pt idx="3">
                  <c:v>236.045725</c:v>
                </c:pt>
                <c:pt idx="4">
                  <c:v>481.045725</c:v>
                </c:pt>
                <c:pt idx="5">
                  <c:v>597.29572499999995</c:v>
                </c:pt>
                <c:pt idx="6">
                  <c:v>604.79572499999995</c:v>
                </c:pt>
                <c:pt idx="7">
                  <c:v>604.79572499999995</c:v>
                </c:pt>
                <c:pt idx="8">
                  <c:v>608.19772499999999</c:v>
                </c:pt>
                <c:pt idx="9">
                  <c:v>608.19772499999999</c:v>
                </c:pt>
                <c:pt idx="10">
                  <c:v>608.19772499999999</c:v>
                </c:pt>
                <c:pt idx="11">
                  <c:v>608.19772499999999</c:v>
                </c:pt>
                <c:pt idx="12">
                  <c:v>608.19772499999999</c:v>
                </c:pt>
              </c:numCache>
            </c:numRef>
          </c:val>
          <c:extLst>
            <c:ext xmlns:c16="http://schemas.microsoft.com/office/drawing/2014/chart" uri="{C3380CC4-5D6E-409C-BE32-E72D297353CC}">
              <c16:uniqueId val="{00000001-D9F0-4129-B1B2-6775FCF2FD84}"/>
            </c:ext>
          </c:extLst>
        </c:ser>
        <c:ser>
          <c:idx val="2"/>
          <c:order val="2"/>
          <c:tx>
            <c:strRef>
              <c:f>'Capacity by Region'!$A$10</c:f>
              <c:strCache>
                <c:ptCount val="1"/>
                <c:pt idx="0">
                  <c:v>South America</c:v>
                </c:pt>
              </c:strCache>
            </c:strRef>
          </c:tx>
          <c:spPr>
            <a:solidFill>
              <a:srgbClr val="CFB93C"/>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Region'!$C$12:$O$12</c:f>
              <c:numCache>
                <c:formatCode>#,##0_);[Red]\(#,##0\)</c:formatCode>
                <c:ptCount val="13"/>
                <c:pt idx="0">
                  <c:v>0</c:v>
                </c:pt>
                <c:pt idx="1">
                  <c:v>0</c:v>
                </c:pt>
                <c:pt idx="2">
                  <c:v>0</c:v>
                </c:pt>
                <c:pt idx="3">
                  <c:v>0</c:v>
                </c:pt>
                <c:pt idx="4">
                  <c:v>0</c:v>
                </c:pt>
                <c:pt idx="5">
                  <c:v>0</c:v>
                </c:pt>
                <c:pt idx="6">
                  <c:v>0</c:v>
                </c:pt>
                <c:pt idx="7">
                  <c:v>15.614999999999998</c:v>
                </c:pt>
                <c:pt idx="8">
                  <c:v>15.614999999999998</c:v>
                </c:pt>
                <c:pt idx="9">
                  <c:v>15.614999999999998</c:v>
                </c:pt>
                <c:pt idx="10">
                  <c:v>15.614999999999998</c:v>
                </c:pt>
                <c:pt idx="11">
                  <c:v>15.614999999999998</c:v>
                </c:pt>
                <c:pt idx="12">
                  <c:v>15.614999999999998</c:v>
                </c:pt>
              </c:numCache>
            </c:numRef>
          </c:val>
          <c:extLst>
            <c:ext xmlns:c16="http://schemas.microsoft.com/office/drawing/2014/chart" uri="{C3380CC4-5D6E-409C-BE32-E72D297353CC}">
              <c16:uniqueId val="{00000002-D9F0-4129-B1B2-6775FCF2FD84}"/>
            </c:ext>
          </c:extLst>
        </c:ser>
        <c:ser>
          <c:idx val="3"/>
          <c:order val="3"/>
          <c:tx>
            <c:strRef>
              <c:f>'Capacity by Region'!$A$17</c:f>
              <c:strCache>
                <c:ptCount val="1"/>
                <c:pt idx="0">
                  <c:v>Europe</c:v>
                </c:pt>
              </c:strCache>
            </c:strRef>
          </c:tx>
          <c:spPr>
            <a:solidFill>
              <a:srgbClr val="CF883C"/>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Region'!$C$19:$O$19</c:f>
              <c:numCache>
                <c:formatCode>#,##0_);[Red]\(#,##0\)</c:formatCode>
                <c:ptCount val="13"/>
                <c:pt idx="0">
                  <c:v>0</c:v>
                </c:pt>
                <c:pt idx="1">
                  <c:v>0</c:v>
                </c:pt>
                <c:pt idx="2">
                  <c:v>72.655000000000001</c:v>
                </c:pt>
                <c:pt idx="3">
                  <c:v>104.845</c:v>
                </c:pt>
                <c:pt idx="4">
                  <c:v>107.85</c:v>
                </c:pt>
                <c:pt idx="5">
                  <c:v>159.50444999999999</c:v>
                </c:pt>
                <c:pt idx="6">
                  <c:v>165.31684999999999</c:v>
                </c:pt>
                <c:pt idx="7">
                  <c:v>170.81684999999999</c:v>
                </c:pt>
                <c:pt idx="8">
                  <c:v>170.81684999999999</c:v>
                </c:pt>
                <c:pt idx="9">
                  <c:v>170.81684999999999</c:v>
                </c:pt>
                <c:pt idx="10">
                  <c:v>170.81684999999999</c:v>
                </c:pt>
                <c:pt idx="11">
                  <c:v>170.81684999999999</c:v>
                </c:pt>
                <c:pt idx="12">
                  <c:v>170.81684999999999</c:v>
                </c:pt>
              </c:numCache>
            </c:numRef>
          </c:val>
          <c:extLst>
            <c:ext xmlns:c16="http://schemas.microsoft.com/office/drawing/2014/chart" uri="{C3380CC4-5D6E-409C-BE32-E72D297353CC}">
              <c16:uniqueId val="{00000003-D9F0-4129-B1B2-6775FCF2FD84}"/>
            </c:ext>
          </c:extLst>
        </c:ser>
        <c:ser>
          <c:idx val="4"/>
          <c:order val="4"/>
          <c:tx>
            <c:strRef>
              <c:f>'Capacity by Region'!$A$24</c:f>
              <c:strCache>
                <c:ptCount val="1"/>
                <c:pt idx="0">
                  <c:v>Middle East/Africa</c:v>
                </c:pt>
              </c:strCache>
            </c:strRef>
          </c:tx>
          <c:spPr>
            <a:solidFill>
              <a:srgbClr val="3C91CF"/>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Region'!$C$26:$O$26</c:f>
              <c:numCache>
                <c:formatCode>#,##0_);[Red]\(#,##0\)</c:formatCode>
                <c:ptCount val="13"/>
                <c:pt idx="0">
                  <c:v>0</c:v>
                </c:pt>
                <c:pt idx="1">
                  <c:v>0</c:v>
                </c:pt>
                <c:pt idx="2">
                  <c:v>0</c:v>
                </c:pt>
                <c:pt idx="3">
                  <c:v>0</c:v>
                </c:pt>
                <c:pt idx="4">
                  <c:v>0</c:v>
                </c:pt>
                <c:pt idx="5">
                  <c:v>28.627500000000001</c:v>
                </c:pt>
                <c:pt idx="6">
                  <c:v>28.627500000000001</c:v>
                </c:pt>
                <c:pt idx="7">
                  <c:v>28.627500000000001</c:v>
                </c:pt>
                <c:pt idx="8">
                  <c:v>28.627500000000001</c:v>
                </c:pt>
                <c:pt idx="9">
                  <c:v>41.64</c:v>
                </c:pt>
                <c:pt idx="10">
                  <c:v>41.64</c:v>
                </c:pt>
                <c:pt idx="11">
                  <c:v>41.64</c:v>
                </c:pt>
                <c:pt idx="12">
                  <c:v>41.64</c:v>
                </c:pt>
              </c:numCache>
            </c:numRef>
          </c:val>
          <c:extLst>
            <c:ext xmlns:c16="http://schemas.microsoft.com/office/drawing/2014/chart" uri="{C3380CC4-5D6E-409C-BE32-E72D297353CC}">
              <c16:uniqueId val="{00000004-D9F0-4129-B1B2-6775FCF2FD84}"/>
            </c:ext>
          </c:extLst>
        </c:ser>
        <c:dLbls>
          <c:showLegendKey val="0"/>
          <c:showVal val="0"/>
          <c:showCatName val="0"/>
          <c:showSerName val="0"/>
          <c:showPercent val="0"/>
          <c:showBubbleSize val="0"/>
        </c:dLbls>
        <c:axId val="633827167"/>
        <c:axId val="633830047"/>
      </c:areaChart>
      <c:catAx>
        <c:axId val="6338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33830047"/>
        <c:crosses val="autoZero"/>
        <c:auto val="1"/>
        <c:lblAlgn val="ctr"/>
        <c:lblOffset val="100"/>
        <c:noMultiLvlLbl val="0"/>
      </c:catAx>
      <c:valAx>
        <c:axId val="63383004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GB" sz="1000"/>
                  <a:t>Announced Capacity (</a:t>
                </a:r>
                <a:r>
                  <a:rPr lang="en-GB" sz="1000" baseline="0"/>
                  <a:t>mm gal/year, probability adjusted)</a:t>
                </a:r>
                <a:endParaRPr lang="en-GB"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33827167"/>
        <c:crosses val="autoZero"/>
        <c:crossBetween val="midCat"/>
      </c:valAx>
      <c:spPr>
        <a:noFill/>
        <a:ln w="22225">
          <a:solidFill>
            <a:srgbClr val="8C8C8C"/>
          </a:solidFill>
        </a:ln>
        <a:effectLst/>
      </c:spPr>
    </c:plotArea>
    <c:legend>
      <c:legendPos val="b"/>
      <c:layout>
        <c:manualLayout>
          <c:xMode val="edge"/>
          <c:yMode val="edge"/>
          <c:x val="0.82664838724310508"/>
          <c:y val="0.10946008979181318"/>
          <c:w val="0.16379227277295871"/>
          <c:h val="0.7378883996096278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solidFill>
            <a:schemeClr val="tx1"/>
          </a:solidFill>
          <a:latin typeface="Arial" panose="020B0604020202020204" pitchFamily="34" charset="0"/>
          <a:cs typeface="Arial" panose="020B0604020202020204" pitchFamily="34" charset="0"/>
        </a:defRPr>
      </a:pPr>
      <a:endParaRPr lang="en-US"/>
    </a:p>
  </c:txPr>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a:t>Announced Non-HEFA or AtJ Capacity by Region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0800098692326669E-2"/>
          <c:y val="0.1011084663763909"/>
          <c:w val="0.88589716259560825"/>
          <c:h val="0.73158916303821964"/>
        </c:manualLayout>
      </c:layout>
      <c:areaChart>
        <c:grouping val="stacked"/>
        <c:varyColors val="0"/>
        <c:ser>
          <c:idx val="0"/>
          <c:order val="0"/>
          <c:tx>
            <c:strRef>
              <c:f>'Capacity by Region'!$A$31</c:f>
              <c:strCache>
                <c:ptCount val="1"/>
                <c:pt idx="0">
                  <c:v>Asia</c:v>
                </c:pt>
              </c:strCache>
            </c:strRef>
          </c:tx>
          <c:spPr>
            <a:solidFill>
              <a:srgbClr val="CF3C53"/>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Region'!$C$46:$O$46</c:f>
              <c:numCache>
                <c:formatCode>#,##0_);[Red]\(#,##0\)</c:formatCode>
                <c:ptCount val="13"/>
                <c:pt idx="0">
                  <c:v>6.539100000000019</c:v>
                </c:pt>
                <c:pt idx="1">
                  <c:v>72.588475000000017</c:v>
                </c:pt>
                <c:pt idx="2">
                  <c:v>72.588475000000017</c:v>
                </c:pt>
                <c:pt idx="3">
                  <c:v>72.588475000000017</c:v>
                </c:pt>
                <c:pt idx="4">
                  <c:v>72.588475000000017</c:v>
                </c:pt>
                <c:pt idx="5">
                  <c:v>76.804225000000088</c:v>
                </c:pt>
                <c:pt idx="6">
                  <c:v>76.804225000000088</c:v>
                </c:pt>
                <c:pt idx="7">
                  <c:v>91.452705000000151</c:v>
                </c:pt>
                <c:pt idx="8">
                  <c:v>91.452705000000151</c:v>
                </c:pt>
                <c:pt idx="9">
                  <c:v>91.452705000000151</c:v>
                </c:pt>
                <c:pt idx="10">
                  <c:v>91.452705000000151</c:v>
                </c:pt>
                <c:pt idx="11">
                  <c:v>91.452705000000151</c:v>
                </c:pt>
                <c:pt idx="12">
                  <c:v>91.452705000000151</c:v>
                </c:pt>
              </c:numCache>
            </c:numRef>
          </c:val>
          <c:extLst>
            <c:ext xmlns:c16="http://schemas.microsoft.com/office/drawing/2014/chart" uri="{C3380CC4-5D6E-409C-BE32-E72D297353CC}">
              <c16:uniqueId val="{00000000-3FEA-449C-9222-6330E44F3835}"/>
            </c:ext>
          </c:extLst>
        </c:ser>
        <c:ser>
          <c:idx val="1"/>
          <c:order val="1"/>
          <c:tx>
            <c:strRef>
              <c:f>'Capacity by Region'!$A$3</c:f>
              <c:strCache>
                <c:ptCount val="1"/>
                <c:pt idx="0">
                  <c:v>North America</c:v>
                </c:pt>
              </c:strCache>
            </c:strRef>
          </c:tx>
          <c:spPr>
            <a:solidFill>
              <a:srgbClr val="63CF3C"/>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Region'!$C$42:$O$42</c:f>
              <c:numCache>
                <c:formatCode>#,##0_);[Red]\(#,##0\)</c:formatCode>
                <c:ptCount val="13"/>
                <c:pt idx="0">
                  <c:v>73.500999999999976</c:v>
                </c:pt>
                <c:pt idx="1">
                  <c:v>74.118193698965115</c:v>
                </c:pt>
                <c:pt idx="2">
                  <c:v>123.18075619896513</c:v>
                </c:pt>
                <c:pt idx="3">
                  <c:v>125.98075619896554</c:v>
                </c:pt>
                <c:pt idx="4">
                  <c:v>328.2707561989655</c:v>
                </c:pt>
                <c:pt idx="5">
                  <c:v>362.00075619896552</c:v>
                </c:pt>
                <c:pt idx="6">
                  <c:v>429.00075619896552</c:v>
                </c:pt>
                <c:pt idx="7">
                  <c:v>474.50075619896552</c:v>
                </c:pt>
                <c:pt idx="8">
                  <c:v>474.50075619896552</c:v>
                </c:pt>
                <c:pt idx="9">
                  <c:v>474.50075619896552</c:v>
                </c:pt>
                <c:pt idx="10">
                  <c:v>474.50075619896552</c:v>
                </c:pt>
                <c:pt idx="11">
                  <c:v>474.50075619896552</c:v>
                </c:pt>
                <c:pt idx="12">
                  <c:v>474.50075619896552</c:v>
                </c:pt>
              </c:numCache>
            </c:numRef>
          </c:val>
          <c:extLst>
            <c:ext xmlns:c16="http://schemas.microsoft.com/office/drawing/2014/chart" uri="{C3380CC4-5D6E-409C-BE32-E72D297353CC}">
              <c16:uniqueId val="{00000001-3FEA-449C-9222-6330E44F3835}"/>
            </c:ext>
          </c:extLst>
        </c:ser>
        <c:ser>
          <c:idx val="2"/>
          <c:order val="2"/>
          <c:tx>
            <c:strRef>
              <c:f>'Capacity by Region'!$A$10</c:f>
              <c:strCache>
                <c:ptCount val="1"/>
                <c:pt idx="0">
                  <c:v>South America</c:v>
                </c:pt>
              </c:strCache>
            </c:strRef>
          </c:tx>
          <c:spPr>
            <a:solidFill>
              <a:srgbClr val="CFB93C"/>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Region'!$C$43:$O$43</c:f>
              <c:numCache>
                <c:formatCode>#,##0_);[Red]\(#,##0\)</c:formatCode>
                <c:ptCount val="13"/>
                <c:pt idx="0">
                  <c:v>0</c:v>
                </c:pt>
                <c:pt idx="1">
                  <c:v>0</c:v>
                </c:pt>
                <c:pt idx="2">
                  <c:v>5.4000000000002046E-2</c:v>
                </c:pt>
                <c:pt idx="3">
                  <c:v>5.4000000000002046E-2</c:v>
                </c:pt>
                <c:pt idx="4">
                  <c:v>5.3999999999973625E-2</c:v>
                </c:pt>
                <c:pt idx="5">
                  <c:v>4.1930999999999585</c:v>
                </c:pt>
                <c:pt idx="6">
                  <c:v>4.1930999999999585</c:v>
                </c:pt>
                <c:pt idx="7">
                  <c:v>66.653099999999938</c:v>
                </c:pt>
                <c:pt idx="8">
                  <c:v>67.321074999999951</c:v>
                </c:pt>
                <c:pt idx="9">
                  <c:v>67.321074999999951</c:v>
                </c:pt>
                <c:pt idx="10">
                  <c:v>67.321074999999951</c:v>
                </c:pt>
                <c:pt idx="11">
                  <c:v>67.321074999999951</c:v>
                </c:pt>
                <c:pt idx="12">
                  <c:v>67.321074999999951</c:v>
                </c:pt>
              </c:numCache>
            </c:numRef>
          </c:val>
          <c:extLst>
            <c:ext xmlns:c16="http://schemas.microsoft.com/office/drawing/2014/chart" uri="{C3380CC4-5D6E-409C-BE32-E72D297353CC}">
              <c16:uniqueId val="{00000002-3FEA-449C-9222-6330E44F3835}"/>
            </c:ext>
          </c:extLst>
        </c:ser>
        <c:ser>
          <c:idx val="3"/>
          <c:order val="3"/>
          <c:tx>
            <c:strRef>
              <c:f>'Capacity by Region'!$A$17</c:f>
              <c:strCache>
                <c:ptCount val="1"/>
                <c:pt idx="0">
                  <c:v>Europe</c:v>
                </c:pt>
              </c:strCache>
            </c:strRef>
          </c:tx>
          <c:spPr>
            <a:solidFill>
              <a:srgbClr val="CF883C"/>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Region'!$C$44:$O$44</c:f>
              <c:numCache>
                <c:formatCode>#,##0_);[Red]\(#,##0\)</c:formatCode>
                <c:ptCount val="13"/>
                <c:pt idx="0">
                  <c:v>288.69797500000004</c:v>
                </c:pt>
                <c:pt idx="1">
                  <c:v>297.18239400000004</c:v>
                </c:pt>
                <c:pt idx="2">
                  <c:v>351.67029400000001</c:v>
                </c:pt>
                <c:pt idx="3">
                  <c:v>420.04221900000016</c:v>
                </c:pt>
                <c:pt idx="4">
                  <c:v>488.80621900000028</c:v>
                </c:pt>
                <c:pt idx="5">
                  <c:v>664.18271900000036</c:v>
                </c:pt>
                <c:pt idx="6">
                  <c:v>705.55261900000028</c:v>
                </c:pt>
                <c:pt idx="7">
                  <c:v>758.51101900000003</c:v>
                </c:pt>
                <c:pt idx="8">
                  <c:v>863.86076900000035</c:v>
                </c:pt>
                <c:pt idx="9">
                  <c:v>1024.2452690000005</c:v>
                </c:pt>
                <c:pt idx="10">
                  <c:v>1069.6752690000003</c:v>
                </c:pt>
                <c:pt idx="11">
                  <c:v>1069.7282890000001</c:v>
                </c:pt>
                <c:pt idx="12">
                  <c:v>1069.7487890000002</c:v>
                </c:pt>
              </c:numCache>
            </c:numRef>
          </c:val>
          <c:extLst>
            <c:ext xmlns:c16="http://schemas.microsoft.com/office/drawing/2014/chart" uri="{C3380CC4-5D6E-409C-BE32-E72D297353CC}">
              <c16:uniqueId val="{00000003-3FEA-449C-9222-6330E44F3835}"/>
            </c:ext>
          </c:extLst>
        </c:ser>
        <c:ser>
          <c:idx val="4"/>
          <c:order val="4"/>
          <c:tx>
            <c:strRef>
              <c:f>'Capacity by Region'!$A$24</c:f>
              <c:strCache>
                <c:ptCount val="1"/>
                <c:pt idx="0">
                  <c:v>Middle East/Africa</c:v>
                </c:pt>
              </c:strCache>
            </c:strRef>
          </c:tx>
          <c:spPr>
            <a:solidFill>
              <a:srgbClr val="3C91CF"/>
            </a:solidFill>
            <a:ln w="9525">
              <a:solidFill>
                <a:schemeClr val="tx1"/>
              </a:solidFill>
            </a:ln>
            <a:effectLst/>
          </c:spPr>
          <c:cat>
            <c:numRef>
              <c:f>'Capacity by Region'!$C$2:$O$2</c:f>
              <c:numCache>
                <c:formatCode>General</c:formatCode>
                <c:ptCount val="13"/>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numCache>
            </c:numRef>
          </c:cat>
          <c:val>
            <c:numRef>
              <c:f>'Capacity by Region'!$C$45:$O$45</c:f>
              <c:numCache>
                <c:formatCode>#,##0_);[Red]\(#,##0\)</c:formatCode>
                <c:ptCount val="13"/>
                <c:pt idx="0">
                  <c:v>11</c:v>
                </c:pt>
                <c:pt idx="1">
                  <c:v>11</c:v>
                </c:pt>
                <c:pt idx="2">
                  <c:v>11</c:v>
                </c:pt>
                <c:pt idx="3">
                  <c:v>103</c:v>
                </c:pt>
                <c:pt idx="4">
                  <c:v>103</c:v>
                </c:pt>
                <c:pt idx="5">
                  <c:v>103</c:v>
                </c:pt>
                <c:pt idx="6">
                  <c:v>131.6</c:v>
                </c:pt>
                <c:pt idx="7">
                  <c:v>137.6</c:v>
                </c:pt>
                <c:pt idx="8">
                  <c:v>137.6</c:v>
                </c:pt>
                <c:pt idx="9">
                  <c:v>137.59999999999997</c:v>
                </c:pt>
                <c:pt idx="10">
                  <c:v>137.59999999999997</c:v>
                </c:pt>
                <c:pt idx="11">
                  <c:v>137.59999999999997</c:v>
                </c:pt>
                <c:pt idx="12">
                  <c:v>137.59999999999997</c:v>
                </c:pt>
              </c:numCache>
            </c:numRef>
          </c:val>
          <c:extLst>
            <c:ext xmlns:c16="http://schemas.microsoft.com/office/drawing/2014/chart" uri="{C3380CC4-5D6E-409C-BE32-E72D297353CC}">
              <c16:uniqueId val="{00000004-3FEA-449C-9222-6330E44F3835}"/>
            </c:ext>
          </c:extLst>
        </c:ser>
        <c:dLbls>
          <c:showLegendKey val="0"/>
          <c:showVal val="0"/>
          <c:showCatName val="0"/>
          <c:showSerName val="0"/>
          <c:showPercent val="0"/>
          <c:showBubbleSize val="0"/>
        </c:dLbls>
        <c:axId val="633827167"/>
        <c:axId val="633830047"/>
      </c:areaChart>
      <c:catAx>
        <c:axId val="633827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33830047"/>
        <c:crosses val="autoZero"/>
        <c:auto val="1"/>
        <c:lblAlgn val="ctr"/>
        <c:lblOffset val="100"/>
        <c:noMultiLvlLbl val="0"/>
      </c:catAx>
      <c:valAx>
        <c:axId val="63383004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GB" sz="1200"/>
                  <a:t>Announced</a:t>
                </a:r>
                <a:r>
                  <a:rPr lang="en-GB" sz="1200" baseline="0"/>
                  <a:t> Capacity (mm gal/yr, probability adjusted)</a:t>
                </a:r>
                <a:endParaRPr lang="en-GB" sz="1200"/>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GB"/>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33827167"/>
        <c:crosses val="autoZero"/>
        <c:crossBetween val="midCat"/>
      </c:valAx>
      <c:spPr>
        <a:noFill/>
        <a:ln w="22225">
          <a:solidFill>
            <a:srgbClr val="8C8C8C"/>
          </a:solidFill>
        </a:ln>
        <a:effectLst/>
      </c:spPr>
    </c:plotArea>
    <c:legend>
      <c:legendPos val="b"/>
      <c:layout>
        <c:manualLayout>
          <c:xMode val="edge"/>
          <c:yMode val="edge"/>
          <c:x val="0.15046079447322971"/>
          <c:y val="0.90542002902757623"/>
          <c:w val="0.69907841105354063"/>
          <c:h val="5.279961296565070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chemeClr val="tx1"/>
          </a:solidFill>
          <a:latin typeface="Arial" panose="020B0604020202020204" pitchFamily="34" charset="0"/>
          <a:cs typeface="Arial" panose="020B0604020202020204" pitchFamily="34" charset="0"/>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A284ACA-1C20-41A1-B801-C8EBF5791037}">
  <sheetPr/>
  <sheetViews>
    <sheetView zoomScale="82" workbookViewId="0" zoomToFit="1"/>
  </sheetViews>
  <pageMargins left="0.25" right="0.25" top="1.25" bottom="1.25" header="0.3" footer="0.3"/>
  <pageSetup paperSize="9" orientation="landscape" horizontalDpi="1200" verticalDpi="1200"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1153CF2-0ED9-486F-9ADE-5386FCB6D39F}">
  <sheetPr/>
  <sheetViews>
    <sheetView zoomScale="82" workbookViewId="0" zoomToFit="1"/>
  </sheetViews>
  <pageMargins left="0.25" right="0.25" top="1.25" bottom="1.25" header="0.3" footer="0.3"/>
  <pageSetup paperSize="9" orientation="landscape" horizontalDpi="1200" verticalDpi="1200"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4B68D75-543B-4DA2-AAC5-649FC9B6D8A2}">
  <sheetPr/>
  <sheetViews>
    <sheetView zoomScale="112" workbookViewId="0" zoomToFit="1"/>
  </sheetViews>
  <pageMargins left="0.25" right="0.25" top="1.25" bottom="1.25" header="0.3" footer="0.3"/>
  <pageSetup paperSize="9" orientation="landscape" horizontalDpi="1200" verticalDpi="1200" r:id="rId1"/>
  <drawing r:id="rId2"/>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19</xdr:col>
      <xdr:colOff>572406</xdr:colOff>
      <xdr:row>1</xdr:row>
      <xdr:rowOff>47851</xdr:rowOff>
    </xdr:from>
    <xdr:to>
      <xdr:col>27</xdr:col>
      <xdr:colOff>269421</xdr:colOff>
      <xdr:row>15</xdr:row>
      <xdr:rowOff>114980</xdr:rowOff>
    </xdr:to>
    <xdr:graphicFrame macro="">
      <xdr:nvGraphicFramePr>
        <xdr:cNvPr id="2" name="Chart 1">
          <a:extLst>
            <a:ext uri="{FF2B5EF4-FFF2-40B4-BE49-F238E27FC236}">
              <a16:creationId xmlns:a16="http://schemas.microsoft.com/office/drawing/2014/main" id="{B6EA5E08-D60F-4E6F-9679-FCCEDA6FC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xdr:colOff>
      <xdr:row>0</xdr:row>
      <xdr:rowOff>166687</xdr:rowOff>
    </xdr:from>
    <xdr:to>
      <xdr:col>15</xdr:col>
      <xdr:colOff>338137</xdr:colOff>
      <xdr:row>15</xdr:row>
      <xdr:rowOff>52387</xdr:rowOff>
    </xdr:to>
    <xdr:graphicFrame macro="">
      <xdr:nvGraphicFramePr>
        <xdr:cNvPr id="3" name="Chart 1">
          <a:extLst>
            <a:ext uri="{FF2B5EF4-FFF2-40B4-BE49-F238E27FC236}">
              <a16:creationId xmlns:a16="http://schemas.microsoft.com/office/drawing/2014/main" id="{5ACD186F-75CC-4B89-8C29-5C9A0E73B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180975</xdr:colOff>
      <xdr:row>16</xdr:row>
      <xdr:rowOff>138112</xdr:rowOff>
    </xdr:from>
    <xdr:to>
      <xdr:col>7</xdr:col>
      <xdr:colOff>485775</xdr:colOff>
      <xdr:row>31</xdr:row>
      <xdr:rowOff>23812</xdr:rowOff>
    </xdr:to>
    <xdr:graphicFrame macro="">
      <xdr:nvGraphicFramePr>
        <xdr:cNvPr id="4" name="Chart 1">
          <a:extLst>
            <a:ext uri="{FF2B5EF4-FFF2-40B4-BE49-F238E27FC236}">
              <a16:creationId xmlns:a16="http://schemas.microsoft.com/office/drawing/2014/main" id="{1E724F3E-9E75-4E4E-AB8F-B769985E7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28247</xdr:colOff>
      <xdr:row>16</xdr:row>
      <xdr:rowOff>145830</xdr:rowOff>
    </xdr:from>
    <xdr:to>
      <xdr:col>15</xdr:col>
      <xdr:colOff>333047</xdr:colOff>
      <xdr:row>31</xdr:row>
      <xdr:rowOff>31530</xdr:rowOff>
    </xdr:to>
    <xdr:graphicFrame macro="">
      <xdr:nvGraphicFramePr>
        <xdr:cNvPr id="5" name="Chart 4">
          <a:extLst>
            <a:ext uri="{FF2B5EF4-FFF2-40B4-BE49-F238E27FC236}">
              <a16:creationId xmlns:a16="http://schemas.microsoft.com/office/drawing/2014/main" id="{15472E28-1E9B-428E-B4B6-537FD8841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600075</xdr:colOff>
      <xdr:row>16</xdr:row>
      <xdr:rowOff>104775</xdr:rowOff>
    </xdr:from>
    <xdr:to>
      <xdr:col>23</xdr:col>
      <xdr:colOff>295275</xdr:colOff>
      <xdr:row>30</xdr:row>
      <xdr:rowOff>180975</xdr:rowOff>
    </xdr:to>
    <xdr:graphicFrame macro="">
      <xdr:nvGraphicFramePr>
        <xdr:cNvPr id="6" name="Chart 5">
          <a:extLst>
            <a:ext uri="{FF2B5EF4-FFF2-40B4-BE49-F238E27FC236}">
              <a16:creationId xmlns:a16="http://schemas.microsoft.com/office/drawing/2014/main" id="{26A28DCE-90D8-4258-9AB1-C7AAD01FB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201392</xdr:colOff>
      <xdr:row>3</xdr:row>
      <xdr:rowOff>25173</xdr:rowOff>
    </xdr:from>
    <xdr:to>
      <xdr:col>7</xdr:col>
      <xdr:colOff>532926</xdr:colOff>
      <xdr:row>13</xdr:row>
      <xdr:rowOff>179974</xdr:rowOff>
    </xdr:to>
    <xdr:graphicFrame macro="">
      <xdr:nvGraphicFramePr>
        <xdr:cNvPr id="7" name="Chart 1">
          <a:extLst>
            <a:ext uri="{FF2B5EF4-FFF2-40B4-BE49-F238E27FC236}">
              <a16:creationId xmlns:a16="http://schemas.microsoft.com/office/drawing/2014/main" id="{3DFE7135-FE68-4D4C-302E-A51971A03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39461</xdr:colOff>
      <xdr:row>33</xdr:row>
      <xdr:rowOff>17210</xdr:rowOff>
    </xdr:from>
    <xdr:to>
      <xdr:col>7</xdr:col>
      <xdr:colOff>503064</xdr:colOff>
      <xdr:row>44</xdr:row>
      <xdr:rowOff>8884</xdr:rowOff>
    </xdr:to>
    <xdr:graphicFrame macro="">
      <xdr:nvGraphicFramePr>
        <xdr:cNvPr id="8" name="Chart 3">
          <a:extLst>
            <a:ext uri="{FF2B5EF4-FFF2-40B4-BE49-F238E27FC236}">
              <a16:creationId xmlns:a16="http://schemas.microsoft.com/office/drawing/2014/main" id="{FC6F64B7-DF15-7E30-DC19-8833DE08B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0.94618</cdr:y>
    </cdr:from>
    <cdr:to>
      <cdr:x>0.58716</cdr:x>
      <cdr:y>1</cdr:y>
    </cdr:to>
    <cdr:sp macro="" textlink="">
      <cdr:nvSpPr>
        <cdr:cNvPr id="2" name="TextBox 1">
          <a:extLst xmlns:a="http://schemas.openxmlformats.org/drawingml/2006/main">
            <a:ext uri="{FF2B5EF4-FFF2-40B4-BE49-F238E27FC236}">
              <a16:creationId xmlns:a16="http://schemas.microsoft.com/office/drawing/2014/main" id="{2FA1F30A-9384-8156-A1F3-4A3EC848E33D}"/>
            </a:ext>
          </a:extLst>
        </cdr:cNvPr>
        <cdr:cNvSpPr txBox="1"/>
      </cdr:nvSpPr>
      <cdr:spPr>
        <a:xfrm xmlns:a="http://schemas.openxmlformats.org/drawingml/2006/main">
          <a:off x="0" y="2595563"/>
          <a:ext cx="2684496" cy="1476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b="1" kern="1200">
              <a:latin typeface="Arial" panose="020B0604020202020204" pitchFamily="34" charset="0"/>
              <a:cs typeface="Arial" panose="020B0604020202020204" pitchFamily="34" charset="0"/>
            </a:rPr>
            <a:t>Source: Round Lakes Commodities</a:t>
          </a:r>
        </a:p>
      </cdr:txBody>
    </cdr:sp>
  </cdr:relSizeAnchor>
</c:userShapes>
</file>

<file path=xl/drawings/drawing3.xml><?xml version="1.0" encoding="utf-8"?>
<c:userShapes xmlns:c="http://schemas.openxmlformats.org/drawingml/2006/chart">
  <cdr:relSizeAnchor xmlns:cdr="http://schemas.openxmlformats.org/drawingml/2006/chartDrawing">
    <cdr:from>
      <cdr:x>0</cdr:x>
      <cdr:y>0.92322</cdr:y>
    </cdr:from>
    <cdr:to>
      <cdr:x>0.44383</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32577"/>
          <a:ext cx="2029191" cy="2106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Arial" panose="020B0604020202020204" pitchFamily="34" charset="0"/>
              <a:cs typeface="Arial" panose="020B0604020202020204" pitchFamily="34" charset="0"/>
            </a:rPr>
            <a:t>Source:</a:t>
          </a:r>
          <a:r>
            <a:rPr lang="en-GB" sz="900" b="0" baseline="0">
              <a:latin typeface="Arial" panose="020B0604020202020204" pitchFamily="34" charset="0"/>
              <a:cs typeface="Arial" panose="020B0604020202020204" pitchFamily="34" charset="0"/>
            </a:rPr>
            <a:t> Round Lakes Commodities</a:t>
          </a:r>
          <a:endParaRPr lang="en-GB" sz="900" b="0">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0.89592</cdr:y>
    </cdr:from>
    <cdr:to>
      <cdr:x>1</cdr:x>
      <cdr:y>0.99479</cdr:y>
    </cdr:to>
    <cdr:sp macro="" textlink="">
      <cdr:nvSpPr>
        <cdr:cNvPr id="2" name="TextBox 1">
          <a:extLst xmlns:a="http://schemas.openxmlformats.org/drawingml/2006/main">
            <a:ext uri="{FF2B5EF4-FFF2-40B4-BE49-F238E27FC236}">
              <a16:creationId xmlns:a16="http://schemas.microsoft.com/office/drawing/2014/main" id="{91053A4C-37BB-D55B-2F8B-45ADAD2E5C63}"/>
            </a:ext>
          </a:extLst>
        </cdr:cNvPr>
        <cdr:cNvSpPr txBox="1"/>
      </cdr:nvSpPr>
      <cdr:spPr>
        <a:xfrm xmlns:a="http://schemas.openxmlformats.org/drawingml/2006/main">
          <a:off x="0" y="1845409"/>
          <a:ext cx="4617784" cy="2036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solidFill>
                <a:schemeClr val="tx1"/>
              </a:solidFill>
              <a:latin typeface="Brown" pitchFamily="2" charset="0"/>
            </a:rPr>
            <a:t>Source: Round Lakes Commodities</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0.90217</cdr:y>
    </cdr:from>
    <cdr:to>
      <cdr:x>1</cdr:x>
      <cdr:y>0.99479</cdr:y>
    </cdr:to>
    <cdr:sp macro="" textlink="">
      <cdr:nvSpPr>
        <cdr:cNvPr id="3" name="TextBox 1">
          <a:extLst xmlns:a="http://schemas.openxmlformats.org/drawingml/2006/main">
            <a:ext uri="{FF2B5EF4-FFF2-40B4-BE49-F238E27FC236}">
              <a16:creationId xmlns:a16="http://schemas.microsoft.com/office/drawing/2014/main" id="{91053A4C-37BB-D55B-2F8B-45ADAD2E5C63}"/>
            </a:ext>
          </a:extLst>
        </cdr:cNvPr>
        <cdr:cNvSpPr txBox="1"/>
      </cdr:nvSpPr>
      <cdr:spPr>
        <a:xfrm xmlns:a="http://schemas.openxmlformats.org/drawingml/2006/main">
          <a:off x="0" y="1882988"/>
          <a:ext cx="4749853" cy="193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solidFill>
                <a:schemeClr val="tx1"/>
              </a:solidFill>
              <a:latin typeface="Brown" pitchFamily="2" charset="0"/>
            </a:rPr>
            <a:t>Source: Round Lakes Commodities</a:t>
          </a:r>
        </a:p>
      </cdr:txBody>
    </cdr:sp>
  </cdr:relSizeAnchor>
</c:userShapes>
</file>

<file path=xl/drawings/drawing6.xml><?xml version="1.0" encoding="utf-8"?>
<xdr:wsDr xmlns:xdr="http://schemas.openxmlformats.org/drawingml/2006/spreadsheetDrawing" xmlns:a="http://schemas.openxmlformats.org/drawingml/2006/main">
  <xdr:twoCellAnchor>
    <xdr:from>
      <xdr:col>18</xdr:col>
      <xdr:colOff>19050</xdr:colOff>
      <xdr:row>1</xdr:row>
      <xdr:rowOff>9525</xdr:rowOff>
    </xdr:from>
    <xdr:to>
      <xdr:col>25</xdr:col>
      <xdr:colOff>323850</xdr:colOff>
      <xdr:row>15</xdr:row>
      <xdr:rowOff>85725</xdr:rowOff>
    </xdr:to>
    <xdr:graphicFrame macro="">
      <xdr:nvGraphicFramePr>
        <xdr:cNvPr id="3" name="Chart 2">
          <a:extLst>
            <a:ext uri="{FF2B5EF4-FFF2-40B4-BE49-F238E27FC236}">
              <a16:creationId xmlns:a16="http://schemas.microsoft.com/office/drawing/2014/main" id="{1E53C0F2-612E-4B88-BF22-7354A6E4A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Arial" panose="020B0604020202020204" pitchFamily="34" charset="0"/>
              <a:cs typeface="Arial" panose="020B0604020202020204" pitchFamily="34" charset="0"/>
            </a:rPr>
            <a:t>Source:</a:t>
          </a:r>
          <a:r>
            <a:rPr lang="en-GB" sz="900" b="0" baseline="0">
              <a:latin typeface="Arial" panose="020B0604020202020204" pitchFamily="34" charset="0"/>
              <a:cs typeface="Arial" panose="020B0604020202020204" pitchFamily="34" charset="0"/>
            </a:rPr>
            <a:t> Round Lakes Commodities</a:t>
          </a:r>
          <a:endParaRPr lang="en-GB" sz="900" b="0">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33</xdr:col>
      <xdr:colOff>9531</xdr:colOff>
      <xdr:row>51</xdr:row>
      <xdr:rowOff>14287</xdr:rowOff>
    </xdr:from>
    <xdr:to>
      <xdr:col>40</xdr:col>
      <xdr:colOff>314331</xdr:colOff>
      <xdr:row>65</xdr:row>
      <xdr:rowOff>52387</xdr:rowOff>
    </xdr:to>
    <xdr:graphicFrame macro="">
      <xdr:nvGraphicFramePr>
        <xdr:cNvPr id="2" name="Chart 1">
          <a:extLst>
            <a:ext uri="{FF2B5EF4-FFF2-40B4-BE49-F238E27FC236}">
              <a16:creationId xmlns:a16="http://schemas.microsoft.com/office/drawing/2014/main" id="{5136295D-3B3F-466D-8E21-1579A100E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19050</xdr:colOff>
      <xdr:row>1</xdr:row>
      <xdr:rowOff>9525</xdr:rowOff>
    </xdr:from>
    <xdr:to>
      <xdr:col>40</xdr:col>
      <xdr:colOff>323850</xdr:colOff>
      <xdr:row>15</xdr:row>
      <xdr:rowOff>85725</xdr:rowOff>
    </xdr:to>
    <xdr:graphicFrame macro="">
      <xdr:nvGraphicFramePr>
        <xdr:cNvPr id="3" name="Chart 2">
          <a:extLst>
            <a:ext uri="{FF2B5EF4-FFF2-40B4-BE49-F238E27FC236}">
              <a16:creationId xmlns:a16="http://schemas.microsoft.com/office/drawing/2014/main" id="{0B8F5433-3751-4483-B818-69C00AA7F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0.92535</cdr:y>
    </cdr:from>
    <cdr:to>
      <cdr:x>1</cdr:x>
      <cdr:y>0.99479</cdr:y>
    </cdr:to>
    <cdr:sp macro="" textlink="">
      <cdr:nvSpPr>
        <cdr:cNvPr id="2" name="TextBox 1">
          <a:extLst xmlns:a="http://schemas.openxmlformats.org/drawingml/2006/main">
            <a:ext uri="{FF2B5EF4-FFF2-40B4-BE49-F238E27FC236}">
              <a16:creationId xmlns:a16="http://schemas.microsoft.com/office/drawing/2014/main" id="{91053A4C-37BB-D55B-2F8B-45ADAD2E5C63}"/>
            </a:ext>
          </a:extLst>
        </cdr:cNvPr>
        <cdr:cNvSpPr txBox="1"/>
      </cdr:nvSpPr>
      <cdr:spPr>
        <a:xfrm xmlns:a="http://schemas.openxmlformats.org/drawingml/2006/main">
          <a:off x="0" y="2538413"/>
          <a:ext cx="45720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solidFill>
                <a:schemeClr val="tx1"/>
              </a:solidFill>
              <a:latin typeface="Brown" pitchFamily="2" charset="0"/>
            </a:rPr>
            <a:t>Source: Fastmarkets' </a:t>
          </a:r>
          <a:r>
            <a:rPr lang="en-GB" sz="900" b="0" baseline="0">
              <a:solidFill>
                <a:schemeClr val="tx1"/>
              </a:solidFill>
              <a:latin typeface="Brown" pitchFamily="2" charset="0"/>
            </a:rPr>
            <a:t>Long-Term Biofuel Feedstock Outlook Report</a:t>
          </a:r>
          <a:endParaRPr lang="en-GB" sz="900" b="0">
            <a:solidFill>
              <a:schemeClr val="tx1"/>
            </a:solidFill>
            <a:latin typeface="Brown" pitchFamily="2"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Arial" panose="020B0604020202020204" pitchFamily="34" charset="0"/>
              <a:cs typeface="Arial" panose="020B0604020202020204" pitchFamily="34" charset="0"/>
            </a:rPr>
            <a:t>Source:</a:t>
          </a:r>
          <a:r>
            <a:rPr lang="en-GB" sz="900" b="0" baseline="0">
              <a:latin typeface="Arial" panose="020B0604020202020204" pitchFamily="34" charset="0"/>
              <a:cs typeface="Arial" panose="020B0604020202020204" pitchFamily="34" charset="0"/>
            </a:rPr>
            <a:t> Fastmarkets Long-Term Biofuel Outlook Report</a:t>
          </a:r>
          <a:endParaRPr lang="en-GB" sz="900" b="0">
            <a:latin typeface="Arial" panose="020B0604020202020204" pitchFamily="34" charset="0"/>
            <a:cs typeface="Arial" panose="020B060402020202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34</xdr:col>
      <xdr:colOff>9531</xdr:colOff>
      <xdr:row>51</xdr:row>
      <xdr:rowOff>14287</xdr:rowOff>
    </xdr:from>
    <xdr:to>
      <xdr:col>41</xdr:col>
      <xdr:colOff>314331</xdr:colOff>
      <xdr:row>65</xdr:row>
      <xdr:rowOff>52387</xdr:rowOff>
    </xdr:to>
    <xdr:graphicFrame macro="">
      <xdr:nvGraphicFramePr>
        <xdr:cNvPr id="2" name="Chart 1">
          <a:extLst>
            <a:ext uri="{FF2B5EF4-FFF2-40B4-BE49-F238E27FC236}">
              <a16:creationId xmlns:a16="http://schemas.microsoft.com/office/drawing/2014/main" id="{8536B626-8E22-4709-ADFD-280B3D0D3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76206</xdr:colOff>
      <xdr:row>21</xdr:row>
      <xdr:rowOff>33337</xdr:rowOff>
    </xdr:from>
    <xdr:to>
      <xdr:col>41</xdr:col>
      <xdr:colOff>381006</xdr:colOff>
      <xdr:row>35</xdr:row>
      <xdr:rowOff>71437</xdr:rowOff>
    </xdr:to>
    <xdr:graphicFrame macro="">
      <xdr:nvGraphicFramePr>
        <xdr:cNvPr id="3" name="Chart 2">
          <a:extLst>
            <a:ext uri="{FF2B5EF4-FFF2-40B4-BE49-F238E27FC236}">
              <a16:creationId xmlns:a16="http://schemas.microsoft.com/office/drawing/2014/main" id="{C13F794D-4E95-484E-AA55-ADC90C820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19050</xdr:colOff>
      <xdr:row>1</xdr:row>
      <xdr:rowOff>9525</xdr:rowOff>
    </xdr:from>
    <xdr:to>
      <xdr:col>41</xdr:col>
      <xdr:colOff>323850</xdr:colOff>
      <xdr:row>15</xdr:row>
      <xdr:rowOff>85725</xdr:rowOff>
    </xdr:to>
    <xdr:graphicFrame macro="">
      <xdr:nvGraphicFramePr>
        <xdr:cNvPr id="4" name="Chart 3">
          <a:extLst>
            <a:ext uri="{FF2B5EF4-FFF2-40B4-BE49-F238E27FC236}">
              <a16:creationId xmlns:a16="http://schemas.microsoft.com/office/drawing/2014/main" id="{634EA7D4-6052-435B-B925-9F97C9A81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0.92535</cdr:y>
    </cdr:from>
    <cdr:to>
      <cdr:x>1</cdr:x>
      <cdr:y>0.99479</cdr:y>
    </cdr:to>
    <cdr:sp macro="" textlink="">
      <cdr:nvSpPr>
        <cdr:cNvPr id="2" name="TextBox 1">
          <a:extLst xmlns:a="http://schemas.openxmlformats.org/drawingml/2006/main">
            <a:ext uri="{FF2B5EF4-FFF2-40B4-BE49-F238E27FC236}">
              <a16:creationId xmlns:a16="http://schemas.microsoft.com/office/drawing/2014/main" id="{91053A4C-37BB-D55B-2F8B-45ADAD2E5C63}"/>
            </a:ext>
          </a:extLst>
        </cdr:cNvPr>
        <cdr:cNvSpPr txBox="1"/>
      </cdr:nvSpPr>
      <cdr:spPr>
        <a:xfrm xmlns:a="http://schemas.openxmlformats.org/drawingml/2006/main">
          <a:off x="0" y="2538413"/>
          <a:ext cx="45720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solidFill>
                <a:schemeClr val="tx1"/>
              </a:solidFill>
              <a:latin typeface="Brown" pitchFamily="2" charset="0"/>
            </a:rPr>
            <a:t>Source: Fastmarkets' </a:t>
          </a:r>
          <a:r>
            <a:rPr lang="en-GB" sz="900" b="0" baseline="0">
              <a:solidFill>
                <a:schemeClr val="tx1"/>
              </a:solidFill>
              <a:latin typeface="Brown" pitchFamily="2" charset="0"/>
            </a:rPr>
            <a:t>Long-Term Biofuel Feedstock Outlook Report</a:t>
          </a:r>
          <a:endParaRPr lang="en-GB" sz="900" b="0">
            <a:solidFill>
              <a:schemeClr val="tx1"/>
            </a:solidFill>
            <a:latin typeface="Brown" pitchFamily="2"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Brown" pitchFamily="2" charset="0"/>
            </a:rPr>
            <a:t>Source:</a:t>
          </a:r>
          <a:r>
            <a:rPr lang="en-GB" sz="900" b="0" baseline="0">
              <a:latin typeface="Brown" pitchFamily="2" charset="0"/>
            </a:rPr>
            <a:t> Fastmarkets Long-Term Biofuel Outlook Report</a:t>
          </a:r>
          <a:endParaRPr lang="en-GB" sz="900" b="0">
            <a:latin typeface="Brown" pitchFamily="2"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Arial" panose="020B0604020202020204" pitchFamily="34" charset="0"/>
              <a:cs typeface="Arial" panose="020B0604020202020204" pitchFamily="34" charset="0"/>
            </a:rPr>
            <a:t>Source:</a:t>
          </a:r>
          <a:r>
            <a:rPr lang="en-GB" sz="900" b="0" baseline="0">
              <a:latin typeface="Arial" panose="020B0604020202020204" pitchFamily="34" charset="0"/>
              <a:cs typeface="Arial" panose="020B0604020202020204" pitchFamily="34" charset="0"/>
            </a:rPr>
            <a:t> Fastmarkets Long-Term Biofuel Outlook Report</a:t>
          </a:r>
          <a:endParaRPr lang="en-GB" sz="900" b="0">
            <a:latin typeface="Arial" panose="020B0604020202020204" pitchFamily="34" charset="0"/>
            <a:cs typeface="Arial" panose="020B0604020202020204" pitchFamily="34" charset="0"/>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18</xdr:col>
      <xdr:colOff>9531</xdr:colOff>
      <xdr:row>51</xdr:row>
      <xdr:rowOff>14287</xdr:rowOff>
    </xdr:from>
    <xdr:to>
      <xdr:col>25</xdr:col>
      <xdr:colOff>314331</xdr:colOff>
      <xdr:row>65</xdr:row>
      <xdr:rowOff>52387</xdr:rowOff>
    </xdr:to>
    <xdr:graphicFrame macro="">
      <xdr:nvGraphicFramePr>
        <xdr:cNvPr id="2" name="Chart 1">
          <a:extLst>
            <a:ext uri="{FF2B5EF4-FFF2-40B4-BE49-F238E27FC236}">
              <a16:creationId xmlns:a16="http://schemas.microsoft.com/office/drawing/2014/main" id="{6455B22E-FEA4-41F6-AFE8-0C40E91F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76206</xdr:colOff>
      <xdr:row>21</xdr:row>
      <xdr:rowOff>33337</xdr:rowOff>
    </xdr:from>
    <xdr:to>
      <xdr:col>25</xdr:col>
      <xdr:colOff>381006</xdr:colOff>
      <xdr:row>35</xdr:row>
      <xdr:rowOff>71437</xdr:rowOff>
    </xdr:to>
    <xdr:graphicFrame macro="">
      <xdr:nvGraphicFramePr>
        <xdr:cNvPr id="3" name="Chart 2">
          <a:extLst>
            <a:ext uri="{FF2B5EF4-FFF2-40B4-BE49-F238E27FC236}">
              <a16:creationId xmlns:a16="http://schemas.microsoft.com/office/drawing/2014/main" id="{ADC9C893-1ABD-44DC-9905-B7C4D5EEF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19050</xdr:colOff>
      <xdr:row>1</xdr:row>
      <xdr:rowOff>9525</xdr:rowOff>
    </xdr:from>
    <xdr:to>
      <xdr:col>25</xdr:col>
      <xdr:colOff>323850</xdr:colOff>
      <xdr:row>15</xdr:row>
      <xdr:rowOff>85725</xdr:rowOff>
    </xdr:to>
    <xdr:graphicFrame macro="">
      <xdr:nvGraphicFramePr>
        <xdr:cNvPr id="4" name="Chart 3">
          <a:extLst>
            <a:ext uri="{FF2B5EF4-FFF2-40B4-BE49-F238E27FC236}">
              <a16:creationId xmlns:a16="http://schemas.microsoft.com/office/drawing/2014/main" id="{6E5C4B5E-CA1B-4068-A97A-5C2095F5A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0.92535</cdr:y>
    </cdr:from>
    <cdr:to>
      <cdr:x>1</cdr:x>
      <cdr:y>0.99479</cdr:y>
    </cdr:to>
    <cdr:sp macro="" textlink="">
      <cdr:nvSpPr>
        <cdr:cNvPr id="2" name="TextBox 1">
          <a:extLst xmlns:a="http://schemas.openxmlformats.org/drawingml/2006/main">
            <a:ext uri="{FF2B5EF4-FFF2-40B4-BE49-F238E27FC236}">
              <a16:creationId xmlns:a16="http://schemas.microsoft.com/office/drawing/2014/main" id="{91053A4C-37BB-D55B-2F8B-45ADAD2E5C63}"/>
            </a:ext>
          </a:extLst>
        </cdr:cNvPr>
        <cdr:cNvSpPr txBox="1"/>
      </cdr:nvSpPr>
      <cdr:spPr>
        <a:xfrm xmlns:a="http://schemas.openxmlformats.org/drawingml/2006/main">
          <a:off x="0" y="2538413"/>
          <a:ext cx="45720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solidFill>
                <a:schemeClr val="tx1"/>
              </a:solidFill>
              <a:latin typeface="Brown" pitchFamily="2" charset="0"/>
            </a:rPr>
            <a:t>Source: Fastmarkets' </a:t>
          </a:r>
          <a:r>
            <a:rPr lang="en-GB" sz="900" b="0" baseline="0">
              <a:solidFill>
                <a:schemeClr val="tx1"/>
              </a:solidFill>
              <a:latin typeface="Brown" pitchFamily="2" charset="0"/>
            </a:rPr>
            <a:t>Long-Term Biofuel Feedstock Outlook Report</a:t>
          </a:r>
          <a:endParaRPr lang="en-GB" sz="900" b="0">
            <a:solidFill>
              <a:schemeClr val="tx1"/>
            </a:solidFill>
            <a:latin typeface="Brown" pitchFamily="2"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Brown" pitchFamily="2" charset="0"/>
            </a:rPr>
            <a:t>Source:</a:t>
          </a:r>
          <a:r>
            <a:rPr lang="en-GB" sz="900" b="0" baseline="0">
              <a:latin typeface="Brown" pitchFamily="2" charset="0"/>
            </a:rPr>
            <a:t> Fastmarkets Long-Term Biofuel Outlook Report</a:t>
          </a:r>
          <a:endParaRPr lang="en-GB" sz="900" b="0">
            <a:latin typeface="Brown" pitchFamily="2"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Arial" panose="020B0604020202020204" pitchFamily="34" charset="0"/>
              <a:cs typeface="Arial" panose="020B0604020202020204" pitchFamily="34" charset="0"/>
            </a:rPr>
            <a:t>Source:</a:t>
          </a:r>
          <a:r>
            <a:rPr lang="en-GB" sz="900" b="0" baseline="0">
              <a:latin typeface="Arial" panose="020B0604020202020204" pitchFamily="34" charset="0"/>
              <a:cs typeface="Arial" panose="020B0604020202020204" pitchFamily="34" charset="0"/>
            </a:rPr>
            <a:t> Fastmarkets Long-Term Biofuel Outlook Report</a:t>
          </a:r>
          <a:endParaRPr lang="en-GB" sz="900" b="0">
            <a:latin typeface="Arial" panose="020B0604020202020204" pitchFamily="34" charset="0"/>
            <a:cs typeface="Arial" panose="020B0604020202020204" pitchFamily="34" charset="0"/>
          </a:endParaRPr>
        </a:p>
      </cdr:txBody>
    </cdr:sp>
  </cdr:relSizeAnchor>
</c:userShapes>
</file>

<file path=xl/drawings/drawing19.xml><?xml version="1.0" encoding="utf-8"?>
<xdr:wsDr xmlns:xdr="http://schemas.openxmlformats.org/drawingml/2006/spreadsheetDrawing" xmlns:a="http://schemas.openxmlformats.org/drawingml/2006/main">
  <xdr:twoCellAnchor>
    <xdr:from>
      <xdr:col>18</xdr:col>
      <xdr:colOff>9531</xdr:colOff>
      <xdr:row>51</xdr:row>
      <xdr:rowOff>14287</xdr:rowOff>
    </xdr:from>
    <xdr:to>
      <xdr:col>25</xdr:col>
      <xdr:colOff>314331</xdr:colOff>
      <xdr:row>65</xdr:row>
      <xdr:rowOff>52387</xdr:rowOff>
    </xdr:to>
    <xdr:graphicFrame macro="">
      <xdr:nvGraphicFramePr>
        <xdr:cNvPr id="2" name="Chart 1">
          <a:extLst>
            <a:ext uri="{FF2B5EF4-FFF2-40B4-BE49-F238E27FC236}">
              <a16:creationId xmlns:a16="http://schemas.microsoft.com/office/drawing/2014/main" id="{3E27255C-C2BF-4FEE-9D7A-2E943DBF5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76206</xdr:colOff>
      <xdr:row>21</xdr:row>
      <xdr:rowOff>33337</xdr:rowOff>
    </xdr:from>
    <xdr:to>
      <xdr:col>25</xdr:col>
      <xdr:colOff>381006</xdr:colOff>
      <xdr:row>35</xdr:row>
      <xdr:rowOff>71437</xdr:rowOff>
    </xdr:to>
    <xdr:graphicFrame macro="">
      <xdr:nvGraphicFramePr>
        <xdr:cNvPr id="3" name="Chart 2">
          <a:extLst>
            <a:ext uri="{FF2B5EF4-FFF2-40B4-BE49-F238E27FC236}">
              <a16:creationId xmlns:a16="http://schemas.microsoft.com/office/drawing/2014/main" id="{95AFB82A-A4CC-4CCF-A112-F79B27F81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19050</xdr:colOff>
      <xdr:row>1</xdr:row>
      <xdr:rowOff>9525</xdr:rowOff>
    </xdr:from>
    <xdr:to>
      <xdr:col>25</xdr:col>
      <xdr:colOff>323850</xdr:colOff>
      <xdr:row>15</xdr:row>
      <xdr:rowOff>85725</xdr:rowOff>
    </xdr:to>
    <xdr:graphicFrame macro="">
      <xdr:nvGraphicFramePr>
        <xdr:cNvPr id="4" name="Chart 3">
          <a:extLst>
            <a:ext uri="{FF2B5EF4-FFF2-40B4-BE49-F238E27FC236}">
              <a16:creationId xmlns:a16="http://schemas.microsoft.com/office/drawing/2014/main" id="{B0AA9EFE-2545-4773-BE4A-17BDFA817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cdr:x>
      <cdr:y>0.92535</cdr:y>
    </cdr:from>
    <cdr:to>
      <cdr:x>1</cdr:x>
      <cdr:y>0.99479</cdr:y>
    </cdr:to>
    <cdr:sp macro="" textlink="">
      <cdr:nvSpPr>
        <cdr:cNvPr id="2" name="TextBox 1">
          <a:extLst xmlns:a="http://schemas.openxmlformats.org/drawingml/2006/main">
            <a:ext uri="{FF2B5EF4-FFF2-40B4-BE49-F238E27FC236}">
              <a16:creationId xmlns:a16="http://schemas.microsoft.com/office/drawing/2014/main" id="{91053A4C-37BB-D55B-2F8B-45ADAD2E5C63}"/>
            </a:ext>
          </a:extLst>
        </cdr:cNvPr>
        <cdr:cNvSpPr txBox="1"/>
      </cdr:nvSpPr>
      <cdr:spPr>
        <a:xfrm xmlns:a="http://schemas.openxmlformats.org/drawingml/2006/main">
          <a:off x="0" y="2538413"/>
          <a:ext cx="45720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solidFill>
                <a:schemeClr val="tx1"/>
              </a:solidFill>
              <a:latin typeface="Brown" pitchFamily="2" charset="0"/>
            </a:rPr>
            <a:t>Source: Fastmarkets' </a:t>
          </a:r>
          <a:r>
            <a:rPr lang="en-GB" sz="900" b="0" baseline="0">
              <a:solidFill>
                <a:schemeClr val="tx1"/>
              </a:solidFill>
              <a:latin typeface="Brown" pitchFamily="2" charset="0"/>
            </a:rPr>
            <a:t>Long-Term Biofuel Feedstock Outlook Report</a:t>
          </a:r>
          <a:endParaRPr lang="en-GB" sz="900" b="0">
            <a:solidFill>
              <a:schemeClr val="tx1"/>
            </a:solidFill>
            <a:latin typeface="Brown" pitchFamily="2"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Brown" pitchFamily="2" charset="0"/>
            </a:rPr>
            <a:t>Source:</a:t>
          </a:r>
          <a:r>
            <a:rPr lang="en-GB" sz="900" b="0" baseline="0">
              <a:latin typeface="Brown" pitchFamily="2" charset="0"/>
            </a:rPr>
            <a:t> Fastmarkets Long-Term Biofuel Outlook Report</a:t>
          </a:r>
          <a:endParaRPr lang="en-GB" sz="900" b="0">
            <a:latin typeface="Brown" pitchFamily="2"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Arial" panose="020B0604020202020204" pitchFamily="34" charset="0"/>
              <a:cs typeface="Arial" panose="020B0604020202020204" pitchFamily="34" charset="0"/>
            </a:rPr>
            <a:t>Source:</a:t>
          </a:r>
          <a:r>
            <a:rPr lang="en-GB" sz="900" b="0" baseline="0">
              <a:latin typeface="Arial" panose="020B0604020202020204" pitchFamily="34" charset="0"/>
              <a:cs typeface="Arial" panose="020B0604020202020204" pitchFamily="34" charset="0"/>
            </a:rPr>
            <a:t> Fastmarkets Long-Term Biofuel Outlook Report</a:t>
          </a:r>
          <a:endParaRPr lang="en-GB" sz="900" b="0">
            <a:latin typeface="Arial" panose="020B0604020202020204" pitchFamily="34" charset="0"/>
            <a:cs typeface="Arial" panose="020B0604020202020204" pitchFamily="34" charset="0"/>
          </a:endParaRPr>
        </a:p>
      </cdr:txBody>
    </cdr:sp>
  </cdr:relSizeAnchor>
</c:userShapes>
</file>

<file path=xl/drawings/drawing23.xml><?xml version="1.0" encoding="utf-8"?>
<xdr:wsDr xmlns:xdr="http://schemas.openxmlformats.org/drawingml/2006/spreadsheetDrawing" xmlns:a="http://schemas.openxmlformats.org/drawingml/2006/main">
  <xdr:twoCellAnchor>
    <xdr:from>
      <xdr:col>18</xdr:col>
      <xdr:colOff>9531</xdr:colOff>
      <xdr:row>51</xdr:row>
      <xdr:rowOff>14287</xdr:rowOff>
    </xdr:from>
    <xdr:to>
      <xdr:col>25</xdr:col>
      <xdr:colOff>314331</xdr:colOff>
      <xdr:row>65</xdr:row>
      <xdr:rowOff>52387</xdr:rowOff>
    </xdr:to>
    <xdr:graphicFrame macro="">
      <xdr:nvGraphicFramePr>
        <xdr:cNvPr id="2" name="Chart 1">
          <a:extLst>
            <a:ext uri="{FF2B5EF4-FFF2-40B4-BE49-F238E27FC236}">
              <a16:creationId xmlns:a16="http://schemas.microsoft.com/office/drawing/2014/main" id="{B766A43F-2FEA-4AC8-9993-884A167EF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76206</xdr:colOff>
      <xdr:row>21</xdr:row>
      <xdr:rowOff>33337</xdr:rowOff>
    </xdr:from>
    <xdr:to>
      <xdr:col>25</xdr:col>
      <xdr:colOff>381006</xdr:colOff>
      <xdr:row>35</xdr:row>
      <xdr:rowOff>71437</xdr:rowOff>
    </xdr:to>
    <xdr:graphicFrame macro="">
      <xdr:nvGraphicFramePr>
        <xdr:cNvPr id="3" name="Chart 2">
          <a:extLst>
            <a:ext uri="{FF2B5EF4-FFF2-40B4-BE49-F238E27FC236}">
              <a16:creationId xmlns:a16="http://schemas.microsoft.com/office/drawing/2014/main" id="{61D25837-F25E-402C-9384-FCE23013A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19050</xdr:colOff>
      <xdr:row>1</xdr:row>
      <xdr:rowOff>9525</xdr:rowOff>
    </xdr:from>
    <xdr:to>
      <xdr:col>25</xdr:col>
      <xdr:colOff>323850</xdr:colOff>
      <xdr:row>15</xdr:row>
      <xdr:rowOff>85725</xdr:rowOff>
    </xdr:to>
    <xdr:graphicFrame macro="">
      <xdr:nvGraphicFramePr>
        <xdr:cNvPr id="4" name="Chart 3">
          <a:extLst>
            <a:ext uri="{FF2B5EF4-FFF2-40B4-BE49-F238E27FC236}">
              <a16:creationId xmlns:a16="http://schemas.microsoft.com/office/drawing/2014/main" id="{370913D3-D201-4DC6-BC6D-BB59FC5CF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cdr:x>
      <cdr:y>0.92535</cdr:y>
    </cdr:from>
    <cdr:to>
      <cdr:x>1</cdr:x>
      <cdr:y>0.99479</cdr:y>
    </cdr:to>
    <cdr:sp macro="" textlink="">
      <cdr:nvSpPr>
        <cdr:cNvPr id="2" name="TextBox 1">
          <a:extLst xmlns:a="http://schemas.openxmlformats.org/drawingml/2006/main">
            <a:ext uri="{FF2B5EF4-FFF2-40B4-BE49-F238E27FC236}">
              <a16:creationId xmlns:a16="http://schemas.microsoft.com/office/drawing/2014/main" id="{91053A4C-37BB-D55B-2F8B-45ADAD2E5C63}"/>
            </a:ext>
          </a:extLst>
        </cdr:cNvPr>
        <cdr:cNvSpPr txBox="1"/>
      </cdr:nvSpPr>
      <cdr:spPr>
        <a:xfrm xmlns:a="http://schemas.openxmlformats.org/drawingml/2006/main">
          <a:off x="0" y="2538413"/>
          <a:ext cx="45720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solidFill>
                <a:schemeClr val="tx1"/>
              </a:solidFill>
              <a:latin typeface="Brown" pitchFamily="2" charset="0"/>
            </a:rPr>
            <a:t>Source: Fastmarkets' </a:t>
          </a:r>
          <a:r>
            <a:rPr lang="en-GB" sz="900" b="0" baseline="0">
              <a:solidFill>
                <a:schemeClr val="tx1"/>
              </a:solidFill>
              <a:latin typeface="Brown" pitchFamily="2" charset="0"/>
            </a:rPr>
            <a:t>Long-Term Biofuel Feedstock Outlook Report</a:t>
          </a:r>
          <a:endParaRPr lang="en-GB" sz="900" b="0">
            <a:solidFill>
              <a:schemeClr val="tx1"/>
            </a:solidFill>
            <a:latin typeface="Brown" pitchFamily="2"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Brown" pitchFamily="2" charset="0"/>
            </a:rPr>
            <a:t>Source:</a:t>
          </a:r>
          <a:r>
            <a:rPr lang="en-GB" sz="900" b="0" baseline="0">
              <a:latin typeface="Brown" pitchFamily="2" charset="0"/>
            </a:rPr>
            <a:t> Fastmarkets Long-Term Biofuel Outlook Report</a:t>
          </a:r>
          <a:endParaRPr lang="en-GB" sz="900" b="0">
            <a:latin typeface="Brown" pitchFamily="2"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cdr:x>
      <cdr:y>0.92188</cdr:y>
    </cdr:from>
    <cdr:to>
      <cdr:x>0.775</cdr:x>
      <cdr:y>1</cdr:y>
    </cdr:to>
    <cdr:sp macro="" textlink="">
      <cdr:nvSpPr>
        <cdr:cNvPr id="2" name="TextBox 1">
          <a:extLst xmlns:a="http://schemas.openxmlformats.org/drawingml/2006/main">
            <a:ext uri="{FF2B5EF4-FFF2-40B4-BE49-F238E27FC236}">
              <a16:creationId xmlns:a16="http://schemas.microsoft.com/office/drawing/2014/main" id="{4812211F-3DC7-FBA8-E0BB-9DBBEEFEDE2D}"/>
            </a:ext>
          </a:extLst>
        </cdr:cNvPr>
        <cdr:cNvSpPr txBox="1"/>
      </cdr:nvSpPr>
      <cdr:spPr>
        <a:xfrm xmlns:a="http://schemas.openxmlformats.org/drawingml/2006/main">
          <a:off x="0" y="2528888"/>
          <a:ext cx="3543300"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a:latin typeface="Arial" panose="020B0604020202020204" pitchFamily="34" charset="0"/>
              <a:cs typeface="Arial" panose="020B0604020202020204" pitchFamily="34" charset="0"/>
            </a:rPr>
            <a:t>Source:</a:t>
          </a:r>
          <a:r>
            <a:rPr lang="en-GB" sz="900" b="0" baseline="0">
              <a:latin typeface="Arial" panose="020B0604020202020204" pitchFamily="34" charset="0"/>
              <a:cs typeface="Arial" panose="020B0604020202020204" pitchFamily="34" charset="0"/>
            </a:rPr>
            <a:t> Fastmarkets Long-Term Biofuel Outlook Report</a:t>
          </a:r>
          <a:endParaRPr lang="en-GB" sz="900" b="0">
            <a:latin typeface="Arial" panose="020B0604020202020204" pitchFamily="34" charset="0"/>
            <a:cs typeface="Arial" panose="020B0604020202020204" pitchFamily="34" charset="0"/>
          </a:endParaRPr>
        </a:p>
      </cdr:txBody>
    </cdr:sp>
  </cdr:relSizeAnchor>
</c:userShapes>
</file>

<file path=xl/drawings/drawing27.xml><?xml version="1.0" encoding="utf-8"?>
<xdr:wsDr xmlns:xdr="http://schemas.openxmlformats.org/drawingml/2006/spreadsheetDrawing" xmlns:a="http://schemas.openxmlformats.org/drawingml/2006/main">
  <xdr:absoluteAnchor>
    <xdr:pos x="10085295" y="2442882"/>
    <xdr:ext cx="10110107" cy="5143500"/>
    <xdr:graphicFrame macro="">
      <xdr:nvGraphicFramePr>
        <xdr:cNvPr id="2" name="Chart 1">
          <a:extLst>
            <a:ext uri="{FF2B5EF4-FFF2-40B4-BE49-F238E27FC236}">
              <a16:creationId xmlns:a16="http://schemas.microsoft.com/office/drawing/2014/main" id="{46253AB3-C189-4C84-B5EC-7AF3452DB3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0.95252</cdr:y>
    </cdr:from>
    <cdr:to>
      <cdr:x>0.50183</cdr:x>
      <cdr:y>1</cdr:y>
    </cdr:to>
    <cdr:sp macro="" textlink="">
      <cdr:nvSpPr>
        <cdr:cNvPr id="2" name="TextBox 1">
          <a:extLst xmlns:a="http://schemas.openxmlformats.org/drawingml/2006/main">
            <a:ext uri="{FF2B5EF4-FFF2-40B4-BE49-F238E27FC236}">
              <a16:creationId xmlns:a16="http://schemas.microsoft.com/office/drawing/2014/main" id="{C968F5B8-1F73-D895-CE9F-6A7B4F875E6B}"/>
            </a:ext>
          </a:extLst>
        </cdr:cNvPr>
        <cdr:cNvSpPr txBox="1"/>
      </cdr:nvSpPr>
      <cdr:spPr>
        <a:xfrm xmlns:a="http://schemas.openxmlformats.org/drawingml/2006/main">
          <a:off x="0" y="4913254"/>
          <a:ext cx="5077716" cy="244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kern="1200">
              <a:latin typeface="Arial" panose="020B0604020202020204" pitchFamily="34" charset="0"/>
              <a:cs typeface="Arial" panose="020B0604020202020204" pitchFamily="34" charset="0"/>
            </a:rPr>
            <a:t>Fastmarkets</a:t>
          </a:r>
          <a:r>
            <a:rPr lang="en-GB" sz="1200" b="1" kern="1200" baseline="0">
              <a:latin typeface="Arial" panose="020B0604020202020204" pitchFamily="34" charset="0"/>
              <a:cs typeface="Arial" panose="020B0604020202020204" pitchFamily="34" charset="0"/>
            </a:rPr>
            <a:t> Fats, Fuels, and Feedstocks Long-Term Outlook</a:t>
          </a:r>
          <a:endParaRPr lang="en-GB" sz="1200" b="1" kern="1200">
            <a:latin typeface="Arial" panose="020B0604020202020204" pitchFamily="34" charset="0"/>
            <a:cs typeface="Arial" panose="020B0604020202020204" pitchFamily="34" charset="0"/>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10113537" cy="5149695"/>
    <xdr:graphicFrame macro="">
      <xdr:nvGraphicFramePr>
        <xdr:cNvPr id="2" name="Chart 1">
          <a:extLst>
            <a:ext uri="{FF2B5EF4-FFF2-40B4-BE49-F238E27FC236}">
              <a16:creationId xmlns:a16="http://schemas.microsoft.com/office/drawing/2014/main" id="{F3C0586D-25C7-7D4C-5049-B6F1FAF077F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0.95252</cdr:y>
    </cdr:from>
    <cdr:to>
      <cdr:x>0.50183</cdr:x>
      <cdr:y>1</cdr:y>
    </cdr:to>
    <cdr:sp macro="" textlink="">
      <cdr:nvSpPr>
        <cdr:cNvPr id="2" name="TextBox 1">
          <a:extLst xmlns:a="http://schemas.openxmlformats.org/drawingml/2006/main">
            <a:ext uri="{FF2B5EF4-FFF2-40B4-BE49-F238E27FC236}">
              <a16:creationId xmlns:a16="http://schemas.microsoft.com/office/drawing/2014/main" id="{C968F5B8-1F73-D895-CE9F-6A7B4F875E6B}"/>
            </a:ext>
          </a:extLst>
        </cdr:cNvPr>
        <cdr:cNvSpPr txBox="1"/>
      </cdr:nvSpPr>
      <cdr:spPr>
        <a:xfrm xmlns:a="http://schemas.openxmlformats.org/drawingml/2006/main">
          <a:off x="0" y="4913254"/>
          <a:ext cx="5077716" cy="244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kern="1200">
              <a:latin typeface="Arial" panose="020B0604020202020204" pitchFamily="34" charset="0"/>
              <a:cs typeface="Arial" panose="020B0604020202020204" pitchFamily="34" charset="0"/>
            </a:rPr>
            <a:t>Fastmarkets</a:t>
          </a:r>
          <a:r>
            <a:rPr lang="en-GB" sz="1200" b="1" kern="1200" baseline="0">
              <a:latin typeface="Arial" panose="020B0604020202020204" pitchFamily="34" charset="0"/>
              <a:cs typeface="Arial" panose="020B0604020202020204" pitchFamily="34" charset="0"/>
            </a:rPr>
            <a:t> Fats, Fuels, and Feedstocks Long-Term Outlook</a:t>
          </a:r>
          <a:endParaRPr lang="en-GB" sz="1200" b="1" kern="1200">
            <a:latin typeface="Arial" panose="020B0604020202020204" pitchFamily="34" charset="0"/>
            <a:cs typeface="Arial" panose="020B0604020202020204" pitchFamily="34" charset="0"/>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10113537" cy="5149695"/>
    <xdr:graphicFrame macro="">
      <xdr:nvGraphicFramePr>
        <xdr:cNvPr id="2" name="Chart 1">
          <a:extLst>
            <a:ext uri="{FF2B5EF4-FFF2-40B4-BE49-F238E27FC236}">
              <a16:creationId xmlns:a16="http://schemas.microsoft.com/office/drawing/2014/main" id="{A92FDEAE-33C8-C5E0-3855-C805152071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0.95383</cdr:y>
    </cdr:from>
    <cdr:to>
      <cdr:x>0.57519</cdr:x>
      <cdr:y>1</cdr:y>
    </cdr:to>
    <cdr:sp macro="" textlink="">
      <cdr:nvSpPr>
        <cdr:cNvPr id="4" name="TextBox 3">
          <a:extLst xmlns:a="http://schemas.openxmlformats.org/drawingml/2006/main">
            <a:ext uri="{FF2B5EF4-FFF2-40B4-BE49-F238E27FC236}">
              <a16:creationId xmlns:a16="http://schemas.microsoft.com/office/drawing/2014/main" id="{2B37276D-964A-F0CE-4CB4-B60A3BA84688}"/>
            </a:ext>
          </a:extLst>
        </cdr:cNvPr>
        <cdr:cNvSpPr txBox="1"/>
      </cdr:nvSpPr>
      <cdr:spPr>
        <a:xfrm xmlns:a="http://schemas.openxmlformats.org/drawingml/2006/main">
          <a:off x="0" y="4920000"/>
          <a:ext cx="5820000" cy="2381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b="1" kern="1200">
              <a:latin typeface="Arial" panose="020B0604020202020204" pitchFamily="34" charset="0"/>
              <a:cs typeface="Arial" panose="020B0604020202020204" pitchFamily="34" charset="0"/>
            </a:rPr>
            <a:t>Fastmarkets Fats, Fuels, and Feedstocks Long-Term Oulook</a:t>
          </a: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10120312" cy="5153705"/>
    <xdr:graphicFrame macro="">
      <xdr:nvGraphicFramePr>
        <xdr:cNvPr id="2" name="Chart 1">
          <a:extLst>
            <a:ext uri="{FF2B5EF4-FFF2-40B4-BE49-F238E27FC236}">
              <a16:creationId xmlns:a16="http://schemas.microsoft.com/office/drawing/2014/main" id="{522CE661-C203-D6FB-ED75-0AF565ABC6A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0.9463</cdr:y>
    </cdr:from>
    <cdr:to>
      <cdr:x>0.37306</cdr:x>
      <cdr:y>1</cdr:y>
    </cdr:to>
    <cdr:sp macro="" textlink="">
      <cdr:nvSpPr>
        <cdr:cNvPr id="2" name="TextBox 1">
          <a:extLst xmlns:a="http://schemas.openxmlformats.org/drawingml/2006/main">
            <a:ext uri="{FF2B5EF4-FFF2-40B4-BE49-F238E27FC236}">
              <a16:creationId xmlns:a16="http://schemas.microsoft.com/office/drawing/2014/main" id="{64D0CA8A-7BC8-3014-2E55-8364F555625F}"/>
            </a:ext>
          </a:extLst>
        </cdr:cNvPr>
        <cdr:cNvSpPr txBox="1"/>
      </cdr:nvSpPr>
      <cdr:spPr>
        <a:xfrm xmlns:a="http://schemas.openxmlformats.org/drawingml/2006/main">
          <a:off x="0" y="4890000"/>
          <a:ext cx="3780000" cy="27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50" b="1" kern="1200">
              <a:latin typeface="Arial" panose="020B0604020202020204" pitchFamily="34" charset="0"/>
              <a:cs typeface="Arial" panose="020B0604020202020204" pitchFamily="34" charset="0"/>
            </a:rPr>
            <a:t>Fastmarkets Fats, Fuels, and Oils, Long-Term Outlook</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RLC%20Documents\Models\Biofuels\US%20BBD%20and%20Fuel%20Balance%20Sheets.xlsx" TargetMode="External"/><Relationship Id="rId1" Type="http://schemas.openxmlformats.org/officeDocument/2006/relationships/externalLinkPath" Target="US%20BBD%20and%20Fuel%20Balance%20She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BO"/>
      <sheetName val="CO"/>
      <sheetName val="UCO"/>
      <sheetName val="DCO"/>
      <sheetName val="Tallow"/>
      <sheetName val="Credit Values"/>
      <sheetName val="HRD"/>
      <sheetName val="Jet Fuel"/>
      <sheetName val="Biomass-Based Diesel-SAF"/>
      <sheetName val="SAF"/>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7">
          <cell r="E17">
            <v>573403.84113099996</v>
          </cell>
          <cell r="F17">
            <v>708959.95827800001</v>
          </cell>
          <cell r="G17">
            <v>773411.55941999995</v>
          </cell>
          <cell r="H17">
            <v>785786.14437071991</v>
          </cell>
          <cell r="I17">
            <v>807002.37026872928</v>
          </cell>
          <cell r="J17">
            <v>828791.43426598492</v>
          </cell>
          <cell r="K17">
            <v>851168.80299116648</v>
          </cell>
          <cell r="L17">
            <v>874150.36067192792</v>
          </cell>
          <cell r="M17">
            <v>897752.42041006987</v>
          </cell>
          <cell r="N17">
            <v>921991.73576114164</v>
          </cell>
          <cell r="O17">
            <v>946885.51262669242</v>
          </cell>
          <cell r="P17">
            <v>972451.42146761308</v>
          </cell>
          <cell r="Q17">
            <v>998707.60984723852</v>
          </cell>
          <cell r="R17">
            <v>1025672.7153131139</v>
          </cell>
          <cell r="S17">
            <v>1053365.8786265678</v>
          </cell>
          <cell r="T17">
            <v>1081806.7573494851</v>
          </cell>
          <cell r="U17">
            <v>1111015.539797921</v>
          </cell>
          <cell r="V17">
            <v>1141012.9593724648</v>
          </cell>
          <cell r="W17">
            <v>1171820.3092755212</v>
          </cell>
          <cell r="X17">
            <v>1203459.4576259602</v>
          </cell>
          <cell r="Y17">
            <v>1235952.862981861</v>
          </cell>
          <cell r="Z17">
            <v>1269323.590282371</v>
          </cell>
          <cell r="AA17">
            <v>1303595.327219995</v>
          </cell>
          <cell r="AB17">
            <v>1338792.4010549348</v>
          </cell>
          <cell r="AC17">
            <v>1374939.7958834181</v>
          </cell>
          <cell r="AD17">
            <v>1412063.1703722703</v>
          </cell>
          <cell r="AE17">
            <v>1450188.8759723215</v>
          </cell>
          <cell r="AF17">
            <v>1489343.9756235741</v>
          </cell>
          <cell r="AG17">
            <v>1529556.2629654105</v>
          </cell>
          <cell r="AH17">
            <v>1570854.2820654765</v>
          </cell>
        </row>
        <row r="81">
          <cell r="E81">
            <v>252509226.01800001</v>
          </cell>
          <cell r="F81">
            <v>285624944.97600001</v>
          </cell>
          <cell r="G81">
            <v>302634951.36000001</v>
          </cell>
          <cell r="H81">
            <v>315115004</v>
          </cell>
          <cell r="I81">
            <v>317225000</v>
          </cell>
          <cell r="J81">
            <v>318720000</v>
          </cell>
          <cell r="K81">
            <v>328400000</v>
          </cell>
          <cell r="L81">
            <v>335505000</v>
          </cell>
          <cell r="M81">
            <v>341075000</v>
          </cell>
          <cell r="N81">
            <v>345675000</v>
          </cell>
          <cell r="O81">
            <v>352920000</v>
          </cell>
          <cell r="P81">
            <v>360275000</v>
          </cell>
          <cell r="Q81">
            <v>366340000</v>
          </cell>
          <cell r="R81">
            <v>372980000</v>
          </cell>
          <cell r="S81">
            <v>380570000</v>
          </cell>
          <cell r="T81">
            <v>388380000</v>
          </cell>
          <cell r="U81">
            <v>395980000</v>
          </cell>
          <cell r="V81">
            <v>403775000</v>
          </cell>
          <cell r="W81">
            <v>412075000</v>
          </cell>
          <cell r="X81">
            <v>420575000</v>
          </cell>
          <cell r="Y81">
            <v>429175000</v>
          </cell>
          <cell r="Z81">
            <v>437975000</v>
          </cell>
          <cell r="AA81">
            <v>447170000</v>
          </cell>
          <cell r="AB81">
            <v>456575000</v>
          </cell>
          <cell r="AC81">
            <v>466170000</v>
          </cell>
          <cell r="AD81">
            <v>476070000</v>
          </cell>
          <cell r="AE81">
            <v>486270000</v>
          </cell>
          <cell r="AF81">
            <v>496670000</v>
          </cell>
          <cell r="AG81">
            <v>507370000</v>
          </cell>
          <cell r="AH81">
            <v>518365000</v>
          </cell>
        </row>
      </sheetData>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uelsandlubes.com/flo-article/infinium-and-engie-to-build-e-fuels-facility-in-france/" TargetMode="External"/><Relationship Id="rId1" Type="http://schemas.openxmlformats.org/officeDocument/2006/relationships/hyperlink" Target="https://www.safinvestor.com/news/145751/norway/"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108D-1187-40AA-BA2E-E2BAE77201D6}">
  <dimension ref="R1:R2"/>
  <sheetViews>
    <sheetView tabSelected="1" topLeftCell="A2" zoomScale="70" zoomScaleNormal="70" workbookViewId="0">
      <selection activeCell="H38" sqref="H38"/>
    </sheetView>
  </sheetViews>
  <sheetFormatPr defaultRowHeight="15"/>
  <sheetData>
    <row r="1" spans="18:18">
      <c r="R1" t="s">
        <v>0</v>
      </c>
    </row>
    <row r="2" spans="18:18">
      <c r="R2"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7498-9A8F-4E9D-B38F-6904C96251C8}">
  <dimension ref="A1:AE119"/>
  <sheetViews>
    <sheetView topLeftCell="N38" zoomScale="119" zoomScaleNormal="85" workbookViewId="0">
      <selection activeCell="Z42" sqref="Z42"/>
    </sheetView>
  </sheetViews>
  <sheetFormatPr defaultColWidth="9.140625" defaultRowHeight="11.25"/>
  <cols>
    <col min="1" max="1" width="23.140625" style="249" customWidth="1"/>
    <col min="2" max="17" width="8.85546875" style="249" customWidth="1"/>
    <col min="18" max="18" width="9.140625" style="249"/>
    <col min="19" max="27" width="9.28515625" style="249" bestFit="1" customWidth="1"/>
    <col min="28" max="29" width="10.140625" style="249" bestFit="1" customWidth="1"/>
    <col min="30" max="30" width="9.7109375" style="249" bestFit="1" customWidth="1"/>
    <col min="31" max="16384" width="9.140625" style="249"/>
  </cols>
  <sheetData>
    <row r="1" spans="1:17" ht="12" thickBot="1">
      <c r="A1" s="279" t="s">
        <v>2</v>
      </c>
      <c r="B1" s="279"/>
      <c r="C1" s="279"/>
      <c r="D1" s="279"/>
      <c r="E1" s="279"/>
      <c r="F1" s="279"/>
      <c r="G1" s="279"/>
      <c r="H1" s="279"/>
      <c r="I1" s="279"/>
      <c r="J1" s="279"/>
      <c r="K1" s="279"/>
      <c r="L1" s="279"/>
      <c r="M1" s="279"/>
      <c r="N1" s="279"/>
      <c r="O1" s="279"/>
      <c r="P1" s="279"/>
      <c r="Q1" s="279"/>
    </row>
    <row r="2" spans="1:17" ht="15" customHeight="1" thickBot="1">
      <c r="A2" s="274" t="s">
        <v>3</v>
      </c>
      <c r="B2" s="280" t="s">
        <v>4</v>
      </c>
      <c r="C2" s="281">
        <v>2021</v>
      </c>
      <c r="D2" s="281">
        <v>2022</v>
      </c>
      <c r="E2" s="281">
        <v>2023</v>
      </c>
      <c r="F2" s="281">
        <v>2024</v>
      </c>
      <c r="G2" s="281">
        <v>2025</v>
      </c>
      <c r="H2" s="281">
        <v>2026</v>
      </c>
      <c r="I2" s="281">
        <v>2027</v>
      </c>
      <c r="J2" s="281">
        <v>2028</v>
      </c>
      <c r="K2" s="281">
        <v>2029</v>
      </c>
      <c r="L2" s="281">
        <v>2030</v>
      </c>
      <c r="M2" s="281">
        <v>2031</v>
      </c>
      <c r="N2" s="281">
        <v>2032</v>
      </c>
      <c r="O2" s="281">
        <v>2033</v>
      </c>
      <c r="P2" s="281">
        <v>2034</v>
      </c>
      <c r="Q2" s="281">
        <v>2035</v>
      </c>
    </row>
    <row r="3" spans="1:17" ht="15" customHeight="1">
      <c r="A3" s="251" t="s">
        <v>5</v>
      </c>
      <c r="B3" s="252">
        <f>'NAm Capacity Data'!B3+'SAm Capacity Data'!B3+'Europe Capacity Data'!B3+'Asia Capacity Data'!B3+'MEA Capacity Data'!B3</f>
        <v>247</v>
      </c>
      <c r="C3" s="252">
        <f>'NAm Capacity Data'!C3+'SAm Capacity Data'!C3+'Europe Capacity Data'!C3+'Asia Capacity Data'!C3+'MEA Capacity Data'!C3</f>
        <v>0.35000000000000003</v>
      </c>
      <c r="D3" s="252">
        <f>'NAm Capacity Data'!D3+'SAm Capacity Data'!D3+'Europe Capacity Data'!D3+'Asia Capacity Data'!D3+'MEA Capacity Data'!D3</f>
        <v>473.65</v>
      </c>
      <c r="E3" s="252">
        <f>'NAm Capacity Data'!E3+'SAm Capacity Data'!E3+'Europe Capacity Data'!E3+'Asia Capacity Data'!E3+'MEA Capacity Data'!E3</f>
        <v>330</v>
      </c>
      <c r="F3" s="355">
        <f>'NAm Capacity Data'!F3+'SAm Capacity Data'!F3+'Europe Capacity Data'!F3+'Asia Capacity Data'!F3+'MEA Capacity Data'!F3</f>
        <v>989.80087500000002</v>
      </c>
      <c r="G3" s="355">
        <f>'NAm Capacity Data'!G3+'SAm Capacity Data'!G3+'Europe Capacity Data'!G3+'Asia Capacity Data'!G3+'MEA Capacity Data'!G3</f>
        <v>1499.6062750000001</v>
      </c>
      <c r="H3" s="355">
        <f>'NAm Capacity Data'!H3+'SAm Capacity Data'!H3+'Europe Capacity Data'!H3+'Asia Capacity Data'!H3+'MEA Capacity Data'!H3</f>
        <v>792.02467500000012</v>
      </c>
      <c r="I3" s="355">
        <f>'NAm Capacity Data'!I3+'SAm Capacity Data'!I3+'Europe Capacity Data'!I3+'Asia Capacity Data'!I3+'MEA Capacity Data'!I3</f>
        <v>879.88687500000003</v>
      </c>
      <c r="J3" s="355">
        <f>'NAm Capacity Data'!J3+'SAm Capacity Data'!J3+'Europe Capacity Data'!J3+'Asia Capacity Data'!J3+'MEA Capacity Data'!J3</f>
        <v>215.08103000000003</v>
      </c>
      <c r="K3" s="355">
        <f>'NAm Capacity Data'!K3+'SAm Capacity Data'!K3+'Europe Capacity Data'!K3+'Asia Capacity Data'!K3+'MEA Capacity Data'!K3</f>
        <v>60.525000000000006</v>
      </c>
      <c r="L3" s="355">
        <f>'NAm Capacity Data'!L3+'SAm Capacity Data'!L3+'Europe Capacity Data'!L3+'Asia Capacity Data'!L3+'MEA Capacity Data'!L3</f>
        <v>125.68450000000001</v>
      </c>
      <c r="M3" s="355">
        <f>'NAm Capacity Data'!M3+'SAm Capacity Data'!M3+'Europe Capacity Data'!M3+'Asia Capacity Data'!M3+'MEA Capacity Data'!M3</f>
        <v>0</v>
      </c>
      <c r="N3" s="355">
        <f>'NAm Capacity Data'!N3+'SAm Capacity Data'!N3+'Europe Capacity Data'!N3+'Asia Capacity Data'!N3+'MEA Capacity Data'!N3</f>
        <v>16.46</v>
      </c>
      <c r="O3" s="355">
        <f>'NAm Capacity Data'!O3+'SAm Capacity Data'!O3+'Europe Capacity Data'!O3+'Asia Capacity Data'!O3+'MEA Capacity Data'!O3</f>
        <v>0</v>
      </c>
      <c r="P3" s="355">
        <f>'NAm Capacity Data'!P3+'SAm Capacity Data'!P3+'Europe Capacity Data'!P3+'Asia Capacity Data'!P3+'MEA Capacity Data'!P3</f>
        <v>0</v>
      </c>
      <c r="Q3" s="355">
        <f>'NAm Capacity Data'!Q3+'SAm Capacity Data'!Q3+'Europe Capacity Data'!Q3+'Asia Capacity Data'!Q3+'MEA Capacity Data'!Q3</f>
        <v>0</v>
      </c>
    </row>
    <row r="4" spans="1:17" ht="15" customHeight="1">
      <c r="A4" s="249" t="s">
        <v>6</v>
      </c>
      <c r="B4" s="254">
        <f>'NAm Capacity Data'!B4+'SAm Capacity Data'!B4+'Europe Capacity Data'!B4+'Asia Capacity Data'!B4+'MEA Capacity Data'!B4</f>
        <v>3.0001000000000002</v>
      </c>
      <c r="C4" s="254">
        <f>'NAm Capacity Data'!C4+'SAm Capacity Data'!C4+'Europe Capacity Data'!C4+'Asia Capacity Data'!C4+'MEA Capacity Data'!C4</f>
        <v>0</v>
      </c>
      <c r="D4" s="254">
        <f>'NAm Capacity Data'!D4+'SAm Capacity Data'!D4+'Europe Capacity Data'!D4+'Asia Capacity Data'!D4+'MEA Capacity Data'!D4</f>
        <v>0</v>
      </c>
      <c r="E4" s="254">
        <f>'NAm Capacity Data'!E4+'SAm Capacity Data'!E4+'Europe Capacity Data'!E4+'Asia Capacity Data'!E4+'MEA Capacity Data'!E4</f>
        <v>0</v>
      </c>
      <c r="F4" s="355">
        <f>'NAm Capacity Data'!F4+'SAm Capacity Data'!F4+'Europe Capacity Data'!F4+'Asia Capacity Data'!F4+'MEA Capacity Data'!F4</f>
        <v>9</v>
      </c>
      <c r="G4" s="355">
        <f>'NAm Capacity Data'!G4+'SAm Capacity Data'!G4+'Europe Capacity Data'!G4+'Asia Capacity Data'!G4+'MEA Capacity Data'!G4</f>
        <v>124.200625</v>
      </c>
      <c r="H4" s="355">
        <f>'NAm Capacity Data'!H4+'SAm Capacity Data'!H4+'Europe Capacity Data'!H4+'Asia Capacity Data'!H4+'MEA Capacity Data'!H4</f>
        <v>204.69</v>
      </c>
      <c r="I4" s="355">
        <f>'NAm Capacity Data'!I4+'SAm Capacity Data'!I4+'Europe Capacity Data'!I4+'Asia Capacity Data'!I4+'MEA Capacity Data'!I4</f>
        <v>347.864375</v>
      </c>
      <c r="J4" s="355">
        <f>'NAm Capacity Data'!J4+'SAm Capacity Data'!J4+'Europe Capacity Data'!J4+'Asia Capacity Data'!J4+'MEA Capacity Data'!J4</f>
        <v>196.53194999999999</v>
      </c>
      <c r="K4" s="355">
        <f>'NAm Capacity Data'!K4+'SAm Capacity Data'!K4+'Europe Capacity Data'!K4+'Asia Capacity Data'!K4+'MEA Capacity Data'!K4</f>
        <v>39.457599999999999</v>
      </c>
      <c r="L4" s="355">
        <f>'NAm Capacity Data'!L4+'SAm Capacity Data'!L4+'Europe Capacity Data'!L4+'Asia Capacity Data'!L4+'MEA Capacity Data'!L4</f>
        <v>148.50825</v>
      </c>
      <c r="M4" s="355">
        <f>'NAm Capacity Data'!M4+'SAm Capacity Data'!M4+'Europe Capacity Data'!M4+'Asia Capacity Data'!M4+'MEA Capacity Data'!M4</f>
        <v>3.4019999999999997</v>
      </c>
      <c r="N4" s="355">
        <f>'NAm Capacity Data'!N4+'SAm Capacity Data'!N4+'Europe Capacity Data'!N4+'Asia Capacity Data'!N4+'MEA Capacity Data'!N4</f>
        <v>23.8125</v>
      </c>
      <c r="O4" s="355">
        <f>'NAm Capacity Data'!O4+'SAm Capacity Data'!O4+'Europe Capacity Data'!O4+'Asia Capacity Data'!O4+'MEA Capacity Data'!O4</f>
        <v>0</v>
      </c>
      <c r="P4" s="355">
        <f>'NAm Capacity Data'!P4+'SAm Capacity Data'!P4+'Europe Capacity Data'!P4+'Asia Capacity Data'!P4+'MEA Capacity Data'!P4</f>
        <v>0</v>
      </c>
      <c r="Q4" s="355">
        <f>'NAm Capacity Data'!Q4+'SAm Capacity Data'!Q4+'Europe Capacity Data'!Q4+'Asia Capacity Data'!Q4+'MEA Capacity Data'!Q4</f>
        <v>0</v>
      </c>
    </row>
    <row r="5" spans="1:17" ht="15" customHeight="1">
      <c r="A5" s="249" t="s">
        <v>7</v>
      </c>
      <c r="B5" s="254">
        <f>'NAm Capacity Data'!B5+'SAm Capacity Data'!B5+'Europe Capacity Data'!B5+'Asia Capacity Data'!B5+'MEA Capacity Data'!B5</f>
        <v>0</v>
      </c>
      <c r="C5" s="254">
        <f>'NAm Capacity Data'!C5+'SAm Capacity Data'!C5+'Europe Capacity Data'!C5+'Asia Capacity Data'!C5+'MEA Capacity Data'!C5</f>
        <v>0</v>
      </c>
      <c r="D5" s="254">
        <f>'NAm Capacity Data'!D5+'SAm Capacity Data'!D5+'Europe Capacity Data'!D5+'Asia Capacity Data'!D5+'MEA Capacity Data'!D5</f>
        <v>0</v>
      </c>
      <c r="E5" s="254">
        <f>'NAm Capacity Data'!E5+'SAm Capacity Data'!E5+'Europe Capacity Data'!E5+'Asia Capacity Data'!E5+'MEA Capacity Data'!E5</f>
        <v>0</v>
      </c>
      <c r="F5" s="355">
        <f>'NAm Capacity Data'!F5+'SAm Capacity Data'!F5+'Europe Capacity Data'!F5+'Asia Capacity Data'!F5+'MEA Capacity Data'!F5</f>
        <v>0.25410000000000005</v>
      </c>
      <c r="G5" s="355">
        <f>'NAm Capacity Data'!G5+'SAm Capacity Data'!G5+'Europe Capacity Data'!G5+'Asia Capacity Data'!G5+'MEA Capacity Data'!G5</f>
        <v>80.053400000000011</v>
      </c>
      <c r="H5" s="355">
        <f>'NAm Capacity Data'!H5+'SAm Capacity Data'!H5+'Europe Capacity Data'!H5+'Asia Capacity Data'!H5+'MEA Capacity Data'!H5</f>
        <v>96.954000000000008</v>
      </c>
      <c r="I5" s="355">
        <f>'NAm Capacity Data'!I5+'SAm Capacity Data'!I5+'Europe Capacity Data'!I5+'Asia Capacity Data'!I5+'MEA Capacity Data'!I5</f>
        <v>207.679</v>
      </c>
      <c r="J5" s="355">
        <f>'NAm Capacity Data'!J5+'SAm Capacity Data'!J5+'Europe Capacity Data'!J5+'Asia Capacity Data'!J5+'MEA Capacity Data'!J5</f>
        <v>75.447500000000005</v>
      </c>
      <c r="K5" s="355">
        <f>'NAm Capacity Data'!K5+'SAm Capacity Data'!K5+'Europe Capacity Data'!K5+'Asia Capacity Data'!K5+'MEA Capacity Data'!K5</f>
        <v>59.5</v>
      </c>
      <c r="L5" s="355">
        <f>'NAm Capacity Data'!L5+'SAm Capacity Data'!L5+'Europe Capacity Data'!L5+'Asia Capacity Data'!L5+'MEA Capacity Data'!L5</f>
        <v>48.844999999999999</v>
      </c>
      <c r="M5" s="355">
        <f>'NAm Capacity Data'!M5+'SAm Capacity Data'!M5+'Europe Capacity Data'!M5+'Asia Capacity Data'!M5+'MEA Capacity Data'!M5</f>
        <v>0</v>
      </c>
      <c r="N5" s="355">
        <f>'NAm Capacity Data'!N5+'SAm Capacity Data'!N5+'Europe Capacity Data'!N5+'Asia Capacity Data'!N5+'MEA Capacity Data'!N5</f>
        <v>8.4315000000000015</v>
      </c>
      <c r="O5" s="355">
        <f>'NAm Capacity Data'!O5+'SAm Capacity Data'!O5+'Europe Capacity Data'!O5+'Asia Capacity Data'!O5+'MEA Capacity Data'!O5</f>
        <v>0</v>
      </c>
      <c r="P5" s="355">
        <f>'NAm Capacity Data'!P5+'SAm Capacity Data'!P5+'Europe Capacity Data'!P5+'Asia Capacity Data'!P5+'MEA Capacity Data'!P5</f>
        <v>0</v>
      </c>
      <c r="Q5" s="355">
        <f>'NAm Capacity Data'!Q5+'SAm Capacity Data'!Q5+'Europe Capacity Data'!Q5+'Asia Capacity Data'!Q5+'MEA Capacity Data'!Q5</f>
        <v>0</v>
      </c>
    </row>
    <row r="6" spans="1:17" ht="15" customHeight="1">
      <c r="A6" s="249" t="s">
        <v>8</v>
      </c>
      <c r="B6" s="254">
        <f>'NAm Capacity Data'!B6+'SAm Capacity Data'!B6+'Europe Capacity Data'!B6+'Asia Capacity Data'!B6+'MEA Capacity Data'!B6</f>
        <v>0</v>
      </c>
      <c r="C6" s="254">
        <f>'NAm Capacity Data'!C6+'SAm Capacity Data'!C6+'Europe Capacity Data'!C6+'Asia Capacity Data'!C6+'MEA Capacity Data'!C6</f>
        <v>6.6E-3</v>
      </c>
      <c r="D6" s="254">
        <f>'NAm Capacity Data'!D6+'SAm Capacity Data'!D6+'Europe Capacity Data'!D6+'Asia Capacity Data'!D6+'MEA Capacity Data'!D6</f>
        <v>6.7000000000000004E-2</v>
      </c>
      <c r="E6" s="254">
        <f>'NAm Capacity Data'!E6+'SAm Capacity Data'!E6+'Europe Capacity Data'!E6+'Asia Capacity Data'!E6+'MEA Capacity Data'!E6</f>
        <v>0</v>
      </c>
      <c r="F6" s="355">
        <f>'NAm Capacity Data'!F6+'SAm Capacity Data'!F6+'Europe Capacity Data'!F6+'Asia Capacity Data'!F6+'MEA Capacity Data'!F6</f>
        <v>0.86251269896523752</v>
      </c>
      <c r="G6" s="355">
        <f>'NAm Capacity Data'!G6+'SAm Capacity Data'!G6+'Europe Capacity Data'!G6+'Asia Capacity Data'!G6+'MEA Capacity Data'!G6</f>
        <v>0.88606249999999998</v>
      </c>
      <c r="H6" s="355">
        <f>'NAm Capacity Data'!H6+'SAm Capacity Data'!H6+'Europe Capacity Data'!H6+'Asia Capacity Data'!H6+'MEA Capacity Data'!H6</f>
        <v>46.715949999999999</v>
      </c>
      <c r="I6" s="355">
        <f>'NAm Capacity Data'!I6+'SAm Capacity Data'!I6+'Europe Capacity Data'!I6+'Asia Capacity Data'!I6+'MEA Capacity Data'!I6</f>
        <v>45</v>
      </c>
      <c r="J6" s="355">
        <f>'NAm Capacity Data'!J6+'SAm Capacity Data'!J6+'Europe Capacity Data'!J6+'Asia Capacity Data'!J6+'MEA Capacity Data'!J6</f>
        <v>104.78400000000001</v>
      </c>
      <c r="K6" s="355">
        <f>'NAm Capacity Data'!K6+'SAm Capacity Data'!K6+'Europe Capacity Data'!K6+'Asia Capacity Data'!K6+'MEA Capacity Data'!K6</f>
        <v>21.6449</v>
      </c>
      <c r="L6" s="355">
        <f>'NAm Capacity Data'!L6+'SAm Capacity Data'!L6+'Europe Capacity Data'!L6+'Asia Capacity Data'!L6+'MEA Capacity Data'!L6</f>
        <v>132.72188</v>
      </c>
      <c r="M6" s="355">
        <f>'NAm Capacity Data'!M6+'SAm Capacity Data'!M6+'Europe Capacity Data'!M6+'Asia Capacity Data'!M6+'MEA Capacity Data'!M6</f>
        <v>106.01772500000001</v>
      </c>
      <c r="N6" s="355">
        <f>'NAm Capacity Data'!N6+'SAm Capacity Data'!N6+'Europe Capacity Data'!N6+'Asia Capacity Data'!N6+'MEA Capacity Data'!N6</f>
        <v>133.803</v>
      </c>
      <c r="O6" s="355">
        <f>'NAm Capacity Data'!O6+'SAm Capacity Data'!O6+'Europe Capacity Data'!O6+'Asia Capacity Data'!O6+'MEA Capacity Data'!O6</f>
        <v>45.43</v>
      </c>
      <c r="P6" s="355">
        <f>'NAm Capacity Data'!P6+'SAm Capacity Data'!P6+'Europe Capacity Data'!P6+'Asia Capacity Data'!P6+'MEA Capacity Data'!P6</f>
        <v>5.3020000000000005E-2</v>
      </c>
      <c r="Q6" s="355">
        <f>'NAm Capacity Data'!Q6+'SAm Capacity Data'!Q6+'Europe Capacity Data'!Q6+'Asia Capacity Data'!Q6+'MEA Capacity Data'!Q6</f>
        <v>2.0500000000000001E-2</v>
      </c>
    </row>
    <row r="7" spans="1:17" ht="15" customHeight="1">
      <c r="A7" s="249" t="s">
        <v>9</v>
      </c>
      <c r="B7" s="254">
        <f>'NAm Capacity Data'!B7+'SAm Capacity Data'!B7+'Europe Capacity Data'!B7+'Asia Capacity Data'!B7+'MEA Capacity Data'!B7</f>
        <v>0</v>
      </c>
      <c r="C7" s="254">
        <f>'NAm Capacity Data'!C7+'SAm Capacity Data'!C7+'Europe Capacity Data'!C7+'Asia Capacity Data'!C7+'MEA Capacity Data'!C7</f>
        <v>0</v>
      </c>
      <c r="D7" s="254">
        <f>'NAm Capacity Data'!D7+'SAm Capacity Data'!D7+'Europe Capacity Data'!D7+'Asia Capacity Data'!D7+'MEA Capacity Data'!D7</f>
        <v>0</v>
      </c>
      <c r="E7" s="254">
        <f>'NAm Capacity Data'!E7+'SAm Capacity Data'!E7+'Europe Capacity Data'!E7+'Asia Capacity Data'!E7+'MEA Capacity Data'!E7</f>
        <v>0</v>
      </c>
      <c r="F7" s="355">
        <f>'NAm Capacity Data'!F7+'SAm Capacity Data'!F7+'Europe Capacity Data'!F7+'Asia Capacity Data'!F7+'MEA Capacity Data'!F7</f>
        <v>0</v>
      </c>
      <c r="G7" s="355">
        <f>'NAm Capacity Data'!G7+'SAm Capacity Data'!G7+'Europe Capacity Data'!G7+'Asia Capacity Data'!G7+'MEA Capacity Data'!G7</f>
        <v>5</v>
      </c>
      <c r="H7" s="355">
        <f>'NAm Capacity Data'!H7+'SAm Capacity Data'!H7+'Europe Capacity Data'!H7+'Asia Capacity Data'!H7+'MEA Capacity Data'!H7</f>
        <v>0.28622500000000001</v>
      </c>
      <c r="I7" s="355">
        <f>'NAm Capacity Data'!I7+'SAm Capacity Data'!I7+'Europe Capacity Data'!I7+'Asia Capacity Data'!I7+'MEA Capacity Data'!I7</f>
        <v>0</v>
      </c>
      <c r="J7" s="355">
        <f>'NAm Capacity Data'!J7+'SAm Capacity Data'!J7+'Europe Capacity Data'!J7+'Asia Capacity Data'!J7+'MEA Capacity Data'!J7</f>
        <v>0</v>
      </c>
      <c r="K7" s="355">
        <f>'NAm Capacity Data'!K7+'SAm Capacity Data'!K7+'Europe Capacity Data'!K7+'Asia Capacity Data'!K7+'MEA Capacity Data'!K7</f>
        <v>0</v>
      </c>
      <c r="L7" s="355">
        <f>'NAm Capacity Data'!L7+'SAm Capacity Data'!L7+'Europe Capacity Data'!L7+'Asia Capacity Data'!L7+'MEA Capacity Data'!L7</f>
        <v>0</v>
      </c>
      <c r="M7" s="355">
        <f>'NAm Capacity Data'!M7+'SAm Capacity Data'!M7+'Europe Capacity Data'!M7+'Asia Capacity Data'!M7+'MEA Capacity Data'!M7</f>
        <v>0</v>
      </c>
      <c r="N7" s="355">
        <f>'NAm Capacity Data'!N7+'SAm Capacity Data'!N7+'Europe Capacity Data'!N7+'Asia Capacity Data'!N7+'MEA Capacity Data'!N7</f>
        <v>18.150000000000002</v>
      </c>
      <c r="O7" s="355">
        <f>'NAm Capacity Data'!O7+'SAm Capacity Data'!O7+'Europe Capacity Data'!O7+'Asia Capacity Data'!O7+'MEA Capacity Data'!O7</f>
        <v>0</v>
      </c>
      <c r="P7" s="355">
        <f>'NAm Capacity Data'!P7+'SAm Capacity Data'!P7+'Europe Capacity Data'!P7+'Asia Capacity Data'!P7+'MEA Capacity Data'!P7</f>
        <v>0</v>
      </c>
      <c r="Q7" s="355">
        <f>'NAm Capacity Data'!Q7+'SAm Capacity Data'!Q7+'Europe Capacity Data'!Q7+'Asia Capacity Data'!Q7+'MEA Capacity Data'!Q7</f>
        <v>0</v>
      </c>
    </row>
    <row r="8" spans="1:17" ht="15" customHeight="1">
      <c r="A8" s="249" t="s">
        <v>10</v>
      </c>
      <c r="B8" s="254">
        <f>'NAm Capacity Data'!B8+'SAm Capacity Data'!B8+'Europe Capacity Data'!B8+'Asia Capacity Data'!B8+'MEA Capacity Data'!B8</f>
        <v>15.33</v>
      </c>
      <c r="C8" s="254">
        <f>'NAm Capacity Data'!C8+'SAm Capacity Data'!C8+'Europe Capacity Data'!C8+'Asia Capacity Data'!C8+'MEA Capacity Data'!C8</f>
        <v>104.16</v>
      </c>
      <c r="D8" s="254">
        <f>'NAm Capacity Data'!D8+'SAm Capacity Data'!D8+'Europe Capacity Data'!D8+'Asia Capacity Data'!D8+'MEA Capacity Data'!D8</f>
        <v>249.174475</v>
      </c>
      <c r="E8" s="254">
        <f>'NAm Capacity Data'!E8+'SAm Capacity Data'!E8+'Europe Capacity Data'!E8+'Asia Capacity Data'!E8+'MEA Capacity Data'!E8</f>
        <v>11</v>
      </c>
      <c r="F8" s="355">
        <f>'NAm Capacity Data'!F8+'SAm Capacity Data'!F8+'Europe Capacity Data'!F8+'Asia Capacity Data'!F8+'MEA Capacity Data'!F8</f>
        <v>74.034375000000011</v>
      </c>
      <c r="G8" s="355">
        <f>'NAm Capacity Data'!G8+'SAm Capacity Data'!G8+'Europe Capacity Data'!G8+'Asia Capacity Data'!G8+'MEA Capacity Data'!G8</f>
        <v>17.664999999999999</v>
      </c>
      <c r="H8" s="355">
        <f>'NAm Capacity Data'!H8+'SAm Capacity Data'!H8+'Europe Capacity Data'!H8+'Asia Capacity Data'!H8+'MEA Capacity Data'!H8</f>
        <v>19.21575</v>
      </c>
      <c r="I8" s="355">
        <f>'NAm Capacity Data'!I8+'SAm Capacity Data'!I8+'Europe Capacity Data'!I8+'Asia Capacity Data'!I8+'MEA Capacity Data'!I8</f>
        <v>18.375</v>
      </c>
      <c r="J8" s="355">
        <f>'NAm Capacity Data'!J8+'SAm Capacity Data'!J8+'Europe Capacity Data'!J8+'Asia Capacity Data'!J8+'MEA Capacity Data'!J8</f>
        <v>37.229849999999999</v>
      </c>
      <c r="K8" s="355">
        <f>'NAm Capacity Data'!K8+'SAm Capacity Data'!K8+'Europe Capacity Data'!K8+'Asia Capacity Data'!K8+'MEA Capacity Data'!K8</f>
        <v>55.825000000000003</v>
      </c>
      <c r="L8" s="355">
        <f>'NAm Capacity Data'!L8+'SAm Capacity Data'!L8+'Europe Capacity Data'!L8+'Asia Capacity Data'!L8+'MEA Capacity Data'!L8</f>
        <v>0</v>
      </c>
      <c r="M8" s="355">
        <f>'NAm Capacity Data'!M8+'SAm Capacity Data'!M8+'Europe Capacity Data'!M8+'Asia Capacity Data'!M8+'MEA Capacity Data'!M8</f>
        <v>0</v>
      </c>
      <c r="N8" s="355">
        <f>'NAm Capacity Data'!N8+'SAm Capacity Data'!N8+'Europe Capacity Data'!N8+'Asia Capacity Data'!N8+'MEA Capacity Data'!N8</f>
        <v>0</v>
      </c>
      <c r="O8" s="355">
        <f>'NAm Capacity Data'!O8+'SAm Capacity Data'!O8+'Europe Capacity Data'!O8+'Asia Capacity Data'!O8+'MEA Capacity Data'!O8</f>
        <v>0</v>
      </c>
      <c r="P8" s="355">
        <f>'NAm Capacity Data'!P8+'SAm Capacity Data'!P8+'Europe Capacity Data'!P8+'Asia Capacity Data'!P8+'MEA Capacity Data'!P8</f>
        <v>0</v>
      </c>
      <c r="Q8" s="355">
        <f>'NAm Capacity Data'!Q8+'SAm Capacity Data'!Q8+'Europe Capacity Data'!Q8+'Asia Capacity Data'!Q8+'MEA Capacity Data'!Q8</f>
        <v>0</v>
      </c>
    </row>
    <row r="9" spans="1:17" ht="15" customHeight="1" thickBot="1">
      <c r="A9" s="282" t="s">
        <v>11</v>
      </c>
      <c r="B9" s="283">
        <f>SUM(B3:B8)</f>
        <v>265.33010000000002</v>
      </c>
      <c r="C9" s="283">
        <f>SUM(C3:C8)</f>
        <v>104.5166</v>
      </c>
      <c r="D9" s="283">
        <f t="shared" ref="D9:Q9" si="0">SUM(D3:D8)</f>
        <v>722.89147500000001</v>
      </c>
      <c r="E9" s="283">
        <f t="shared" si="0"/>
        <v>341</v>
      </c>
      <c r="F9" s="356">
        <f t="shared" si="0"/>
        <v>1073.9518626989652</v>
      </c>
      <c r="G9" s="356">
        <f t="shared" si="0"/>
        <v>1727.4113625</v>
      </c>
      <c r="H9" s="356">
        <f t="shared" si="0"/>
        <v>1159.8866000000003</v>
      </c>
      <c r="I9" s="356">
        <f t="shared" si="0"/>
        <v>1498.8052500000001</v>
      </c>
      <c r="J9" s="356">
        <f t="shared" si="0"/>
        <v>629.07432999999992</v>
      </c>
      <c r="K9" s="356">
        <f t="shared" si="0"/>
        <v>236.95249999999999</v>
      </c>
      <c r="L9" s="356">
        <f t="shared" si="0"/>
        <v>455.75963000000007</v>
      </c>
      <c r="M9" s="356">
        <f t="shared" si="0"/>
        <v>109.41972500000001</v>
      </c>
      <c r="N9" s="356">
        <f t="shared" si="0"/>
        <v>200.65700000000001</v>
      </c>
      <c r="O9" s="356">
        <f t="shared" si="0"/>
        <v>45.43</v>
      </c>
      <c r="P9" s="356">
        <f t="shared" si="0"/>
        <v>5.3020000000000005E-2</v>
      </c>
      <c r="Q9" s="356">
        <f t="shared" si="0"/>
        <v>2.0500000000000001E-2</v>
      </c>
    </row>
    <row r="10" spans="1:17" ht="15" customHeight="1">
      <c r="A10" s="251"/>
      <c r="B10" s="284"/>
      <c r="C10" s="284"/>
      <c r="D10" s="284"/>
      <c r="E10" s="284"/>
      <c r="F10" s="284"/>
      <c r="G10" s="284"/>
      <c r="H10" s="284"/>
      <c r="I10" s="284"/>
      <c r="J10" s="284"/>
      <c r="K10" s="284"/>
      <c r="L10" s="284"/>
      <c r="M10" s="284"/>
      <c r="N10" s="284"/>
      <c r="O10" s="284"/>
      <c r="P10" s="284"/>
      <c r="Q10" s="284"/>
    </row>
    <row r="11" spans="1:17" ht="15" customHeight="1" thickBot="1">
      <c r="A11" s="357" t="s">
        <v>12</v>
      </c>
      <c r="B11" s="284"/>
      <c r="C11" s="284"/>
      <c r="D11" s="284"/>
      <c r="E11" s="284"/>
      <c r="F11" s="284"/>
      <c r="G11" s="284"/>
      <c r="H11" s="284"/>
      <c r="I11" s="284"/>
      <c r="J11" s="284"/>
      <c r="K11" s="284"/>
      <c r="L11" s="284"/>
      <c r="M11" s="284"/>
      <c r="N11" s="284"/>
      <c r="O11" s="284"/>
      <c r="P11" s="284"/>
    </row>
    <row r="12" spans="1:17" ht="15" customHeight="1" thickBot="1">
      <c r="A12" s="274" t="s">
        <v>3</v>
      </c>
      <c r="B12" s="281" t="str">
        <f t="shared" ref="B12:B18" si="1">B2</f>
        <v>&lt; 2021</v>
      </c>
      <c r="C12" s="281">
        <f t="shared" ref="C12:Q12" si="2">C2</f>
        <v>2021</v>
      </c>
      <c r="D12" s="281">
        <f t="shared" si="2"/>
        <v>2022</v>
      </c>
      <c r="E12" s="281">
        <f t="shared" si="2"/>
        <v>2023</v>
      </c>
      <c r="F12" s="281">
        <f t="shared" si="2"/>
        <v>2024</v>
      </c>
      <c r="G12" s="281">
        <f t="shared" si="2"/>
        <v>2025</v>
      </c>
      <c r="H12" s="281">
        <f t="shared" si="2"/>
        <v>2026</v>
      </c>
      <c r="I12" s="281">
        <f t="shared" si="2"/>
        <v>2027</v>
      </c>
      <c r="J12" s="281">
        <f t="shared" si="2"/>
        <v>2028</v>
      </c>
      <c r="K12" s="281">
        <f t="shared" si="2"/>
        <v>2029</v>
      </c>
      <c r="L12" s="281">
        <f t="shared" si="2"/>
        <v>2030</v>
      </c>
      <c r="M12" s="281">
        <f t="shared" si="2"/>
        <v>2031</v>
      </c>
      <c r="N12" s="281">
        <f t="shared" si="2"/>
        <v>2032</v>
      </c>
      <c r="O12" s="281">
        <f t="shared" si="2"/>
        <v>2033</v>
      </c>
      <c r="P12" s="281">
        <f t="shared" si="2"/>
        <v>2034</v>
      </c>
      <c r="Q12" s="281">
        <f t="shared" si="2"/>
        <v>2035</v>
      </c>
    </row>
    <row r="13" spans="1:17" ht="15" customHeight="1">
      <c r="A13" s="251" t="s">
        <v>5</v>
      </c>
      <c r="B13" s="254">
        <f t="shared" si="1"/>
        <v>247</v>
      </c>
      <c r="C13" s="254">
        <f t="shared" ref="C13:Q13" si="3">B13+C3</f>
        <v>247.35</v>
      </c>
      <c r="D13" s="254">
        <f t="shared" si="3"/>
        <v>721</v>
      </c>
      <c r="E13" s="254">
        <f t="shared" si="3"/>
        <v>1051</v>
      </c>
      <c r="F13" s="355">
        <f t="shared" si="3"/>
        <v>2040.8008749999999</v>
      </c>
      <c r="G13" s="355">
        <f t="shared" si="3"/>
        <v>3540.40715</v>
      </c>
      <c r="H13" s="355">
        <f t="shared" si="3"/>
        <v>4332.4318249999997</v>
      </c>
      <c r="I13" s="355">
        <f t="shared" si="3"/>
        <v>5212.3186999999998</v>
      </c>
      <c r="J13" s="355">
        <f t="shared" si="3"/>
        <v>5427.3997300000001</v>
      </c>
      <c r="K13" s="355">
        <f t="shared" si="3"/>
        <v>5487.9247299999997</v>
      </c>
      <c r="L13" s="355">
        <f t="shared" si="3"/>
        <v>5613.60923</v>
      </c>
      <c r="M13" s="355">
        <f t="shared" si="3"/>
        <v>5613.60923</v>
      </c>
      <c r="N13" s="355">
        <f t="shared" si="3"/>
        <v>5630.0692300000001</v>
      </c>
      <c r="O13" s="355">
        <f t="shared" si="3"/>
        <v>5630.0692300000001</v>
      </c>
      <c r="P13" s="355">
        <f t="shared" si="3"/>
        <v>5630.0692300000001</v>
      </c>
      <c r="Q13" s="355">
        <f t="shared" si="3"/>
        <v>5630.0692300000001</v>
      </c>
    </row>
    <row r="14" spans="1:17" ht="15" customHeight="1">
      <c r="A14" s="249" t="s">
        <v>6</v>
      </c>
      <c r="B14" s="254">
        <f t="shared" si="1"/>
        <v>3.0001000000000002</v>
      </c>
      <c r="C14" s="254">
        <f t="shared" ref="C14:Q14" si="4">B14+C4</f>
        <v>3.0001000000000002</v>
      </c>
      <c r="D14" s="254">
        <f t="shared" si="4"/>
        <v>3.0001000000000002</v>
      </c>
      <c r="E14" s="254">
        <f t="shared" si="4"/>
        <v>3.0001000000000002</v>
      </c>
      <c r="F14" s="355">
        <f t="shared" si="4"/>
        <v>12.0001</v>
      </c>
      <c r="G14" s="355">
        <f t="shared" si="4"/>
        <v>136.20072500000001</v>
      </c>
      <c r="H14" s="355">
        <f t="shared" si="4"/>
        <v>340.89072499999997</v>
      </c>
      <c r="I14" s="355">
        <f t="shared" si="4"/>
        <v>688.75509999999997</v>
      </c>
      <c r="J14" s="355">
        <f t="shared" si="4"/>
        <v>885.28704999999991</v>
      </c>
      <c r="K14" s="355">
        <f t="shared" si="4"/>
        <v>924.74464999999987</v>
      </c>
      <c r="L14" s="355">
        <f t="shared" si="4"/>
        <v>1073.2529</v>
      </c>
      <c r="M14" s="355">
        <f t="shared" si="4"/>
        <v>1076.6549</v>
      </c>
      <c r="N14" s="355">
        <f t="shared" si="4"/>
        <v>1100.4674</v>
      </c>
      <c r="O14" s="355">
        <f t="shared" si="4"/>
        <v>1100.4674</v>
      </c>
      <c r="P14" s="355">
        <f t="shared" si="4"/>
        <v>1100.4674</v>
      </c>
      <c r="Q14" s="355">
        <f t="shared" si="4"/>
        <v>1100.4674</v>
      </c>
    </row>
    <row r="15" spans="1:17" ht="15" customHeight="1">
      <c r="A15" s="249" t="s">
        <v>7</v>
      </c>
      <c r="B15" s="254">
        <f t="shared" si="1"/>
        <v>0</v>
      </c>
      <c r="C15" s="254">
        <f t="shared" ref="C15:P18" si="5">B15+C5</f>
        <v>0</v>
      </c>
      <c r="D15" s="254">
        <f t="shared" si="5"/>
        <v>0</v>
      </c>
      <c r="E15" s="254">
        <f t="shared" si="5"/>
        <v>0</v>
      </c>
      <c r="F15" s="355">
        <f t="shared" si="5"/>
        <v>0.25410000000000005</v>
      </c>
      <c r="G15" s="355">
        <f t="shared" si="5"/>
        <v>80.307500000000005</v>
      </c>
      <c r="H15" s="355">
        <f t="shared" si="5"/>
        <v>177.26150000000001</v>
      </c>
      <c r="I15" s="355">
        <f t="shared" si="5"/>
        <v>384.94050000000004</v>
      </c>
      <c r="J15" s="355">
        <f t="shared" si="5"/>
        <v>460.38800000000003</v>
      </c>
      <c r="K15" s="355">
        <f t="shared" si="5"/>
        <v>519.88800000000003</v>
      </c>
      <c r="L15" s="355">
        <f t="shared" si="5"/>
        <v>568.73300000000006</v>
      </c>
      <c r="M15" s="355">
        <f t="shared" si="5"/>
        <v>568.73300000000006</v>
      </c>
      <c r="N15" s="355">
        <f t="shared" si="5"/>
        <v>577.16450000000009</v>
      </c>
      <c r="O15" s="355">
        <f t="shared" si="5"/>
        <v>577.16450000000009</v>
      </c>
      <c r="P15" s="355">
        <f t="shared" si="5"/>
        <v>577.16450000000009</v>
      </c>
      <c r="Q15" s="355">
        <f>P15+Q5</f>
        <v>577.16450000000009</v>
      </c>
    </row>
    <row r="16" spans="1:17" ht="15" customHeight="1">
      <c r="A16" s="249" t="s">
        <v>8</v>
      </c>
      <c r="B16" s="254">
        <f t="shared" si="1"/>
        <v>0</v>
      </c>
      <c r="C16" s="254">
        <f t="shared" si="5"/>
        <v>6.6E-3</v>
      </c>
      <c r="D16" s="254">
        <f t="shared" si="5"/>
        <v>7.3599999999999999E-2</v>
      </c>
      <c r="E16" s="254">
        <f t="shared" si="5"/>
        <v>7.3599999999999999E-2</v>
      </c>
      <c r="F16" s="355">
        <f t="shared" si="5"/>
        <v>0.93611269896523752</v>
      </c>
      <c r="G16" s="355">
        <f t="shared" si="5"/>
        <v>1.8221751989652375</v>
      </c>
      <c r="H16" s="355">
        <f t="shared" si="5"/>
        <v>48.53812519896524</v>
      </c>
      <c r="I16" s="355">
        <f t="shared" si="5"/>
        <v>93.538125198965247</v>
      </c>
      <c r="J16" s="355">
        <f t="shared" si="5"/>
        <v>198.32212519896524</v>
      </c>
      <c r="K16" s="355">
        <f t="shared" si="5"/>
        <v>219.96702519896525</v>
      </c>
      <c r="L16" s="355">
        <f t="shared" si="5"/>
        <v>352.68890519896524</v>
      </c>
      <c r="M16" s="355">
        <f t="shared" si="5"/>
        <v>458.70663019896529</v>
      </c>
      <c r="N16" s="355">
        <f t="shared" si="5"/>
        <v>592.50963019896528</v>
      </c>
      <c r="O16" s="355">
        <f t="shared" si="5"/>
        <v>637.93963019896523</v>
      </c>
      <c r="P16" s="355">
        <f t="shared" si="5"/>
        <v>637.99265019896518</v>
      </c>
      <c r="Q16" s="355">
        <f>P16+Q6</f>
        <v>638.01315019896515</v>
      </c>
    </row>
    <row r="17" spans="1:17" ht="15" customHeight="1">
      <c r="A17" s="249" t="s">
        <v>9</v>
      </c>
      <c r="B17" s="254">
        <f t="shared" si="1"/>
        <v>0</v>
      </c>
      <c r="C17" s="254">
        <f t="shared" si="5"/>
        <v>0</v>
      </c>
      <c r="D17" s="254">
        <f t="shared" si="5"/>
        <v>0</v>
      </c>
      <c r="E17" s="254">
        <f t="shared" si="5"/>
        <v>0</v>
      </c>
      <c r="F17" s="355">
        <f t="shared" si="5"/>
        <v>0</v>
      </c>
      <c r="G17" s="355">
        <f t="shared" si="5"/>
        <v>5</v>
      </c>
      <c r="H17" s="355">
        <f t="shared" si="5"/>
        <v>5.286225</v>
      </c>
      <c r="I17" s="355">
        <f t="shared" si="5"/>
        <v>5.286225</v>
      </c>
      <c r="J17" s="355">
        <f t="shared" si="5"/>
        <v>5.286225</v>
      </c>
      <c r="K17" s="355">
        <f t="shared" si="5"/>
        <v>5.286225</v>
      </c>
      <c r="L17" s="355">
        <f t="shared" si="5"/>
        <v>5.286225</v>
      </c>
      <c r="M17" s="355">
        <f t="shared" si="5"/>
        <v>5.286225</v>
      </c>
      <c r="N17" s="355">
        <f t="shared" si="5"/>
        <v>23.436225</v>
      </c>
      <c r="O17" s="355">
        <f t="shared" si="5"/>
        <v>23.436225</v>
      </c>
      <c r="P17" s="355">
        <f t="shared" si="5"/>
        <v>23.436225</v>
      </c>
      <c r="Q17" s="355">
        <f>P17+Q7</f>
        <v>23.436225</v>
      </c>
    </row>
    <row r="18" spans="1:17" ht="15" customHeight="1">
      <c r="A18" s="249" t="s">
        <v>10</v>
      </c>
      <c r="B18" s="254">
        <f t="shared" si="1"/>
        <v>15.33</v>
      </c>
      <c r="C18" s="254">
        <f t="shared" si="5"/>
        <v>119.49</v>
      </c>
      <c r="D18" s="254">
        <f t="shared" si="5"/>
        <v>368.66447499999998</v>
      </c>
      <c r="E18" s="254">
        <f t="shared" si="5"/>
        <v>379.66447499999998</v>
      </c>
      <c r="F18" s="355">
        <f t="shared" si="5"/>
        <v>453.69884999999999</v>
      </c>
      <c r="G18" s="355">
        <f t="shared" si="5"/>
        <v>471.36385000000001</v>
      </c>
      <c r="H18" s="355">
        <f t="shared" si="5"/>
        <v>490.57960000000003</v>
      </c>
      <c r="I18" s="355">
        <f t="shared" si="5"/>
        <v>508.95460000000003</v>
      </c>
      <c r="J18" s="355">
        <f t="shared" si="5"/>
        <v>546.18444999999997</v>
      </c>
      <c r="K18" s="355">
        <f t="shared" si="5"/>
        <v>602.00945000000002</v>
      </c>
      <c r="L18" s="355">
        <f t="shared" si="5"/>
        <v>602.00945000000002</v>
      </c>
      <c r="M18" s="355">
        <f t="shared" si="5"/>
        <v>602.00945000000002</v>
      </c>
      <c r="N18" s="355">
        <f t="shared" si="5"/>
        <v>602.00945000000002</v>
      </c>
      <c r="O18" s="355">
        <f t="shared" si="5"/>
        <v>602.00945000000002</v>
      </c>
      <c r="P18" s="355">
        <f t="shared" si="5"/>
        <v>602.00945000000002</v>
      </c>
      <c r="Q18" s="355">
        <f>P18+Q8</f>
        <v>602.00945000000002</v>
      </c>
    </row>
    <row r="19" spans="1:17" ht="15" customHeight="1" thickBot="1">
      <c r="A19" s="282" t="s">
        <v>11</v>
      </c>
      <c r="B19" s="283">
        <f>SUM(B13:B18)</f>
        <v>265.33010000000002</v>
      </c>
      <c r="C19" s="283">
        <f t="shared" ref="C19:Q19" si="6">SUM(C13:C18)</f>
        <v>369.8467</v>
      </c>
      <c r="D19" s="283">
        <f t="shared" si="6"/>
        <v>1092.738175</v>
      </c>
      <c r="E19" s="283">
        <f t="shared" si="6"/>
        <v>1433.738175</v>
      </c>
      <c r="F19" s="356">
        <f t="shared" si="6"/>
        <v>2507.6900376989652</v>
      </c>
      <c r="G19" s="356">
        <f t="shared" si="6"/>
        <v>4235.1014001989652</v>
      </c>
      <c r="H19" s="356">
        <f t="shared" si="6"/>
        <v>5394.988000198965</v>
      </c>
      <c r="I19" s="356">
        <f t="shared" si="6"/>
        <v>6893.7932501989653</v>
      </c>
      <c r="J19" s="356">
        <f t="shared" si="6"/>
        <v>7522.8675801989648</v>
      </c>
      <c r="K19" s="356">
        <f t="shared" si="6"/>
        <v>7759.8200801989642</v>
      </c>
      <c r="L19" s="356">
        <f t="shared" si="6"/>
        <v>8215.5797101989647</v>
      </c>
      <c r="M19" s="356">
        <f t="shared" si="6"/>
        <v>8324.9994351989644</v>
      </c>
      <c r="N19" s="356">
        <f t="shared" si="6"/>
        <v>8525.6564351989655</v>
      </c>
      <c r="O19" s="356">
        <f t="shared" si="6"/>
        <v>8571.0864351989658</v>
      </c>
      <c r="P19" s="356">
        <f t="shared" si="6"/>
        <v>8571.1394551989652</v>
      </c>
      <c r="Q19" s="356">
        <f t="shared" si="6"/>
        <v>8571.1599551989657</v>
      </c>
    </row>
    <row r="20" spans="1:17" ht="15" customHeight="1">
      <c r="A20" s="251"/>
      <c r="B20" s="251"/>
      <c r="C20" s="251"/>
      <c r="D20" s="251"/>
      <c r="E20" s="251"/>
      <c r="F20" s="251"/>
      <c r="G20" s="251"/>
      <c r="H20" s="251"/>
      <c r="I20" s="251"/>
      <c r="J20" s="251"/>
      <c r="K20" s="251"/>
      <c r="L20" s="251"/>
      <c r="M20" s="251"/>
      <c r="N20" s="251"/>
      <c r="O20" s="251"/>
      <c r="P20" s="251"/>
      <c r="Q20" s="251"/>
    </row>
    <row r="21" spans="1:17" ht="15" customHeight="1" thickBot="1">
      <c r="A21" s="285" t="s">
        <v>13</v>
      </c>
      <c r="B21" s="284"/>
      <c r="C21" s="284"/>
      <c r="D21" s="284"/>
      <c r="E21" s="284"/>
      <c r="F21" s="284"/>
      <c r="G21" s="284"/>
      <c r="H21" s="284"/>
      <c r="I21" s="284"/>
      <c r="J21" s="284"/>
      <c r="K21" s="284"/>
      <c r="L21" s="284"/>
      <c r="M21" s="284"/>
      <c r="N21" s="284"/>
      <c r="O21" s="284"/>
      <c r="P21" s="284"/>
    </row>
    <row r="22" spans="1:17" ht="12" thickBot="1">
      <c r="A22" s="274" t="s">
        <v>3</v>
      </c>
      <c r="B22" s="281" t="str">
        <f>B2</f>
        <v>&lt; 2021</v>
      </c>
      <c r="C22" s="281">
        <f t="shared" ref="C22:Q22" si="7">C2</f>
        <v>2021</v>
      </c>
      <c r="D22" s="281">
        <f t="shared" si="7"/>
        <v>2022</v>
      </c>
      <c r="E22" s="281">
        <f t="shared" si="7"/>
        <v>2023</v>
      </c>
      <c r="F22" s="281">
        <f t="shared" si="7"/>
        <v>2024</v>
      </c>
      <c r="G22" s="281">
        <f t="shared" si="7"/>
        <v>2025</v>
      </c>
      <c r="H22" s="281">
        <f t="shared" si="7"/>
        <v>2026</v>
      </c>
      <c r="I22" s="281">
        <f t="shared" si="7"/>
        <v>2027</v>
      </c>
      <c r="J22" s="281">
        <f t="shared" si="7"/>
        <v>2028</v>
      </c>
      <c r="K22" s="281">
        <f t="shared" si="7"/>
        <v>2029</v>
      </c>
      <c r="L22" s="281">
        <f t="shared" si="7"/>
        <v>2030</v>
      </c>
      <c r="M22" s="281">
        <f t="shared" si="7"/>
        <v>2031</v>
      </c>
      <c r="N22" s="281">
        <f t="shared" si="7"/>
        <v>2032</v>
      </c>
      <c r="O22" s="281">
        <f t="shared" si="7"/>
        <v>2033</v>
      </c>
      <c r="P22" s="281">
        <f t="shared" si="7"/>
        <v>2034</v>
      </c>
      <c r="Q22" s="281">
        <f t="shared" si="7"/>
        <v>2035</v>
      </c>
    </row>
    <row r="23" spans="1:17">
      <c r="A23" s="251" t="s">
        <v>5</v>
      </c>
      <c r="B23" s="252">
        <f>'NAm Capacity Data'!B23+'SAm Capacity Data'!B23+'Europe Capacity Data'!B23+'Asia Capacity Data'!B23+'MEA Capacity Data'!B23</f>
        <v>247</v>
      </c>
      <c r="C23" s="252">
        <f>'NAm Capacity Data'!C23+'SAm Capacity Data'!C23+'Europe Capacity Data'!C23+'Asia Capacity Data'!C23+'MEA Capacity Data'!C23</f>
        <v>350</v>
      </c>
      <c r="D23" s="252">
        <f>'NAm Capacity Data'!D23+'SAm Capacity Data'!D23+'Europe Capacity Data'!D23+'Asia Capacity Data'!D23+'MEA Capacity Data'!D23</f>
        <v>473.65</v>
      </c>
      <c r="E23" s="252">
        <f>'NAm Capacity Data'!E23+'SAm Capacity Data'!E23+'Europe Capacity Data'!E23+'Asia Capacity Data'!E23+'MEA Capacity Data'!E23</f>
        <v>330</v>
      </c>
      <c r="F23" s="355">
        <f>'NAm Capacity Data'!F23+'SAm Capacity Data'!F23+'Europe Capacity Data'!F23+'Asia Capacity Data'!F23+'MEA Capacity Data'!F23</f>
        <v>1239.5374999999999</v>
      </c>
      <c r="G23" s="355">
        <f>'NAm Capacity Data'!G23+'SAm Capacity Data'!G23+'Europe Capacity Data'!G23+'Asia Capacity Data'!G23+'MEA Capacity Data'!G23</f>
        <v>1652.3155000000002</v>
      </c>
      <c r="H23" s="355">
        <f>'NAm Capacity Data'!H23+'SAm Capacity Data'!H23+'Europe Capacity Data'!H23+'Asia Capacity Data'!H23+'MEA Capacity Data'!H23</f>
        <v>1188.4544999999998</v>
      </c>
      <c r="I23" s="355">
        <f>'NAm Capacity Data'!I23+'SAm Capacity Data'!I23+'Europe Capacity Data'!I23+'Asia Capacity Data'!I23+'MEA Capacity Data'!I23</f>
        <v>1776.1125000000002</v>
      </c>
      <c r="J23" s="355">
        <f>'NAm Capacity Data'!J23+'SAm Capacity Data'!J23+'Europe Capacity Data'!J23+'Asia Capacity Data'!J23+'MEA Capacity Data'!J23</f>
        <v>490.72499999999991</v>
      </c>
      <c r="K23" s="355">
        <f>'NAm Capacity Data'!K23+'SAm Capacity Data'!K23+'Europe Capacity Data'!K23+'Asia Capacity Data'!K23+'MEA Capacity Data'!K23</f>
        <v>116.5</v>
      </c>
      <c r="L23" s="355">
        <f>'NAm Capacity Data'!L23+'SAm Capacity Data'!L23+'Europe Capacity Data'!L23+'Asia Capacity Data'!L23+'MEA Capacity Data'!L23</f>
        <v>329.83000000000004</v>
      </c>
      <c r="M23" s="355">
        <f>'NAm Capacity Data'!M23+'SAm Capacity Data'!M23+'Europe Capacity Data'!M23+'Asia Capacity Data'!M23+'MEA Capacity Data'!M23</f>
        <v>0</v>
      </c>
      <c r="N23" s="355">
        <f>'NAm Capacity Data'!N23+'SAm Capacity Data'!N23+'Europe Capacity Data'!N23+'Asia Capacity Data'!N23+'MEA Capacity Data'!N23</f>
        <v>59.9</v>
      </c>
      <c r="O23" s="355">
        <f>'NAm Capacity Data'!O23+'SAm Capacity Data'!O23+'Europe Capacity Data'!O23+'Asia Capacity Data'!O23+'MEA Capacity Data'!O23</f>
        <v>0</v>
      </c>
      <c r="P23" s="355">
        <f>'NAm Capacity Data'!P23+'SAm Capacity Data'!P23+'Europe Capacity Data'!P23+'Asia Capacity Data'!P23+'MEA Capacity Data'!P23</f>
        <v>0</v>
      </c>
      <c r="Q23" s="355">
        <f>'NAm Capacity Data'!Q23+'SAm Capacity Data'!Q23+'Europe Capacity Data'!Q23+'Asia Capacity Data'!Q23+'MEA Capacity Data'!Q23</f>
        <v>0</v>
      </c>
    </row>
    <row r="24" spans="1:17">
      <c r="A24" s="249" t="s">
        <v>6</v>
      </c>
      <c r="B24" s="254">
        <f>'NAm Capacity Data'!B24+'SAm Capacity Data'!B24+'Europe Capacity Data'!B24+'Asia Capacity Data'!B24+'MEA Capacity Data'!B24</f>
        <v>60.1</v>
      </c>
      <c r="C24" s="254">
        <f>'NAm Capacity Data'!C24+'SAm Capacity Data'!C24+'Europe Capacity Data'!C24+'Asia Capacity Data'!C24+'MEA Capacity Data'!C24</f>
        <v>0</v>
      </c>
      <c r="D24" s="254">
        <f>'NAm Capacity Data'!D24+'SAm Capacity Data'!D24+'Europe Capacity Data'!D24+'Asia Capacity Data'!D24+'MEA Capacity Data'!D24</f>
        <v>0</v>
      </c>
      <c r="E24" s="254">
        <f>'NAm Capacity Data'!E24+'SAm Capacity Data'!E24+'Europe Capacity Data'!E24+'Asia Capacity Data'!E24+'MEA Capacity Data'!E24</f>
        <v>0</v>
      </c>
      <c r="F24" s="355">
        <f>'NAm Capacity Data'!F24+'SAm Capacity Data'!F24+'Europe Capacity Data'!F24+'Asia Capacity Data'!F24+'MEA Capacity Data'!F24</f>
        <v>9</v>
      </c>
      <c r="G24" s="355">
        <f>'NAm Capacity Data'!G24+'SAm Capacity Data'!G24+'Europe Capacity Data'!G24+'Asia Capacity Data'!G24+'MEA Capacity Data'!G24</f>
        <v>235.19125</v>
      </c>
      <c r="H24" s="355">
        <f>'NAm Capacity Data'!H24+'SAm Capacity Data'!H24+'Europe Capacity Data'!H24+'Asia Capacity Data'!H24+'MEA Capacity Data'!H24</f>
        <v>393.2</v>
      </c>
      <c r="I24" s="355">
        <f>'NAm Capacity Data'!I24+'SAm Capacity Data'!I24+'Europe Capacity Data'!I24+'Asia Capacity Data'!I24+'MEA Capacity Data'!I24</f>
        <v>701.61249999999995</v>
      </c>
      <c r="J24" s="355">
        <f>'NAm Capacity Data'!J24+'SAm Capacity Data'!J24+'Europe Capacity Data'!J24+'Asia Capacity Data'!J24+'MEA Capacity Data'!J24</f>
        <v>349.149</v>
      </c>
      <c r="K24" s="355">
        <f>'NAm Capacity Data'!K24+'SAm Capacity Data'!K24+'Europe Capacity Data'!K24+'Asia Capacity Data'!K24+'MEA Capacity Data'!K24</f>
        <v>105.931</v>
      </c>
      <c r="L24" s="355">
        <f>'NAm Capacity Data'!L24+'SAm Capacity Data'!L24+'Europe Capacity Data'!L24+'Asia Capacity Data'!L24+'MEA Capacity Data'!L24</f>
        <v>308.08500000000004</v>
      </c>
      <c r="M24" s="355">
        <f>'NAm Capacity Data'!M24+'SAm Capacity Data'!M24+'Europe Capacity Data'!M24+'Asia Capacity Data'!M24+'MEA Capacity Data'!M24</f>
        <v>68.039999999999992</v>
      </c>
      <c r="N24" s="355">
        <f>'NAm Capacity Data'!N24+'SAm Capacity Data'!N24+'Europe Capacity Data'!N24+'Asia Capacity Data'!N24+'MEA Capacity Data'!N24</f>
        <v>79.05</v>
      </c>
      <c r="O24" s="355">
        <f>'NAm Capacity Data'!O24+'SAm Capacity Data'!O24+'Europe Capacity Data'!O24+'Asia Capacity Data'!O24+'MEA Capacity Data'!O24</f>
        <v>0</v>
      </c>
      <c r="P24" s="355">
        <f>'NAm Capacity Data'!P24+'SAm Capacity Data'!P24+'Europe Capacity Data'!P24+'Asia Capacity Data'!P24+'MEA Capacity Data'!P24</f>
        <v>0</v>
      </c>
      <c r="Q24" s="355">
        <f>'NAm Capacity Data'!Q24+'SAm Capacity Data'!Q24+'Europe Capacity Data'!Q24+'Asia Capacity Data'!Q24+'MEA Capacity Data'!Q24</f>
        <v>0</v>
      </c>
    </row>
    <row r="25" spans="1:17">
      <c r="A25" s="249" t="s">
        <v>7</v>
      </c>
      <c r="B25" s="254">
        <f>'NAm Capacity Data'!B25+'SAm Capacity Data'!B25+'Europe Capacity Data'!B25+'Asia Capacity Data'!B25+'MEA Capacity Data'!B25</f>
        <v>0</v>
      </c>
      <c r="C25" s="254">
        <f>'NAm Capacity Data'!C25+'SAm Capacity Data'!C25+'Europe Capacity Data'!C25+'Asia Capacity Data'!C25+'MEA Capacity Data'!C25</f>
        <v>0</v>
      </c>
      <c r="D25" s="254">
        <f>'NAm Capacity Data'!D25+'SAm Capacity Data'!D25+'Europe Capacity Data'!D25+'Asia Capacity Data'!D25+'MEA Capacity Data'!D25</f>
        <v>0</v>
      </c>
      <c r="E25" s="254">
        <f>'NAm Capacity Data'!E25+'SAm Capacity Data'!E25+'Europe Capacity Data'!E25+'Asia Capacity Data'!E25+'MEA Capacity Data'!E25</f>
        <v>0</v>
      </c>
      <c r="F25" s="355">
        <f>'NAm Capacity Data'!F25+'SAm Capacity Data'!F25+'Europe Capacity Data'!F25+'Asia Capacity Data'!F25+'MEA Capacity Data'!F25</f>
        <v>0.46200000000000002</v>
      </c>
      <c r="G25" s="355">
        <f>'NAm Capacity Data'!G25+'SAm Capacity Data'!G25+'Europe Capacity Data'!G25+'Asia Capacity Data'!G25+'MEA Capacity Data'!G25</f>
        <v>174.19400000000002</v>
      </c>
      <c r="H25" s="355">
        <f>'NAm Capacity Data'!H25+'SAm Capacity Data'!H25+'Europe Capacity Data'!H25+'Asia Capacity Data'!H25+'MEA Capacity Data'!H25</f>
        <v>176.28</v>
      </c>
      <c r="I25" s="355">
        <f>'NAm Capacity Data'!I25+'SAm Capacity Data'!I25+'Europe Capacity Data'!I25+'Asia Capacity Data'!I25+'MEA Capacity Data'!I25</f>
        <v>476.74</v>
      </c>
      <c r="J25" s="355">
        <f>'NAm Capacity Data'!J25+'SAm Capacity Data'!J25+'Europe Capacity Data'!J25+'Asia Capacity Data'!J25+'MEA Capacity Data'!J25</f>
        <v>197.14999999999998</v>
      </c>
      <c r="K25" s="355">
        <f>'NAm Capacity Data'!K25+'SAm Capacity Data'!K25+'Europe Capacity Data'!K25+'Asia Capacity Data'!K25+'MEA Capacity Data'!K25</f>
        <v>119</v>
      </c>
      <c r="L25" s="355">
        <f>'NAm Capacity Data'!L25+'SAm Capacity Data'!L25+'Europe Capacity Data'!L25+'Asia Capacity Data'!L25+'MEA Capacity Data'!L25</f>
        <v>97.4</v>
      </c>
      <c r="M25" s="355">
        <f>'NAm Capacity Data'!M25+'SAm Capacity Data'!M25+'Europe Capacity Data'!M25+'Asia Capacity Data'!M25+'MEA Capacity Data'!M25</f>
        <v>0</v>
      </c>
      <c r="N25" s="355">
        <f>'NAm Capacity Data'!N25+'SAm Capacity Data'!N25+'Europe Capacity Data'!N25+'Asia Capacity Data'!N25+'MEA Capacity Data'!N25</f>
        <v>15.33</v>
      </c>
      <c r="O25" s="355">
        <f>'NAm Capacity Data'!O25+'SAm Capacity Data'!O25+'Europe Capacity Data'!O25+'Asia Capacity Data'!O25+'MEA Capacity Data'!O25</f>
        <v>0</v>
      </c>
      <c r="P25" s="355">
        <f>'NAm Capacity Data'!P25+'SAm Capacity Data'!P25+'Europe Capacity Data'!P25+'Asia Capacity Data'!P25+'MEA Capacity Data'!P25</f>
        <v>0</v>
      </c>
      <c r="Q25" s="355">
        <f>'NAm Capacity Data'!Q25+'SAm Capacity Data'!Q25+'Europe Capacity Data'!Q25+'Asia Capacity Data'!Q25+'MEA Capacity Data'!Q25</f>
        <v>0</v>
      </c>
    </row>
    <row r="26" spans="1:17">
      <c r="A26" s="249" t="s">
        <v>8</v>
      </c>
      <c r="B26" s="254">
        <f>'NAm Capacity Data'!B26+'SAm Capacity Data'!B26+'Europe Capacity Data'!B26+'Asia Capacity Data'!B26+'MEA Capacity Data'!B26</f>
        <v>0</v>
      </c>
      <c r="C26" s="254">
        <f>'NAm Capacity Data'!C26+'SAm Capacity Data'!C26+'Europe Capacity Data'!C26+'Asia Capacity Data'!C26+'MEA Capacity Data'!C26</f>
        <v>6.6E-3</v>
      </c>
      <c r="D26" s="254">
        <f>'NAm Capacity Data'!D26+'SAm Capacity Data'!D26+'Europe Capacity Data'!D26+'Asia Capacity Data'!D26+'MEA Capacity Data'!D26</f>
        <v>6.7000000000000004E-2</v>
      </c>
      <c r="E26" s="254">
        <f>'NAm Capacity Data'!E26+'SAm Capacity Data'!E26+'Europe Capacity Data'!E26+'Asia Capacity Data'!E26+'MEA Capacity Data'!E26</f>
        <v>0</v>
      </c>
      <c r="F26" s="355">
        <f>'NAm Capacity Data'!F26+'SAm Capacity Data'!F26+'Europe Capacity Data'!F26+'Asia Capacity Data'!F26+'MEA Capacity Data'!F26</f>
        <v>1.4223772652869835</v>
      </c>
      <c r="G26" s="355">
        <f>'NAm Capacity Data'!G26+'SAm Capacity Data'!G26+'Europe Capacity Data'!G26+'Asia Capacity Data'!G26+'MEA Capacity Data'!G26</f>
        <v>1.2195625000000001</v>
      </c>
      <c r="H26" s="355">
        <f>'NAm Capacity Data'!H26+'SAm Capacity Data'!H26+'Europe Capacity Data'!H26+'Asia Capacity Data'!H26+'MEA Capacity Data'!H26</f>
        <v>82.900874999999999</v>
      </c>
      <c r="I26" s="355">
        <f>'NAm Capacity Data'!I26+'SAm Capacity Data'!I26+'Europe Capacity Data'!I26+'Asia Capacity Data'!I26+'MEA Capacity Data'!I26</f>
        <v>62.663999999999994</v>
      </c>
      <c r="J26" s="355">
        <f>'NAm Capacity Data'!J26+'SAm Capacity Data'!J26+'Europe Capacity Data'!J26+'Asia Capacity Data'!J26+'MEA Capacity Data'!J26</f>
        <v>188.82999999999998</v>
      </c>
      <c r="K26" s="355">
        <f>'NAm Capacity Data'!K26+'SAm Capacity Data'!K26+'Europe Capacity Data'!K26+'Asia Capacity Data'!K26+'MEA Capacity Data'!K26</f>
        <v>55.718000000000004</v>
      </c>
      <c r="L26" s="355">
        <f>'NAm Capacity Data'!L26+'SAm Capacity Data'!L26+'Europe Capacity Data'!L26+'Asia Capacity Data'!L26+'MEA Capacity Data'!L26</f>
        <v>406.51800000000003</v>
      </c>
      <c r="M26" s="355">
        <f>'NAm Capacity Data'!M26+'SAm Capacity Data'!M26+'Europe Capacity Data'!M26+'Asia Capacity Data'!M26+'MEA Capacity Data'!M26</f>
        <v>192.7595</v>
      </c>
      <c r="N26" s="355">
        <f>'NAm Capacity Data'!N26+'SAm Capacity Data'!N26+'Europe Capacity Data'!N26+'Asia Capacity Data'!N26+'MEA Capacity Data'!N26</f>
        <v>341.07000000000005</v>
      </c>
      <c r="O26" s="355">
        <f>'NAm Capacity Data'!O26+'SAm Capacity Data'!O26+'Europe Capacity Data'!O26+'Asia Capacity Data'!O26+'MEA Capacity Data'!O26</f>
        <v>82.6</v>
      </c>
      <c r="P26" s="355">
        <f>'NAm Capacity Data'!P26+'SAm Capacity Data'!P26+'Europe Capacity Data'!P26+'Asia Capacity Data'!P26+'MEA Capacity Data'!P26</f>
        <v>9.64E-2</v>
      </c>
      <c r="Q26" s="355">
        <f>'NAm Capacity Data'!Q26+'SAm Capacity Data'!Q26+'Europe Capacity Data'!Q26+'Asia Capacity Data'!Q26+'MEA Capacity Data'!Q26</f>
        <v>8.2000000000000003E-2</v>
      </c>
    </row>
    <row r="27" spans="1:17">
      <c r="A27" s="249" t="s">
        <v>9</v>
      </c>
      <c r="B27" s="254">
        <f>'NAm Capacity Data'!B27+'SAm Capacity Data'!B27+'Europe Capacity Data'!B27+'Asia Capacity Data'!B27+'MEA Capacity Data'!B27</f>
        <v>0</v>
      </c>
      <c r="C27" s="254">
        <f>'NAm Capacity Data'!C27+'SAm Capacity Data'!C27+'Europe Capacity Data'!C27+'Asia Capacity Data'!C27+'MEA Capacity Data'!C27</f>
        <v>0</v>
      </c>
      <c r="D27" s="254">
        <f>'NAm Capacity Data'!D27+'SAm Capacity Data'!D27+'Europe Capacity Data'!D27+'Asia Capacity Data'!D27+'MEA Capacity Data'!D27</f>
        <v>0</v>
      </c>
      <c r="E27" s="254">
        <f>'NAm Capacity Data'!E27+'SAm Capacity Data'!E27+'Europe Capacity Data'!E27+'Asia Capacity Data'!E27+'MEA Capacity Data'!E27</f>
        <v>0</v>
      </c>
      <c r="F27" s="355">
        <f>'NAm Capacity Data'!F27+'SAm Capacity Data'!F27+'Europe Capacity Data'!F27+'Asia Capacity Data'!F27+'MEA Capacity Data'!F27</f>
        <v>0</v>
      </c>
      <c r="G27" s="355">
        <f>'NAm Capacity Data'!G27+'SAm Capacity Data'!G27+'Europe Capacity Data'!G27+'Asia Capacity Data'!G27+'MEA Capacity Data'!G27</f>
        <v>10</v>
      </c>
      <c r="H27" s="355">
        <f>'NAm Capacity Data'!H27+'SAm Capacity Data'!H27+'Europe Capacity Data'!H27+'Asia Capacity Data'!H27+'MEA Capacity Data'!H27</f>
        <v>1.4295</v>
      </c>
      <c r="I27" s="355">
        <f>'NAm Capacity Data'!I27+'SAm Capacity Data'!I27+'Europe Capacity Data'!I27+'Asia Capacity Data'!I27+'MEA Capacity Data'!I27</f>
        <v>0</v>
      </c>
      <c r="J27" s="355">
        <f>'NAm Capacity Data'!J27+'SAm Capacity Data'!J27+'Europe Capacity Data'!J27+'Asia Capacity Data'!J27+'MEA Capacity Data'!J27</f>
        <v>0</v>
      </c>
      <c r="K27" s="355">
        <f>'NAm Capacity Data'!K27+'SAm Capacity Data'!K27+'Europe Capacity Data'!K27+'Asia Capacity Data'!K27+'MEA Capacity Data'!K27</f>
        <v>0</v>
      </c>
      <c r="L27" s="355">
        <f>'NAm Capacity Data'!L27+'SAm Capacity Data'!L27+'Europe Capacity Data'!L27+'Asia Capacity Data'!L27+'MEA Capacity Data'!L27</f>
        <v>0</v>
      </c>
      <c r="M27" s="355">
        <f>'NAm Capacity Data'!M27+'SAm Capacity Data'!M27+'Europe Capacity Data'!M27+'Asia Capacity Data'!M27+'MEA Capacity Data'!M27</f>
        <v>0</v>
      </c>
      <c r="N27" s="355">
        <f>'NAm Capacity Data'!N27+'SAm Capacity Data'!N27+'Europe Capacity Data'!N27+'Asia Capacity Data'!N27+'MEA Capacity Data'!N27</f>
        <v>33</v>
      </c>
      <c r="O27" s="355">
        <f>'NAm Capacity Data'!O27+'SAm Capacity Data'!O27+'Europe Capacity Data'!O27+'Asia Capacity Data'!O27+'MEA Capacity Data'!O27</f>
        <v>0</v>
      </c>
      <c r="P27" s="355">
        <f>'NAm Capacity Data'!P27+'SAm Capacity Data'!P27+'Europe Capacity Data'!P27+'Asia Capacity Data'!P27+'MEA Capacity Data'!P27</f>
        <v>0</v>
      </c>
      <c r="Q27" s="355">
        <f>'NAm Capacity Data'!Q27+'SAm Capacity Data'!Q27+'Europe Capacity Data'!Q27+'Asia Capacity Data'!Q27+'MEA Capacity Data'!Q27</f>
        <v>0</v>
      </c>
    </row>
    <row r="28" spans="1:17">
      <c r="A28" s="249" t="s">
        <v>10</v>
      </c>
      <c r="B28" s="254">
        <f>'NAm Capacity Data'!B28+'SAm Capacity Data'!B28+'Europe Capacity Data'!B28+'Asia Capacity Data'!B28+'MEA Capacity Data'!B28</f>
        <v>15.33</v>
      </c>
      <c r="C28" s="254">
        <f>'NAm Capacity Data'!C28+'SAm Capacity Data'!C28+'Europe Capacity Data'!C28+'Asia Capacity Data'!C28+'MEA Capacity Data'!C28</f>
        <v>104.16</v>
      </c>
      <c r="D28" s="254">
        <f>'NAm Capacity Data'!D28+'SAm Capacity Data'!D28+'Europe Capacity Data'!D28+'Asia Capacity Data'!D28+'MEA Capacity Data'!D28</f>
        <v>249.174475</v>
      </c>
      <c r="E28" s="254">
        <f>'NAm Capacity Data'!E28+'SAm Capacity Data'!E28+'Europe Capacity Data'!E28+'Asia Capacity Data'!E28+'MEA Capacity Data'!E28</f>
        <v>20</v>
      </c>
      <c r="F28" s="355">
        <f>'NAm Capacity Data'!F28+'SAm Capacity Data'!F28+'Europe Capacity Data'!F28+'Asia Capacity Data'!F28+'MEA Capacity Data'!F28</f>
        <v>111.1875</v>
      </c>
      <c r="G28" s="355">
        <f>'NAm Capacity Data'!G28+'SAm Capacity Data'!G28+'Europe Capacity Data'!G28+'Asia Capacity Data'!G28+'MEA Capacity Data'!G28</f>
        <v>22.664999999999999</v>
      </c>
      <c r="H28" s="355">
        <f>'NAm Capacity Data'!H28+'SAm Capacity Data'!H28+'Europe Capacity Data'!H28+'Asia Capacity Data'!H28+'MEA Capacity Data'!H28</f>
        <v>27.664999999999999</v>
      </c>
      <c r="I28" s="355">
        <f>'NAm Capacity Data'!I28+'SAm Capacity Data'!I28+'Europe Capacity Data'!I28+'Asia Capacity Data'!I28+'MEA Capacity Data'!I28</f>
        <v>73.5</v>
      </c>
      <c r="J28" s="355">
        <f>'NAm Capacity Data'!J28+'SAm Capacity Data'!J28+'Europe Capacity Data'!J28+'Asia Capacity Data'!J28+'MEA Capacity Data'!J28</f>
        <v>80.563500000000005</v>
      </c>
      <c r="K28" s="355">
        <f>'NAm Capacity Data'!K28+'SAm Capacity Data'!K28+'Europe Capacity Data'!K28+'Asia Capacity Data'!K28+'MEA Capacity Data'!K28</f>
        <v>101.5</v>
      </c>
      <c r="L28" s="355">
        <f>'NAm Capacity Data'!L28+'SAm Capacity Data'!L28+'Europe Capacity Data'!L28+'Asia Capacity Data'!L28+'MEA Capacity Data'!L28</f>
        <v>0</v>
      </c>
      <c r="M28" s="355">
        <f>'NAm Capacity Data'!M28+'SAm Capacity Data'!M28+'Europe Capacity Data'!M28+'Asia Capacity Data'!M28+'MEA Capacity Data'!M28</f>
        <v>0</v>
      </c>
      <c r="N28" s="355">
        <f>'NAm Capacity Data'!N28+'SAm Capacity Data'!N28+'Europe Capacity Data'!N28+'Asia Capacity Data'!N28+'MEA Capacity Data'!N28</f>
        <v>0</v>
      </c>
      <c r="O28" s="355">
        <f>'NAm Capacity Data'!O28+'SAm Capacity Data'!O28+'Europe Capacity Data'!O28+'Asia Capacity Data'!O28+'MEA Capacity Data'!O28</f>
        <v>0</v>
      </c>
      <c r="P28" s="355">
        <f>'NAm Capacity Data'!P28+'SAm Capacity Data'!P28+'Europe Capacity Data'!P28+'Asia Capacity Data'!P28+'MEA Capacity Data'!P28</f>
        <v>0</v>
      </c>
      <c r="Q28" s="355">
        <f>'NAm Capacity Data'!Q28+'SAm Capacity Data'!Q28+'Europe Capacity Data'!Q28+'Asia Capacity Data'!Q28+'MEA Capacity Data'!Q28</f>
        <v>0</v>
      </c>
    </row>
    <row r="29" spans="1:17" ht="12" thickBot="1">
      <c r="A29" s="282" t="s">
        <v>11</v>
      </c>
      <c r="B29" s="283">
        <f>SUM(B23:B28)</f>
        <v>322.43</v>
      </c>
      <c r="C29" s="283">
        <f>B29+SUM(C23:C28)</f>
        <v>776.59660000000008</v>
      </c>
      <c r="D29" s="283">
        <f>C29+SUM(D23:D28)</f>
        <v>1499.4880750000002</v>
      </c>
      <c r="E29" s="283">
        <f t="shared" ref="E29:Q29" si="8">D29+SUM(E23:E28)</f>
        <v>1849.4880750000002</v>
      </c>
      <c r="F29" s="356">
        <f t="shared" si="8"/>
        <v>3211.0974522652868</v>
      </c>
      <c r="G29" s="356">
        <f t="shared" si="8"/>
        <v>5306.6827647652872</v>
      </c>
      <c r="H29" s="356">
        <f t="shared" si="8"/>
        <v>7176.612639765287</v>
      </c>
      <c r="I29" s="356">
        <f t="shared" si="8"/>
        <v>10267.241639765287</v>
      </c>
      <c r="J29" s="356">
        <f t="shared" si="8"/>
        <v>11573.659139765286</v>
      </c>
      <c r="K29" s="356">
        <f t="shared" si="8"/>
        <v>12072.308139765286</v>
      </c>
      <c r="L29" s="356">
        <f t="shared" si="8"/>
        <v>13214.141139765286</v>
      </c>
      <c r="M29" s="356">
        <f t="shared" si="8"/>
        <v>13474.940639765286</v>
      </c>
      <c r="N29" s="356">
        <f t="shared" si="8"/>
        <v>14003.290639765286</v>
      </c>
      <c r="O29" s="356">
        <f t="shared" si="8"/>
        <v>14085.890639765286</v>
      </c>
      <c r="P29" s="356">
        <f t="shared" si="8"/>
        <v>14085.987039765287</v>
      </c>
      <c r="Q29" s="356">
        <f t="shared" si="8"/>
        <v>14086.069039765287</v>
      </c>
    </row>
    <row r="30" spans="1:17" ht="17.25">
      <c r="A30" s="275" t="s">
        <v>1211</v>
      </c>
      <c r="B30" s="320">
        <f>B19/B29</f>
        <v>0.82290760785286732</v>
      </c>
      <c r="C30" s="320">
        <f t="shared" ref="C30:Q30" si="9">C19/C29</f>
        <v>0.47624043164752455</v>
      </c>
      <c r="D30" s="320">
        <f t="shared" si="9"/>
        <v>0.72874082376413685</v>
      </c>
      <c r="E30" s="320">
        <f t="shared" si="9"/>
        <v>0.77520812076606649</v>
      </c>
      <c r="F30" s="320">
        <f t="shared" si="9"/>
        <v>0.78094485607401953</v>
      </c>
      <c r="G30" s="320">
        <f t="shared" si="9"/>
        <v>0.79806945090419068</v>
      </c>
      <c r="H30" s="320">
        <f t="shared" si="9"/>
        <v>0.75174574287395413</v>
      </c>
      <c r="I30" s="320">
        <f t="shared" si="9"/>
        <v>0.67143576552237061</v>
      </c>
      <c r="J30" s="320">
        <f t="shared" si="9"/>
        <v>0.64999906160633036</v>
      </c>
      <c r="K30" s="320">
        <f t="shared" si="9"/>
        <v>0.64277849690057975</v>
      </c>
      <c r="L30" s="320">
        <f t="shared" si="9"/>
        <v>0.62172634780446212</v>
      </c>
      <c r="M30" s="320">
        <f t="shared" si="9"/>
        <v>0.61781344035248931</v>
      </c>
      <c r="N30" s="320">
        <f t="shared" si="9"/>
        <v>0.60883235623122556</v>
      </c>
      <c r="O30" s="320">
        <f t="shared" si="9"/>
        <v>0.60848736188553754</v>
      </c>
      <c r="P30" s="320">
        <f t="shared" si="9"/>
        <v>0.60848696161669802</v>
      </c>
      <c r="Q30" s="320">
        <f t="shared" si="9"/>
        <v>0.60848487473704627</v>
      </c>
    </row>
    <row r="31" spans="1:17" ht="12" thickBot="1">
      <c r="A31" s="357" t="s">
        <v>14</v>
      </c>
      <c r="C31" s="254"/>
      <c r="D31" s="254"/>
      <c r="E31" s="254"/>
      <c r="F31" s="254"/>
      <c r="G31" s="254"/>
      <c r="H31" s="254"/>
      <c r="I31" s="254"/>
      <c r="J31" s="254"/>
      <c r="K31" s="254"/>
      <c r="L31" s="254"/>
      <c r="M31" s="254"/>
      <c r="N31" s="254"/>
      <c r="O31" s="254"/>
      <c r="P31" s="254"/>
    </row>
    <row r="32" spans="1:17" ht="12" thickBot="1">
      <c r="A32" s="274" t="s">
        <v>3</v>
      </c>
      <c r="B32" s="280" t="str">
        <f>B22</f>
        <v>&lt; 2021</v>
      </c>
      <c r="C32" s="281">
        <f>C22</f>
        <v>2021</v>
      </c>
      <c r="D32" s="281">
        <f t="shared" ref="D32:Q32" si="10">D22</f>
        <v>2022</v>
      </c>
      <c r="E32" s="281">
        <f t="shared" si="10"/>
        <v>2023</v>
      </c>
      <c r="F32" s="281">
        <f t="shared" si="10"/>
        <v>2024</v>
      </c>
      <c r="G32" s="281">
        <f t="shared" si="10"/>
        <v>2025</v>
      </c>
      <c r="H32" s="281">
        <f t="shared" si="10"/>
        <v>2026</v>
      </c>
      <c r="I32" s="281">
        <f t="shared" si="10"/>
        <v>2027</v>
      </c>
      <c r="J32" s="281">
        <f t="shared" si="10"/>
        <v>2028</v>
      </c>
      <c r="K32" s="281">
        <f t="shared" si="10"/>
        <v>2029</v>
      </c>
      <c r="L32" s="281">
        <f t="shared" si="10"/>
        <v>2030</v>
      </c>
      <c r="M32" s="281">
        <f t="shared" si="10"/>
        <v>2031</v>
      </c>
      <c r="N32" s="281">
        <f t="shared" si="10"/>
        <v>2032</v>
      </c>
      <c r="O32" s="281">
        <f t="shared" si="10"/>
        <v>2033</v>
      </c>
      <c r="P32" s="281">
        <f t="shared" si="10"/>
        <v>2034</v>
      </c>
      <c r="Q32" s="281">
        <f t="shared" si="10"/>
        <v>2035</v>
      </c>
    </row>
    <row r="33" spans="1:20">
      <c r="A33" s="249" t="s">
        <v>15</v>
      </c>
      <c r="B33" s="254">
        <f t="shared" ref="B33:B38" si="11">B23</f>
        <v>247</v>
      </c>
      <c r="C33" s="254">
        <f t="shared" ref="C33:Q35" si="12">B33+C23</f>
        <v>597</v>
      </c>
      <c r="D33" s="254">
        <f t="shared" si="12"/>
        <v>1070.6500000000001</v>
      </c>
      <c r="E33" s="254">
        <f t="shared" si="12"/>
        <v>1400.65</v>
      </c>
      <c r="F33" s="355">
        <f>E33+F23</f>
        <v>2640.1875</v>
      </c>
      <c r="G33" s="355">
        <f t="shared" si="12"/>
        <v>4292.5030000000006</v>
      </c>
      <c r="H33" s="355">
        <f t="shared" si="12"/>
        <v>5480.9575000000004</v>
      </c>
      <c r="I33" s="355">
        <f t="shared" si="12"/>
        <v>7257.0700000000006</v>
      </c>
      <c r="J33" s="355">
        <f t="shared" si="12"/>
        <v>7747.7950000000001</v>
      </c>
      <c r="K33" s="355">
        <f t="shared" si="12"/>
        <v>7864.2950000000001</v>
      </c>
      <c r="L33" s="355">
        <f t="shared" si="12"/>
        <v>8194.125</v>
      </c>
      <c r="M33" s="355">
        <f t="shared" si="12"/>
        <v>8194.125</v>
      </c>
      <c r="N33" s="355">
        <f t="shared" si="12"/>
        <v>8254.0249999999996</v>
      </c>
      <c r="O33" s="355">
        <f t="shared" si="12"/>
        <v>8254.0249999999996</v>
      </c>
      <c r="P33" s="355">
        <f t="shared" si="12"/>
        <v>8254.0249999999996</v>
      </c>
      <c r="Q33" s="355">
        <f t="shared" si="12"/>
        <v>8254.0249999999996</v>
      </c>
      <c r="R33" s="286">
        <f t="shared" ref="R33:R38" si="13">L33/$L$39</f>
        <v>0.62010273035009722</v>
      </c>
    </row>
    <row r="34" spans="1:20">
      <c r="A34" s="249" t="s">
        <v>16</v>
      </c>
      <c r="B34" s="254">
        <f t="shared" si="11"/>
        <v>60.1</v>
      </c>
      <c r="C34" s="254">
        <f t="shared" si="12"/>
        <v>60.1</v>
      </c>
      <c r="D34" s="254">
        <f t="shared" si="12"/>
        <v>60.1</v>
      </c>
      <c r="E34" s="254">
        <f t="shared" si="12"/>
        <v>60.1</v>
      </c>
      <c r="F34" s="355">
        <f t="shared" si="12"/>
        <v>69.099999999999994</v>
      </c>
      <c r="G34" s="355">
        <f t="shared" si="12"/>
        <v>304.29124999999999</v>
      </c>
      <c r="H34" s="355">
        <f t="shared" si="12"/>
        <v>697.49125000000004</v>
      </c>
      <c r="I34" s="355">
        <f t="shared" si="12"/>
        <v>1399.10375</v>
      </c>
      <c r="J34" s="355">
        <f t="shared" si="12"/>
        <v>1748.2527500000001</v>
      </c>
      <c r="K34" s="355">
        <f t="shared" si="12"/>
        <v>1854.1837500000001</v>
      </c>
      <c r="L34" s="355">
        <f t="shared" si="12"/>
        <v>2162.2687500000002</v>
      </c>
      <c r="M34" s="355">
        <f t="shared" si="12"/>
        <v>2230.3087500000001</v>
      </c>
      <c r="N34" s="355">
        <f t="shared" si="12"/>
        <v>2309.3587500000003</v>
      </c>
      <c r="O34" s="355">
        <f t="shared" si="12"/>
        <v>2309.3587500000003</v>
      </c>
      <c r="P34" s="355">
        <f t="shared" si="12"/>
        <v>2309.3587500000003</v>
      </c>
      <c r="Q34" s="355">
        <f t="shared" si="12"/>
        <v>2309.3587500000003</v>
      </c>
      <c r="R34" s="286">
        <f t="shared" si="13"/>
        <v>0.16363293891973724</v>
      </c>
    </row>
    <row r="35" spans="1:20">
      <c r="A35" s="249" t="s">
        <v>17</v>
      </c>
      <c r="B35" s="254">
        <f t="shared" si="11"/>
        <v>0</v>
      </c>
      <c r="C35" s="254">
        <f t="shared" si="12"/>
        <v>0</v>
      </c>
      <c r="D35" s="254">
        <f t="shared" si="12"/>
        <v>0</v>
      </c>
      <c r="E35" s="254">
        <f t="shared" si="12"/>
        <v>0</v>
      </c>
      <c r="F35" s="355">
        <f t="shared" si="12"/>
        <v>0.46200000000000002</v>
      </c>
      <c r="G35" s="355">
        <f t="shared" si="12"/>
        <v>174.65600000000001</v>
      </c>
      <c r="H35" s="355">
        <f t="shared" si="12"/>
        <v>350.93600000000004</v>
      </c>
      <c r="I35" s="355">
        <f t="shared" si="12"/>
        <v>827.67600000000004</v>
      </c>
      <c r="J35" s="355">
        <f t="shared" si="12"/>
        <v>1024.826</v>
      </c>
      <c r="K35" s="355">
        <f t="shared" si="12"/>
        <v>1143.826</v>
      </c>
      <c r="L35" s="355">
        <f t="shared" si="12"/>
        <v>1241.2260000000001</v>
      </c>
      <c r="M35" s="355">
        <f t="shared" si="12"/>
        <v>1241.2260000000001</v>
      </c>
      <c r="N35" s="355">
        <f t="shared" si="12"/>
        <v>1256.556</v>
      </c>
      <c r="O35" s="355">
        <f t="shared" si="12"/>
        <v>1256.556</v>
      </c>
      <c r="P35" s="355">
        <f t="shared" si="12"/>
        <v>1256.556</v>
      </c>
      <c r="Q35" s="355">
        <f t="shared" si="12"/>
        <v>1256.556</v>
      </c>
      <c r="R35" s="286">
        <f t="shared" si="13"/>
        <v>9.3931643901152329E-2</v>
      </c>
    </row>
    <row r="36" spans="1:20">
      <c r="A36" s="249" t="s">
        <v>18</v>
      </c>
      <c r="B36" s="254">
        <f t="shared" si="11"/>
        <v>0</v>
      </c>
      <c r="C36" s="254">
        <f>C26+B36</f>
        <v>6.6E-3</v>
      </c>
      <c r="D36" s="287">
        <f>D26+C36</f>
        <v>7.3599999999999999E-2</v>
      </c>
      <c r="E36" s="287">
        <f t="shared" ref="E36:Q36" si="14">E26+D36</f>
        <v>7.3599999999999999E-2</v>
      </c>
      <c r="F36" s="358">
        <f t="shared" si="14"/>
        <v>1.4959772652869834</v>
      </c>
      <c r="G36" s="358">
        <f t="shared" si="14"/>
        <v>2.7155397652869837</v>
      </c>
      <c r="H36" s="355">
        <f t="shared" si="14"/>
        <v>85.616414765286976</v>
      </c>
      <c r="I36" s="355">
        <f t="shared" si="14"/>
        <v>148.28041476528696</v>
      </c>
      <c r="J36" s="355">
        <f t="shared" si="14"/>
        <v>337.11041476528692</v>
      </c>
      <c r="K36" s="355">
        <f t="shared" si="14"/>
        <v>392.82841476528694</v>
      </c>
      <c r="L36" s="355">
        <f t="shared" si="14"/>
        <v>799.34641476528691</v>
      </c>
      <c r="M36" s="355">
        <f t="shared" si="14"/>
        <v>992.10591476528691</v>
      </c>
      <c r="N36" s="355">
        <f t="shared" si="14"/>
        <v>1333.175914765287</v>
      </c>
      <c r="O36" s="355">
        <f t="shared" si="14"/>
        <v>1415.7759147652869</v>
      </c>
      <c r="P36" s="355">
        <f t="shared" si="14"/>
        <v>1415.8723147652868</v>
      </c>
      <c r="Q36" s="355">
        <f t="shared" si="14"/>
        <v>1415.9543147652869</v>
      </c>
      <c r="R36" s="286">
        <f t="shared" si="13"/>
        <v>6.0491741862799958E-2</v>
      </c>
    </row>
    <row r="37" spans="1:20">
      <c r="A37" s="249" t="s">
        <v>19</v>
      </c>
      <c r="B37" s="254">
        <f t="shared" si="11"/>
        <v>0</v>
      </c>
      <c r="C37" s="254">
        <f>B37+C27</f>
        <v>0</v>
      </c>
      <c r="D37" s="254">
        <f>C37+D27</f>
        <v>0</v>
      </c>
      <c r="E37" s="254">
        <f t="shared" ref="E37:Q38" si="15">D37+E27</f>
        <v>0</v>
      </c>
      <c r="F37" s="355">
        <f t="shared" si="15"/>
        <v>0</v>
      </c>
      <c r="G37" s="355">
        <f t="shared" si="15"/>
        <v>10</v>
      </c>
      <c r="H37" s="355">
        <f t="shared" si="15"/>
        <v>11.429500000000001</v>
      </c>
      <c r="I37" s="355">
        <f t="shared" si="15"/>
        <v>11.429500000000001</v>
      </c>
      <c r="J37" s="355">
        <f t="shared" si="15"/>
        <v>11.429500000000001</v>
      </c>
      <c r="K37" s="355">
        <f t="shared" si="15"/>
        <v>11.429500000000001</v>
      </c>
      <c r="L37" s="355">
        <f t="shared" si="15"/>
        <v>11.429500000000001</v>
      </c>
      <c r="M37" s="355">
        <f t="shared" si="15"/>
        <v>11.429500000000001</v>
      </c>
      <c r="N37" s="355">
        <f t="shared" si="15"/>
        <v>44.429500000000004</v>
      </c>
      <c r="O37" s="355">
        <f t="shared" si="15"/>
        <v>44.429500000000004</v>
      </c>
      <c r="P37" s="355">
        <f t="shared" si="15"/>
        <v>44.429500000000004</v>
      </c>
      <c r="Q37" s="355">
        <f t="shared" si="15"/>
        <v>44.429500000000004</v>
      </c>
      <c r="R37" s="286">
        <f t="shared" si="13"/>
        <v>8.6494459829895647E-4</v>
      </c>
    </row>
    <row r="38" spans="1:20">
      <c r="A38" s="249" t="s">
        <v>20</v>
      </c>
      <c r="B38" s="254">
        <f t="shared" si="11"/>
        <v>15.33</v>
      </c>
      <c r="C38" s="254">
        <f>B38+C28</f>
        <v>119.49</v>
      </c>
      <c r="D38" s="254">
        <f>C38+D28</f>
        <v>368.66447499999998</v>
      </c>
      <c r="E38" s="254">
        <f t="shared" si="15"/>
        <v>388.66447499999998</v>
      </c>
      <c r="F38" s="355">
        <f t="shared" si="15"/>
        <v>499.85197499999998</v>
      </c>
      <c r="G38" s="355">
        <f t="shared" si="15"/>
        <v>522.516975</v>
      </c>
      <c r="H38" s="355">
        <f t="shared" si="15"/>
        <v>550.18197499999997</v>
      </c>
      <c r="I38" s="355">
        <f t="shared" si="15"/>
        <v>623.68197499999997</v>
      </c>
      <c r="J38" s="355">
        <f t="shared" si="15"/>
        <v>704.24547499999994</v>
      </c>
      <c r="K38" s="355">
        <f t="shared" si="15"/>
        <v>805.74547499999994</v>
      </c>
      <c r="L38" s="355">
        <f t="shared" si="15"/>
        <v>805.74547499999994</v>
      </c>
      <c r="M38" s="355">
        <f t="shared" si="15"/>
        <v>805.74547499999994</v>
      </c>
      <c r="N38" s="355">
        <f t="shared" si="15"/>
        <v>805.74547499999994</v>
      </c>
      <c r="O38" s="355">
        <f t="shared" si="15"/>
        <v>805.74547499999994</v>
      </c>
      <c r="P38" s="355">
        <f t="shared" si="15"/>
        <v>805.74547499999994</v>
      </c>
      <c r="Q38" s="355">
        <f t="shared" si="15"/>
        <v>805.74547499999994</v>
      </c>
      <c r="R38" s="286">
        <f t="shared" si="13"/>
        <v>6.0976000367914326E-2</v>
      </c>
    </row>
    <row r="39" spans="1:20" ht="12" thickBot="1">
      <c r="A39" s="288" t="s">
        <v>11</v>
      </c>
      <c r="B39" s="289">
        <f>SUM(B33:B38)</f>
        <v>322.43</v>
      </c>
      <c r="C39" s="289">
        <f>SUM(C33:C38)</f>
        <v>776.59660000000008</v>
      </c>
      <c r="D39" s="289">
        <f t="shared" ref="D39:Q39" si="16">SUM(D33:D38)</f>
        <v>1499.488075</v>
      </c>
      <c r="E39" s="289">
        <f t="shared" si="16"/>
        <v>1849.488075</v>
      </c>
      <c r="F39" s="359">
        <f t="shared" si="16"/>
        <v>3211.0974522652868</v>
      </c>
      <c r="G39" s="359">
        <f t="shared" si="16"/>
        <v>5306.6827647652881</v>
      </c>
      <c r="H39" s="359">
        <f t="shared" si="16"/>
        <v>7176.6126397652879</v>
      </c>
      <c r="I39" s="359">
        <f t="shared" si="16"/>
        <v>10267.241639765287</v>
      </c>
      <c r="J39" s="359">
        <f t="shared" si="16"/>
        <v>11573.659139765286</v>
      </c>
      <c r="K39" s="359">
        <f t="shared" si="16"/>
        <v>12072.308139765286</v>
      </c>
      <c r="L39" s="359">
        <f t="shared" si="16"/>
        <v>13214.141139765286</v>
      </c>
      <c r="M39" s="359">
        <f t="shared" si="16"/>
        <v>13474.940639765287</v>
      </c>
      <c r="N39" s="359">
        <f t="shared" si="16"/>
        <v>14003.290639765288</v>
      </c>
      <c r="O39" s="359">
        <f t="shared" si="16"/>
        <v>14085.890639765288</v>
      </c>
      <c r="P39" s="359">
        <f t="shared" si="16"/>
        <v>14085.987039765289</v>
      </c>
      <c r="Q39" s="359">
        <f t="shared" si="16"/>
        <v>14086.069039765289</v>
      </c>
    </row>
    <row r="40" spans="1:20">
      <c r="A40" s="251"/>
      <c r="B40" s="251"/>
      <c r="C40" s="251"/>
      <c r="D40" s="251"/>
      <c r="E40" s="251"/>
      <c r="F40" s="251"/>
      <c r="G40" s="251"/>
      <c r="H40" s="251"/>
      <c r="I40" s="251"/>
      <c r="J40" s="251"/>
      <c r="K40" s="251"/>
      <c r="L40" s="251"/>
      <c r="M40" s="251"/>
      <c r="N40" s="251"/>
      <c r="O40" s="251"/>
      <c r="P40" s="251"/>
      <c r="Q40" s="251"/>
    </row>
    <row r="41" spans="1:20" ht="12" thickBot="1">
      <c r="A41" s="357" t="s">
        <v>21</v>
      </c>
    </row>
    <row r="42" spans="1:20" ht="15.75" customHeight="1" thickBot="1">
      <c r="A42" s="274"/>
      <c r="B42" s="280" t="str">
        <f>B22</f>
        <v>&lt; 2021</v>
      </c>
      <c r="C42" s="281">
        <f t="shared" ref="C42:Q42" si="17">C22</f>
        <v>2021</v>
      </c>
      <c r="D42" s="281">
        <f t="shared" si="17"/>
        <v>2022</v>
      </c>
      <c r="E42" s="281">
        <f t="shared" si="17"/>
        <v>2023</v>
      </c>
      <c r="F42" s="281">
        <f t="shared" si="17"/>
        <v>2024</v>
      </c>
      <c r="G42" s="281">
        <f t="shared" si="17"/>
        <v>2025</v>
      </c>
      <c r="H42" s="281">
        <f t="shared" si="17"/>
        <v>2026</v>
      </c>
      <c r="I42" s="281">
        <f t="shared" si="17"/>
        <v>2027</v>
      </c>
      <c r="J42" s="281">
        <f t="shared" si="17"/>
        <v>2028</v>
      </c>
      <c r="K42" s="281">
        <f t="shared" si="17"/>
        <v>2029</v>
      </c>
      <c r="L42" s="281">
        <f t="shared" si="17"/>
        <v>2030</v>
      </c>
      <c r="M42" s="281">
        <f t="shared" si="17"/>
        <v>2031</v>
      </c>
      <c r="N42" s="281">
        <f t="shared" si="17"/>
        <v>2032</v>
      </c>
      <c r="O42" s="281">
        <f t="shared" si="17"/>
        <v>2033</v>
      </c>
      <c r="P42" s="281">
        <f t="shared" si="17"/>
        <v>2034</v>
      </c>
      <c r="Q42" s="281">
        <f t="shared" si="17"/>
        <v>2035</v>
      </c>
      <c r="R42" s="276" t="s">
        <v>22</v>
      </c>
      <c r="S42" s="276" t="s">
        <v>23</v>
      </c>
      <c r="T42" s="378"/>
    </row>
    <row r="43" spans="1:20">
      <c r="A43" s="251" t="s">
        <v>5</v>
      </c>
      <c r="B43" s="254">
        <f>'NAm Capacity Data'!B43+'SAm Capacity Data'!B43+'Europe Capacity Data'!B43+'Asia Capacity Data'!B43+'MEA Capacity Data'!B43</f>
        <v>3</v>
      </c>
      <c r="C43" s="254">
        <f>'NAm Capacity Data'!C43+'SAm Capacity Data'!C43+'Europe Capacity Data'!C43+'Asia Capacity Data'!C43+'MEA Capacity Data'!C43</f>
        <v>2</v>
      </c>
      <c r="D43" s="254">
        <f>'NAm Capacity Data'!D43+'SAm Capacity Data'!D43+'Europe Capacity Data'!D43+'Asia Capacity Data'!D43+'MEA Capacity Data'!D43</f>
        <v>7</v>
      </c>
      <c r="E43" s="254">
        <f>'NAm Capacity Data'!E43+'SAm Capacity Data'!E43+'Europe Capacity Data'!E43+'Asia Capacity Data'!E43+'MEA Capacity Data'!E43</f>
        <v>1</v>
      </c>
      <c r="F43" s="355">
        <f>'NAm Capacity Data'!F43+'SAm Capacity Data'!F43+'Europe Capacity Data'!F43+'Asia Capacity Data'!F43+'MEA Capacity Data'!F43</f>
        <v>16</v>
      </c>
      <c r="G43" s="355">
        <f>'NAm Capacity Data'!G43+'SAm Capacity Data'!G43+'Europe Capacity Data'!G43+'Asia Capacity Data'!G43+'MEA Capacity Data'!G43</f>
        <v>22</v>
      </c>
      <c r="H43" s="355">
        <f>'NAm Capacity Data'!H43+'SAm Capacity Data'!H43+'Europe Capacity Data'!H43+'Asia Capacity Data'!H43+'MEA Capacity Data'!H43</f>
        <v>16</v>
      </c>
      <c r="I43" s="355">
        <f>'NAm Capacity Data'!I43+'SAm Capacity Data'!I43+'Europe Capacity Data'!I43+'Asia Capacity Data'!I43+'MEA Capacity Data'!I43</f>
        <v>25</v>
      </c>
      <c r="J43" s="355">
        <f>'NAm Capacity Data'!J43+'SAm Capacity Data'!J43+'Europe Capacity Data'!J43+'Asia Capacity Data'!J43+'MEA Capacity Data'!J43</f>
        <v>11</v>
      </c>
      <c r="K43" s="355">
        <f>'NAm Capacity Data'!K43+'SAm Capacity Data'!K43+'Europe Capacity Data'!K43+'Asia Capacity Data'!K43+'MEA Capacity Data'!K43</f>
        <v>2</v>
      </c>
      <c r="L43" s="355">
        <f>'NAm Capacity Data'!L43+'SAm Capacity Data'!L43+'Europe Capacity Data'!L43+'Asia Capacity Data'!L43+'MEA Capacity Data'!L43</f>
        <v>9</v>
      </c>
      <c r="M43" s="355">
        <f>'NAm Capacity Data'!M43+'SAm Capacity Data'!M43+'Europe Capacity Data'!M43+'Asia Capacity Data'!M43+'MEA Capacity Data'!M43</f>
        <v>2</v>
      </c>
      <c r="N43" s="355">
        <f>'NAm Capacity Data'!N43+'SAm Capacity Data'!N43+'Europe Capacity Data'!N43+'Asia Capacity Data'!N43+'MEA Capacity Data'!N43</f>
        <v>2</v>
      </c>
      <c r="O43" s="355">
        <f>'NAm Capacity Data'!O43+'SAm Capacity Data'!O43+'Europe Capacity Data'!O43+'Asia Capacity Data'!O43+'MEA Capacity Data'!O43</f>
        <v>0</v>
      </c>
      <c r="P43" s="355">
        <f>'NAm Capacity Data'!P43+'SAm Capacity Data'!P43+'Europe Capacity Data'!P43+'Asia Capacity Data'!P43+'MEA Capacity Data'!P43</f>
        <v>0</v>
      </c>
      <c r="Q43" s="355">
        <f>'NAm Capacity Data'!Q43+'SAm Capacity Data'!Q43+'Europe Capacity Data'!Q43+'Asia Capacity Data'!Q43+'MEA Capacity Data'!Q43</f>
        <v>0</v>
      </c>
      <c r="R43" s="355">
        <f t="shared" ref="R43:R48" si="18">SUM(B43:P43)</f>
        <v>118</v>
      </c>
      <c r="S43" s="355"/>
      <c r="T43" s="378"/>
    </row>
    <row r="44" spans="1:20">
      <c r="A44" s="249" t="s">
        <v>6</v>
      </c>
      <c r="B44" s="254">
        <f>'NAm Capacity Data'!B44+'SAm Capacity Data'!B44+'Europe Capacity Data'!B44+'Asia Capacity Data'!B44+'MEA Capacity Data'!B44</f>
        <v>4</v>
      </c>
      <c r="C44" s="254">
        <f>'NAm Capacity Data'!C44+'SAm Capacity Data'!C44+'Europe Capacity Data'!C44+'Asia Capacity Data'!C44+'MEA Capacity Data'!C44</f>
        <v>0</v>
      </c>
      <c r="D44" s="254">
        <f>'NAm Capacity Data'!D44+'SAm Capacity Data'!D44+'Europe Capacity Data'!D44+'Asia Capacity Data'!D44+'MEA Capacity Data'!D44</f>
        <v>0</v>
      </c>
      <c r="E44" s="254">
        <f>'NAm Capacity Data'!E44+'SAm Capacity Data'!E44+'Europe Capacity Data'!E44+'Asia Capacity Data'!E44+'MEA Capacity Data'!E44</f>
        <v>0</v>
      </c>
      <c r="F44" s="355">
        <f>'NAm Capacity Data'!F44+'SAm Capacity Data'!F44+'Europe Capacity Data'!F44+'Asia Capacity Data'!F44+'MEA Capacity Data'!F44</f>
        <v>2</v>
      </c>
      <c r="G44" s="355">
        <f>'NAm Capacity Data'!G44+'SAm Capacity Data'!G44+'Europe Capacity Data'!G44+'Asia Capacity Data'!G44+'MEA Capacity Data'!G44</f>
        <v>5</v>
      </c>
      <c r="H44" s="355">
        <f>'NAm Capacity Data'!H44+'SAm Capacity Data'!H44+'Europe Capacity Data'!H44+'Asia Capacity Data'!H44+'MEA Capacity Data'!H44</f>
        <v>6</v>
      </c>
      <c r="I44" s="355">
        <f>'NAm Capacity Data'!I44+'SAm Capacity Data'!I44+'Europe Capacity Data'!I44+'Asia Capacity Data'!I44+'MEA Capacity Data'!I44</f>
        <v>9</v>
      </c>
      <c r="J44" s="355">
        <f>'NAm Capacity Data'!J44+'SAm Capacity Data'!J44+'Europe Capacity Data'!J44+'Asia Capacity Data'!J44+'MEA Capacity Data'!J44</f>
        <v>9</v>
      </c>
      <c r="K44" s="355">
        <f>'NAm Capacity Data'!K44+'SAm Capacity Data'!K44+'Europe Capacity Data'!K44+'Asia Capacity Data'!K44+'MEA Capacity Data'!K44</f>
        <v>5</v>
      </c>
      <c r="L44" s="355">
        <f>'NAm Capacity Data'!L44+'SAm Capacity Data'!L44+'Europe Capacity Data'!L44+'Asia Capacity Data'!L44+'MEA Capacity Data'!L44</f>
        <v>6</v>
      </c>
      <c r="M44" s="355">
        <f>'NAm Capacity Data'!M44+'SAm Capacity Data'!M44+'Europe Capacity Data'!M44+'Asia Capacity Data'!M44+'MEA Capacity Data'!M44</f>
        <v>2</v>
      </c>
      <c r="N44" s="355">
        <f>'NAm Capacity Data'!N44+'SAm Capacity Data'!N44+'Europe Capacity Data'!N44+'Asia Capacity Data'!N44+'MEA Capacity Data'!N44</f>
        <v>2</v>
      </c>
      <c r="O44" s="355">
        <f>'NAm Capacity Data'!O44+'SAm Capacity Data'!O44+'Europe Capacity Data'!O44+'Asia Capacity Data'!O44+'MEA Capacity Data'!O44</f>
        <v>0</v>
      </c>
      <c r="P44" s="355">
        <f>'NAm Capacity Data'!P44+'SAm Capacity Data'!P44+'Europe Capacity Data'!P44+'Asia Capacity Data'!P44+'MEA Capacity Data'!P44</f>
        <v>0</v>
      </c>
      <c r="Q44" s="355">
        <f>'NAm Capacity Data'!Q44+'SAm Capacity Data'!Q44+'Europe Capacity Data'!Q44+'Asia Capacity Data'!Q44+'MEA Capacity Data'!Q44</f>
        <v>0</v>
      </c>
      <c r="R44" s="355">
        <f t="shared" si="18"/>
        <v>50</v>
      </c>
      <c r="S44" s="355"/>
      <c r="T44" s="378"/>
    </row>
    <row r="45" spans="1:20">
      <c r="A45" s="249" t="s">
        <v>7</v>
      </c>
      <c r="B45" s="254">
        <f>'NAm Capacity Data'!B45+'SAm Capacity Data'!B45+'Europe Capacity Data'!B45+'Asia Capacity Data'!B45+'MEA Capacity Data'!B45</f>
        <v>0</v>
      </c>
      <c r="C45" s="254">
        <f>'NAm Capacity Data'!C45+'SAm Capacity Data'!C45+'Europe Capacity Data'!C45+'Asia Capacity Data'!C45+'MEA Capacity Data'!C45</f>
        <v>0</v>
      </c>
      <c r="D45" s="254">
        <f>'NAm Capacity Data'!D45+'SAm Capacity Data'!D45+'Europe Capacity Data'!D45+'Asia Capacity Data'!D45+'MEA Capacity Data'!D45</f>
        <v>0</v>
      </c>
      <c r="E45" s="254">
        <f>'NAm Capacity Data'!E45+'SAm Capacity Data'!E45+'Europe Capacity Data'!E45+'Asia Capacity Data'!E45+'MEA Capacity Data'!E45</f>
        <v>0</v>
      </c>
      <c r="F45" s="355">
        <f>'NAm Capacity Data'!F45+'SAm Capacity Data'!F45+'Europe Capacity Data'!F45+'Asia Capacity Data'!F45+'MEA Capacity Data'!F45</f>
        <v>1</v>
      </c>
      <c r="G45" s="355">
        <f>'NAm Capacity Data'!G45+'SAm Capacity Data'!G45+'Europe Capacity Data'!G45+'Asia Capacity Data'!G45+'MEA Capacity Data'!G45</f>
        <v>8</v>
      </c>
      <c r="H45" s="355">
        <f>'NAm Capacity Data'!H45+'SAm Capacity Data'!H45+'Europe Capacity Data'!H45+'Asia Capacity Data'!H45+'MEA Capacity Data'!H45</f>
        <v>4</v>
      </c>
      <c r="I45" s="355">
        <f>'NAm Capacity Data'!I45+'SAm Capacity Data'!I45+'Europe Capacity Data'!I45+'Asia Capacity Data'!I45+'MEA Capacity Data'!I45</f>
        <v>13</v>
      </c>
      <c r="J45" s="355">
        <f>'NAm Capacity Data'!J45+'SAm Capacity Data'!J45+'Europe Capacity Data'!J45+'Asia Capacity Data'!J45+'MEA Capacity Data'!J45</f>
        <v>8</v>
      </c>
      <c r="K45" s="355">
        <f>'NAm Capacity Data'!K45+'SAm Capacity Data'!K45+'Europe Capacity Data'!K45+'Asia Capacity Data'!K45+'MEA Capacity Data'!K45</f>
        <v>3</v>
      </c>
      <c r="L45" s="355">
        <f>'NAm Capacity Data'!L45+'SAm Capacity Data'!L45+'Europe Capacity Data'!L45+'Asia Capacity Data'!L45+'MEA Capacity Data'!L45</f>
        <v>5</v>
      </c>
      <c r="M45" s="355">
        <f>'NAm Capacity Data'!M45+'SAm Capacity Data'!M45+'Europe Capacity Data'!M45+'Asia Capacity Data'!M45+'MEA Capacity Data'!M45</f>
        <v>0</v>
      </c>
      <c r="N45" s="355">
        <f>'NAm Capacity Data'!N45+'SAm Capacity Data'!N45+'Europe Capacity Data'!N45+'Asia Capacity Data'!N45+'MEA Capacity Data'!N45</f>
        <v>1</v>
      </c>
      <c r="O45" s="355">
        <f>'NAm Capacity Data'!O45+'SAm Capacity Data'!O45+'Europe Capacity Data'!O45+'Asia Capacity Data'!O45+'MEA Capacity Data'!O45</f>
        <v>0</v>
      </c>
      <c r="P45" s="355">
        <f>'NAm Capacity Data'!P45+'SAm Capacity Data'!P45+'Europe Capacity Data'!P45+'Asia Capacity Data'!P45+'MEA Capacity Data'!P45</f>
        <v>0</v>
      </c>
      <c r="Q45" s="355">
        <f>'NAm Capacity Data'!Q45+'SAm Capacity Data'!Q45+'Europe Capacity Data'!Q45+'Asia Capacity Data'!Q45+'MEA Capacity Data'!Q45</f>
        <v>0</v>
      </c>
      <c r="R45" s="355">
        <f t="shared" si="18"/>
        <v>43</v>
      </c>
      <c r="S45" s="355"/>
      <c r="T45" s="378"/>
    </row>
    <row r="46" spans="1:20">
      <c r="A46" s="249" t="s">
        <v>8</v>
      </c>
      <c r="B46" s="254">
        <f>'NAm Capacity Data'!B46+'SAm Capacity Data'!B46+'Europe Capacity Data'!B46+'Asia Capacity Data'!B46+'MEA Capacity Data'!B46</f>
        <v>0</v>
      </c>
      <c r="C46" s="254">
        <f>'NAm Capacity Data'!C46+'SAm Capacity Data'!C46+'Europe Capacity Data'!C46+'Asia Capacity Data'!C46+'MEA Capacity Data'!C46</f>
        <v>1</v>
      </c>
      <c r="D46" s="254">
        <f>'NAm Capacity Data'!D46+'SAm Capacity Data'!D46+'Europe Capacity Data'!D46+'Asia Capacity Data'!D46+'MEA Capacity Data'!D46</f>
        <v>3</v>
      </c>
      <c r="E46" s="254">
        <f>'NAm Capacity Data'!E46+'SAm Capacity Data'!E46+'Europe Capacity Data'!E46+'Asia Capacity Data'!E46+'MEA Capacity Data'!E46</f>
        <v>0</v>
      </c>
      <c r="F46" s="355">
        <f>'NAm Capacity Data'!F46+'SAm Capacity Data'!F46+'Europe Capacity Data'!F46+'Asia Capacity Data'!F46+'MEA Capacity Data'!F46</f>
        <v>6</v>
      </c>
      <c r="G46" s="355">
        <f>'NAm Capacity Data'!G46+'SAm Capacity Data'!G46+'Europe Capacity Data'!G46+'Asia Capacity Data'!G46+'MEA Capacity Data'!G46</f>
        <v>8</v>
      </c>
      <c r="H46" s="355">
        <f>'NAm Capacity Data'!H46+'SAm Capacity Data'!H46+'Europe Capacity Data'!H46+'Asia Capacity Data'!H46+'MEA Capacity Data'!H46</f>
        <v>13</v>
      </c>
      <c r="I46" s="355">
        <f>'NAm Capacity Data'!I46+'SAm Capacity Data'!I46+'Europe Capacity Data'!I46+'Asia Capacity Data'!I46+'MEA Capacity Data'!I46</f>
        <v>6</v>
      </c>
      <c r="J46" s="355">
        <f>'NAm Capacity Data'!J46+'SAm Capacity Data'!J46+'Europe Capacity Data'!J46+'Asia Capacity Data'!J46+'MEA Capacity Data'!J46</f>
        <v>11</v>
      </c>
      <c r="K46" s="355">
        <f>'NAm Capacity Data'!K46+'SAm Capacity Data'!K46+'Europe Capacity Data'!K46+'Asia Capacity Data'!K46+'MEA Capacity Data'!K46</f>
        <v>4</v>
      </c>
      <c r="L46" s="355">
        <f>'NAm Capacity Data'!L46+'SAm Capacity Data'!L46+'Europe Capacity Data'!L46+'Asia Capacity Data'!L46+'MEA Capacity Data'!L46</f>
        <v>11</v>
      </c>
      <c r="M46" s="355">
        <f>'NAm Capacity Data'!M46+'SAm Capacity Data'!M46+'Europe Capacity Data'!M46+'Asia Capacity Data'!M46+'MEA Capacity Data'!M46</f>
        <v>2</v>
      </c>
      <c r="N46" s="355">
        <f>'NAm Capacity Data'!N46+'SAm Capacity Data'!N46+'Europe Capacity Data'!N46+'Asia Capacity Data'!N46+'MEA Capacity Data'!N46</f>
        <v>4</v>
      </c>
      <c r="O46" s="355">
        <f>'NAm Capacity Data'!O46+'SAm Capacity Data'!O46+'Europe Capacity Data'!O46+'Asia Capacity Data'!O46+'MEA Capacity Data'!O46</f>
        <v>1</v>
      </c>
      <c r="P46" s="355">
        <f>'NAm Capacity Data'!P46+'SAm Capacity Data'!P46+'Europe Capacity Data'!P46+'Asia Capacity Data'!P46+'MEA Capacity Data'!P46</f>
        <v>1</v>
      </c>
      <c r="Q46" s="355">
        <f>'NAm Capacity Data'!Q46+'SAm Capacity Data'!Q46+'Europe Capacity Data'!Q46+'Asia Capacity Data'!Q46+'MEA Capacity Data'!Q46</f>
        <v>1</v>
      </c>
      <c r="R46" s="355">
        <f t="shared" si="18"/>
        <v>71</v>
      </c>
      <c r="S46" s="355"/>
      <c r="T46" s="378"/>
    </row>
    <row r="47" spans="1:20">
      <c r="A47" s="249" t="s">
        <v>9</v>
      </c>
      <c r="B47" s="254">
        <f>'NAm Capacity Data'!B47+'SAm Capacity Data'!B47+'Europe Capacity Data'!B47+'Asia Capacity Data'!B47+'MEA Capacity Data'!B47</f>
        <v>0</v>
      </c>
      <c r="C47" s="254">
        <f>'NAm Capacity Data'!C47+'SAm Capacity Data'!C47+'Europe Capacity Data'!C47+'Asia Capacity Data'!C47+'MEA Capacity Data'!C47</f>
        <v>0</v>
      </c>
      <c r="D47" s="254">
        <f>'NAm Capacity Data'!D47+'SAm Capacity Data'!D47+'Europe Capacity Data'!D47+'Asia Capacity Data'!D47+'MEA Capacity Data'!D47</f>
        <v>0</v>
      </c>
      <c r="E47" s="254">
        <f>'NAm Capacity Data'!E47+'SAm Capacity Data'!E47+'Europe Capacity Data'!E47+'Asia Capacity Data'!E47+'MEA Capacity Data'!E47</f>
        <v>0</v>
      </c>
      <c r="F47" s="355">
        <f>'NAm Capacity Data'!F47+'SAm Capacity Data'!F47+'Europe Capacity Data'!F47+'Asia Capacity Data'!F47+'MEA Capacity Data'!F47</f>
        <v>2</v>
      </c>
      <c r="G47" s="355">
        <f>'NAm Capacity Data'!G47+'SAm Capacity Data'!G47+'Europe Capacity Data'!G47+'Asia Capacity Data'!G47+'MEA Capacity Data'!G47</f>
        <v>2</v>
      </c>
      <c r="H47" s="355">
        <f>'NAm Capacity Data'!H47+'SAm Capacity Data'!H47+'Europe Capacity Data'!H47+'Asia Capacity Data'!H47+'MEA Capacity Data'!H47</f>
        <v>3</v>
      </c>
      <c r="I47" s="355">
        <f>'NAm Capacity Data'!I47+'SAm Capacity Data'!I47+'Europe Capacity Data'!I47+'Asia Capacity Data'!I47+'MEA Capacity Data'!I47</f>
        <v>0</v>
      </c>
      <c r="J47" s="355">
        <f>'NAm Capacity Data'!J47+'SAm Capacity Data'!J47+'Europe Capacity Data'!J47+'Asia Capacity Data'!J47+'MEA Capacity Data'!J47</f>
        <v>0</v>
      </c>
      <c r="K47" s="355">
        <f>'NAm Capacity Data'!K47+'SAm Capacity Data'!K47+'Europe Capacity Data'!K47+'Asia Capacity Data'!K47+'MEA Capacity Data'!K47</f>
        <v>0</v>
      </c>
      <c r="L47" s="355">
        <f>'NAm Capacity Data'!L47+'SAm Capacity Data'!L47+'Europe Capacity Data'!L47+'Asia Capacity Data'!L47+'MEA Capacity Data'!L47</f>
        <v>0</v>
      </c>
      <c r="M47" s="355">
        <f>'NAm Capacity Data'!M47+'SAm Capacity Data'!M47+'Europe Capacity Data'!M47+'Asia Capacity Data'!M47+'MEA Capacity Data'!M47</f>
        <v>0</v>
      </c>
      <c r="N47" s="355">
        <f>'NAm Capacity Data'!N47+'SAm Capacity Data'!N47+'Europe Capacity Data'!N47+'Asia Capacity Data'!N47+'MEA Capacity Data'!N47</f>
        <v>1</v>
      </c>
      <c r="O47" s="355">
        <f>'NAm Capacity Data'!O47+'SAm Capacity Data'!O47+'Europe Capacity Data'!O47+'Asia Capacity Data'!O47+'MEA Capacity Data'!O47</f>
        <v>0</v>
      </c>
      <c r="P47" s="355">
        <f>'NAm Capacity Data'!P47+'SAm Capacity Data'!P47+'Europe Capacity Data'!P47+'Asia Capacity Data'!P47+'MEA Capacity Data'!P47</f>
        <v>0</v>
      </c>
      <c r="Q47" s="355">
        <f>'NAm Capacity Data'!Q47+'SAm Capacity Data'!Q47+'Europe Capacity Data'!Q47+'Asia Capacity Data'!Q47+'MEA Capacity Data'!Q47</f>
        <v>0</v>
      </c>
      <c r="R47" s="355">
        <f t="shared" si="18"/>
        <v>8</v>
      </c>
      <c r="S47" s="355"/>
      <c r="T47" s="378"/>
    </row>
    <row r="48" spans="1:20">
      <c r="A48" s="249" t="s">
        <v>10</v>
      </c>
      <c r="B48" s="254">
        <f>'NAm Capacity Data'!B48+'SAm Capacity Data'!B48+'Europe Capacity Data'!B48+'Asia Capacity Data'!B48+'MEA Capacity Data'!B48</f>
        <v>2</v>
      </c>
      <c r="C48" s="254">
        <f>'NAm Capacity Data'!C48+'SAm Capacity Data'!C48+'Europe Capacity Data'!C48+'Asia Capacity Data'!C48+'MEA Capacity Data'!C48</f>
        <v>6</v>
      </c>
      <c r="D48" s="254">
        <f>'NAm Capacity Data'!D48+'SAm Capacity Data'!D48+'Europe Capacity Data'!D48+'Asia Capacity Data'!D48+'MEA Capacity Data'!D48</f>
        <v>4</v>
      </c>
      <c r="E48" s="254">
        <f>'NAm Capacity Data'!E48+'SAm Capacity Data'!E48+'Europe Capacity Data'!E48+'Asia Capacity Data'!E48+'MEA Capacity Data'!E48</f>
        <v>1</v>
      </c>
      <c r="F48" s="355">
        <f>'NAm Capacity Data'!F48+'SAm Capacity Data'!F48+'Europe Capacity Data'!F48+'Asia Capacity Data'!F48+'MEA Capacity Data'!F48</f>
        <v>6</v>
      </c>
      <c r="G48" s="355">
        <f>'NAm Capacity Data'!G48+'SAm Capacity Data'!G48+'Europe Capacity Data'!G48+'Asia Capacity Data'!G48+'MEA Capacity Data'!G48</f>
        <v>6</v>
      </c>
      <c r="H48" s="355">
        <f>'NAm Capacity Data'!H48+'SAm Capacity Data'!H48+'Europe Capacity Data'!H48+'Asia Capacity Data'!H48+'MEA Capacity Data'!H48</f>
        <v>3</v>
      </c>
      <c r="I48" s="355">
        <f>'NAm Capacity Data'!I48+'SAm Capacity Data'!I48+'Europe Capacity Data'!I48+'Asia Capacity Data'!I48+'MEA Capacity Data'!I48</f>
        <v>2</v>
      </c>
      <c r="J48" s="355">
        <f>'NAm Capacity Data'!J48+'SAm Capacity Data'!J48+'Europe Capacity Data'!J48+'Asia Capacity Data'!J48+'MEA Capacity Data'!J48</f>
        <v>3</v>
      </c>
      <c r="K48" s="355">
        <f>'NAm Capacity Data'!K48+'SAm Capacity Data'!K48+'Europe Capacity Data'!K48+'Asia Capacity Data'!K48+'MEA Capacity Data'!K48</f>
        <v>2</v>
      </c>
      <c r="L48" s="355">
        <f>'NAm Capacity Data'!L48+'SAm Capacity Data'!L48+'Europe Capacity Data'!L48+'Asia Capacity Data'!L48+'MEA Capacity Data'!L48</f>
        <v>1</v>
      </c>
      <c r="M48" s="355">
        <f>'NAm Capacity Data'!M48+'SAm Capacity Data'!M48+'Europe Capacity Data'!M48+'Asia Capacity Data'!M48+'MEA Capacity Data'!M48</f>
        <v>0</v>
      </c>
      <c r="N48" s="355">
        <f>'NAm Capacity Data'!N48+'SAm Capacity Data'!N48+'Europe Capacity Data'!N48+'Asia Capacity Data'!N48+'MEA Capacity Data'!N48</f>
        <v>0</v>
      </c>
      <c r="O48" s="355">
        <f>'NAm Capacity Data'!O48+'SAm Capacity Data'!O48+'Europe Capacity Data'!O48+'Asia Capacity Data'!O48+'MEA Capacity Data'!O48</f>
        <v>0</v>
      </c>
      <c r="P48" s="355">
        <f>'NAm Capacity Data'!P48+'SAm Capacity Data'!P48+'Europe Capacity Data'!P48+'Asia Capacity Data'!P48+'MEA Capacity Data'!P48</f>
        <v>0</v>
      </c>
      <c r="Q48" s="355">
        <f>'NAm Capacity Data'!Q48+'SAm Capacity Data'!Q48+'Europe Capacity Data'!Q48+'Asia Capacity Data'!Q48+'MEA Capacity Data'!Q48</f>
        <v>0</v>
      </c>
      <c r="R48" s="355">
        <f t="shared" si="18"/>
        <v>36</v>
      </c>
      <c r="S48" s="355"/>
      <c r="T48" s="378"/>
    </row>
    <row r="49" spans="1:31" ht="12" thickBot="1">
      <c r="A49" s="288" t="s">
        <v>24</v>
      </c>
      <c r="B49" s="290">
        <f>SUM(B43:B48)</f>
        <v>9</v>
      </c>
      <c r="C49" s="290">
        <f>B49+SUM(C43:C48)</f>
        <v>18</v>
      </c>
      <c r="D49" s="290">
        <f>C49+SUM(D43:D48)</f>
        <v>32</v>
      </c>
      <c r="E49" s="290">
        <f t="shared" ref="E49:Q49" si="19">D49+SUM(E43:E48)</f>
        <v>34</v>
      </c>
      <c r="F49" s="360">
        <f t="shared" si="19"/>
        <v>67</v>
      </c>
      <c r="G49" s="360">
        <f t="shared" si="19"/>
        <v>118</v>
      </c>
      <c r="H49" s="360">
        <f t="shared" si="19"/>
        <v>163</v>
      </c>
      <c r="I49" s="360">
        <f t="shared" si="19"/>
        <v>218</v>
      </c>
      <c r="J49" s="360">
        <f t="shared" si="19"/>
        <v>260</v>
      </c>
      <c r="K49" s="360">
        <f t="shared" si="19"/>
        <v>276</v>
      </c>
      <c r="L49" s="360">
        <f t="shared" si="19"/>
        <v>308</v>
      </c>
      <c r="M49" s="360">
        <f t="shared" si="19"/>
        <v>314</v>
      </c>
      <c r="N49" s="360">
        <f t="shared" si="19"/>
        <v>324</v>
      </c>
      <c r="O49" s="360">
        <f t="shared" si="19"/>
        <v>325</v>
      </c>
      <c r="P49" s="360">
        <f t="shared" si="19"/>
        <v>326</v>
      </c>
      <c r="Q49" s="360">
        <f t="shared" si="19"/>
        <v>327</v>
      </c>
      <c r="R49" s="360">
        <f>SUM(R43:R48)</f>
        <v>326</v>
      </c>
      <c r="S49" s="360"/>
      <c r="T49" s="378"/>
    </row>
    <row r="50" spans="1:31">
      <c r="A50" s="251"/>
      <c r="B50" s="251"/>
      <c r="C50" s="251"/>
      <c r="D50" s="251"/>
      <c r="E50" s="251"/>
      <c r="F50" s="251"/>
      <c r="G50" s="251"/>
      <c r="H50" s="251"/>
      <c r="I50" s="251"/>
      <c r="J50" s="251"/>
      <c r="K50" s="251"/>
      <c r="L50" s="251"/>
      <c r="M50" s="251"/>
      <c r="N50" s="251"/>
      <c r="O50" s="251"/>
      <c r="P50" s="251"/>
      <c r="Q50" s="251"/>
      <c r="R50" s="251"/>
    </row>
    <row r="51" spans="1:31" ht="12" thickBot="1">
      <c r="A51" s="357" t="s">
        <v>25</v>
      </c>
    </row>
    <row r="52" spans="1:31" ht="12" thickBot="1">
      <c r="A52" s="274" t="str">
        <f>A22</f>
        <v>(mil gal/yr)</v>
      </c>
      <c r="B52" s="280" t="str">
        <f>B22</f>
        <v>&lt; 2021</v>
      </c>
      <c r="C52" s="281">
        <f t="shared" ref="C52:Q52" si="20">C22</f>
        <v>2021</v>
      </c>
      <c r="D52" s="281">
        <f t="shared" si="20"/>
        <v>2022</v>
      </c>
      <c r="E52" s="281">
        <f t="shared" si="20"/>
        <v>2023</v>
      </c>
      <c r="F52" s="281">
        <f t="shared" si="20"/>
        <v>2024</v>
      </c>
      <c r="G52" s="281">
        <f t="shared" si="20"/>
        <v>2025</v>
      </c>
      <c r="H52" s="281">
        <f t="shared" si="20"/>
        <v>2026</v>
      </c>
      <c r="I52" s="281">
        <f t="shared" si="20"/>
        <v>2027</v>
      </c>
      <c r="J52" s="281">
        <f t="shared" si="20"/>
        <v>2028</v>
      </c>
      <c r="K52" s="281">
        <f t="shared" si="20"/>
        <v>2029</v>
      </c>
      <c r="L52" s="281">
        <f t="shared" si="20"/>
        <v>2030</v>
      </c>
      <c r="M52" s="281">
        <f t="shared" si="20"/>
        <v>2031</v>
      </c>
      <c r="N52" s="281">
        <f t="shared" si="20"/>
        <v>2032</v>
      </c>
      <c r="O52" s="281">
        <f t="shared" si="20"/>
        <v>2033</v>
      </c>
      <c r="P52" s="281">
        <f t="shared" si="20"/>
        <v>2034</v>
      </c>
      <c r="Q52" s="281">
        <f t="shared" si="20"/>
        <v>2035</v>
      </c>
    </row>
    <row r="53" spans="1:31">
      <c r="A53" s="249" t="s">
        <v>26</v>
      </c>
      <c r="B53" s="252">
        <f>'NAm Capacity Data'!B13+'SAm Capacity Data'!B53+'Europe Capacity Data'!B53+'Asia Capacity Data'!B62</f>
        <v>97.33</v>
      </c>
      <c r="C53" s="252">
        <f>'NAm Capacity Data'!C13+'SAm Capacity Data'!C53+'Europe Capacity Data'!C53+'Asia Capacity Data'!C62</f>
        <v>113.00999999999999</v>
      </c>
      <c r="D53" s="252">
        <f>'NAm Capacity Data'!D13+'SAm Capacity Data'!D53+'Europe Capacity Data'!D53+'Asia Capacity Data'!D62</f>
        <v>566.56037500000002</v>
      </c>
      <c r="E53" s="252">
        <f>'NAm Capacity Data'!E13+'SAm Capacity Data'!E53+'Europe Capacity Data'!E53+'Asia Capacity Data'!E62</f>
        <v>886.75</v>
      </c>
      <c r="F53" s="361">
        <f>'NAm Capacity Data'!F13+'SAm Capacity Data'!F53+'Europe Capacity Data'!F53+'Asia Capacity Data'!F62</f>
        <v>2192.0299999999997</v>
      </c>
      <c r="G53" s="361">
        <f>'NAm Capacity Data'!G13+'SAm Capacity Data'!G53+'Europe Capacity Data'!G53+'Asia Capacity Data'!G62</f>
        <v>3535.9393</v>
      </c>
      <c r="H53" s="361">
        <f>'NAm Capacity Data'!H13+'SAm Capacity Data'!H53+'Europe Capacity Data'!H53+'Asia Capacity Data'!H62</f>
        <v>3657.9853000000003</v>
      </c>
      <c r="I53" s="361">
        <f>'NAm Capacity Data'!I13+'SAm Capacity Data'!I53+'Europe Capacity Data'!I53+'Asia Capacity Data'!I62</f>
        <v>4341.0992999999999</v>
      </c>
      <c r="J53" s="361">
        <f>'NAm Capacity Data'!J13+'SAm Capacity Data'!J53+'Europe Capacity Data'!J53+'Asia Capacity Data'!J62</f>
        <v>4769.6178</v>
      </c>
      <c r="K53" s="361">
        <f>'NAm Capacity Data'!K13+'SAm Capacity Data'!K53+'Europe Capacity Data'!K53+'Asia Capacity Data'!K62</f>
        <v>4630.2993000000006</v>
      </c>
      <c r="L53" s="361">
        <f>'NAm Capacity Data'!L13+'SAm Capacity Data'!L53+'Europe Capacity Data'!L53+'Asia Capacity Data'!L62</f>
        <v>4836.6293000000005</v>
      </c>
      <c r="M53" s="361">
        <f>'NAm Capacity Data'!M13+'SAm Capacity Data'!M53+'Europe Capacity Data'!M53+'Asia Capacity Data'!M62</f>
        <v>4710.7993000000006</v>
      </c>
      <c r="N53" s="361">
        <f>'NAm Capacity Data'!N13+'SAm Capacity Data'!N53+'Europe Capacity Data'!N53+'Asia Capacity Data'!N62</f>
        <v>4720.6993000000002</v>
      </c>
      <c r="O53" s="361">
        <f>'NAm Capacity Data'!O13+'SAm Capacity Data'!O53+'Europe Capacity Data'!O53+'Asia Capacity Data'!O62</f>
        <v>4720.6993000000002</v>
      </c>
      <c r="P53" s="361">
        <f>'NAm Capacity Data'!P13+'SAm Capacity Data'!P53+'Europe Capacity Data'!P53+'Asia Capacity Data'!P62</f>
        <v>4720.6993000000002</v>
      </c>
      <c r="Q53" s="361">
        <f>'NAm Capacity Data'!Q13+'SAm Capacity Data'!Q53+'Europe Capacity Data'!Q53+'Asia Capacity Data'!Q62</f>
        <v>4720.6993000000002</v>
      </c>
    </row>
    <row r="54" spans="1:31">
      <c r="A54" s="249" t="s">
        <v>27</v>
      </c>
      <c r="B54" s="254">
        <f>'NAm Capacity Data'!B14+'SAm Capacity Data'!B54+'Europe Capacity Data'!B54+'Asia Capacity Data'!B63</f>
        <v>3.0001000000000002</v>
      </c>
      <c r="C54" s="254">
        <f>'NAm Capacity Data'!C14+'SAm Capacity Data'!C54+'Europe Capacity Data'!C54+'Asia Capacity Data'!C63</f>
        <v>3.0001000000000002</v>
      </c>
      <c r="D54" s="254">
        <f>'NAm Capacity Data'!D14+'SAm Capacity Data'!D54+'Europe Capacity Data'!D54+'Asia Capacity Data'!D63</f>
        <v>3.0001000000000002</v>
      </c>
      <c r="E54" s="254">
        <f>'NAm Capacity Data'!E14+'SAm Capacity Data'!E54+'Europe Capacity Data'!E54+'Asia Capacity Data'!E63</f>
        <v>3.0001000000000002</v>
      </c>
      <c r="F54" s="355">
        <f>'NAm Capacity Data'!F14+'SAm Capacity Data'!F54+'Europe Capacity Data'!F54+'Asia Capacity Data'!F63</f>
        <v>12.0001</v>
      </c>
      <c r="G54" s="355">
        <f>'NAm Capacity Data'!G14+'SAm Capacity Data'!G54+'Europe Capacity Data'!G54+'Asia Capacity Data'!G63</f>
        <v>195.645725</v>
      </c>
      <c r="H54" s="355">
        <f>'NAm Capacity Data'!H14+'SAm Capacity Data'!H54+'Europe Capacity Data'!H54+'Asia Capacity Data'!H63</f>
        <v>284.24572499999999</v>
      </c>
      <c r="I54" s="355">
        <f>'NAm Capacity Data'!I14+'SAm Capacity Data'!I54+'Europe Capacity Data'!I54+'Asia Capacity Data'!I63</f>
        <v>662.60822499999995</v>
      </c>
      <c r="J54" s="355">
        <f>'NAm Capacity Data'!J14+'SAm Capacity Data'!J54+'Europe Capacity Data'!J54+'Asia Capacity Data'!J63</f>
        <v>880.95722499999999</v>
      </c>
      <c r="K54" s="355">
        <f>'NAm Capacity Data'!K14+'SAm Capacity Data'!K54+'Europe Capacity Data'!K54+'Asia Capacity Data'!K63</f>
        <v>862.28922499999999</v>
      </c>
      <c r="L54" s="355">
        <f>'NAm Capacity Data'!L14+'SAm Capacity Data'!L54+'Europe Capacity Data'!L54+'Asia Capacity Data'!L63</f>
        <v>1035.961225</v>
      </c>
      <c r="M54" s="355">
        <f>'NAm Capacity Data'!M14+'SAm Capacity Data'!M54+'Europe Capacity Data'!M54+'Asia Capacity Data'!M63</f>
        <v>977.31322499999999</v>
      </c>
      <c r="N54" s="355">
        <f>'NAm Capacity Data'!N14+'SAm Capacity Data'!N54+'Europe Capacity Data'!N54+'Asia Capacity Data'!N63</f>
        <v>1004.313225</v>
      </c>
      <c r="O54" s="355">
        <f>'NAm Capacity Data'!O14+'SAm Capacity Data'!O54+'Europe Capacity Data'!O54+'Asia Capacity Data'!O63</f>
        <v>1004.313225</v>
      </c>
      <c r="P54" s="355">
        <f>'NAm Capacity Data'!P14+'SAm Capacity Data'!P54+'Europe Capacity Data'!P54+'Asia Capacity Data'!P63</f>
        <v>1004.313225</v>
      </c>
      <c r="Q54" s="355">
        <f>'NAm Capacity Data'!Q14+'SAm Capacity Data'!Q54+'Europe Capacity Data'!Q54+'Asia Capacity Data'!Q63</f>
        <v>1004.313225</v>
      </c>
    </row>
    <row r="55" spans="1:31">
      <c r="A55" s="249" t="s">
        <v>28</v>
      </c>
      <c r="B55" s="254">
        <f>'NAm Capacity Data'!B15+'SAm Capacity Data'!B55+'Europe Capacity Data'!B55+'Asia Capacity Data'!B64</f>
        <v>0</v>
      </c>
      <c r="C55" s="254">
        <f>'NAm Capacity Data'!C15+'SAm Capacity Data'!C55+'Europe Capacity Data'!C55+'Asia Capacity Data'!C64</f>
        <v>0</v>
      </c>
      <c r="D55" s="254">
        <f>'NAm Capacity Data'!D15+'SAm Capacity Data'!D55+'Europe Capacity Data'!D55+'Asia Capacity Data'!D64</f>
        <v>0</v>
      </c>
      <c r="E55" s="254">
        <f>'NAm Capacity Data'!E15+'SAm Capacity Data'!E55+'Europe Capacity Data'!E55+'Asia Capacity Data'!E64</f>
        <v>0</v>
      </c>
      <c r="F55" s="355">
        <f>'NAm Capacity Data'!F15+'SAm Capacity Data'!F55+'Europe Capacity Data'!F55+'Asia Capacity Data'!F64</f>
        <v>0</v>
      </c>
      <c r="G55" s="355">
        <f>'NAm Capacity Data'!G15+'SAm Capacity Data'!G55+'Europe Capacity Data'!G55+'Asia Capacity Data'!G64</f>
        <v>105.09</v>
      </c>
      <c r="H55" s="355">
        <f>'NAm Capacity Data'!H15+'SAm Capacity Data'!H55+'Europe Capacity Data'!H55+'Asia Capacity Data'!H64</f>
        <v>71.127499999999998</v>
      </c>
      <c r="I55" s="355">
        <f>'NAm Capacity Data'!I15+'SAm Capacity Data'!I55+'Europe Capacity Data'!I55+'Asia Capacity Data'!I64</f>
        <v>258.93299999999999</v>
      </c>
      <c r="J55" s="355">
        <f>'NAm Capacity Data'!J15+'SAm Capacity Data'!J55+'Europe Capacity Data'!J55+'Asia Capacity Data'!J64</f>
        <v>244.26299999999998</v>
      </c>
      <c r="K55" s="355">
        <f>'NAm Capacity Data'!K15+'SAm Capacity Data'!K55+'Europe Capacity Data'!K55+'Asia Capacity Data'!K64</f>
        <v>303.76299999999998</v>
      </c>
      <c r="L55" s="355">
        <f>'NAm Capacity Data'!L15+'SAm Capacity Data'!L55+'Europe Capacity Data'!L55+'Asia Capacity Data'!L64</f>
        <v>452.35799999999995</v>
      </c>
      <c r="M55" s="355">
        <f>'NAm Capacity Data'!M15+'SAm Capacity Data'!M55+'Europe Capacity Data'!M55+'Asia Capacity Data'!M64</f>
        <v>452.35799999999995</v>
      </c>
      <c r="N55" s="355">
        <f>'NAm Capacity Data'!N15+'SAm Capacity Data'!N55+'Europe Capacity Data'!N55+'Asia Capacity Data'!N64</f>
        <v>452.35799999999995</v>
      </c>
      <c r="O55" s="355">
        <f>'NAm Capacity Data'!O15+'SAm Capacity Data'!O55+'Europe Capacity Data'!O55+'Asia Capacity Data'!O64</f>
        <v>452.35799999999995</v>
      </c>
      <c r="P55" s="355">
        <f>'NAm Capacity Data'!P15+'SAm Capacity Data'!P55+'Europe Capacity Data'!P55+'Asia Capacity Data'!P64</f>
        <v>452.35799999999995</v>
      </c>
      <c r="Q55" s="355">
        <f>'NAm Capacity Data'!Q15+'SAm Capacity Data'!Q55+'Europe Capacity Data'!Q55+'Asia Capacity Data'!Q64</f>
        <v>452.35799999999995</v>
      </c>
    </row>
    <row r="56" spans="1:31">
      <c r="A56" s="249" t="s">
        <v>29</v>
      </c>
      <c r="B56" s="254">
        <f>'NAm Capacity Data'!B16+'SAm Capacity Data'!B56+'Europe Capacity Data'!B56+'Asia Capacity Data'!B65</f>
        <v>0</v>
      </c>
      <c r="C56" s="254">
        <f>'NAm Capacity Data'!C16+'SAm Capacity Data'!C56+'Europe Capacity Data'!C56+'Asia Capacity Data'!C65</f>
        <v>6.6E-3</v>
      </c>
      <c r="D56" s="254">
        <f>'NAm Capacity Data'!D16+'SAm Capacity Data'!D56+'Europe Capacity Data'!D56+'Asia Capacity Data'!D65</f>
        <v>6.7000000000000004E-2</v>
      </c>
      <c r="E56" s="254">
        <f>'NAm Capacity Data'!E16+'SAm Capacity Data'!E56+'Europe Capacity Data'!E56+'Asia Capacity Data'!E65</f>
        <v>1E-3</v>
      </c>
      <c r="F56" s="355">
        <f>'NAm Capacity Data'!F16+'SAm Capacity Data'!F56+'Europe Capacity Data'!F56+'Asia Capacity Data'!F65</f>
        <v>1.3243126989652376</v>
      </c>
      <c r="G56" s="355">
        <f>'NAm Capacity Data'!G16+'SAm Capacity Data'!G56+'Europe Capacity Data'!G56+'Asia Capacity Data'!G65</f>
        <v>1.4977561989652375</v>
      </c>
      <c r="H56" s="355">
        <f>'NAm Capacity Data'!H16+'SAm Capacity Data'!H56+'Europe Capacity Data'!H56+'Asia Capacity Data'!H65</f>
        <v>78.993631198965232</v>
      </c>
      <c r="I56" s="355">
        <f>'NAm Capacity Data'!I16+'SAm Capacity Data'!I56+'Europe Capacity Data'!I56+'Asia Capacity Data'!I65</f>
        <v>95.806756198965218</v>
      </c>
      <c r="J56" s="355">
        <f>'NAm Capacity Data'!J16+'SAm Capacity Data'!J56+'Europe Capacity Data'!J56+'Asia Capacity Data'!J65</f>
        <v>173.12275619896525</v>
      </c>
      <c r="K56" s="355">
        <f>'NAm Capacity Data'!K16+'SAm Capacity Data'!K56+'Europe Capacity Data'!K56+'Asia Capacity Data'!K65</f>
        <v>48.710756198965242</v>
      </c>
      <c r="L56" s="355">
        <f>'NAm Capacity Data'!L16+'SAm Capacity Data'!L56+'Europe Capacity Data'!L56+'Asia Capacity Data'!L65</f>
        <v>193.76075619896525</v>
      </c>
      <c r="M56" s="355">
        <f>'NAm Capacity Data'!M16+'SAm Capacity Data'!M56+'Europe Capacity Data'!M56+'Asia Capacity Data'!M65</f>
        <v>258.29225619896528</v>
      </c>
      <c r="N56" s="355">
        <f>'NAm Capacity Data'!N16+'SAm Capacity Data'!N56+'Europe Capacity Data'!N56+'Asia Capacity Data'!N65</f>
        <v>406.60275619896532</v>
      </c>
      <c r="O56" s="355">
        <f>'NAm Capacity Data'!O16+'SAm Capacity Data'!O56+'Europe Capacity Data'!O56+'Asia Capacity Data'!O65</f>
        <v>148.13275619896524</v>
      </c>
      <c r="P56" s="355">
        <f>'NAm Capacity Data'!P16+'SAm Capacity Data'!P56+'Europe Capacity Data'!P56+'Asia Capacity Data'!P65</f>
        <v>65.629156198965234</v>
      </c>
      <c r="Q56" s="355">
        <f>'NAm Capacity Data'!Q16+'SAm Capacity Data'!Q56+'Europe Capacity Data'!Q56+'Asia Capacity Data'!Q65</f>
        <v>65.614756198965239</v>
      </c>
    </row>
    <row r="57" spans="1:31">
      <c r="A57" s="249" t="s">
        <v>30</v>
      </c>
      <c r="B57" s="254">
        <f>'NAm Capacity Data'!B17+'SAm Capacity Data'!B57+'Europe Capacity Data'!B57+'Asia Capacity Data'!B66</f>
        <v>0</v>
      </c>
      <c r="C57" s="254">
        <f>'NAm Capacity Data'!C17+'SAm Capacity Data'!C57+'Europe Capacity Data'!C57+'Asia Capacity Data'!C66</f>
        <v>0</v>
      </c>
      <c r="D57" s="254">
        <f>'NAm Capacity Data'!D17+'SAm Capacity Data'!D57+'Europe Capacity Data'!D57+'Asia Capacity Data'!D66</f>
        <v>0</v>
      </c>
      <c r="E57" s="254">
        <f>'NAm Capacity Data'!E17+'SAm Capacity Data'!E57+'Europe Capacity Data'!E57+'Asia Capacity Data'!E66</f>
        <v>0</v>
      </c>
      <c r="F57" s="355">
        <f>'NAm Capacity Data'!F17+'SAm Capacity Data'!F57+'Europe Capacity Data'!F57+'Asia Capacity Data'!F66</f>
        <v>0.46200000000000002</v>
      </c>
      <c r="G57" s="355">
        <f>'NAm Capacity Data'!G17+'SAm Capacity Data'!G57+'Europe Capacity Data'!G57+'Asia Capacity Data'!G66</f>
        <v>35.085999999999999</v>
      </c>
      <c r="H57" s="355">
        <f>'NAm Capacity Data'!H17+'SAm Capacity Data'!H57+'Europe Capacity Data'!H57+'Asia Capacity Data'!H66</f>
        <v>9.6499999999999986</v>
      </c>
      <c r="I57" s="355">
        <f>'NAm Capacity Data'!I17+'SAm Capacity Data'!I57+'Europe Capacity Data'!I57+'Asia Capacity Data'!I66</f>
        <v>70.617499999999993</v>
      </c>
      <c r="J57" s="355">
        <f>'NAm Capacity Data'!J17+'SAm Capacity Data'!J57+'Europe Capacity Data'!J57+'Asia Capacity Data'!J66</f>
        <v>84.899999999999991</v>
      </c>
      <c r="K57" s="355">
        <f>'NAm Capacity Data'!K17+'SAm Capacity Data'!K57+'Europe Capacity Data'!K57+'Asia Capacity Data'!K66</f>
        <v>5.05</v>
      </c>
      <c r="L57" s="355">
        <f>'NAm Capacity Data'!L17+'SAm Capacity Data'!L57+'Europe Capacity Data'!L57+'Asia Capacity Data'!L66</f>
        <v>37.950000000000003</v>
      </c>
      <c r="M57" s="355">
        <f>'NAm Capacity Data'!M17+'SAm Capacity Data'!M57+'Europe Capacity Data'!M57+'Asia Capacity Data'!M66</f>
        <v>12.95</v>
      </c>
      <c r="N57" s="355">
        <f>'NAm Capacity Data'!N17+'SAm Capacity Data'!N57+'Europe Capacity Data'!N57+'Asia Capacity Data'!N66</f>
        <v>61.279999999999994</v>
      </c>
      <c r="O57" s="355">
        <f>'NAm Capacity Data'!O17+'SAm Capacity Data'!O57+'Europe Capacity Data'!O57+'Asia Capacity Data'!O66</f>
        <v>12.95</v>
      </c>
      <c r="P57" s="355">
        <f>'NAm Capacity Data'!P17+'SAm Capacity Data'!P57+'Europe Capacity Data'!P57+'Asia Capacity Data'!P66</f>
        <v>12.95</v>
      </c>
      <c r="Q57" s="355">
        <f>'NAm Capacity Data'!Q17+'SAm Capacity Data'!Q57+'Europe Capacity Data'!Q57+'Asia Capacity Data'!Q66</f>
        <v>12.95</v>
      </c>
    </row>
    <row r="58" spans="1:31" ht="12" thickBot="1">
      <c r="A58" s="291" t="s">
        <v>11</v>
      </c>
      <c r="B58" s="292">
        <f>SUM(B53:B57)</f>
        <v>100.3301</v>
      </c>
      <c r="C58" s="292">
        <f>B58+SUM(C53:C57)</f>
        <v>216.3468</v>
      </c>
      <c r="D58" s="292">
        <f t="shared" ref="D58:Q58" si="21">C58+SUM(D53:D57)</f>
        <v>785.97427500000003</v>
      </c>
      <c r="E58" s="292">
        <f t="shared" si="21"/>
        <v>1675.725375</v>
      </c>
      <c r="F58" s="362">
        <f t="shared" si="21"/>
        <v>3881.541787698965</v>
      </c>
      <c r="G58" s="362">
        <f t="shared" si="21"/>
        <v>7754.8005688979301</v>
      </c>
      <c r="H58" s="362">
        <f t="shared" si="21"/>
        <v>11856.802725096895</v>
      </c>
      <c r="I58" s="362">
        <f t="shared" si="21"/>
        <v>17285.867506295861</v>
      </c>
      <c r="J58" s="362">
        <f t="shared" si="21"/>
        <v>23438.728287494825</v>
      </c>
      <c r="K58" s="362">
        <f t="shared" si="21"/>
        <v>29288.840568693791</v>
      </c>
      <c r="L58" s="362">
        <f t="shared" si="21"/>
        <v>35845.49984989276</v>
      </c>
      <c r="M58" s="362">
        <f t="shared" si="21"/>
        <v>42257.212631091723</v>
      </c>
      <c r="N58" s="362">
        <f t="shared" si="21"/>
        <v>48902.465912290689</v>
      </c>
      <c r="O58" s="362">
        <f t="shared" si="21"/>
        <v>55240.919193489652</v>
      </c>
      <c r="P58" s="362">
        <f t="shared" si="21"/>
        <v>61496.868874688618</v>
      </c>
      <c r="Q58" s="362">
        <f t="shared" si="21"/>
        <v>67752.804155887585</v>
      </c>
    </row>
    <row r="59" spans="1:31">
      <c r="A59" s="251"/>
      <c r="B59" s="251"/>
      <c r="C59" s="251"/>
      <c r="D59" s="251"/>
      <c r="E59" s="251"/>
      <c r="F59" s="251"/>
      <c r="G59" s="251"/>
      <c r="H59" s="251"/>
      <c r="I59" s="251"/>
      <c r="J59" s="251"/>
      <c r="K59" s="251"/>
      <c r="L59" s="251"/>
      <c r="M59" s="251"/>
      <c r="N59" s="251"/>
      <c r="O59" s="251"/>
      <c r="P59" s="251"/>
      <c r="Q59" s="251"/>
    </row>
    <row r="60" spans="1:31" ht="12" thickBot="1">
      <c r="A60" s="364" t="s">
        <v>1222</v>
      </c>
      <c r="B60" s="365"/>
      <c r="C60" s="365"/>
      <c r="D60" s="365"/>
      <c r="E60" s="365"/>
      <c r="F60" s="365"/>
      <c r="G60" s="365"/>
      <c r="H60" s="365"/>
      <c r="I60" s="365"/>
      <c r="J60" s="365"/>
      <c r="K60" s="365"/>
      <c r="L60" s="365"/>
      <c r="M60" s="365"/>
      <c r="N60" s="365"/>
      <c r="O60" s="365"/>
      <c r="P60" s="365"/>
      <c r="Q60" s="365"/>
      <c r="Z60" s="249">
        <v>10000</v>
      </c>
    </row>
    <row r="61" spans="1:31" ht="12" thickBot="1">
      <c r="A61" s="366" t="str">
        <f>A22</f>
        <v>(mil gal/yr)</v>
      </c>
      <c r="B61" s="367" t="str">
        <f>B22</f>
        <v>&lt; 2021</v>
      </c>
      <c r="C61" s="368">
        <f t="shared" ref="C61:Q61" si="22">C22</f>
        <v>2021</v>
      </c>
      <c r="D61" s="368">
        <f t="shared" si="22"/>
        <v>2022</v>
      </c>
      <c r="E61" s="368">
        <f t="shared" si="22"/>
        <v>2023</v>
      </c>
      <c r="F61" s="368">
        <f t="shared" si="22"/>
        <v>2024</v>
      </c>
      <c r="G61" s="368">
        <f t="shared" si="22"/>
        <v>2025</v>
      </c>
      <c r="H61" s="368">
        <f t="shared" si="22"/>
        <v>2026</v>
      </c>
      <c r="I61" s="368">
        <f t="shared" si="22"/>
        <v>2027</v>
      </c>
      <c r="J61" s="368">
        <f t="shared" si="22"/>
        <v>2028</v>
      </c>
      <c r="K61" s="368">
        <f t="shared" si="22"/>
        <v>2029</v>
      </c>
      <c r="L61" s="368">
        <f t="shared" si="22"/>
        <v>2030</v>
      </c>
      <c r="M61" s="368">
        <f t="shared" si="22"/>
        <v>2031</v>
      </c>
      <c r="N61" s="368">
        <f t="shared" si="22"/>
        <v>2032</v>
      </c>
      <c r="O61" s="368">
        <f t="shared" si="22"/>
        <v>2033</v>
      </c>
      <c r="P61" s="368">
        <f t="shared" si="22"/>
        <v>2034</v>
      </c>
      <c r="Q61" s="368">
        <f t="shared" si="22"/>
        <v>2035</v>
      </c>
      <c r="S61" s="249">
        <f>C61</f>
        <v>2021</v>
      </c>
      <c r="T61" s="249">
        <f t="shared" ref="T61:AD61" si="23">D61</f>
        <v>2022</v>
      </c>
      <c r="U61" s="249">
        <f t="shared" si="23"/>
        <v>2023</v>
      </c>
      <c r="V61" s="249">
        <f t="shared" si="23"/>
        <v>2024</v>
      </c>
      <c r="W61" s="249">
        <f t="shared" si="23"/>
        <v>2025</v>
      </c>
      <c r="X61" s="249">
        <f t="shared" si="23"/>
        <v>2026</v>
      </c>
      <c r="Y61" s="249">
        <f t="shared" si="23"/>
        <v>2027</v>
      </c>
      <c r="Z61" s="249">
        <f t="shared" si="23"/>
        <v>2028</v>
      </c>
      <c r="AA61" s="249">
        <f t="shared" si="23"/>
        <v>2029</v>
      </c>
      <c r="AB61" s="249">
        <f t="shared" si="23"/>
        <v>2030</v>
      </c>
      <c r="AC61" s="249">
        <f t="shared" si="23"/>
        <v>2031</v>
      </c>
      <c r="AD61" s="249">
        <f t="shared" si="23"/>
        <v>2032</v>
      </c>
    </row>
    <row r="62" spans="1:31">
      <c r="A62" s="365" t="s">
        <v>31</v>
      </c>
      <c r="B62" s="369">
        <f>B53</f>
        <v>97.33</v>
      </c>
      <c r="C62" s="370">
        <f>B62+C53</f>
        <v>210.33999999999997</v>
      </c>
      <c r="D62" s="370">
        <f t="shared" ref="D62:Q63" si="24">C62+D53</f>
        <v>776.90037499999994</v>
      </c>
      <c r="E62" s="370">
        <f>D62+E53</f>
        <v>1663.6503749999999</v>
      </c>
      <c r="F62" s="371">
        <f t="shared" si="24"/>
        <v>3855.6803749999999</v>
      </c>
      <c r="G62" s="371">
        <f t="shared" si="24"/>
        <v>7391.6196749999999</v>
      </c>
      <c r="H62" s="371">
        <f>G62+H53</f>
        <v>11049.604975</v>
      </c>
      <c r="I62" s="371">
        <f t="shared" si="24"/>
        <v>15390.704275</v>
      </c>
      <c r="J62" s="371">
        <f t="shared" si="24"/>
        <v>20160.322075</v>
      </c>
      <c r="K62" s="371">
        <f t="shared" si="24"/>
        <v>24790.621375000002</v>
      </c>
      <c r="L62" s="371">
        <f t="shared" si="24"/>
        <v>29627.250675000003</v>
      </c>
      <c r="M62" s="371">
        <f t="shared" si="24"/>
        <v>34338.049975000002</v>
      </c>
      <c r="N62" s="371">
        <f t="shared" si="24"/>
        <v>39058.749275000002</v>
      </c>
      <c r="O62" s="371">
        <f t="shared" si="24"/>
        <v>43779.448575000002</v>
      </c>
      <c r="P62" s="371">
        <f t="shared" si="24"/>
        <v>48500.147875000002</v>
      </c>
      <c r="Q62" s="371">
        <f t="shared" si="24"/>
        <v>53220.847175000003</v>
      </c>
      <c r="R62" s="249" t="str">
        <f t="shared" ref="R62:R67" si="25">A62</f>
        <v>Fats, Oils and Greases</v>
      </c>
      <c r="S62" s="253">
        <f>C71*0.000453592</f>
        <v>0.42289856333999998</v>
      </c>
      <c r="T62" s="253">
        <f t="shared" ref="T62:AD66" si="26">D71*0.000453592</f>
        <v>2.1201448423402502</v>
      </c>
      <c r="U62" s="253">
        <f t="shared" si="26"/>
        <v>3.3183373244999999</v>
      </c>
      <c r="V62" s="253">
        <f t="shared" si="26"/>
        <v>8.2028699920199983</v>
      </c>
      <c r="W62" s="253">
        <f t="shared" si="26"/>
        <v>13.231958676466199</v>
      </c>
      <c r="X62" s="253">
        <f t="shared" si="26"/>
        <v>13.688671162630202</v>
      </c>
      <c r="Y62" s="253">
        <f t="shared" si="26"/>
        <v>16.2449752879062</v>
      </c>
      <c r="Z62" s="253">
        <f t="shared" si="26"/>
        <v>17.8485489363852</v>
      </c>
      <c r="AA62" s="293">
        <v>17.5</v>
      </c>
      <c r="AB62" s="253">
        <f t="shared" si="26"/>
        <v>18.099314948926203</v>
      </c>
      <c r="AC62" s="253">
        <f t="shared" si="26"/>
        <v>17.628442227706202</v>
      </c>
      <c r="AD62" s="253">
        <f t="shared" si="26"/>
        <v>17.665489354306203</v>
      </c>
      <c r="AE62" s="249">
        <f>15.14/5</f>
        <v>3.028</v>
      </c>
    </row>
    <row r="63" spans="1:31">
      <c r="A63" s="365" t="s">
        <v>27</v>
      </c>
      <c r="B63" s="370">
        <f>B54</f>
        <v>3.0001000000000002</v>
      </c>
      <c r="C63" s="370">
        <f>B63+C54</f>
        <v>6.0002000000000004</v>
      </c>
      <c r="D63" s="370">
        <f t="shared" si="24"/>
        <v>9.0003000000000011</v>
      </c>
      <c r="E63" s="370">
        <f t="shared" si="24"/>
        <v>12.000400000000001</v>
      </c>
      <c r="F63" s="371">
        <f t="shared" si="24"/>
        <v>24.000500000000002</v>
      </c>
      <c r="G63" s="371">
        <f t="shared" si="24"/>
        <v>219.64622500000002</v>
      </c>
      <c r="H63" s="371">
        <f t="shared" si="24"/>
        <v>503.89195000000001</v>
      </c>
      <c r="I63" s="371">
        <f>H63+I54</f>
        <v>1166.5001749999999</v>
      </c>
      <c r="J63" s="371">
        <f t="shared" si="24"/>
        <v>2047.4573999999998</v>
      </c>
      <c r="K63" s="371">
        <f t="shared" si="24"/>
        <v>2909.7466249999998</v>
      </c>
      <c r="L63" s="371">
        <f t="shared" si="24"/>
        <v>3945.7078499999998</v>
      </c>
      <c r="M63" s="371">
        <f t="shared" si="24"/>
        <v>4923.0210749999997</v>
      </c>
      <c r="N63" s="371">
        <f t="shared" si="24"/>
        <v>5927.3342999999995</v>
      </c>
      <c r="O63" s="371">
        <f t="shared" si="24"/>
        <v>6931.6475249999994</v>
      </c>
      <c r="P63" s="371">
        <f t="shared" si="24"/>
        <v>7935.9607499999993</v>
      </c>
      <c r="Q63" s="371">
        <f t="shared" si="24"/>
        <v>8940.2739750000001</v>
      </c>
      <c r="R63" s="249" t="str">
        <f t="shared" si="25"/>
        <v>Ethanol</v>
      </c>
      <c r="S63" s="253">
        <f>C72*0.000453592</f>
        <v>2.761086815768117E-2</v>
      </c>
      <c r="T63" s="253">
        <f t="shared" si="26"/>
        <v>2.761086815768117E-2</v>
      </c>
      <c r="U63" s="253">
        <f t="shared" si="26"/>
        <v>2.761086815768117E-2</v>
      </c>
      <c r="V63" s="253">
        <f t="shared" si="26"/>
        <v>0.11044071163594206</v>
      </c>
      <c r="W63" s="253">
        <f t="shared" si="26"/>
        <v>1.8005894198823194</v>
      </c>
      <c r="X63" s="253">
        <f t="shared" si="26"/>
        <v>2.6160032123460875</v>
      </c>
      <c r="Y63" s="253">
        <f t="shared" si="26"/>
        <v>6.0981928404620298</v>
      </c>
      <c r="Z63" s="253">
        <f t="shared" si="26"/>
        <v>8.1077276730881174</v>
      </c>
      <c r="AA63" s="253">
        <f t="shared" si="26"/>
        <v>7.9359201710823202</v>
      </c>
      <c r="AB63" s="253">
        <f t="shared" si="26"/>
        <v>9.5342784573663799</v>
      </c>
      <c r="AC63" s="253">
        <f t="shared" si="26"/>
        <v>8.9945223839982624</v>
      </c>
      <c r="AD63" s="253">
        <f t="shared" si="26"/>
        <v>9.2430119144330458</v>
      </c>
    </row>
    <row r="64" spans="1:31">
      <c r="A64" s="365" t="s">
        <v>28</v>
      </c>
      <c r="B64" s="370">
        <f>B55</f>
        <v>0</v>
      </c>
      <c r="C64" s="370">
        <f t="shared" ref="C64:Q66" si="27">B64+C55</f>
        <v>0</v>
      </c>
      <c r="D64" s="370">
        <f t="shared" si="27"/>
        <v>0</v>
      </c>
      <c r="E64" s="370">
        <f t="shared" si="27"/>
        <v>0</v>
      </c>
      <c r="F64" s="371">
        <f t="shared" si="27"/>
        <v>0</v>
      </c>
      <c r="G64" s="371">
        <f t="shared" si="27"/>
        <v>105.09</v>
      </c>
      <c r="H64" s="371">
        <f t="shared" si="27"/>
        <v>176.2175</v>
      </c>
      <c r="I64" s="371">
        <f t="shared" si="27"/>
        <v>435.15049999999997</v>
      </c>
      <c r="J64" s="371">
        <f t="shared" si="27"/>
        <v>679.41349999999989</v>
      </c>
      <c r="K64" s="371">
        <f t="shared" si="27"/>
        <v>983.17649999999981</v>
      </c>
      <c r="L64" s="371">
        <f t="shared" si="27"/>
        <v>1435.5344999999998</v>
      </c>
      <c r="M64" s="371">
        <f t="shared" si="27"/>
        <v>1887.8924999999997</v>
      </c>
      <c r="N64" s="371">
        <f t="shared" si="27"/>
        <v>2340.2504999999996</v>
      </c>
      <c r="O64" s="371">
        <f t="shared" si="27"/>
        <v>2792.6084999999994</v>
      </c>
      <c r="P64" s="371">
        <f t="shared" si="27"/>
        <v>3244.9664999999995</v>
      </c>
      <c r="Q64" s="371">
        <f t="shared" si="27"/>
        <v>3697.3244999999997</v>
      </c>
      <c r="R64" s="249" t="str">
        <f t="shared" si="25"/>
        <v>Woody Biomass</v>
      </c>
      <c r="S64" s="253">
        <f>C73*0.000453592</f>
        <v>0</v>
      </c>
      <c r="T64" s="253">
        <f t="shared" si="26"/>
        <v>0</v>
      </c>
      <c r="U64" s="253">
        <f t="shared" si="26"/>
        <v>0</v>
      </c>
      <c r="V64" s="253">
        <f t="shared" si="26"/>
        <v>0</v>
      </c>
      <c r="W64" s="253">
        <f t="shared" si="26"/>
        <v>1.6683794148</v>
      </c>
      <c r="X64" s="253">
        <f t="shared" si="26"/>
        <v>1.1292002743</v>
      </c>
      <c r="Y64" s="253">
        <f t="shared" si="26"/>
        <v>4.1107478067599992</v>
      </c>
      <c r="Z64" s="253">
        <f t="shared" si="26"/>
        <v>3.8778509943600001</v>
      </c>
      <c r="AA64" s="253">
        <f t="shared" si="26"/>
        <v>4.82245633436</v>
      </c>
      <c r="AB64" s="253">
        <f t="shared" si="26"/>
        <v>7.1815089477599994</v>
      </c>
      <c r="AC64" s="253">
        <f t="shared" si="26"/>
        <v>7.1815089477599994</v>
      </c>
      <c r="AD64" s="253">
        <f t="shared" si="26"/>
        <v>7.1815089477599994</v>
      </c>
    </row>
    <row r="65" spans="1:30">
      <c r="A65" s="365" t="s">
        <v>29</v>
      </c>
      <c r="B65" s="370">
        <f>B56</f>
        <v>0</v>
      </c>
      <c r="C65" s="370">
        <f t="shared" si="27"/>
        <v>6.6E-3</v>
      </c>
      <c r="D65" s="370">
        <f t="shared" si="27"/>
        <v>7.3599999999999999E-2</v>
      </c>
      <c r="E65" s="370">
        <f t="shared" si="27"/>
        <v>7.46E-2</v>
      </c>
      <c r="F65" s="371">
        <f t="shared" si="27"/>
        <v>1.3989126989652376</v>
      </c>
      <c r="G65" s="371">
        <f t="shared" si="27"/>
        <v>2.8966688979304749</v>
      </c>
      <c r="H65" s="371">
        <f t="shared" si="27"/>
        <v>81.890300096895714</v>
      </c>
      <c r="I65" s="371">
        <f t="shared" si="27"/>
        <v>177.69705629586093</v>
      </c>
      <c r="J65" s="371">
        <f t="shared" si="27"/>
        <v>350.81981249482618</v>
      </c>
      <c r="K65" s="371">
        <f t="shared" si="27"/>
        <v>399.53056869379145</v>
      </c>
      <c r="L65" s="371">
        <f t="shared" si="27"/>
        <v>593.29132489275673</v>
      </c>
      <c r="M65" s="371">
        <f t="shared" si="27"/>
        <v>851.58358109172195</v>
      </c>
      <c r="N65" s="371">
        <f t="shared" si="27"/>
        <v>1258.1863372906873</v>
      </c>
      <c r="O65" s="371">
        <f t="shared" si="27"/>
        <v>1406.3190934896525</v>
      </c>
      <c r="P65" s="371">
        <f t="shared" si="27"/>
        <v>1471.9482496886176</v>
      </c>
      <c r="Q65" s="371">
        <f t="shared" si="27"/>
        <v>1537.5630058875829</v>
      </c>
      <c r="R65" s="249" t="str">
        <f t="shared" si="25"/>
        <v>CCS</v>
      </c>
      <c r="S65" s="253">
        <f>C74*0.000453592</f>
        <v>5.7548834824200937E-5</v>
      </c>
      <c r="T65" s="253">
        <f t="shared" si="26"/>
        <v>5.8420786866991866E-4</v>
      </c>
      <c r="U65" s="253">
        <f t="shared" si="26"/>
        <v>8.7195204279092321E-6</v>
      </c>
      <c r="V65" s="253">
        <f t="shared" si="26"/>
        <v>1.1547371631566999E-2</v>
      </c>
      <c r="W65" s="253">
        <f t="shared" si="26"/>
        <v>1.3059715772905075E-2</v>
      </c>
      <c r="X65" s="253">
        <f t="shared" si="26"/>
        <v>0.6887865809141055</v>
      </c>
      <c r="Y65" s="253">
        <f t="shared" si="26"/>
        <v>0.83538896780859673</v>
      </c>
      <c r="Z65" s="253">
        <f t="shared" si="26"/>
        <v>1.5095474092128274</v>
      </c>
      <c r="AA65" s="253">
        <f t="shared" si="26"/>
        <v>0.42473443373578373</v>
      </c>
      <c r="AB65" s="253">
        <f t="shared" si="26"/>
        <v>1.6895008718040181</v>
      </c>
      <c r="AC65" s="253">
        <f t="shared" si="26"/>
        <v>2.2521846042976432</v>
      </c>
      <c r="AD65" s="253">
        <f t="shared" si="26"/>
        <v>3.5453810387210756</v>
      </c>
    </row>
    <row r="66" spans="1:30">
      <c r="A66" s="365" t="s">
        <v>30</v>
      </c>
      <c r="B66" s="370">
        <f>B57</f>
        <v>0</v>
      </c>
      <c r="C66" s="370">
        <f t="shared" si="27"/>
        <v>0</v>
      </c>
      <c r="D66" s="370">
        <f t="shared" si="27"/>
        <v>0</v>
      </c>
      <c r="E66" s="370">
        <f t="shared" si="27"/>
        <v>0</v>
      </c>
      <c r="F66" s="371">
        <f t="shared" si="27"/>
        <v>0.46200000000000002</v>
      </c>
      <c r="G66" s="371">
        <f t="shared" si="27"/>
        <v>35.548000000000002</v>
      </c>
      <c r="H66" s="371">
        <f t="shared" si="27"/>
        <v>45.198</v>
      </c>
      <c r="I66" s="371">
        <f t="shared" si="27"/>
        <v>115.81549999999999</v>
      </c>
      <c r="J66" s="371">
        <f t="shared" si="27"/>
        <v>200.71549999999996</v>
      </c>
      <c r="K66" s="371">
        <f t="shared" si="27"/>
        <v>205.76549999999997</v>
      </c>
      <c r="L66" s="371">
        <f t="shared" si="27"/>
        <v>243.71549999999996</v>
      </c>
      <c r="M66" s="371">
        <f t="shared" si="27"/>
        <v>256.66549999999995</v>
      </c>
      <c r="N66" s="371">
        <f t="shared" si="27"/>
        <v>317.94549999999992</v>
      </c>
      <c r="O66" s="371">
        <f t="shared" si="27"/>
        <v>330.89549999999991</v>
      </c>
      <c r="P66" s="371">
        <f t="shared" si="27"/>
        <v>343.8454999999999</v>
      </c>
      <c r="Q66" s="371">
        <f t="shared" si="27"/>
        <v>356.79549999999989</v>
      </c>
      <c r="R66" s="249" t="str">
        <f t="shared" si="25"/>
        <v>MSW</v>
      </c>
      <c r="S66" s="253">
        <f>C75*0.000453592</f>
        <v>0</v>
      </c>
      <c r="T66" s="253">
        <f t="shared" si="26"/>
        <v>0</v>
      </c>
      <c r="U66" s="253">
        <f t="shared" si="26"/>
        <v>0</v>
      </c>
      <c r="V66" s="253">
        <f t="shared" si="26"/>
        <v>8.3404682592000002E-3</v>
      </c>
      <c r="W66" s="253">
        <f t="shared" si="26"/>
        <v>0.63340621069759995</v>
      </c>
      <c r="X66" s="253">
        <f t="shared" si="26"/>
        <v>0.17421107943999997</v>
      </c>
      <c r="Y66" s="253">
        <f t="shared" si="26"/>
        <v>1.2748550157879999</v>
      </c>
      <c r="Z66" s="253">
        <f t="shared" si="26"/>
        <v>1.5326964398399998</v>
      </c>
      <c r="AA66" s="253">
        <f t="shared" si="26"/>
        <v>9.1167456079999987E-2</v>
      </c>
      <c r="AB66" s="253">
        <f t="shared" si="26"/>
        <v>0.68510989272</v>
      </c>
      <c r="AC66" s="253">
        <f t="shared" si="26"/>
        <v>0.23378585271999999</v>
      </c>
      <c r="AD66" s="253">
        <f t="shared" si="26"/>
        <v>1.1062854868479999</v>
      </c>
    </row>
    <row r="67" spans="1:30" ht="12" thickBot="1">
      <c r="A67" s="372" t="s">
        <v>11</v>
      </c>
      <c r="B67" s="373">
        <f>SUM(B62:B66)</f>
        <v>100.3301</v>
      </c>
      <c r="C67" s="373">
        <f>SUM(C62:C66)</f>
        <v>216.34679999999997</v>
      </c>
      <c r="D67" s="373">
        <f t="shared" ref="D67:Q67" si="28">SUM(D62:D66)</f>
        <v>785.97427500000003</v>
      </c>
      <c r="E67" s="373">
        <f t="shared" si="28"/>
        <v>1675.7253749999998</v>
      </c>
      <c r="F67" s="374">
        <f t="shared" si="28"/>
        <v>3881.5417876989654</v>
      </c>
      <c r="G67" s="374">
        <f t="shared" si="28"/>
        <v>7754.800568897931</v>
      </c>
      <c r="H67" s="374">
        <f t="shared" si="28"/>
        <v>11856.802725096895</v>
      </c>
      <c r="I67" s="374">
        <f t="shared" si="28"/>
        <v>17285.867506295861</v>
      </c>
      <c r="J67" s="374">
        <f t="shared" si="28"/>
        <v>23438.728287494821</v>
      </c>
      <c r="K67" s="374">
        <f t="shared" si="28"/>
        <v>29288.840568693795</v>
      </c>
      <c r="L67" s="374">
        <f t="shared" si="28"/>
        <v>35845.49984989276</v>
      </c>
      <c r="M67" s="374">
        <f t="shared" si="28"/>
        <v>42257.212631091723</v>
      </c>
      <c r="N67" s="374">
        <f t="shared" si="28"/>
        <v>48902.465912290696</v>
      </c>
      <c r="O67" s="374">
        <f t="shared" si="28"/>
        <v>55240.919193489659</v>
      </c>
      <c r="P67" s="374">
        <f t="shared" si="28"/>
        <v>61496.868874688626</v>
      </c>
      <c r="Q67" s="374">
        <f t="shared" si="28"/>
        <v>67752.804155887585</v>
      </c>
      <c r="R67" s="249" t="str">
        <f t="shared" si="25"/>
        <v>Total Capacity</v>
      </c>
      <c r="S67" s="294">
        <f>SUM(S62:S66)</f>
        <v>0.45056698033250536</v>
      </c>
      <c r="T67" s="294">
        <f t="shared" ref="T67:AD67" si="29">SUM(T62:T66)</f>
        <v>2.148339918366601</v>
      </c>
      <c r="U67" s="294">
        <f t="shared" si="29"/>
        <v>3.3459569121781088</v>
      </c>
      <c r="V67" s="294">
        <f t="shared" si="29"/>
        <v>8.3331985435467075</v>
      </c>
      <c r="W67" s="294">
        <f t="shared" si="29"/>
        <v>17.347393437619022</v>
      </c>
      <c r="X67" s="294">
        <f t="shared" si="29"/>
        <v>18.296872309630395</v>
      </c>
      <c r="Y67" s="294">
        <f t="shared" si="29"/>
        <v>28.564159918724826</v>
      </c>
      <c r="Z67" s="294">
        <f t="shared" si="29"/>
        <v>32.876371452886147</v>
      </c>
      <c r="AA67" s="294">
        <f t="shared" si="29"/>
        <v>30.774278395258104</v>
      </c>
      <c r="AB67" s="294">
        <f t="shared" si="29"/>
        <v>37.189713118576599</v>
      </c>
      <c r="AC67" s="294">
        <f t="shared" si="29"/>
        <v>36.290444016482105</v>
      </c>
      <c r="AD67" s="294">
        <f t="shared" si="29"/>
        <v>38.741676742068329</v>
      </c>
    </row>
    <row r="68" spans="1:30">
      <c r="A68" s="251"/>
      <c r="B68" s="251"/>
      <c r="C68" s="251"/>
      <c r="D68" s="251"/>
      <c r="E68" s="251"/>
      <c r="F68" s="251"/>
      <c r="G68" s="251"/>
      <c r="H68" s="251"/>
      <c r="I68" s="251"/>
      <c r="J68" s="251"/>
      <c r="K68" s="251"/>
      <c r="L68" s="251"/>
      <c r="M68" s="251"/>
      <c r="N68" s="251"/>
      <c r="O68" s="251"/>
    </row>
    <row r="69" spans="1:30" ht="15.75" customHeight="1" thickBot="1">
      <c r="A69" s="357" t="s">
        <v>32</v>
      </c>
      <c r="B69" s="249">
        <f>B71/2204.622</f>
        <v>0.36422230205450185</v>
      </c>
      <c r="C69" s="249">
        <f t="shared" ref="C69:Q69" si="30">C71/2204.622</f>
        <v>0.42289902758840292</v>
      </c>
      <c r="D69" s="249">
        <f t="shared" si="30"/>
        <v>2.1201471697869296</v>
      </c>
      <c r="E69" s="249">
        <f t="shared" si="30"/>
        <v>3.3183409672950739</v>
      </c>
      <c r="F69" s="249">
        <f t="shared" si="30"/>
        <v>8.2028789969436939</v>
      </c>
      <c r="G69" s="249">
        <f t="shared" si="30"/>
        <v>13.231973202208815</v>
      </c>
      <c r="H69" s="249">
        <f t="shared" si="30"/>
        <v>13.688686189741373</v>
      </c>
      <c r="I69" s="249">
        <f t="shared" si="30"/>
        <v>16.244993121269768</v>
      </c>
      <c r="J69" s="249">
        <f t="shared" si="30"/>
        <v>17.848568530115369</v>
      </c>
      <c r="K69" s="249">
        <f t="shared" si="30"/>
        <v>17.327219462111877</v>
      </c>
      <c r="L69" s="249">
        <f t="shared" si="30"/>
        <v>18.099334817941582</v>
      </c>
      <c r="M69" s="249">
        <f t="shared" si="30"/>
        <v>17.628461579808246</v>
      </c>
      <c r="N69" s="249">
        <f>N71/2204.622</f>
        <v>17.665508747077734</v>
      </c>
      <c r="O69" s="249">
        <f t="shared" si="30"/>
        <v>17.665508747077734</v>
      </c>
      <c r="P69" s="249">
        <f t="shared" si="30"/>
        <v>17.665508747077734</v>
      </c>
      <c r="Q69" s="249">
        <f t="shared" si="30"/>
        <v>17.665508747077734</v>
      </c>
      <c r="S69" s="379" t="s">
        <v>33</v>
      </c>
      <c r="T69" s="379"/>
      <c r="U69" s="381" t="s">
        <v>34</v>
      </c>
    </row>
    <row r="70" spans="1:30" ht="12" thickBot="1">
      <c r="A70" s="274" t="s">
        <v>35</v>
      </c>
      <c r="B70" s="280" t="str">
        <f t="shared" ref="B70:Q70" si="31">B22</f>
        <v>&lt; 2021</v>
      </c>
      <c r="C70" s="281">
        <f t="shared" si="31"/>
        <v>2021</v>
      </c>
      <c r="D70" s="281">
        <f t="shared" si="31"/>
        <v>2022</v>
      </c>
      <c r="E70" s="281">
        <f t="shared" si="31"/>
        <v>2023</v>
      </c>
      <c r="F70" s="281">
        <f t="shared" si="31"/>
        <v>2024</v>
      </c>
      <c r="G70" s="281">
        <f t="shared" si="31"/>
        <v>2025</v>
      </c>
      <c r="H70" s="281">
        <f t="shared" si="31"/>
        <v>2026</v>
      </c>
      <c r="I70" s="281">
        <f t="shared" si="31"/>
        <v>2027</v>
      </c>
      <c r="J70" s="281">
        <f t="shared" si="31"/>
        <v>2028</v>
      </c>
      <c r="K70" s="281">
        <f t="shared" si="31"/>
        <v>2029</v>
      </c>
      <c r="L70" s="281">
        <f t="shared" si="31"/>
        <v>2030</v>
      </c>
      <c r="M70" s="281">
        <f t="shared" si="31"/>
        <v>2031</v>
      </c>
      <c r="N70" s="281">
        <f t="shared" si="31"/>
        <v>2032</v>
      </c>
      <c r="O70" s="281">
        <f t="shared" si="31"/>
        <v>2033</v>
      </c>
      <c r="P70" s="281">
        <f t="shared" si="31"/>
        <v>2034</v>
      </c>
      <c r="Q70" s="281">
        <f t="shared" si="31"/>
        <v>2035</v>
      </c>
      <c r="S70" s="380"/>
      <c r="T70" s="380"/>
      <c r="U70" s="381"/>
    </row>
    <row r="71" spans="1:30">
      <c r="A71" s="295" t="s">
        <v>1212</v>
      </c>
      <c r="B71" s="296">
        <f t="shared" ref="B71:G71" si="32">B53*$S71</f>
        <v>802.97249999999997</v>
      </c>
      <c r="C71" s="296">
        <f t="shared" si="32"/>
        <v>932.33249999999998</v>
      </c>
      <c r="D71" s="296">
        <f t="shared" si="32"/>
        <v>4674.1230937500004</v>
      </c>
      <c r="E71" s="296">
        <f t="shared" si="32"/>
        <v>7315.6875</v>
      </c>
      <c r="F71" s="296">
        <f t="shared" si="32"/>
        <v>18084.247499999998</v>
      </c>
      <c r="G71" s="297">
        <f t="shared" si="32"/>
        <v>29171.499225</v>
      </c>
      <c r="H71" s="297">
        <f t="shared" ref="H71:Q75" si="33">H53*$S71</f>
        <v>30178.378725000002</v>
      </c>
      <c r="I71" s="297">
        <f t="shared" si="33"/>
        <v>35814.069224999999</v>
      </c>
      <c r="J71" s="297">
        <f t="shared" si="33"/>
        <v>39349.346850000002</v>
      </c>
      <c r="K71" s="297">
        <f t="shared" si="33"/>
        <v>38199.969225000008</v>
      </c>
      <c r="L71" s="297">
        <f t="shared" si="33"/>
        <v>39902.191725000004</v>
      </c>
      <c r="M71" s="297">
        <f t="shared" si="33"/>
        <v>38864.094225000008</v>
      </c>
      <c r="N71" s="297">
        <f t="shared" si="33"/>
        <v>38945.769225000004</v>
      </c>
      <c r="O71" s="297">
        <f t="shared" si="33"/>
        <v>38945.769225000004</v>
      </c>
      <c r="P71" s="297">
        <f t="shared" si="33"/>
        <v>38945.769225000004</v>
      </c>
      <c r="Q71" s="297">
        <f t="shared" si="33"/>
        <v>38945.769225000004</v>
      </c>
      <c r="S71" s="298">
        <v>8.25</v>
      </c>
      <c r="T71" s="299" t="s">
        <v>37</v>
      </c>
      <c r="U71" s="299" t="s">
        <v>38</v>
      </c>
    </row>
    <row r="72" spans="1:30">
      <c r="A72" s="295" t="s">
        <v>1213</v>
      </c>
      <c r="B72" s="296">
        <f t="shared" ref="B72:G75" si="34">B54*$S72</f>
        <v>60.871594202898571</v>
      </c>
      <c r="C72" s="296">
        <f t="shared" si="34"/>
        <v>60.871594202898571</v>
      </c>
      <c r="D72" s="296">
        <f t="shared" si="34"/>
        <v>60.871594202898571</v>
      </c>
      <c r="E72" s="296">
        <f t="shared" si="34"/>
        <v>60.871594202898571</v>
      </c>
      <c r="F72" s="296">
        <f t="shared" si="34"/>
        <v>243.48028985507253</v>
      </c>
      <c r="G72" s="297">
        <f t="shared" si="34"/>
        <v>3969.6234057971024</v>
      </c>
      <c r="H72" s="297">
        <f t="shared" si="33"/>
        <v>5767.3045652173923</v>
      </c>
      <c r="I72" s="297">
        <f t="shared" si="33"/>
        <v>13444.224855072465</v>
      </c>
      <c r="J72" s="297">
        <f t="shared" si="33"/>
        <v>17874.494420289859</v>
      </c>
      <c r="K72" s="297">
        <f t="shared" si="33"/>
        <v>17495.723405797104</v>
      </c>
      <c r="L72" s="297">
        <f t="shared" si="33"/>
        <v>21019.503115942036</v>
      </c>
      <c r="M72" s="297">
        <f t="shared" si="33"/>
        <v>19829.543695652177</v>
      </c>
      <c r="N72" s="297">
        <f t="shared" si="33"/>
        <v>20377.369782608701</v>
      </c>
      <c r="O72" s="297">
        <f t="shared" si="33"/>
        <v>20377.369782608701</v>
      </c>
      <c r="P72" s="297">
        <f t="shared" si="33"/>
        <v>20377.369782608701</v>
      </c>
      <c r="Q72" s="297">
        <f t="shared" si="33"/>
        <v>20377.369782608701</v>
      </c>
      <c r="S72" s="298">
        <f>S80*56</f>
        <v>20.289855072463773</v>
      </c>
      <c r="T72" s="299" t="s">
        <v>37</v>
      </c>
    </row>
    <row r="73" spans="1:30">
      <c r="A73" s="295" t="s">
        <v>1214</v>
      </c>
      <c r="B73" s="296">
        <f t="shared" si="34"/>
        <v>0</v>
      </c>
      <c r="C73" s="296">
        <f t="shared" si="34"/>
        <v>0</v>
      </c>
      <c r="D73" s="296">
        <f t="shared" si="34"/>
        <v>0</v>
      </c>
      <c r="E73" s="296">
        <f t="shared" si="34"/>
        <v>0</v>
      </c>
      <c r="F73" s="296">
        <f t="shared" si="34"/>
        <v>0</v>
      </c>
      <c r="G73" s="297">
        <f t="shared" si="34"/>
        <v>3678.15</v>
      </c>
      <c r="H73" s="297">
        <f t="shared" si="33"/>
        <v>2489.4625000000001</v>
      </c>
      <c r="I73" s="297">
        <f t="shared" si="33"/>
        <v>9062.6549999999988</v>
      </c>
      <c r="J73" s="297">
        <f t="shared" si="33"/>
        <v>8549.2049999999999</v>
      </c>
      <c r="K73" s="297">
        <f t="shared" si="33"/>
        <v>10631.705</v>
      </c>
      <c r="L73" s="297">
        <f t="shared" si="33"/>
        <v>15832.529999999999</v>
      </c>
      <c r="M73" s="297">
        <f t="shared" si="33"/>
        <v>15832.529999999999</v>
      </c>
      <c r="N73" s="297">
        <f t="shared" si="33"/>
        <v>15832.529999999999</v>
      </c>
      <c r="O73" s="297">
        <f t="shared" si="33"/>
        <v>15832.529999999999</v>
      </c>
      <c r="P73" s="297">
        <f t="shared" si="33"/>
        <v>15832.529999999999</v>
      </c>
      <c r="Q73" s="297">
        <f t="shared" si="33"/>
        <v>15832.529999999999</v>
      </c>
      <c r="S73" s="298">
        <v>35</v>
      </c>
      <c r="T73" s="299" t="s">
        <v>37</v>
      </c>
      <c r="U73" s="299" t="s">
        <v>41</v>
      </c>
    </row>
    <row r="74" spans="1:30">
      <c r="A74" s="295" t="s">
        <v>1215</v>
      </c>
      <c r="B74" s="296">
        <f t="shared" si="34"/>
        <v>0</v>
      </c>
      <c r="C74" s="296">
        <f t="shared" si="34"/>
        <v>0.12687356660655597</v>
      </c>
      <c r="D74" s="296">
        <f t="shared" si="34"/>
        <v>1.2879589337332198</v>
      </c>
      <c r="E74" s="296">
        <f t="shared" si="34"/>
        <v>1.9223267667659995E-2</v>
      </c>
      <c r="F74" s="296">
        <f t="shared" si="34"/>
        <v>25.457617487889998</v>
      </c>
      <c r="G74" s="297">
        <f t="shared" si="34"/>
        <v>28.791768313605782</v>
      </c>
      <c r="H74" s="297">
        <f t="shared" si="33"/>
        <v>1518.5157165781263</v>
      </c>
      <c r="I74" s="297">
        <f t="shared" si="33"/>
        <v>1841.718918782952</v>
      </c>
      <c r="J74" s="297">
        <f t="shared" si="33"/>
        <v>3327.9850817757529</v>
      </c>
      <c r="K74" s="297">
        <f t="shared" si="33"/>
        <v>936.37990470683724</v>
      </c>
      <c r="L74" s="297">
        <f t="shared" si="33"/>
        <v>3724.7148799009201</v>
      </c>
      <c r="M74" s="297">
        <f t="shared" si="33"/>
        <v>4965.2211773965219</v>
      </c>
      <c r="N74" s="297">
        <f t="shared" si="33"/>
        <v>7816.2336168210104</v>
      </c>
      <c r="O74" s="297">
        <f t="shared" si="33"/>
        <v>2847.5956227609295</v>
      </c>
      <c r="P74" s="297">
        <f t="shared" si="33"/>
        <v>1261.6068364153759</v>
      </c>
      <c r="Q74" s="297">
        <f t="shared" si="33"/>
        <v>1261.3300213609618</v>
      </c>
      <c r="S74" s="298">
        <v>19.223267667659997</v>
      </c>
      <c r="T74" s="299" t="s">
        <v>37</v>
      </c>
      <c r="U74" s="249" t="s">
        <v>43</v>
      </c>
    </row>
    <row r="75" spans="1:30" ht="12" thickBot="1">
      <c r="A75" s="295" t="s">
        <v>1216</v>
      </c>
      <c r="B75" s="296">
        <f t="shared" si="34"/>
        <v>0</v>
      </c>
      <c r="C75" s="296">
        <f t="shared" si="34"/>
        <v>0</v>
      </c>
      <c r="D75" s="296">
        <f t="shared" si="34"/>
        <v>0</v>
      </c>
      <c r="E75" s="296">
        <f t="shared" si="34"/>
        <v>0</v>
      </c>
      <c r="F75" s="296">
        <f t="shared" si="34"/>
        <v>18.387599999999999</v>
      </c>
      <c r="G75" s="297">
        <f t="shared" si="34"/>
        <v>1396.4227999999998</v>
      </c>
      <c r="H75" s="297">
        <f t="shared" si="33"/>
        <v>384.06999999999994</v>
      </c>
      <c r="I75" s="297">
        <f t="shared" si="33"/>
        <v>2810.5764999999997</v>
      </c>
      <c r="J75" s="297">
        <f t="shared" si="33"/>
        <v>3379.0199999999995</v>
      </c>
      <c r="K75" s="297">
        <f t="shared" si="33"/>
        <v>200.98999999999998</v>
      </c>
      <c r="L75" s="297">
        <f t="shared" si="33"/>
        <v>1510.41</v>
      </c>
      <c r="M75" s="297">
        <f t="shared" si="33"/>
        <v>515.41</v>
      </c>
      <c r="N75" s="297">
        <f t="shared" si="33"/>
        <v>2438.9439999999995</v>
      </c>
      <c r="O75" s="297">
        <f t="shared" si="33"/>
        <v>515.41</v>
      </c>
      <c r="P75" s="297">
        <f t="shared" si="33"/>
        <v>515.41</v>
      </c>
      <c r="Q75" s="297">
        <f t="shared" si="33"/>
        <v>515.41</v>
      </c>
      <c r="S75" s="298">
        <v>39.799999999999997</v>
      </c>
      <c r="T75" s="299" t="s">
        <v>37</v>
      </c>
    </row>
    <row r="76" spans="1:30">
      <c r="A76" s="251"/>
      <c r="B76" s="300">
        <f>B72/56</f>
        <v>1.0869927536231887</v>
      </c>
      <c r="C76" s="300">
        <f t="shared" ref="C76:Q76" si="35">C72/56</f>
        <v>1.0869927536231887</v>
      </c>
      <c r="D76" s="300">
        <f t="shared" si="35"/>
        <v>1.0869927536231887</v>
      </c>
      <c r="E76" s="300">
        <f t="shared" si="35"/>
        <v>1.0869927536231887</v>
      </c>
      <c r="F76" s="300">
        <f t="shared" si="35"/>
        <v>4.3478623188405807</v>
      </c>
      <c r="G76" s="300">
        <f t="shared" si="35"/>
        <v>70.886132246376832</v>
      </c>
      <c r="H76" s="300">
        <f t="shared" si="35"/>
        <v>102.98758152173914</v>
      </c>
      <c r="I76" s="300">
        <f t="shared" si="35"/>
        <v>240.07544384057974</v>
      </c>
      <c r="J76" s="300">
        <f t="shared" si="35"/>
        <v>319.1874003623189</v>
      </c>
      <c r="K76" s="300">
        <f t="shared" si="35"/>
        <v>312.42363224637683</v>
      </c>
      <c r="L76" s="300">
        <f t="shared" si="35"/>
        <v>375.34826992753636</v>
      </c>
      <c r="M76" s="300">
        <f t="shared" si="35"/>
        <v>354.09899456521742</v>
      </c>
      <c r="N76" s="300">
        <f t="shared" si="35"/>
        <v>363.88160326086967</v>
      </c>
      <c r="O76" s="300">
        <f t="shared" si="35"/>
        <v>363.88160326086967</v>
      </c>
      <c r="P76" s="300">
        <f t="shared" si="35"/>
        <v>363.88160326086967</v>
      </c>
      <c r="Q76" s="300">
        <f t="shared" si="35"/>
        <v>363.88160326086967</v>
      </c>
    </row>
    <row r="77" spans="1:30">
      <c r="A77" s="357" t="s">
        <v>45</v>
      </c>
      <c r="B77" s="249">
        <f t="shared" ref="B77:P77" si="36">B76/39.3674</f>
        <v>2.7611494628123488E-2</v>
      </c>
      <c r="C77" s="249">
        <f t="shared" si="36"/>
        <v>2.7611494628123488E-2</v>
      </c>
      <c r="D77" s="249">
        <f t="shared" si="36"/>
        <v>2.7611494628123488E-2</v>
      </c>
      <c r="E77" s="249">
        <f t="shared" si="36"/>
        <v>2.7611494628123488E-2</v>
      </c>
      <c r="F77" s="249">
        <f t="shared" si="36"/>
        <v>0.11044321745506638</v>
      </c>
      <c r="G77" s="249">
        <f t="shared" si="36"/>
        <v>1.8006302739418103</v>
      </c>
      <c r="H77" s="249">
        <f t="shared" si="36"/>
        <v>2.6160625675492701</v>
      </c>
      <c r="I77" s="249">
        <f t="shared" si="36"/>
        <v>6.0983312040058451</v>
      </c>
      <c r="J77" s="249">
        <f t="shared" si="36"/>
        <v>8.1079116315103068</v>
      </c>
      <c r="K77" s="249">
        <f t="shared" si="36"/>
        <v>7.9361002313177096</v>
      </c>
      <c r="L77" s="249">
        <f t="shared" si="36"/>
        <v>9.5344947831844706</v>
      </c>
      <c r="M77" s="249">
        <f t="shared" si="36"/>
        <v>8.9947264631450743</v>
      </c>
      <c r="N77" s="249">
        <f t="shared" si="36"/>
        <v>9.2432216316259037</v>
      </c>
      <c r="O77" s="249">
        <f t="shared" si="36"/>
        <v>9.2432216316259037</v>
      </c>
      <c r="P77" s="249">
        <f t="shared" si="36"/>
        <v>9.2432216316259037</v>
      </c>
      <c r="Q77" s="249">
        <f>Q76/39.3674</f>
        <v>9.2432216316259037</v>
      </c>
    </row>
    <row r="78" spans="1:30">
      <c r="A78" s="295" t="s">
        <v>1217</v>
      </c>
      <c r="B78" s="301">
        <f t="shared" ref="B78:Q78" si="37">B79*$S78</f>
        <v>33.017000529999997</v>
      </c>
      <c r="C78" s="301">
        <f t="shared" si="37"/>
        <v>66.034001059999994</v>
      </c>
      <c r="D78" s="301">
        <f t="shared" si="37"/>
        <v>99.051001589999998</v>
      </c>
      <c r="E78" s="302">
        <f t="shared" si="37"/>
        <v>132.06800211999999</v>
      </c>
      <c r="F78" s="302">
        <f t="shared" si="37"/>
        <v>264.13270265</v>
      </c>
      <c r="G78" s="302">
        <f t="shared" si="37"/>
        <v>2417.2725999925001</v>
      </c>
      <c r="H78" s="302">
        <f t="shared" si="37"/>
        <v>5545.4820773349993</v>
      </c>
      <c r="I78" s="302">
        <f t="shared" si="37"/>
        <v>12837.684375927498</v>
      </c>
      <c r="J78" s="302">
        <f t="shared" si="37"/>
        <v>22532.882924219997</v>
      </c>
      <c r="K78" s="302">
        <f t="shared" si="37"/>
        <v>32022.634532112494</v>
      </c>
      <c r="L78" s="302">
        <f t="shared" si="37"/>
        <v>43423.698601604992</v>
      </c>
      <c r="M78" s="302">
        <f t="shared" si="37"/>
        <v>54179.323836697491</v>
      </c>
      <c r="N78" s="302">
        <f t="shared" si="37"/>
        <v>65232.092171789984</v>
      </c>
      <c r="O78" s="302">
        <f t="shared" si="37"/>
        <v>76284.860506882498</v>
      </c>
      <c r="P78" s="302">
        <f t="shared" si="37"/>
        <v>87337.628841974991</v>
      </c>
      <c r="Q78" s="302">
        <f t="shared" si="37"/>
        <v>98390.397177067498</v>
      </c>
      <c r="S78" s="298">
        <v>6.59</v>
      </c>
      <c r="T78" s="299" t="s">
        <v>37</v>
      </c>
      <c r="U78" s="299"/>
    </row>
    <row r="79" spans="1:30">
      <c r="A79" s="295" t="s">
        <v>1218</v>
      </c>
      <c r="B79" s="301">
        <f t="shared" ref="B79:Q79" si="38">B63*$S79</f>
        <v>5.010167</v>
      </c>
      <c r="C79" s="301">
        <f t="shared" si="38"/>
        <v>10.020334</v>
      </c>
      <c r="D79" s="301">
        <f t="shared" si="38"/>
        <v>15.030501000000001</v>
      </c>
      <c r="E79" s="302">
        <f t="shared" si="38"/>
        <v>20.040668</v>
      </c>
      <c r="F79" s="302">
        <f t="shared" si="38"/>
        <v>40.080835</v>
      </c>
      <c r="G79" s="302">
        <f t="shared" si="38"/>
        <v>366.80919575000001</v>
      </c>
      <c r="H79" s="302">
        <f t="shared" si="38"/>
        <v>841.49955649999993</v>
      </c>
      <c r="I79" s="302">
        <f t="shared" si="38"/>
        <v>1948.0552922499996</v>
      </c>
      <c r="J79" s="302">
        <f t="shared" si="38"/>
        <v>3419.2538579999996</v>
      </c>
      <c r="K79" s="302">
        <f t="shared" si="38"/>
        <v>4859.2768637499994</v>
      </c>
      <c r="L79" s="302">
        <f t="shared" si="38"/>
        <v>6589.3321094999992</v>
      </c>
      <c r="M79" s="302">
        <f t="shared" si="38"/>
        <v>8221.4451952499985</v>
      </c>
      <c r="N79" s="302">
        <f t="shared" si="38"/>
        <v>9898.648280999998</v>
      </c>
      <c r="O79" s="302">
        <f t="shared" si="38"/>
        <v>11575.851366749999</v>
      </c>
      <c r="P79" s="302">
        <f t="shared" si="38"/>
        <v>13253.054452499999</v>
      </c>
      <c r="Q79" s="302">
        <f t="shared" si="38"/>
        <v>14930.25753825</v>
      </c>
      <c r="S79" s="298">
        <v>1.67</v>
      </c>
      <c r="T79" s="299" t="s">
        <v>48</v>
      </c>
      <c r="U79" s="299" t="s">
        <v>49</v>
      </c>
    </row>
    <row r="80" spans="1:30">
      <c r="A80" s="295" t="s">
        <v>1219</v>
      </c>
      <c r="B80" s="301">
        <f t="shared" ref="B80:Q80" si="39">B79*$S80</f>
        <v>1.815277898550725</v>
      </c>
      <c r="C80" s="301">
        <f t="shared" si="39"/>
        <v>3.6305557971014499</v>
      </c>
      <c r="D80" s="301">
        <f t="shared" si="39"/>
        <v>5.4458336956521753</v>
      </c>
      <c r="E80" s="302">
        <f t="shared" si="39"/>
        <v>7.2611115942028999</v>
      </c>
      <c r="F80" s="302">
        <f t="shared" si="39"/>
        <v>14.522041666666668</v>
      </c>
      <c r="G80" s="302">
        <f t="shared" si="39"/>
        <v>132.90188251811597</v>
      </c>
      <c r="H80" s="302">
        <f t="shared" si="39"/>
        <v>304.89114365942032</v>
      </c>
      <c r="I80" s="302">
        <f t="shared" si="39"/>
        <v>705.81713487318837</v>
      </c>
      <c r="J80" s="302">
        <f t="shared" si="39"/>
        <v>1238.860093478261</v>
      </c>
      <c r="K80" s="302">
        <f t="shared" si="39"/>
        <v>1760.6075593297103</v>
      </c>
      <c r="L80" s="302">
        <f t="shared" si="39"/>
        <v>2387.4391701086956</v>
      </c>
      <c r="M80" s="302">
        <f t="shared" si="39"/>
        <v>2978.7844910326085</v>
      </c>
      <c r="N80" s="302">
        <f t="shared" si="39"/>
        <v>3586.4667684782607</v>
      </c>
      <c r="O80" s="302">
        <f t="shared" si="39"/>
        <v>4194.149045923913</v>
      </c>
      <c r="P80" s="302">
        <f t="shared" si="39"/>
        <v>4801.8313233695653</v>
      </c>
      <c r="Q80" s="302">
        <f t="shared" si="39"/>
        <v>5409.5136008152185</v>
      </c>
      <c r="S80" s="303">
        <f>1/S81</f>
        <v>0.3623188405797102</v>
      </c>
      <c r="T80" s="299" t="s">
        <v>51</v>
      </c>
      <c r="U80" s="249" t="s">
        <v>52</v>
      </c>
    </row>
    <row r="81" spans="1:22">
      <c r="S81" s="304">
        <v>2.76</v>
      </c>
      <c r="T81" s="299" t="s">
        <v>53</v>
      </c>
      <c r="U81" s="299" t="s">
        <v>54</v>
      </c>
    </row>
    <row r="82" spans="1:22">
      <c r="A82" s="295" t="s">
        <v>55</v>
      </c>
      <c r="C82" s="302">
        <f>'NAm Capacity Data'!C82+'SAm Capacity Data'!C82+'Europe Capacity Data'!C82+'Asia Capacity Data'!C82+'MEA Capacity Data'!C82</f>
        <v>573403.84113099996</v>
      </c>
      <c r="D82" s="302">
        <f>'NAm Capacity Data'!D82+'SAm Capacity Data'!D82+'Europe Capacity Data'!D82+'Asia Capacity Data'!D82+'MEA Capacity Data'!D82</f>
        <v>708959.95827800001</v>
      </c>
      <c r="E82" s="302">
        <f>'NAm Capacity Data'!E82+'SAm Capacity Data'!E82+'Europe Capacity Data'!E82+'Asia Capacity Data'!E82+'MEA Capacity Data'!E82</f>
        <v>773411.55941999995</v>
      </c>
      <c r="F82" s="302">
        <f>'NAm Capacity Data'!F82+'SAm Capacity Data'!F82+'Europe Capacity Data'!F82+'Asia Capacity Data'!F82+'MEA Capacity Data'!F82</f>
        <v>785786.14437071991</v>
      </c>
      <c r="G82" s="302">
        <f>'NAm Capacity Data'!G82+'SAm Capacity Data'!G82+'Europe Capacity Data'!G82+'Asia Capacity Data'!G82+'MEA Capacity Data'!G82</f>
        <v>807002.37026872928</v>
      </c>
      <c r="H82" s="302">
        <f>'NAm Capacity Data'!H82+'SAm Capacity Data'!H82+'Europe Capacity Data'!H82+'Asia Capacity Data'!H82+'MEA Capacity Data'!H82</f>
        <v>828791.43426598492</v>
      </c>
      <c r="I82" s="302">
        <f>'NAm Capacity Data'!I82+'SAm Capacity Data'!I82+'Europe Capacity Data'!I82+'Asia Capacity Data'!I82+'MEA Capacity Data'!I82</f>
        <v>851168.80299116648</v>
      </c>
      <c r="J82" s="302">
        <f>'NAm Capacity Data'!J82+'SAm Capacity Data'!J82+'Europe Capacity Data'!J82+'Asia Capacity Data'!J82+'MEA Capacity Data'!J82</f>
        <v>874150.36067192792</v>
      </c>
      <c r="K82" s="302">
        <f>'NAm Capacity Data'!K82+'SAm Capacity Data'!K82+'Europe Capacity Data'!K82+'Asia Capacity Data'!K82+'MEA Capacity Data'!K82</f>
        <v>897752.42041006987</v>
      </c>
      <c r="L82" s="302">
        <f>'NAm Capacity Data'!L82+'SAm Capacity Data'!L82+'Europe Capacity Data'!L82+'Asia Capacity Data'!L82+'MEA Capacity Data'!L82</f>
        <v>921991.73576114164</v>
      </c>
      <c r="M82" s="302">
        <f>'NAm Capacity Data'!M82+'SAm Capacity Data'!M82+'Europe Capacity Data'!M82+'Asia Capacity Data'!M82+'MEA Capacity Data'!M82</f>
        <v>946885.51262669242</v>
      </c>
      <c r="N82" s="302">
        <f>'NAm Capacity Data'!N82+'SAm Capacity Data'!N82+'Europe Capacity Data'!N82+'Asia Capacity Data'!N82+'MEA Capacity Data'!N82</f>
        <v>972451.42146761308</v>
      </c>
      <c r="O82" s="302">
        <f>'NAm Capacity Data'!O82+'SAm Capacity Data'!O82+'Europe Capacity Data'!O82+'Asia Capacity Data'!O82+'MEA Capacity Data'!O82</f>
        <v>998707.60984723852</v>
      </c>
      <c r="P82" s="302">
        <f>'NAm Capacity Data'!P82+'SAm Capacity Data'!P82+'Europe Capacity Data'!P82+'Asia Capacity Data'!P82+'MEA Capacity Data'!P82</f>
        <v>1025672.7153131139</v>
      </c>
      <c r="Q82" s="302">
        <f>'NAm Capacity Data'!Q82+'SAm Capacity Data'!Q82+'Europe Capacity Data'!Q82+'Asia Capacity Data'!Q82+'MEA Capacity Data'!Q82</f>
        <v>1053365.8786265678</v>
      </c>
    </row>
    <row r="83" spans="1:22">
      <c r="A83" s="295" t="s">
        <v>56</v>
      </c>
      <c r="C83" s="305">
        <f>'NAm Capacity Data'!C83+'SAm Capacity Data'!C83+'Europe Capacity Data'!C83+'Asia Capacity Data'!C83+'MEA Capacity Data'!C83</f>
        <v>2.2708233286102786</v>
      </c>
      <c r="D83" s="305">
        <f>'NAm Capacity Data'!D83+'SAm Capacity Data'!D83+'Europe Capacity Data'!D83+'Asia Capacity Data'!D83+'MEA Capacity Data'!D83</f>
        <v>2.4821359994925207</v>
      </c>
      <c r="E83" s="305">
        <f>'NAm Capacity Data'!E83+'SAm Capacity Data'!E83+'Europe Capacity Data'!E83+'Asia Capacity Data'!E83+'MEA Capacity Data'!E83</f>
        <v>2.5555923264791272</v>
      </c>
      <c r="F83" s="305">
        <f>'NAm Capacity Data'!F83+'SAm Capacity Data'!F83+'Europe Capacity Data'!F83+'Asia Capacity Data'!F83+'MEA Capacity Data'!F83</f>
        <v>2.4936487771008196</v>
      </c>
      <c r="G83" s="305">
        <f>'NAm Capacity Data'!G83+'SAm Capacity Data'!G83+'Europe Capacity Data'!G83+'Asia Capacity Data'!G83+'MEA Capacity Data'!G83</f>
        <v>2.543943164216973</v>
      </c>
      <c r="H83" s="305">
        <f>'NAm Capacity Data'!H83+'SAm Capacity Data'!H83+'Europe Capacity Data'!H83+'Asia Capacity Data'!H83+'MEA Capacity Data'!H83</f>
        <v>2.6003747310052239</v>
      </c>
      <c r="I83" s="305">
        <f>'NAm Capacity Data'!I83+'SAm Capacity Data'!I83+'Europe Capacity Data'!I83+'Asia Capacity Data'!I83+'MEA Capacity Data'!I83</f>
        <v>2.5918660261606776</v>
      </c>
      <c r="J83" s="305">
        <f>'NAm Capacity Data'!J83+'SAm Capacity Data'!J83+'Europe Capacity Data'!J83+'Asia Capacity Data'!J83+'MEA Capacity Data'!J83</f>
        <v>2.6054764032486188</v>
      </c>
      <c r="K83" s="305">
        <f>'NAm Capacity Data'!K83+'SAm Capacity Data'!K83+'Europe Capacity Data'!K83+'Asia Capacity Data'!K83+'MEA Capacity Data'!K83</f>
        <v>2.6321261318187199</v>
      </c>
      <c r="L83" s="305">
        <f>'NAm Capacity Data'!L83+'SAm Capacity Data'!L83+'Europe Capacity Data'!L83+'Asia Capacity Data'!L83+'MEA Capacity Data'!L83</f>
        <v>2.6672213372709672</v>
      </c>
      <c r="M83" s="305">
        <f>'NAm Capacity Data'!M83+'SAm Capacity Data'!M83+'Europe Capacity Data'!M83+'Asia Capacity Data'!M83+'MEA Capacity Data'!M83</f>
        <v>2.6830032659715868</v>
      </c>
      <c r="N83" s="305">
        <f>'NAm Capacity Data'!N83+'SAm Capacity Data'!N83+'Europe Capacity Data'!N83+'Asia Capacity Data'!N83+'MEA Capacity Data'!N83</f>
        <v>2.6991920656931874</v>
      </c>
      <c r="O83" s="305">
        <f>'NAm Capacity Data'!O83+'SAm Capacity Data'!O83+'Europe Capacity Data'!O83+'Asia Capacity Data'!O83+'MEA Capacity Data'!O83</f>
        <v>2.7261768025529247</v>
      </c>
      <c r="P83" s="305">
        <f>'NAm Capacity Data'!P83+'SAm Capacity Data'!P83+'Europe Capacity Data'!P83+'Asia Capacity Data'!P83+'MEA Capacity Data'!P83</f>
        <v>2.7499402523275078</v>
      </c>
      <c r="Q83" s="305">
        <f>'NAm Capacity Data'!Q83+'SAm Capacity Data'!Q83+'Europe Capacity Data'!Q83+'Asia Capacity Data'!Q83+'MEA Capacity Data'!Q83</f>
        <v>2.767863674558078</v>
      </c>
    </row>
    <row r="84" spans="1:22">
      <c r="A84" s="295" t="s">
        <v>57</v>
      </c>
    </row>
    <row r="85" spans="1:22">
      <c r="A85" s="295" t="s">
        <v>58</v>
      </c>
    </row>
    <row r="86" spans="1:22">
      <c r="A86" s="295" t="s">
        <v>59</v>
      </c>
      <c r="C86" s="306" t="e">
        <f>C89/C88</f>
        <v>#REF!</v>
      </c>
      <c r="D86" s="306" t="e">
        <f>D89/D88</f>
        <v>#REF!</v>
      </c>
      <c r="E86" s="307"/>
      <c r="F86" s="307"/>
      <c r="G86" s="307"/>
      <c r="H86" s="307"/>
      <c r="I86" s="307"/>
      <c r="J86" s="307"/>
      <c r="K86" s="307"/>
      <c r="L86" s="307"/>
      <c r="M86" s="307"/>
      <c r="N86" s="307"/>
      <c r="O86" s="307"/>
      <c r="P86" s="307"/>
      <c r="Q86" s="307"/>
    </row>
    <row r="88" spans="1:22">
      <c r="A88" s="295" t="s">
        <v>60</v>
      </c>
      <c r="C88" s="302">
        <f>'NAm Capacity Data'!C88+'SAm Capacity Data'!C88+'Europe Capacity Data'!C88+'Asia Capacity Data'!C88+'MEA Capacity Data'!C88</f>
        <v>252509.22601800002</v>
      </c>
      <c r="D88" s="302">
        <f>'NAm Capacity Data'!D88+'SAm Capacity Data'!D88+'Europe Capacity Data'!D88+'Asia Capacity Data'!D88+'MEA Capacity Data'!D88</f>
        <v>285624.944976</v>
      </c>
      <c r="E88" s="302">
        <f>'NAm Capacity Data'!E88+'SAm Capacity Data'!E88+'Europe Capacity Data'!E88+'Asia Capacity Data'!E88+'MEA Capacity Data'!E88</f>
        <v>302634.95136000001</v>
      </c>
      <c r="F88" s="302">
        <f>'NAm Capacity Data'!F88+'SAm Capacity Data'!F88+'Europe Capacity Data'!F88+'Asia Capacity Data'!F88+'MEA Capacity Data'!F88</f>
        <v>315115.00400000002</v>
      </c>
      <c r="G88" s="302">
        <f>'NAm Capacity Data'!G88+'SAm Capacity Data'!G88+'Europe Capacity Data'!G88+'Asia Capacity Data'!G88+'MEA Capacity Data'!G88</f>
        <v>317225</v>
      </c>
      <c r="H88" s="302">
        <f>'NAm Capacity Data'!H88+'SAm Capacity Data'!H88+'Europe Capacity Data'!H88+'Asia Capacity Data'!H88+'MEA Capacity Data'!H88</f>
        <v>318720</v>
      </c>
      <c r="I88" s="302">
        <f>'NAm Capacity Data'!I88+'SAm Capacity Data'!I88+'Europe Capacity Data'!I88+'Asia Capacity Data'!I88+'MEA Capacity Data'!I88</f>
        <v>328400</v>
      </c>
      <c r="J88" s="302">
        <f>'NAm Capacity Data'!J88+'SAm Capacity Data'!J88+'Europe Capacity Data'!J88+'Asia Capacity Data'!J88+'MEA Capacity Data'!J88</f>
        <v>335505</v>
      </c>
      <c r="K88" s="302">
        <f>'NAm Capacity Data'!K88+'SAm Capacity Data'!K88+'Europe Capacity Data'!K88+'Asia Capacity Data'!K88+'MEA Capacity Data'!K88</f>
        <v>341075</v>
      </c>
      <c r="L88" s="302">
        <f>'NAm Capacity Data'!L88+'SAm Capacity Data'!L88+'Europe Capacity Data'!L88+'Asia Capacity Data'!L88+'MEA Capacity Data'!L88</f>
        <v>345675</v>
      </c>
      <c r="M88" s="302">
        <f>'NAm Capacity Data'!M88+'SAm Capacity Data'!M88+'Europe Capacity Data'!M88+'Asia Capacity Data'!M88+'MEA Capacity Data'!M88</f>
        <v>352920</v>
      </c>
      <c r="N88" s="302">
        <f>'NAm Capacity Data'!N88+'SAm Capacity Data'!N88+'Europe Capacity Data'!N88+'Asia Capacity Data'!N88+'MEA Capacity Data'!N88</f>
        <v>360275</v>
      </c>
      <c r="O88" s="302">
        <f>'NAm Capacity Data'!O88+'SAm Capacity Data'!O88+'Europe Capacity Data'!O88+'Asia Capacity Data'!O88+'MEA Capacity Data'!O88</f>
        <v>366340</v>
      </c>
      <c r="P88" s="302">
        <f>'NAm Capacity Data'!P88+'SAm Capacity Data'!P88+'Europe Capacity Data'!P88+'Asia Capacity Data'!P88+'MEA Capacity Data'!P88</f>
        <v>372980</v>
      </c>
      <c r="Q88" s="302">
        <f>'NAm Capacity Data'!Q88+'SAm Capacity Data'!Q88+'Europe Capacity Data'!Q88+'Asia Capacity Data'!Q88+'MEA Capacity Data'!Q88</f>
        <v>380570</v>
      </c>
    </row>
    <row r="89" spans="1:22">
      <c r="A89" s="295" t="s">
        <v>61</v>
      </c>
      <c r="C89" s="302" t="e">
        <f>'NAm Capacity Data'!C89+'SAm Capacity Data'!C89+'Europe Capacity Data'!C89+'Asia Capacity Data'!C89+'MEA Capacity Data'!C89</f>
        <v>#REF!</v>
      </c>
      <c r="D89" s="302" t="e">
        <f>'NAm Capacity Data'!D89+'SAm Capacity Data'!D89+'Europe Capacity Data'!D89+'Asia Capacity Data'!D89+'MEA Capacity Data'!D89</f>
        <v>#REF!</v>
      </c>
      <c r="E89" s="302" t="e">
        <f>'NAm Capacity Data'!E89+'SAm Capacity Data'!E89+'Europe Capacity Data'!E89+'Asia Capacity Data'!E89+'MEA Capacity Data'!E89</f>
        <v>#REF!</v>
      </c>
      <c r="F89" s="302" t="e">
        <f>'NAm Capacity Data'!F89+'SAm Capacity Data'!F89+'Europe Capacity Data'!F89+'Asia Capacity Data'!F89+'MEA Capacity Data'!F89</f>
        <v>#REF!</v>
      </c>
      <c r="G89" s="302" t="e">
        <f>'NAm Capacity Data'!G89+'SAm Capacity Data'!G89+'Europe Capacity Data'!G89+'Asia Capacity Data'!G89+'MEA Capacity Data'!G89</f>
        <v>#REF!</v>
      </c>
      <c r="H89" s="302" t="e">
        <f>'NAm Capacity Data'!H89+'SAm Capacity Data'!H89+'Europe Capacity Data'!H89+'Asia Capacity Data'!H89+'MEA Capacity Data'!H89</f>
        <v>#REF!</v>
      </c>
      <c r="I89" s="302" t="e">
        <f>'NAm Capacity Data'!I89+'SAm Capacity Data'!I89+'Europe Capacity Data'!I89+'Asia Capacity Data'!I89+'MEA Capacity Data'!I89</f>
        <v>#REF!</v>
      </c>
      <c r="J89" s="302" t="e">
        <f>'NAm Capacity Data'!J89+'SAm Capacity Data'!J89+'Europe Capacity Data'!J89+'Asia Capacity Data'!J89+'MEA Capacity Data'!J89</f>
        <v>#REF!</v>
      </c>
      <c r="K89" s="302" t="e">
        <f>'NAm Capacity Data'!K89+'SAm Capacity Data'!K89+'Europe Capacity Data'!K89+'Asia Capacity Data'!K89+'MEA Capacity Data'!K89</f>
        <v>#REF!</v>
      </c>
      <c r="L89" s="302" t="e">
        <f>'NAm Capacity Data'!L89+'SAm Capacity Data'!L89+'Europe Capacity Data'!L89+'Asia Capacity Data'!L89+'MEA Capacity Data'!L89</f>
        <v>#REF!</v>
      </c>
      <c r="M89" s="302" t="e">
        <f>'NAm Capacity Data'!M89+'SAm Capacity Data'!M89+'Europe Capacity Data'!M89+'Asia Capacity Data'!M89+'MEA Capacity Data'!M89</f>
        <v>#REF!</v>
      </c>
      <c r="N89" s="302" t="e">
        <f>'NAm Capacity Data'!N89+'SAm Capacity Data'!N89+'Europe Capacity Data'!N89+'Asia Capacity Data'!N89+'MEA Capacity Data'!N89</f>
        <v>#REF!</v>
      </c>
      <c r="O89" s="302" t="e">
        <f>'NAm Capacity Data'!O89+'SAm Capacity Data'!O89+'Europe Capacity Data'!O89+'Asia Capacity Data'!O89+'MEA Capacity Data'!O89</f>
        <v>#REF!</v>
      </c>
      <c r="P89" s="302" t="e">
        <f>'NAm Capacity Data'!P89+'SAm Capacity Data'!P89+'Europe Capacity Data'!P89+'Asia Capacity Data'!P89+'MEA Capacity Data'!P89</f>
        <v>#REF!</v>
      </c>
      <c r="Q89" s="302" t="e">
        <f>'NAm Capacity Data'!Q89+'SAm Capacity Data'!Q89+'Europe Capacity Data'!Q89+'Asia Capacity Data'!Q89+'MEA Capacity Data'!Q89</f>
        <v>#REF!</v>
      </c>
    </row>
    <row r="90" spans="1:22">
      <c r="A90" s="278"/>
      <c r="B90" s="278"/>
      <c r="C90" s="278"/>
      <c r="D90" s="278"/>
      <c r="E90" s="278"/>
      <c r="F90" s="278"/>
      <c r="G90" s="278"/>
      <c r="H90" s="278"/>
      <c r="I90" s="278"/>
      <c r="J90" s="278"/>
      <c r="K90" s="278"/>
      <c r="L90" s="278"/>
      <c r="M90" s="278"/>
      <c r="N90" s="278"/>
      <c r="O90" s="278"/>
      <c r="P90" s="278"/>
      <c r="Q90" s="278"/>
      <c r="R90" s="278"/>
    </row>
    <row r="91" spans="1:22" ht="12" thickBot="1">
      <c r="A91" s="363" t="s">
        <v>62</v>
      </c>
      <c r="B91" s="278"/>
      <c r="C91" s="278"/>
      <c r="D91" s="278"/>
      <c r="E91" s="278"/>
      <c r="F91" s="278"/>
      <c r="G91" s="278"/>
      <c r="H91" s="278"/>
      <c r="I91" s="278"/>
      <c r="J91" s="278"/>
      <c r="K91" s="278"/>
      <c r="L91" s="278"/>
      <c r="M91" s="278"/>
      <c r="N91" s="278"/>
      <c r="O91" s="278"/>
      <c r="P91" s="278"/>
      <c r="Q91" s="278"/>
      <c r="R91" s="278"/>
      <c r="S91" s="278"/>
      <c r="T91" s="278"/>
      <c r="U91" s="278"/>
      <c r="V91" s="278"/>
    </row>
    <row r="92" spans="1:22" ht="12" thickBot="1">
      <c r="A92" s="277" t="str">
        <f>A22</f>
        <v>(mil gal/yr)</v>
      </c>
      <c r="B92" s="308" t="str">
        <f>B22</f>
        <v>&lt; 2021</v>
      </c>
      <c r="C92" s="308">
        <f t="shared" ref="C92:Q92" si="40">C22</f>
        <v>2021</v>
      </c>
      <c r="D92" s="308">
        <f t="shared" si="40"/>
        <v>2022</v>
      </c>
      <c r="E92" s="308">
        <f t="shared" si="40"/>
        <v>2023</v>
      </c>
      <c r="F92" s="308">
        <f t="shared" si="40"/>
        <v>2024</v>
      </c>
      <c r="G92" s="308">
        <f t="shared" si="40"/>
        <v>2025</v>
      </c>
      <c r="H92" s="308">
        <f t="shared" si="40"/>
        <v>2026</v>
      </c>
      <c r="I92" s="308">
        <f t="shared" si="40"/>
        <v>2027</v>
      </c>
      <c r="J92" s="308">
        <f t="shared" si="40"/>
        <v>2028</v>
      </c>
      <c r="K92" s="308">
        <f t="shared" si="40"/>
        <v>2029</v>
      </c>
      <c r="L92" s="308">
        <f t="shared" si="40"/>
        <v>2030</v>
      </c>
      <c r="M92" s="308">
        <f t="shared" si="40"/>
        <v>2031</v>
      </c>
      <c r="N92" s="308">
        <f t="shared" si="40"/>
        <v>2032</v>
      </c>
      <c r="O92" s="308">
        <f t="shared" si="40"/>
        <v>2033</v>
      </c>
      <c r="P92" s="308">
        <f t="shared" si="40"/>
        <v>2034</v>
      </c>
      <c r="Q92" s="308">
        <f t="shared" si="40"/>
        <v>2035</v>
      </c>
      <c r="R92" s="308">
        <v>2050</v>
      </c>
      <c r="S92" s="278"/>
      <c r="T92" s="309" t="s">
        <v>63</v>
      </c>
      <c r="U92" s="310"/>
      <c r="V92" s="310"/>
    </row>
    <row r="93" spans="1:22">
      <c r="A93" s="382" t="s">
        <v>64</v>
      </c>
      <c r="B93" s="382"/>
      <c r="C93" s="382"/>
      <c r="D93" s="382"/>
      <c r="E93" s="382"/>
      <c r="F93" s="382"/>
      <c r="G93" s="382"/>
      <c r="H93" s="382"/>
      <c r="I93" s="382"/>
      <c r="J93" s="382"/>
      <c r="K93" s="382"/>
      <c r="L93" s="382"/>
      <c r="M93" s="382"/>
      <c r="N93" s="382"/>
      <c r="O93" s="382"/>
      <c r="P93" s="382"/>
      <c r="Q93" s="382"/>
      <c r="R93" s="382"/>
      <c r="S93" s="278"/>
      <c r="T93" s="311" t="s">
        <v>65</v>
      </c>
      <c r="U93" s="278"/>
      <c r="V93" s="278"/>
    </row>
    <row r="94" spans="1:22">
      <c r="A94" s="312" t="s">
        <v>66</v>
      </c>
      <c r="B94" s="313"/>
      <c r="C94" s="313"/>
      <c r="D94" s="313"/>
      <c r="E94" s="313"/>
      <c r="F94" s="313"/>
      <c r="G94" s="313"/>
      <c r="H94" s="313"/>
      <c r="I94" s="313"/>
      <c r="J94" s="313"/>
      <c r="K94" s="313"/>
      <c r="L94" s="314">
        <v>3000</v>
      </c>
      <c r="M94" s="313"/>
      <c r="N94" s="313"/>
      <c r="O94" s="313"/>
      <c r="P94" s="313"/>
      <c r="Q94" s="313"/>
      <c r="R94" s="314">
        <v>35000</v>
      </c>
      <c r="S94" s="278"/>
      <c r="T94" s="375" t="s">
        <v>67</v>
      </c>
      <c r="U94" s="375"/>
      <c r="V94" s="375"/>
    </row>
    <row r="95" spans="1:22">
      <c r="A95" s="376" t="s">
        <v>68</v>
      </c>
      <c r="B95" s="376"/>
      <c r="C95" s="376"/>
      <c r="D95" s="376"/>
      <c r="E95" s="376"/>
      <c r="F95" s="376"/>
      <c r="G95" s="376"/>
      <c r="H95" s="376"/>
      <c r="I95" s="376"/>
      <c r="J95" s="376"/>
      <c r="K95" s="376"/>
      <c r="L95" s="376"/>
      <c r="M95" s="376"/>
      <c r="N95" s="376"/>
      <c r="O95" s="376"/>
      <c r="P95" s="376"/>
      <c r="Q95" s="376"/>
      <c r="R95" s="376"/>
      <c r="S95" s="278"/>
      <c r="T95" s="375"/>
      <c r="U95" s="375"/>
      <c r="V95" s="375"/>
    </row>
    <row r="96" spans="1:22" ht="18" customHeight="1">
      <c r="A96" s="312" t="s">
        <v>69</v>
      </c>
      <c r="B96" s="313"/>
      <c r="C96" s="313"/>
      <c r="D96" s="313"/>
      <c r="E96" s="313"/>
      <c r="F96" s="313"/>
      <c r="G96" s="313"/>
      <c r="H96" s="313"/>
      <c r="I96" s="313"/>
      <c r="J96" s="313"/>
      <c r="K96" s="313"/>
      <c r="L96" s="313"/>
      <c r="M96" s="313"/>
      <c r="N96" s="313"/>
      <c r="O96" s="313"/>
      <c r="P96" s="313"/>
      <c r="Q96" s="313"/>
      <c r="R96" s="313"/>
      <c r="S96" s="278"/>
      <c r="T96" s="311" t="s">
        <v>70</v>
      </c>
      <c r="U96" s="315"/>
      <c r="V96" s="315"/>
    </row>
    <row r="97" spans="1:22" ht="15" customHeight="1">
      <c r="A97" s="312" t="s">
        <v>71</v>
      </c>
      <c r="B97" s="313"/>
      <c r="C97" s="313"/>
      <c r="D97" s="313"/>
      <c r="E97" s="313"/>
      <c r="F97" s="313"/>
      <c r="G97" s="313"/>
      <c r="H97" s="313"/>
      <c r="I97" s="313"/>
      <c r="J97" s="313"/>
      <c r="K97" s="313"/>
      <c r="L97" s="313"/>
      <c r="M97" s="313"/>
      <c r="N97" s="313"/>
      <c r="O97" s="313"/>
      <c r="P97" s="313"/>
      <c r="Q97" s="313"/>
      <c r="R97" s="313"/>
      <c r="S97" s="278"/>
      <c r="T97" s="375" t="s">
        <v>72</v>
      </c>
      <c r="U97" s="375"/>
      <c r="V97" s="375"/>
    </row>
    <row r="98" spans="1:22">
      <c r="A98" s="312" t="s">
        <v>73</v>
      </c>
      <c r="B98" s="313"/>
      <c r="C98" s="313"/>
      <c r="D98" s="313"/>
      <c r="E98" s="313"/>
      <c r="F98" s="313"/>
      <c r="G98" s="313"/>
      <c r="H98" s="313"/>
      <c r="I98" s="313"/>
      <c r="J98" s="313"/>
      <c r="K98" s="313"/>
      <c r="L98" s="313"/>
      <c r="M98" s="313"/>
      <c r="N98" s="313"/>
      <c r="O98" s="313"/>
      <c r="P98" s="313"/>
      <c r="Q98" s="313"/>
      <c r="R98" s="313"/>
      <c r="S98" s="278"/>
      <c r="T98" s="375"/>
      <c r="U98" s="375"/>
      <c r="V98" s="375"/>
    </row>
    <row r="99" spans="1:22">
      <c r="A99" s="376" t="s">
        <v>74</v>
      </c>
      <c r="B99" s="376"/>
      <c r="C99" s="376"/>
      <c r="D99" s="376"/>
      <c r="E99" s="376"/>
      <c r="F99" s="376"/>
      <c r="G99" s="376"/>
      <c r="H99" s="376"/>
      <c r="I99" s="376"/>
      <c r="J99" s="376"/>
      <c r="K99" s="376"/>
      <c r="L99" s="376"/>
      <c r="M99" s="376"/>
      <c r="N99" s="376"/>
      <c r="O99" s="376"/>
      <c r="P99" s="376"/>
      <c r="Q99" s="376"/>
      <c r="R99" s="376"/>
      <c r="S99" s="278"/>
      <c r="T99" s="375"/>
      <c r="U99" s="375"/>
      <c r="V99" s="375"/>
    </row>
    <row r="100" spans="1:22">
      <c r="A100" s="312" t="s">
        <v>75</v>
      </c>
      <c r="B100" s="313"/>
      <c r="C100" s="313"/>
      <c r="D100" s="313"/>
      <c r="E100" s="313"/>
      <c r="F100" s="313"/>
      <c r="G100" s="313"/>
      <c r="H100" s="313"/>
      <c r="I100" s="313"/>
      <c r="J100" s="313"/>
      <c r="K100" s="313"/>
      <c r="L100" s="313">
        <f>MROUND(1000/3.78541,5)</f>
        <v>265</v>
      </c>
      <c r="M100" s="313"/>
      <c r="N100" s="313"/>
      <c r="O100" s="313"/>
      <c r="P100" s="313"/>
      <c r="Q100" s="313"/>
      <c r="R100" s="313">
        <f>MROUND(8000/3.78541,5)</f>
        <v>2115</v>
      </c>
      <c r="S100" s="278"/>
      <c r="T100" s="315"/>
      <c r="U100" s="315"/>
      <c r="V100" s="315"/>
    </row>
    <row r="101" spans="1:22">
      <c r="A101" s="377" t="s">
        <v>76</v>
      </c>
      <c r="B101" s="377"/>
      <c r="C101" s="377"/>
      <c r="D101" s="377"/>
      <c r="E101" s="377"/>
      <c r="F101" s="377"/>
      <c r="G101" s="377"/>
      <c r="H101" s="377"/>
      <c r="I101" s="377"/>
      <c r="J101" s="377"/>
      <c r="K101" s="377"/>
      <c r="L101" s="377"/>
      <c r="M101" s="377"/>
      <c r="N101" s="377"/>
      <c r="O101" s="377"/>
      <c r="P101" s="377"/>
      <c r="Q101" s="377"/>
      <c r="R101" s="377"/>
      <c r="S101" s="278"/>
      <c r="T101" s="315"/>
      <c r="U101" s="315"/>
      <c r="V101" s="315"/>
    </row>
    <row r="102" spans="1:22">
      <c r="A102" s="312" t="s">
        <v>77</v>
      </c>
      <c r="B102" s="313"/>
      <c r="C102" s="313"/>
      <c r="D102" s="313"/>
      <c r="E102" s="313"/>
      <c r="F102" s="313"/>
      <c r="G102" s="313"/>
      <c r="H102" s="313"/>
      <c r="I102" s="313"/>
      <c r="J102" s="313"/>
      <c r="K102" s="313"/>
      <c r="L102" s="313"/>
      <c r="M102" s="313"/>
      <c r="N102" s="313"/>
      <c r="O102" s="313"/>
      <c r="P102" s="313"/>
      <c r="Q102" s="313"/>
      <c r="R102" s="313"/>
      <c r="S102" s="278"/>
      <c r="T102" s="315"/>
      <c r="U102" s="315"/>
      <c r="V102" s="315"/>
    </row>
    <row r="103" spans="1:22">
      <c r="A103" s="377" t="s">
        <v>78</v>
      </c>
      <c r="B103" s="377"/>
      <c r="C103" s="377"/>
      <c r="D103" s="377"/>
      <c r="E103" s="377"/>
      <c r="F103" s="377"/>
      <c r="G103" s="377"/>
      <c r="H103" s="377"/>
      <c r="I103" s="377"/>
      <c r="J103" s="377"/>
      <c r="K103" s="377"/>
      <c r="L103" s="377"/>
      <c r="M103" s="377"/>
      <c r="N103" s="377"/>
      <c r="O103" s="377"/>
      <c r="P103" s="377"/>
      <c r="Q103" s="377"/>
      <c r="R103" s="377"/>
      <c r="S103" s="278"/>
      <c r="T103" s="315"/>
      <c r="U103" s="315"/>
      <c r="V103" s="315"/>
    </row>
    <row r="104" spans="1:22">
      <c r="A104" s="312" t="s">
        <v>66</v>
      </c>
      <c r="B104" s="313"/>
      <c r="C104" s="313"/>
      <c r="D104" s="313"/>
      <c r="E104" s="313"/>
      <c r="F104" s="313"/>
      <c r="G104" s="313"/>
      <c r="H104" s="313"/>
      <c r="I104" s="313"/>
      <c r="J104" s="313"/>
      <c r="K104" s="313"/>
      <c r="L104" s="313"/>
      <c r="M104" s="313"/>
      <c r="N104" s="313"/>
      <c r="O104" s="313"/>
      <c r="P104" s="313"/>
      <c r="Q104" s="313"/>
      <c r="R104" s="313"/>
      <c r="S104" s="278"/>
      <c r="T104" s="315"/>
      <c r="U104" s="315"/>
      <c r="V104" s="315"/>
    </row>
    <row r="105" spans="1:22" ht="12" thickBot="1">
      <c r="A105" s="316" t="s">
        <v>79</v>
      </c>
      <c r="B105" s="317">
        <f>SUM(B100,B96:B98,B94)</f>
        <v>0</v>
      </c>
      <c r="C105" s="317">
        <f t="shared" ref="C105:R105" si="41">SUM(C100,C96:C98,C94)</f>
        <v>0</v>
      </c>
      <c r="D105" s="317">
        <f t="shared" si="41"/>
        <v>0</v>
      </c>
      <c r="E105" s="317">
        <f t="shared" si="41"/>
        <v>0</v>
      </c>
      <c r="F105" s="317">
        <f t="shared" si="41"/>
        <v>0</v>
      </c>
      <c r="G105" s="317">
        <f t="shared" si="41"/>
        <v>0</v>
      </c>
      <c r="H105" s="317">
        <f t="shared" si="41"/>
        <v>0</v>
      </c>
      <c r="I105" s="317">
        <f t="shared" si="41"/>
        <v>0</v>
      </c>
      <c r="J105" s="317">
        <f t="shared" si="41"/>
        <v>0</v>
      </c>
      <c r="K105" s="317">
        <f t="shared" si="41"/>
        <v>0</v>
      </c>
      <c r="L105" s="317">
        <f t="shared" si="41"/>
        <v>3265</v>
      </c>
      <c r="M105" s="317">
        <f t="shared" si="41"/>
        <v>0</v>
      </c>
      <c r="N105" s="317">
        <f t="shared" si="41"/>
        <v>0</v>
      </c>
      <c r="O105" s="317">
        <f t="shared" si="41"/>
        <v>0</v>
      </c>
      <c r="P105" s="317">
        <f t="shared" si="41"/>
        <v>0</v>
      </c>
      <c r="Q105" s="317">
        <f t="shared" si="41"/>
        <v>0</v>
      </c>
      <c r="R105" s="317">
        <f t="shared" si="41"/>
        <v>37115</v>
      </c>
      <c r="S105" s="278"/>
      <c r="T105" s="315"/>
      <c r="U105" s="315"/>
      <c r="V105" s="315"/>
    </row>
    <row r="106" spans="1:22">
      <c r="A106" s="318" t="s">
        <v>80</v>
      </c>
      <c r="B106" s="319"/>
      <c r="C106" s="319"/>
      <c r="D106" s="319"/>
      <c r="E106" s="319"/>
      <c r="F106" s="319"/>
      <c r="G106" s="319"/>
      <c r="H106" s="319"/>
      <c r="I106" s="319"/>
      <c r="J106" s="319"/>
      <c r="K106" s="319"/>
      <c r="L106" s="319"/>
      <c r="M106" s="319"/>
      <c r="N106" s="319"/>
      <c r="O106" s="319"/>
      <c r="P106" s="319"/>
      <c r="Q106" s="319"/>
      <c r="R106" s="319"/>
      <c r="S106" s="278"/>
      <c r="T106" s="278"/>
      <c r="U106" s="278"/>
      <c r="V106" s="278"/>
    </row>
    <row r="107" spans="1:22">
      <c r="A107" s="278" t="s">
        <v>81</v>
      </c>
      <c r="B107" s="278"/>
      <c r="C107" s="278"/>
      <c r="D107" s="278"/>
      <c r="E107" s="278"/>
      <c r="F107" s="278"/>
      <c r="G107" s="278"/>
      <c r="H107" s="278"/>
      <c r="I107" s="278"/>
      <c r="J107" s="278"/>
      <c r="K107" s="278"/>
      <c r="L107" s="278"/>
      <c r="M107" s="278"/>
      <c r="N107" s="278"/>
      <c r="O107" s="278"/>
      <c r="P107" s="278"/>
      <c r="Q107" s="278"/>
      <c r="R107" s="278"/>
      <c r="S107" s="278"/>
      <c r="T107" s="278"/>
      <c r="U107" s="278"/>
      <c r="V107" s="278"/>
    </row>
    <row r="108" spans="1:22">
      <c r="A108" s="278" t="s">
        <v>82</v>
      </c>
      <c r="B108" s="278"/>
      <c r="C108" s="278"/>
      <c r="D108" s="278"/>
      <c r="E108" s="278"/>
      <c r="F108" s="278"/>
      <c r="G108" s="278"/>
      <c r="H108" s="278"/>
      <c r="I108" s="278"/>
      <c r="J108" s="278"/>
      <c r="K108" s="278"/>
      <c r="L108" s="278"/>
      <c r="M108" s="278"/>
      <c r="N108" s="278"/>
      <c r="O108" s="278"/>
      <c r="P108" s="278"/>
      <c r="Q108" s="278"/>
      <c r="R108" s="278"/>
      <c r="S108" s="278"/>
      <c r="T108" s="278"/>
      <c r="U108" s="278"/>
      <c r="V108" s="278"/>
    </row>
    <row r="109" spans="1:22">
      <c r="A109" s="278" t="s">
        <v>83</v>
      </c>
      <c r="B109" s="278"/>
      <c r="C109" s="278"/>
      <c r="D109" s="278"/>
      <c r="E109" s="278"/>
      <c r="F109" s="278"/>
      <c r="G109" s="278"/>
      <c r="H109" s="278"/>
      <c r="I109" s="278"/>
      <c r="J109" s="278"/>
      <c r="K109" s="278"/>
      <c r="L109" s="278"/>
      <c r="M109" s="278"/>
      <c r="N109" s="278"/>
      <c r="O109" s="278"/>
      <c r="P109" s="278"/>
      <c r="Q109" s="278"/>
      <c r="R109" s="278"/>
      <c r="S109" s="278"/>
      <c r="T109" s="278"/>
      <c r="U109" s="278"/>
      <c r="V109" s="278"/>
    </row>
    <row r="112" spans="1:22">
      <c r="A112" s="295" t="s">
        <v>84</v>
      </c>
    </row>
    <row r="114" spans="1:1">
      <c r="A114" s="249" t="s">
        <v>85</v>
      </c>
    </row>
    <row r="115" spans="1:1">
      <c r="A115" s="249" t="s">
        <v>86</v>
      </c>
    </row>
    <row r="116" spans="1:1">
      <c r="A116" s="249" t="s">
        <v>87</v>
      </c>
    </row>
    <row r="117" spans="1:1">
      <c r="A117" s="249" t="s">
        <v>88</v>
      </c>
    </row>
    <row r="118" spans="1:1">
      <c r="A118" s="249" t="s">
        <v>89</v>
      </c>
    </row>
    <row r="119" spans="1:1">
      <c r="A119" s="249" t="s">
        <v>90</v>
      </c>
    </row>
  </sheetData>
  <mergeCells count="10">
    <mergeCell ref="T97:V99"/>
    <mergeCell ref="A99:R99"/>
    <mergeCell ref="A101:R101"/>
    <mergeCell ref="A103:R103"/>
    <mergeCell ref="T42:T49"/>
    <mergeCell ref="S69:T70"/>
    <mergeCell ref="U69:U70"/>
    <mergeCell ref="A93:R93"/>
    <mergeCell ref="T94:V95"/>
    <mergeCell ref="A95:R9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B864-7596-4DF4-AB5D-E651C61C99B9}">
  <sheetPr filterMode="1"/>
  <dimension ref="A1:X93"/>
  <sheetViews>
    <sheetView zoomScaleNormal="100" workbookViewId="0">
      <pane xSplit="1" ySplit="2" topLeftCell="B26" activePane="bottomRight" state="frozen"/>
      <selection activeCell="Z25" sqref="Z25"/>
      <selection pane="topRight" activeCell="Z25" sqref="Z25"/>
      <selection pane="bottomLeft" activeCell="Z25" sqref="Z25"/>
      <selection pane="bottomRight" activeCell="V77" sqref="I26:V77"/>
    </sheetView>
  </sheetViews>
  <sheetFormatPr defaultColWidth="9.140625" defaultRowHeight="11.25"/>
  <cols>
    <col min="1" max="1" width="20.7109375" style="332" customWidth="1"/>
    <col min="2" max="2" width="23" style="332" customWidth="1"/>
    <col min="3" max="3" width="9.140625" style="332" bestFit="1" customWidth="1"/>
    <col min="4" max="4" width="45.7109375" style="332" customWidth="1"/>
    <col min="5" max="5" width="44" style="340" customWidth="1"/>
    <col min="6" max="7" width="14.42578125" style="341" customWidth="1"/>
    <col min="8" max="8" width="22.42578125" style="341" customWidth="1"/>
    <col min="9" max="9" width="10" style="332" customWidth="1"/>
    <col min="10" max="12" width="15.140625" style="332" customWidth="1"/>
    <col min="13" max="20" width="11" style="332" customWidth="1"/>
    <col min="21" max="21" width="15.28515625" style="332" customWidth="1"/>
    <col min="22" max="22" width="11.28515625" style="332" bestFit="1" customWidth="1"/>
    <col min="23" max="23" width="13.28515625" style="332" customWidth="1"/>
    <col min="24" max="24" width="19" style="332" customWidth="1"/>
    <col min="25" max="16384" width="9.140625" style="332"/>
  </cols>
  <sheetData>
    <row r="1" spans="1:24" s="326" customFormat="1">
      <c r="A1" s="249"/>
      <c r="B1" s="383" t="s">
        <v>91</v>
      </c>
      <c r="C1" s="383"/>
      <c r="D1" s="383" t="s">
        <v>92</v>
      </c>
      <c r="E1" s="383"/>
      <c r="F1" s="325" t="s">
        <v>93</v>
      </c>
      <c r="G1" s="324"/>
      <c r="H1" s="324"/>
      <c r="J1" s="383" t="s">
        <v>94</v>
      </c>
      <c r="K1" s="383"/>
      <c r="L1" s="383"/>
      <c r="M1" s="383"/>
      <c r="N1" s="383"/>
      <c r="O1" s="383"/>
      <c r="P1" s="383"/>
      <c r="Q1" s="324"/>
      <c r="R1" s="324"/>
      <c r="S1" s="324"/>
      <c r="T1" s="324"/>
    </row>
    <row r="2" spans="1:24" s="326" customFormat="1" ht="33.75">
      <c r="A2" s="327" t="s">
        <v>95</v>
      </c>
      <c r="B2" s="327" t="s">
        <v>96</v>
      </c>
      <c r="C2" s="327" t="s">
        <v>97</v>
      </c>
      <c r="D2" s="327" t="s">
        <v>98</v>
      </c>
      <c r="E2" s="328" t="s">
        <v>99</v>
      </c>
      <c r="F2" s="327" t="s">
        <v>100</v>
      </c>
      <c r="G2" s="327" t="s">
        <v>101</v>
      </c>
      <c r="H2" s="327" t="s">
        <v>102</v>
      </c>
      <c r="I2" s="327" t="s">
        <v>103</v>
      </c>
      <c r="J2" s="327" t="s">
        <v>104</v>
      </c>
      <c r="K2" s="327" t="s">
        <v>105</v>
      </c>
      <c r="L2" s="327" t="s">
        <v>106</v>
      </c>
      <c r="M2" s="329" t="s">
        <v>107</v>
      </c>
      <c r="N2" s="329" t="s">
        <v>108</v>
      </c>
      <c r="O2" s="329" t="s">
        <v>109</v>
      </c>
      <c r="P2" s="329" t="s">
        <v>110</v>
      </c>
      <c r="Q2" s="329" t="s">
        <v>111</v>
      </c>
      <c r="R2" s="329" t="s">
        <v>112</v>
      </c>
      <c r="S2" s="329" t="s">
        <v>113</v>
      </c>
      <c r="T2" s="329" t="s">
        <v>114</v>
      </c>
      <c r="U2" s="327" t="s">
        <v>115</v>
      </c>
      <c r="V2" s="326" t="s">
        <v>116</v>
      </c>
      <c r="W2" s="327" t="s">
        <v>117</v>
      </c>
      <c r="X2" s="327" t="s">
        <v>118</v>
      </c>
    </row>
    <row r="3" spans="1:24" s="91" customFormat="1" ht="30" hidden="1">
      <c r="A3" s="81" t="s">
        <v>119</v>
      </c>
      <c r="B3" s="81" t="s">
        <v>120</v>
      </c>
      <c r="C3" s="81" t="s">
        <v>121</v>
      </c>
      <c r="D3" s="82"/>
      <c r="E3" s="83" t="s">
        <v>122</v>
      </c>
      <c r="F3" s="84">
        <v>2014</v>
      </c>
      <c r="G3" s="85"/>
      <c r="H3" s="81" t="s">
        <v>123</v>
      </c>
      <c r="I3" s="86">
        <v>1</v>
      </c>
      <c r="J3" s="87">
        <v>982</v>
      </c>
      <c r="K3" s="87"/>
      <c r="L3" s="87"/>
      <c r="M3" s="88">
        <v>900</v>
      </c>
      <c r="N3" s="88">
        <v>82</v>
      </c>
      <c r="O3" s="88">
        <f t="shared" ref="O3:O46" si="0">IF(K3="",0,(K3*(M3/J3))-M3)</f>
        <v>0</v>
      </c>
      <c r="P3" s="88">
        <f t="shared" ref="P3:P46" si="1">IF(K3="",0,(K3*(N3/J3))-N3)</f>
        <v>0</v>
      </c>
      <c r="Q3" s="88">
        <f t="shared" ref="Q3:T34" si="2">M3*$I3</f>
        <v>900</v>
      </c>
      <c r="R3" s="88">
        <f t="shared" si="2"/>
        <v>82</v>
      </c>
      <c r="S3" s="88">
        <f t="shared" si="2"/>
        <v>0</v>
      </c>
      <c r="T3" s="88">
        <f t="shared" si="2"/>
        <v>0</v>
      </c>
      <c r="U3" s="85" t="s">
        <v>5</v>
      </c>
      <c r="V3" s="89" t="s">
        <v>26</v>
      </c>
      <c r="W3" s="90"/>
      <c r="X3" s="90"/>
    </row>
    <row r="4" spans="1:24" s="91" customFormat="1" ht="27" hidden="1">
      <c r="A4" s="81" t="s">
        <v>124</v>
      </c>
      <c r="B4" s="81" t="s">
        <v>125</v>
      </c>
      <c r="C4" s="81" t="s">
        <v>121</v>
      </c>
      <c r="D4" s="82" t="s">
        <v>126</v>
      </c>
      <c r="E4" s="83" t="s">
        <v>127</v>
      </c>
      <c r="F4" s="84">
        <v>2024</v>
      </c>
      <c r="G4" s="92"/>
      <c r="H4" s="93" t="s">
        <v>123</v>
      </c>
      <c r="I4" s="86">
        <v>1</v>
      </c>
      <c r="J4" s="87">
        <v>750</v>
      </c>
      <c r="K4" s="87"/>
      <c r="L4" s="87"/>
      <c r="M4" s="88">
        <f>J4*0.5</f>
        <v>375</v>
      </c>
      <c r="N4" s="88">
        <f>J4*0.5</f>
        <v>375</v>
      </c>
      <c r="O4" s="88">
        <f t="shared" si="0"/>
        <v>0</v>
      </c>
      <c r="P4" s="88">
        <f t="shared" si="1"/>
        <v>0</v>
      </c>
      <c r="Q4" s="88">
        <f t="shared" si="2"/>
        <v>375</v>
      </c>
      <c r="R4" s="88">
        <f t="shared" si="2"/>
        <v>375</v>
      </c>
      <c r="S4" s="88">
        <f t="shared" si="2"/>
        <v>0</v>
      </c>
      <c r="T4" s="88">
        <f t="shared" si="2"/>
        <v>0</v>
      </c>
      <c r="U4" s="85" t="s">
        <v>5</v>
      </c>
      <c r="V4" s="89" t="s">
        <v>26</v>
      </c>
      <c r="W4" s="90" t="s">
        <v>128</v>
      </c>
      <c r="X4" s="90"/>
    </row>
    <row r="5" spans="1:24" s="91" customFormat="1" ht="45.75" hidden="1">
      <c r="A5" s="81" t="s">
        <v>129</v>
      </c>
      <c r="B5" s="81" t="s">
        <v>130</v>
      </c>
      <c r="C5" s="81" t="s">
        <v>121</v>
      </c>
      <c r="D5" s="94" t="s">
        <v>131</v>
      </c>
      <c r="E5" s="83" t="s">
        <v>132</v>
      </c>
      <c r="F5" s="84">
        <v>2026</v>
      </c>
      <c r="G5" s="85"/>
      <c r="H5" s="81" t="s">
        <v>133</v>
      </c>
      <c r="I5" s="86">
        <v>0.75</v>
      </c>
      <c r="J5" s="87">
        <v>750</v>
      </c>
      <c r="K5" s="87"/>
      <c r="L5" s="87"/>
      <c r="M5" s="88">
        <v>375</v>
      </c>
      <c r="N5" s="88">
        <v>375</v>
      </c>
      <c r="O5" s="88">
        <f t="shared" si="0"/>
        <v>0</v>
      </c>
      <c r="P5" s="88">
        <f t="shared" si="1"/>
        <v>0</v>
      </c>
      <c r="Q5" s="88">
        <f t="shared" si="2"/>
        <v>281.25</v>
      </c>
      <c r="R5" s="88">
        <f t="shared" si="2"/>
        <v>281.25</v>
      </c>
      <c r="S5" s="88">
        <f t="shared" si="2"/>
        <v>0</v>
      </c>
      <c r="T5" s="88">
        <f t="shared" si="2"/>
        <v>0</v>
      </c>
      <c r="U5" s="85" t="s">
        <v>5</v>
      </c>
      <c r="V5" s="89" t="s">
        <v>26</v>
      </c>
      <c r="W5" s="90"/>
      <c r="X5" s="90"/>
    </row>
    <row r="6" spans="1:24" s="91" customFormat="1" ht="30" hidden="1">
      <c r="A6" s="81" t="s">
        <v>134</v>
      </c>
      <c r="B6" s="81" t="s">
        <v>135</v>
      </c>
      <c r="C6" s="81" t="s">
        <v>121</v>
      </c>
      <c r="D6" s="82" t="s">
        <v>126</v>
      </c>
      <c r="E6" s="83" t="s">
        <v>136</v>
      </c>
      <c r="F6" s="84">
        <v>2027</v>
      </c>
      <c r="G6" s="85"/>
      <c r="H6" s="81" t="s">
        <v>137</v>
      </c>
      <c r="I6" s="86">
        <v>0.5</v>
      </c>
      <c r="J6" s="87">
        <v>730</v>
      </c>
      <c r="K6" s="87"/>
      <c r="L6" s="87"/>
      <c r="M6" s="88">
        <v>380</v>
      </c>
      <c r="N6" s="88">
        <v>350</v>
      </c>
      <c r="O6" s="88">
        <f t="shared" si="0"/>
        <v>0</v>
      </c>
      <c r="P6" s="88">
        <f t="shared" si="1"/>
        <v>0</v>
      </c>
      <c r="Q6" s="88">
        <f t="shared" si="2"/>
        <v>190</v>
      </c>
      <c r="R6" s="88">
        <f t="shared" si="2"/>
        <v>175</v>
      </c>
      <c r="S6" s="88">
        <f t="shared" si="2"/>
        <v>0</v>
      </c>
      <c r="T6" s="88">
        <f t="shared" si="2"/>
        <v>0</v>
      </c>
      <c r="U6" s="85" t="s">
        <v>5</v>
      </c>
      <c r="V6" s="89" t="s">
        <v>26</v>
      </c>
      <c r="W6" s="90" t="s">
        <v>128</v>
      </c>
      <c r="X6" s="90"/>
    </row>
    <row r="7" spans="1:24" s="91" customFormat="1" ht="23.25" hidden="1">
      <c r="A7" s="81" t="s">
        <v>138</v>
      </c>
      <c r="B7" s="81" t="s">
        <v>139</v>
      </c>
      <c r="C7" s="81" t="s">
        <v>121</v>
      </c>
      <c r="D7" s="82" t="s">
        <v>140</v>
      </c>
      <c r="E7" s="83" t="s">
        <v>141</v>
      </c>
      <c r="F7" s="95">
        <v>2027</v>
      </c>
      <c r="G7" s="96"/>
      <c r="H7" s="97" t="s">
        <v>142</v>
      </c>
      <c r="I7" s="86">
        <v>0.01</v>
      </c>
      <c r="J7" s="87">
        <v>500</v>
      </c>
      <c r="K7" s="87"/>
      <c r="L7" s="87"/>
      <c r="M7" s="88">
        <f>J7/2</f>
        <v>250</v>
      </c>
      <c r="N7" s="88">
        <f>J7/2</f>
        <v>250</v>
      </c>
      <c r="O7" s="88">
        <f t="shared" si="0"/>
        <v>0</v>
      </c>
      <c r="P7" s="88">
        <f t="shared" si="1"/>
        <v>0</v>
      </c>
      <c r="Q7" s="88">
        <f t="shared" si="2"/>
        <v>2.5</v>
      </c>
      <c r="R7" s="88">
        <f t="shared" si="2"/>
        <v>2.5</v>
      </c>
      <c r="S7" s="88">
        <f t="shared" si="2"/>
        <v>0</v>
      </c>
      <c r="T7" s="88">
        <f t="shared" si="2"/>
        <v>0</v>
      </c>
      <c r="U7" s="85" t="s">
        <v>5</v>
      </c>
      <c r="V7" s="89" t="s">
        <v>26</v>
      </c>
      <c r="W7" s="90"/>
      <c r="X7" s="90"/>
    </row>
    <row r="8" spans="1:24" s="91" customFormat="1" ht="45" hidden="1">
      <c r="A8" s="81" t="s">
        <v>143</v>
      </c>
      <c r="B8" s="81" t="s">
        <v>144</v>
      </c>
      <c r="C8" s="81" t="s">
        <v>121</v>
      </c>
      <c r="D8" s="94" t="s">
        <v>145</v>
      </c>
      <c r="E8" s="83" t="s">
        <v>146</v>
      </c>
      <c r="F8" s="84">
        <v>2027</v>
      </c>
      <c r="G8" s="85"/>
      <c r="H8" s="81" t="s">
        <v>147</v>
      </c>
      <c r="I8" s="86">
        <v>0.75</v>
      </c>
      <c r="J8" s="87">
        <v>497</v>
      </c>
      <c r="K8" s="87"/>
      <c r="L8" s="87"/>
      <c r="M8" s="88">
        <f>J8/2</f>
        <v>248.5</v>
      </c>
      <c r="N8" s="88">
        <f>J8/2</f>
        <v>248.5</v>
      </c>
      <c r="O8" s="88">
        <f t="shared" si="0"/>
        <v>0</v>
      </c>
      <c r="P8" s="88">
        <f t="shared" si="1"/>
        <v>0</v>
      </c>
      <c r="Q8" s="88">
        <f t="shared" si="2"/>
        <v>186.375</v>
      </c>
      <c r="R8" s="88">
        <f t="shared" si="2"/>
        <v>186.375</v>
      </c>
      <c r="S8" s="88">
        <f t="shared" si="2"/>
        <v>0</v>
      </c>
      <c r="T8" s="88">
        <f t="shared" si="2"/>
        <v>0</v>
      </c>
      <c r="U8" s="85" t="s">
        <v>5</v>
      </c>
      <c r="V8" s="89" t="s">
        <v>26</v>
      </c>
      <c r="W8" s="90"/>
      <c r="X8" s="90"/>
    </row>
    <row r="9" spans="1:24" s="91" customFormat="1" ht="45.75" hidden="1">
      <c r="A9" s="81" t="s">
        <v>119</v>
      </c>
      <c r="B9" s="81" t="s">
        <v>148</v>
      </c>
      <c r="C9" s="81" t="s">
        <v>121</v>
      </c>
      <c r="D9" s="82" t="s">
        <v>149</v>
      </c>
      <c r="E9" s="83" t="s">
        <v>150</v>
      </c>
      <c r="F9" s="84">
        <v>2024</v>
      </c>
      <c r="G9" s="85"/>
      <c r="H9" s="81" t="s">
        <v>123</v>
      </c>
      <c r="I9" s="86">
        <v>1</v>
      </c>
      <c r="J9" s="87">
        <v>470</v>
      </c>
      <c r="K9" s="87"/>
      <c r="L9" s="87"/>
      <c r="M9" s="88">
        <f>J9*0.1</f>
        <v>47</v>
      </c>
      <c r="N9" s="88">
        <f>J9*0.9</f>
        <v>423</v>
      </c>
      <c r="O9" s="88">
        <f t="shared" si="0"/>
        <v>0</v>
      </c>
      <c r="P9" s="88">
        <f t="shared" si="1"/>
        <v>0</v>
      </c>
      <c r="Q9" s="88">
        <f t="shared" si="2"/>
        <v>47</v>
      </c>
      <c r="R9" s="88">
        <f t="shared" si="2"/>
        <v>423</v>
      </c>
      <c r="S9" s="88">
        <f t="shared" si="2"/>
        <v>0</v>
      </c>
      <c r="T9" s="88">
        <f t="shared" si="2"/>
        <v>0</v>
      </c>
      <c r="U9" s="85" t="s">
        <v>5</v>
      </c>
      <c r="V9" s="89" t="s">
        <v>26</v>
      </c>
      <c r="W9" s="90"/>
      <c r="X9" s="90"/>
    </row>
    <row r="10" spans="1:24" s="91" customFormat="1" ht="27" hidden="1">
      <c r="A10" s="98" t="s">
        <v>151</v>
      </c>
      <c r="B10" s="98" t="s">
        <v>152</v>
      </c>
      <c r="C10" s="98" t="s">
        <v>121</v>
      </c>
      <c r="D10" s="99" t="s">
        <v>153</v>
      </c>
      <c r="E10" s="100" t="s">
        <v>154</v>
      </c>
      <c r="F10" s="101">
        <v>2021</v>
      </c>
      <c r="G10" s="102"/>
      <c r="H10" s="98" t="s">
        <v>155</v>
      </c>
      <c r="I10" s="86">
        <v>1E-3</v>
      </c>
      <c r="J10" s="87">
        <v>350</v>
      </c>
      <c r="K10" s="87"/>
      <c r="L10" s="87"/>
      <c r="M10" s="88">
        <v>0</v>
      </c>
      <c r="N10" s="88">
        <v>350</v>
      </c>
      <c r="O10" s="88">
        <f t="shared" si="0"/>
        <v>0</v>
      </c>
      <c r="P10" s="88">
        <f t="shared" si="1"/>
        <v>0</v>
      </c>
      <c r="Q10" s="88">
        <f t="shared" si="2"/>
        <v>0</v>
      </c>
      <c r="R10" s="88">
        <f t="shared" si="2"/>
        <v>0.35000000000000003</v>
      </c>
      <c r="S10" s="88">
        <f t="shared" si="2"/>
        <v>0</v>
      </c>
      <c r="T10" s="88">
        <f t="shared" si="2"/>
        <v>0</v>
      </c>
      <c r="U10" s="85" t="s">
        <v>5</v>
      </c>
      <c r="V10" s="89" t="s">
        <v>26</v>
      </c>
      <c r="W10" s="90"/>
      <c r="X10" s="90"/>
    </row>
    <row r="11" spans="1:24" s="91" customFormat="1" ht="63" hidden="1">
      <c r="A11" s="81" t="s">
        <v>156</v>
      </c>
      <c r="B11" s="81" t="s">
        <v>157</v>
      </c>
      <c r="C11" s="81" t="s">
        <v>158</v>
      </c>
      <c r="D11" s="82" t="s">
        <v>159</v>
      </c>
      <c r="E11" s="90"/>
      <c r="F11" s="84">
        <v>2027</v>
      </c>
      <c r="G11" s="103"/>
      <c r="H11" s="81" t="s">
        <v>160</v>
      </c>
      <c r="I11" s="86">
        <v>0.5</v>
      </c>
      <c r="J11" s="87">
        <v>328</v>
      </c>
      <c r="K11" s="87"/>
      <c r="L11" s="104">
        <v>944000</v>
      </c>
      <c r="M11" s="88">
        <v>28</v>
      </c>
      <c r="N11" s="88">
        <v>300</v>
      </c>
      <c r="O11" s="88">
        <f t="shared" si="0"/>
        <v>0</v>
      </c>
      <c r="P11" s="88">
        <f t="shared" si="1"/>
        <v>0</v>
      </c>
      <c r="Q11" s="88">
        <f t="shared" si="2"/>
        <v>14</v>
      </c>
      <c r="R11" s="88">
        <f t="shared" si="2"/>
        <v>150</v>
      </c>
      <c r="S11" s="88">
        <f t="shared" si="2"/>
        <v>0</v>
      </c>
      <c r="T11" s="88">
        <f t="shared" si="2"/>
        <v>0</v>
      </c>
      <c r="U11" s="85" t="s">
        <v>5</v>
      </c>
      <c r="V11" s="89" t="s">
        <v>26</v>
      </c>
      <c r="W11" s="105" t="s">
        <v>161</v>
      </c>
      <c r="X11" s="105" t="s">
        <v>162</v>
      </c>
    </row>
    <row r="12" spans="1:24" s="91" customFormat="1" ht="45.75" hidden="1">
      <c r="A12" s="106" t="s">
        <v>163</v>
      </c>
      <c r="B12" s="81" t="s">
        <v>164</v>
      </c>
      <c r="C12" s="81" t="s">
        <v>158</v>
      </c>
      <c r="D12" s="82" t="s">
        <v>165</v>
      </c>
      <c r="E12" s="83" t="s">
        <v>166</v>
      </c>
      <c r="F12" s="84">
        <v>2025</v>
      </c>
      <c r="G12" s="103"/>
      <c r="H12" s="81" t="s">
        <v>133</v>
      </c>
      <c r="I12" s="86">
        <v>0.8</v>
      </c>
      <c r="J12" s="87">
        <f>(20000*365*42)*1.1/1000000</f>
        <v>337.26</v>
      </c>
      <c r="K12" s="87"/>
      <c r="L12" s="87"/>
      <c r="M12" s="88">
        <f>J12*0.9</f>
        <v>303.53399999999999</v>
      </c>
      <c r="N12" s="88">
        <f>J12*0.1</f>
        <v>33.725999999999999</v>
      </c>
      <c r="O12" s="88">
        <f t="shared" si="0"/>
        <v>0</v>
      </c>
      <c r="P12" s="88">
        <f t="shared" si="1"/>
        <v>0</v>
      </c>
      <c r="Q12" s="88">
        <f t="shared" si="2"/>
        <v>242.8272</v>
      </c>
      <c r="R12" s="88">
        <f t="shared" si="2"/>
        <v>26.980800000000002</v>
      </c>
      <c r="S12" s="88">
        <f t="shared" si="2"/>
        <v>0</v>
      </c>
      <c r="T12" s="88">
        <f t="shared" si="2"/>
        <v>0</v>
      </c>
      <c r="U12" s="85" t="s">
        <v>5</v>
      </c>
      <c r="V12" s="89" t="s">
        <v>26</v>
      </c>
      <c r="W12" s="90" t="s">
        <v>128</v>
      </c>
      <c r="X12" s="90" t="s">
        <v>167</v>
      </c>
    </row>
    <row r="13" spans="1:24" s="91" customFormat="1" ht="45.75" hidden="1">
      <c r="A13" s="81" t="s">
        <v>168</v>
      </c>
      <c r="B13" s="81" t="s">
        <v>169</v>
      </c>
      <c r="C13" s="81" t="s">
        <v>158</v>
      </c>
      <c r="D13" s="82" t="s">
        <v>170</v>
      </c>
      <c r="E13" s="83" t="s">
        <v>171</v>
      </c>
      <c r="F13" s="84">
        <v>2024</v>
      </c>
      <c r="G13" s="85"/>
      <c r="H13" s="81" t="s">
        <v>123</v>
      </c>
      <c r="I13" s="86">
        <v>1</v>
      </c>
      <c r="J13" s="87">
        <v>275</v>
      </c>
      <c r="K13" s="87"/>
      <c r="L13" s="104"/>
      <c r="M13" s="88">
        <f>J13*0.9</f>
        <v>247.5</v>
      </c>
      <c r="N13" s="88">
        <f>J13*0.1</f>
        <v>27.5</v>
      </c>
      <c r="O13" s="88">
        <f t="shared" si="0"/>
        <v>0</v>
      </c>
      <c r="P13" s="88">
        <f t="shared" si="1"/>
        <v>0</v>
      </c>
      <c r="Q13" s="88">
        <f t="shared" si="2"/>
        <v>247.5</v>
      </c>
      <c r="R13" s="88">
        <f t="shared" si="2"/>
        <v>27.5</v>
      </c>
      <c r="S13" s="88">
        <f t="shared" si="2"/>
        <v>0</v>
      </c>
      <c r="T13" s="88">
        <f t="shared" si="2"/>
        <v>0</v>
      </c>
      <c r="U13" s="85" t="s">
        <v>5</v>
      </c>
      <c r="V13" s="89" t="s">
        <v>26</v>
      </c>
      <c r="W13" s="90" t="s">
        <v>161</v>
      </c>
      <c r="X13" s="90"/>
    </row>
    <row r="14" spans="1:24" s="91" customFormat="1" ht="68.25" hidden="1">
      <c r="A14" s="81" t="s">
        <v>172</v>
      </c>
      <c r="B14" s="81" t="s">
        <v>152</v>
      </c>
      <c r="C14" s="81" t="s">
        <v>121</v>
      </c>
      <c r="D14" s="82" t="s">
        <v>173</v>
      </c>
      <c r="E14" s="83" t="s">
        <v>174</v>
      </c>
      <c r="F14" s="84">
        <v>2027</v>
      </c>
      <c r="G14" s="85"/>
      <c r="H14" s="81" t="s">
        <v>175</v>
      </c>
      <c r="I14" s="86">
        <v>0.5</v>
      </c>
      <c r="J14" s="87">
        <v>250</v>
      </c>
      <c r="K14" s="87"/>
      <c r="L14" s="87"/>
      <c r="M14" s="88">
        <v>0</v>
      </c>
      <c r="N14" s="88">
        <f>J14</f>
        <v>250</v>
      </c>
      <c r="O14" s="88">
        <f t="shared" si="0"/>
        <v>0</v>
      </c>
      <c r="P14" s="88">
        <f t="shared" si="1"/>
        <v>0</v>
      </c>
      <c r="Q14" s="88">
        <f t="shared" si="2"/>
        <v>0</v>
      </c>
      <c r="R14" s="88">
        <f t="shared" si="2"/>
        <v>125</v>
      </c>
      <c r="S14" s="88">
        <f t="shared" si="2"/>
        <v>0</v>
      </c>
      <c r="T14" s="88">
        <f t="shared" si="2"/>
        <v>0</v>
      </c>
      <c r="U14" s="85" t="s">
        <v>6</v>
      </c>
      <c r="V14" s="89" t="s">
        <v>27</v>
      </c>
      <c r="W14" s="90"/>
      <c r="X14" s="90"/>
    </row>
    <row r="15" spans="1:24" s="91" customFormat="1" ht="27" hidden="1">
      <c r="A15" s="81" t="s">
        <v>176</v>
      </c>
      <c r="B15" s="81" t="s">
        <v>152</v>
      </c>
      <c r="C15" s="81" t="s">
        <v>121</v>
      </c>
      <c r="D15" s="82" t="s">
        <v>177</v>
      </c>
      <c r="E15" s="83" t="s">
        <v>178</v>
      </c>
      <c r="F15" s="84">
        <v>2027</v>
      </c>
      <c r="G15" s="85"/>
      <c r="H15" s="81" t="s">
        <v>133</v>
      </c>
      <c r="I15" s="86">
        <v>0.5</v>
      </c>
      <c r="J15" s="87">
        <v>250</v>
      </c>
      <c r="K15" s="87"/>
      <c r="L15" s="87"/>
      <c r="M15" s="88">
        <f>J15/2</f>
        <v>125</v>
      </c>
      <c r="N15" s="88">
        <f>J15/2</f>
        <v>125</v>
      </c>
      <c r="O15" s="88">
        <f t="shared" si="0"/>
        <v>0</v>
      </c>
      <c r="P15" s="88">
        <f t="shared" si="1"/>
        <v>0</v>
      </c>
      <c r="Q15" s="88">
        <f t="shared" si="2"/>
        <v>62.5</v>
      </c>
      <c r="R15" s="88">
        <f t="shared" si="2"/>
        <v>62.5</v>
      </c>
      <c r="S15" s="88">
        <f t="shared" si="2"/>
        <v>0</v>
      </c>
      <c r="T15" s="88">
        <f t="shared" si="2"/>
        <v>0</v>
      </c>
      <c r="U15" s="85" t="s">
        <v>5</v>
      </c>
      <c r="V15" s="89" t="s">
        <v>26</v>
      </c>
      <c r="W15" s="90"/>
      <c r="X15" s="90"/>
    </row>
    <row r="16" spans="1:24" s="91" customFormat="1" ht="30" hidden="1">
      <c r="A16" s="81" t="s">
        <v>179</v>
      </c>
      <c r="B16" s="81" t="s">
        <v>180</v>
      </c>
      <c r="C16" s="81" t="s">
        <v>158</v>
      </c>
      <c r="D16" s="82" t="s">
        <v>181</v>
      </c>
      <c r="E16" s="83" t="s">
        <v>182</v>
      </c>
      <c r="F16" s="84">
        <v>2027</v>
      </c>
      <c r="G16" s="103"/>
      <c r="H16" s="81" t="s">
        <v>183</v>
      </c>
      <c r="I16" s="86">
        <v>0.01</v>
      </c>
      <c r="J16" s="87">
        <f>15000*42*365/1000000</f>
        <v>229.95</v>
      </c>
      <c r="K16" s="87"/>
      <c r="L16" s="104"/>
      <c r="M16" s="88">
        <f>J16</f>
        <v>229.95</v>
      </c>
      <c r="N16" s="88">
        <v>0</v>
      </c>
      <c r="O16" s="88">
        <f t="shared" si="0"/>
        <v>0</v>
      </c>
      <c r="P16" s="88">
        <f t="shared" si="1"/>
        <v>0</v>
      </c>
      <c r="Q16" s="88">
        <f t="shared" si="2"/>
        <v>2.2995000000000001</v>
      </c>
      <c r="R16" s="88">
        <f t="shared" si="2"/>
        <v>0</v>
      </c>
      <c r="S16" s="88">
        <f t="shared" si="2"/>
        <v>0</v>
      </c>
      <c r="T16" s="88">
        <f t="shared" si="2"/>
        <v>0</v>
      </c>
      <c r="U16" s="85" t="s">
        <v>5</v>
      </c>
      <c r="V16" s="89" t="s">
        <v>26</v>
      </c>
      <c r="W16" s="90" t="s">
        <v>161</v>
      </c>
      <c r="X16" s="90"/>
    </row>
    <row r="17" spans="1:24" s="91" customFormat="1" ht="23.25" hidden="1">
      <c r="A17" s="81" t="s">
        <v>184</v>
      </c>
      <c r="B17" s="81" t="s">
        <v>185</v>
      </c>
      <c r="C17" s="81" t="s">
        <v>121</v>
      </c>
      <c r="D17" s="82" t="s">
        <v>186</v>
      </c>
      <c r="E17" s="83" t="s">
        <v>187</v>
      </c>
      <c r="F17" s="84">
        <v>2031</v>
      </c>
      <c r="G17" s="85"/>
      <c r="H17" s="81" t="s">
        <v>188</v>
      </c>
      <c r="I17" s="86">
        <v>0.25</v>
      </c>
      <c r="J17" s="87">
        <v>220</v>
      </c>
      <c r="K17" s="87"/>
      <c r="L17" s="87"/>
      <c r="M17" s="88">
        <f>J17</f>
        <v>220</v>
      </c>
      <c r="N17" s="88">
        <v>0</v>
      </c>
      <c r="O17" s="88">
        <f t="shared" si="0"/>
        <v>0</v>
      </c>
      <c r="P17" s="88">
        <f t="shared" si="1"/>
        <v>0</v>
      </c>
      <c r="Q17" s="88">
        <f t="shared" si="2"/>
        <v>55</v>
      </c>
      <c r="R17" s="88">
        <f t="shared" si="2"/>
        <v>0</v>
      </c>
      <c r="S17" s="88">
        <f t="shared" si="2"/>
        <v>0</v>
      </c>
      <c r="T17" s="88">
        <f t="shared" si="2"/>
        <v>0</v>
      </c>
      <c r="U17" s="85" t="s">
        <v>5</v>
      </c>
      <c r="V17" s="89" t="s">
        <v>26</v>
      </c>
      <c r="W17" s="90"/>
      <c r="X17" s="90"/>
    </row>
    <row r="18" spans="1:24" s="91" customFormat="1" ht="30" hidden="1">
      <c r="A18" s="81" t="s">
        <v>189</v>
      </c>
      <c r="B18" s="81" t="s">
        <v>190</v>
      </c>
      <c r="C18" s="81" t="s">
        <v>121</v>
      </c>
      <c r="D18" s="82" t="s">
        <v>191</v>
      </c>
      <c r="E18" s="83"/>
      <c r="F18" s="84">
        <v>2030</v>
      </c>
      <c r="G18" s="85"/>
      <c r="H18" s="81" t="s">
        <v>188</v>
      </c>
      <c r="I18" s="86">
        <v>0.25</v>
      </c>
      <c r="J18" s="87">
        <v>193</v>
      </c>
      <c r="K18" s="87"/>
      <c r="L18" s="87"/>
      <c r="M18" s="88">
        <v>0</v>
      </c>
      <c r="N18" s="88">
        <v>193</v>
      </c>
      <c r="O18" s="88">
        <f t="shared" si="0"/>
        <v>0</v>
      </c>
      <c r="P18" s="88">
        <f t="shared" si="1"/>
        <v>0</v>
      </c>
      <c r="Q18" s="88">
        <f t="shared" si="2"/>
        <v>0</v>
      </c>
      <c r="R18" s="88">
        <f t="shared" si="2"/>
        <v>48.25</v>
      </c>
      <c r="S18" s="88">
        <f t="shared" si="2"/>
        <v>0</v>
      </c>
      <c r="T18" s="88">
        <f t="shared" si="2"/>
        <v>0</v>
      </c>
      <c r="U18" s="85"/>
      <c r="V18" s="89"/>
      <c r="W18" s="90"/>
      <c r="X18" s="90"/>
    </row>
    <row r="19" spans="1:24" s="91" customFormat="1" ht="45.75" hidden="1">
      <c r="A19" s="81" t="s">
        <v>189</v>
      </c>
      <c r="B19" s="81" t="s">
        <v>192</v>
      </c>
      <c r="C19" s="81" t="s">
        <v>121</v>
      </c>
      <c r="D19" s="82" t="s">
        <v>193</v>
      </c>
      <c r="E19" s="83" t="s">
        <v>194</v>
      </c>
      <c r="F19" s="84">
        <v>2027</v>
      </c>
      <c r="G19" s="85"/>
      <c r="H19" s="81" t="s">
        <v>188</v>
      </c>
      <c r="I19" s="86">
        <v>0.25</v>
      </c>
      <c r="J19" s="87">
        <v>190</v>
      </c>
      <c r="K19" s="87"/>
      <c r="L19" s="87"/>
      <c r="M19" s="88">
        <v>0</v>
      </c>
      <c r="N19" s="88">
        <f>J19</f>
        <v>190</v>
      </c>
      <c r="O19" s="88">
        <f t="shared" si="0"/>
        <v>0</v>
      </c>
      <c r="P19" s="88">
        <f t="shared" si="1"/>
        <v>0</v>
      </c>
      <c r="Q19" s="88">
        <f t="shared" si="2"/>
        <v>0</v>
      </c>
      <c r="R19" s="88">
        <f t="shared" si="2"/>
        <v>47.5</v>
      </c>
      <c r="S19" s="88">
        <f t="shared" si="2"/>
        <v>0</v>
      </c>
      <c r="T19" s="88">
        <f t="shared" si="2"/>
        <v>0</v>
      </c>
      <c r="U19" s="85" t="s">
        <v>7</v>
      </c>
      <c r="V19" s="89" t="s">
        <v>30</v>
      </c>
      <c r="W19" s="90"/>
      <c r="X19" s="90"/>
    </row>
    <row r="20" spans="1:24" s="91" customFormat="1" ht="60" hidden="1">
      <c r="A20" s="81" t="s">
        <v>195</v>
      </c>
      <c r="B20" s="81" t="s">
        <v>196</v>
      </c>
      <c r="C20" s="81" t="s">
        <v>121</v>
      </c>
      <c r="D20" s="82" t="s">
        <v>197</v>
      </c>
      <c r="E20" s="81" t="s">
        <v>198</v>
      </c>
      <c r="F20" s="84">
        <v>2030</v>
      </c>
      <c r="G20" s="85"/>
      <c r="H20" s="81" t="s">
        <v>188</v>
      </c>
      <c r="I20" s="86">
        <v>0.25</v>
      </c>
      <c r="J20" s="87">
        <v>166</v>
      </c>
      <c r="K20" s="87"/>
      <c r="L20" s="87"/>
      <c r="M20" s="88">
        <f>J20/2</f>
        <v>83</v>
      </c>
      <c r="N20" s="88">
        <f>J20/2</f>
        <v>83</v>
      </c>
      <c r="O20" s="88">
        <f t="shared" si="0"/>
        <v>0</v>
      </c>
      <c r="P20" s="88">
        <f t="shared" si="1"/>
        <v>0</v>
      </c>
      <c r="Q20" s="88">
        <f t="shared" si="2"/>
        <v>20.75</v>
      </c>
      <c r="R20" s="88">
        <f t="shared" si="2"/>
        <v>20.75</v>
      </c>
      <c r="S20" s="88">
        <f t="shared" si="2"/>
        <v>0</v>
      </c>
      <c r="T20" s="88">
        <f t="shared" si="2"/>
        <v>0</v>
      </c>
      <c r="U20" s="85" t="s">
        <v>8</v>
      </c>
      <c r="V20" s="89" t="s">
        <v>29</v>
      </c>
      <c r="W20" s="90"/>
      <c r="X20" s="90"/>
    </row>
    <row r="21" spans="1:24" s="107" customFormat="1" ht="23.25" hidden="1">
      <c r="A21" s="81" t="s">
        <v>199</v>
      </c>
      <c r="B21" s="81" t="s">
        <v>200</v>
      </c>
      <c r="C21" s="81" t="s">
        <v>121</v>
      </c>
      <c r="D21" s="82" t="s">
        <v>201</v>
      </c>
      <c r="E21" s="83" t="s">
        <v>202</v>
      </c>
      <c r="F21" s="84">
        <v>2026</v>
      </c>
      <c r="G21" s="85"/>
      <c r="H21" s="81" t="s">
        <v>203</v>
      </c>
      <c r="I21" s="86">
        <v>0.5</v>
      </c>
      <c r="J21" s="87">
        <v>145</v>
      </c>
      <c r="K21" s="87"/>
      <c r="L21" s="87"/>
      <c r="M21" s="88">
        <f>J21*0.1</f>
        <v>14.5</v>
      </c>
      <c r="N21" s="88">
        <f>J21</f>
        <v>145</v>
      </c>
      <c r="O21" s="88">
        <f t="shared" si="0"/>
        <v>0</v>
      </c>
      <c r="P21" s="88">
        <f t="shared" si="1"/>
        <v>0</v>
      </c>
      <c r="Q21" s="88">
        <f t="shared" si="2"/>
        <v>7.25</v>
      </c>
      <c r="R21" s="88">
        <f t="shared" si="2"/>
        <v>72.5</v>
      </c>
      <c r="S21" s="88">
        <f t="shared" si="2"/>
        <v>0</v>
      </c>
      <c r="T21" s="88">
        <f t="shared" si="2"/>
        <v>0</v>
      </c>
      <c r="U21" s="85" t="s">
        <v>6</v>
      </c>
      <c r="V21" s="89" t="s">
        <v>27</v>
      </c>
      <c r="W21" s="90"/>
      <c r="X21" s="90"/>
    </row>
    <row r="22" spans="1:24" s="91" customFormat="1" ht="45" hidden="1">
      <c r="A22" s="81" t="s">
        <v>204</v>
      </c>
      <c r="B22" s="81" t="s">
        <v>205</v>
      </c>
      <c r="C22" s="81" t="s">
        <v>121</v>
      </c>
      <c r="D22" s="82"/>
      <c r="E22" s="83" t="s">
        <v>206</v>
      </c>
      <c r="F22" s="85">
        <v>2029</v>
      </c>
      <c r="G22" s="85"/>
      <c r="H22" s="81" t="s">
        <v>188</v>
      </c>
      <c r="I22" s="86">
        <v>0.5</v>
      </c>
      <c r="J22" s="87">
        <v>142</v>
      </c>
      <c r="K22" s="87"/>
      <c r="L22" s="87"/>
      <c r="M22" s="88">
        <f>J22/2</f>
        <v>71</v>
      </c>
      <c r="N22" s="88">
        <f>J22/2</f>
        <v>71</v>
      </c>
      <c r="O22" s="88">
        <f t="shared" si="0"/>
        <v>0</v>
      </c>
      <c r="P22" s="88">
        <f t="shared" si="1"/>
        <v>0</v>
      </c>
      <c r="Q22" s="88">
        <f t="shared" si="2"/>
        <v>35.5</v>
      </c>
      <c r="R22" s="88">
        <f t="shared" si="2"/>
        <v>35.5</v>
      </c>
      <c r="S22" s="88">
        <f t="shared" si="2"/>
        <v>0</v>
      </c>
      <c r="T22" s="88">
        <f t="shared" si="2"/>
        <v>0</v>
      </c>
      <c r="U22" s="85" t="s">
        <v>5</v>
      </c>
      <c r="V22" s="89" t="s">
        <v>26</v>
      </c>
      <c r="W22" s="90"/>
      <c r="X22" s="90" t="s">
        <v>162</v>
      </c>
    </row>
    <row r="23" spans="1:24" s="91" customFormat="1" ht="34.5" hidden="1">
      <c r="A23" s="81" t="s">
        <v>156</v>
      </c>
      <c r="B23" s="81" t="s">
        <v>207</v>
      </c>
      <c r="C23" s="81" t="s">
        <v>121</v>
      </c>
      <c r="D23" s="82" t="s">
        <v>208</v>
      </c>
      <c r="E23" s="90"/>
      <c r="F23" s="84">
        <v>2027</v>
      </c>
      <c r="G23" s="85"/>
      <c r="H23" s="81" t="s">
        <v>209</v>
      </c>
      <c r="I23" s="86">
        <v>0.5</v>
      </c>
      <c r="J23" s="87">
        <v>135</v>
      </c>
      <c r="K23" s="87"/>
      <c r="L23" s="87"/>
      <c r="M23" s="88">
        <f>J23/2</f>
        <v>67.5</v>
      </c>
      <c r="N23" s="88">
        <f>J23/2</f>
        <v>67.5</v>
      </c>
      <c r="O23" s="88">
        <f t="shared" si="0"/>
        <v>0</v>
      </c>
      <c r="P23" s="88">
        <f t="shared" si="1"/>
        <v>0</v>
      </c>
      <c r="Q23" s="88">
        <f t="shared" si="2"/>
        <v>33.75</v>
      </c>
      <c r="R23" s="88">
        <f t="shared" si="2"/>
        <v>33.75</v>
      </c>
      <c r="S23" s="88">
        <f t="shared" si="2"/>
        <v>0</v>
      </c>
      <c r="T23" s="88">
        <f t="shared" si="2"/>
        <v>0</v>
      </c>
      <c r="U23" s="85" t="s">
        <v>5</v>
      </c>
      <c r="V23" s="89" t="s">
        <v>26</v>
      </c>
      <c r="W23" s="90"/>
      <c r="X23" s="90"/>
    </row>
    <row r="24" spans="1:24" s="91" customFormat="1" ht="72.75" hidden="1">
      <c r="A24" s="81" t="s">
        <v>189</v>
      </c>
      <c r="B24" s="81" t="s">
        <v>210</v>
      </c>
      <c r="C24" s="81" t="s">
        <v>121</v>
      </c>
      <c r="D24" s="82" t="s">
        <v>211</v>
      </c>
      <c r="E24" s="108" t="s">
        <v>212</v>
      </c>
      <c r="F24" s="84">
        <v>2027</v>
      </c>
      <c r="G24" s="85"/>
      <c r="H24" s="81" t="s">
        <v>213</v>
      </c>
      <c r="I24" s="86">
        <v>0.75</v>
      </c>
      <c r="J24" s="87">
        <v>135</v>
      </c>
      <c r="K24" s="87"/>
      <c r="L24" s="87"/>
      <c r="M24" s="88">
        <v>0</v>
      </c>
      <c r="N24" s="88">
        <f>J24</f>
        <v>135</v>
      </c>
      <c r="O24" s="88">
        <f t="shared" si="0"/>
        <v>0</v>
      </c>
      <c r="P24" s="88">
        <f t="shared" si="1"/>
        <v>0</v>
      </c>
      <c r="Q24" s="88">
        <f t="shared" si="2"/>
        <v>0</v>
      </c>
      <c r="R24" s="88">
        <f t="shared" si="2"/>
        <v>101.25</v>
      </c>
      <c r="S24" s="88">
        <f t="shared" si="2"/>
        <v>0</v>
      </c>
      <c r="T24" s="88">
        <f t="shared" si="2"/>
        <v>0</v>
      </c>
      <c r="U24" s="85" t="s">
        <v>7</v>
      </c>
      <c r="V24" s="89" t="s">
        <v>30</v>
      </c>
      <c r="W24" s="90"/>
      <c r="X24" s="90"/>
    </row>
    <row r="25" spans="1:24" s="91" customFormat="1" ht="148.5" hidden="1">
      <c r="A25" s="81" t="s">
        <v>214</v>
      </c>
      <c r="B25" s="81" t="s">
        <v>215</v>
      </c>
      <c r="C25" s="81" t="s">
        <v>121</v>
      </c>
      <c r="D25" s="82" t="s">
        <v>216</v>
      </c>
      <c r="E25" s="83" t="s">
        <v>217</v>
      </c>
      <c r="F25" s="84">
        <v>2028</v>
      </c>
      <c r="G25" s="85"/>
      <c r="H25" s="81" t="s">
        <v>218</v>
      </c>
      <c r="I25" s="86">
        <v>0.75</v>
      </c>
      <c r="J25" s="87">
        <v>135</v>
      </c>
      <c r="K25" s="87"/>
      <c r="L25" s="87"/>
      <c r="M25" s="88">
        <v>0</v>
      </c>
      <c r="N25" s="88">
        <v>135</v>
      </c>
      <c r="O25" s="88">
        <f t="shared" si="0"/>
        <v>0</v>
      </c>
      <c r="P25" s="88">
        <f t="shared" si="1"/>
        <v>0</v>
      </c>
      <c r="Q25" s="88">
        <f t="shared" si="2"/>
        <v>0</v>
      </c>
      <c r="R25" s="88">
        <f t="shared" si="2"/>
        <v>101.25</v>
      </c>
      <c r="S25" s="88">
        <f t="shared" si="2"/>
        <v>0</v>
      </c>
      <c r="T25" s="88">
        <f t="shared" si="2"/>
        <v>0</v>
      </c>
      <c r="U25" s="85" t="s">
        <v>6</v>
      </c>
      <c r="V25" s="89" t="s">
        <v>27</v>
      </c>
      <c r="W25" s="90"/>
      <c r="X25" s="90"/>
    </row>
    <row r="26" spans="1:24" ht="22.5">
      <c r="A26" s="322" t="s">
        <v>219</v>
      </c>
      <c r="B26" s="322" t="s">
        <v>220</v>
      </c>
      <c r="C26" s="322" t="s">
        <v>121</v>
      </c>
      <c r="D26" s="321" t="s">
        <v>221</v>
      </c>
      <c r="E26" s="321" t="s">
        <v>222</v>
      </c>
      <c r="F26" s="330">
        <v>2025</v>
      </c>
      <c r="G26" s="331"/>
      <c r="H26" s="322" t="s">
        <v>133</v>
      </c>
      <c r="I26" s="351">
        <v>0.8</v>
      </c>
      <c r="J26" s="352">
        <v>120</v>
      </c>
      <c r="K26" s="352"/>
      <c r="L26" s="352"/>
      <c r="M26" s="352">
        <v>60</v>
      </c>
      <c r="N26" s="352">
        <v>60</v>
      </c>
      <c r="O26" s="352">
        <f t="shared" si="0"/>
        <v>0</v>
      </c>
      <c r="P26" s="352">
        <f t="shared" si="1"/>
        <v>0</v>
      </c>
      <c r="Q26" s="352">
        <f t="shared" si="2"/>
        <v>48</v>
      </c>
      <c r="R26" s="352">
        <f t="shared" si="2"/>
        <v>48</v>
      </c>
      <c r="S26" s="352">
        <f t="shared" si="2"/>
        <v>0</v>
      </c>
      <c r="T26" s="352">
        <f t="shared" si="2"/>
        <v>0</v>
      </c>
      <c r="U26" s="331" t="s">
        <v>5</v>
      </c>
      <c r="V26" s="331" t="s">
        <v>26</v>
      </c>
      <c r="W26" s="321"/>
      <c r="X26" s="321"/>
    </row>
    <row r="27" spans="1:24" s="91" customFormat="1" ht="68.25" hidden="1">
      <c r="A27" s="81" t="s">
        <v>223</v>
      </c>
      <c r="B27" s="81" t="s">
        <v>224</v>
      </c>
      <c r="C27" s="81" t="s">
        <v>121</v>
      </c>
      <c r="D27" s="82" t="s">
        <v>225</v>
      </c>
      <c r="E27" s="83" t="s">
        <v>226</v>
      </c>
      <c r="F27" s="84">
        <v>2027</v>
      </c>
      <c r="G27" s="109"/>
      <c r="H27" s="110"/>
      <c r="I27" s="86">
        <v>0.5</v>
      </c>
      <c r="J27" s="87">
        <v>120</v>
      </c>
      <c r="K27" s="87"/>
      <c r="L27" s="87"/>
      <c r="M27" s="88">
        <f>J27*0.1</f>
        <v>12</v>
      </c>
      <c r="N27" s="88">
        <f>J27</f>
        <v>120</v>
      </c>
      <c r="O27" s="88">
        <f t="shared" si="0"/>
        <v>0</v>
      </c>
      <c r="P27" s="88">
        <f t="shared" si="1"/>
        <v>0</v>
      </c>
      <c r="Q27" s="88">
        <f t="shared" si="2"/>
        <v>6</v>
      </c>
      <c r="R27" s="88">
        <f t="shared" si="2"/>
        <v>60</v>
      </c>
      <c r="S27" s="88">
        <f t="shared" si="2"/>
        <v>0</v>
      </c>
      <c r="T27" s="88">
        <f t="shared" si="2"/>
        <v>0</v>
      </c>
      <c r="U27" s="85" t="s">
        <v>6</v>
      </c>
      <c r="V27" s="89" t="s">
        <v>27</v>
      </c>
      <c r="W27" s="90"/>
      <c r="X27" s="90"/>
    </row>
    <row r="28" spans="1:24" s="91" customFormat="1" ht="34.5" hidden="1">
      <c r="A28" s="81" t="s">
        <v>227</v>
      </c>
      <c r="B28" s="81" t="s">
        <v>228</v>
      </c>
      <c r="C28" s="81" t="s">
        <v>121</v>
      </c>
      <c r="D28" s="82" t="s">
        <v>229</v>
      </c>
      <c r="E28" s="83" t="s">
        <v>230</v>
      </c>
      <c r="F28" s="84">
        <v>2027</v>
      </c>
      <c r="G28" s="85"/>
      <c r="H28" s="81" t="s">
        <v>231</v>
      </c>
      <c r="I28" s="86">
        <v>0.5</v>
      </c>
      <c r="J28" s="87">
        <v>120</v>
      </c>
      <c r="K28" s="87"/>
      <c r="L28" s="87"/>
      <c r="M28" s="88">
        <v>0</v>
      </c>
      <c r="N28" s="88">
        <v>120</v>
      </c>
      <c r="O28" s="88">
        <f t="shared" si="0"/>
        <v>0</v>
      </c>
      <c r="P28" s="88">
        <f t="shared" si="1"/>
        <v>0</v>
      </c>
      <c r="Q28" s="88">
        <f t="shared" si="2"/>
        <v>0</v>
      </c>
      <c r="R28" s="88">
        <f t="shared" si="2"/>
        <v>60</v>
      </c>
      <c r="S28" s="88">
        <f t="shared" si="2"/>
        <v>0</v>
      </c>
      <c r="T28" s="88">
        <f t="shared" si="2"/>
        <v>0</v>
      </c>
      <c r="U28" s="85" t="s">
        <v>6</v>
      </c>
      <c r="V28" s="89" t="s">
        <v>27</v>
      </c>
      <c r="W28" s="90"/>
      <c r="X28" s="90"/>
    </row>
    <row r="29" spans="1:24" s="91" customFormat="1" ht="67.5" hidden="1">
      <c r="A29" s="81" t="s">
        <v>189</v>
      </c>
      <c r="B29" s="81" t="s">
        <v>232</v>
      </c>
      <c r="C29" s="81" t="s">
        <v>121</v>
      </c>
      <c r="D29" s="82" t="s">
        <v>233</v>
      </c>
      <c r="E29" s="83" t="s">
        <v>234</v>
      </c>
      <c r="F29" s="84">
        <v>2029</v>
      </c>
      <c r="G29" s="85"/>
      <c r="H29" s="81" t="s">
        <v>235</v>
      </c>
      <c r="I29" s="86">
        <v>0.5</v>
      </c>
      <c r="J29" s="87">
        <v>119</v>
      </c>
      <c r="K29" s="87"/>
      <c r="L29" s="87"/>
      <c r="M29" s="88">
        <v>0</v>
      </c>
      <c r="N29" s="88">
        <f>J29</f>
        <v>119</v>
      </c>
      <c r="O29" s="88">
        <f t="shared" si="0"/>
        <v>0</v>
      </c>
      <c r="P29" s="88">
        <f t="shared" si="1"/>
        <v>0</v>
      </c>
      <c r="Q29" s="88">
        <f t="shared" si="2"/>
        <v>0</v>
      </c>
      <c r="R29" s="88">
        <f t="shared" si="2"/>
        <v>59.5</v>
      </c>
      <c r="S29" s="88">
        <f t="shared" si="2"/>
        <v>0</v>
      </c>
      <c r="T29" s="88">
        <f t="shared" si="2"/>
        <v>0</v>
      </c>
      <c r="U29" s="85" t="s">
        <v>7</v>
      </c>
      <c r="V29" s="89" t="s">
        <v>30</v>
      </c>
      <c r="W29" s="90"/>
      <c r="X29" s="90"/>
    </row>
    <row r="30" spans="1:24" s="91" customFormat="1" ht="79.5" hidden="1">
      <c r="A30" s="106" t="s">
        <v>236</v>
      </c>
      <c r="B30" s="81" t="s">
        <v>237</v>
      </c>
      <c r="C30" s="81" t="s">
        <v>158</v>
      </c>
      <c r="D30" s="82" t="s">
        <v>238</v>
      </c>
      <c r="E30" s="83" t="s">
        <v>239</v>
      </c>
      <c r="F30" s="84">
        <v>2026</v>
      </c>
      <c r="G30" s="103"/>
      <c r="H30" s="81" t="s">
        <v>175</v>
      </c>
      <c r="I30" s="86">
        <v>1</v>
      </c>
      <c r="J30" s="87">
        <v>100</v>
      </c>
      <c r="K30" s="87"/>
      <c r="L30" s="87"/>
      <c r="M30" s="88">
        <v>52</v>
      </c>
      <c r="N30" s="88">
        <v>100</v>
      </c>
      <c r="O30" s="88">
        <f t="shared" si="0"/>
        <v>0</v>
      </c>
      <c r="P30" s="88">
        <f t="shared" si="1"/>
        <v>0</v>
      </c>
      <c r="Q30" s="88">
        <f t="shared" si="2"/>
        <v>52</v>
      </c>
      <c r="R30" s="88">
        <f t="shared" si="2"/>
        <v>100</v>
      </c>
      <c r="S30" s="88">
        <f t="shared" si="2"/>
        <v>0</v>
      </c>
      <c r="T30" s="88">
        <f t="shared" si="2"/>
        <v>0</v>
      </c>
      <c r="U30" s="85" t="s">
        <v>5</v>
      </c>
      <c r="V30" s="89" t="s">
        <v>26</v>
      </c>
      <c r="W30" s="90"/>
      <c r="X30" s="90"/>
    </row>
    <row r="31" spans="1:24" s="91" customFormat="1" ht="30" hidden="1">
      <c r="A31" s="81" t="s">
        <v>240</v>
      </c>
      <c r="B31" s="81" t="s">
        <v>241</v>
      </c>
      <c r="C31" s="81" t="s">
        <v>158</v>
      </c>
      <c r="D31" s="82" t="s">
        <v>242</v>
      </c>
      <c r="E31" s="83"/>
      <c r="F31" s="84">
        <v>2030</v>
      </c>
      <c r="G31" s="103"/>
      <c r="H31" s="81" t="s">
        <v>188</v>
      </c>
      <c r="I31" s="86">
        <v>0.1</v>
      </c>
      <c r="J31" s="87">
        <v>100</v>
      </c>
      <c r="K31" s="87"/>
      <c r="L31" s="104">
        <v>288000</v>
      </c>
      <c r="M31" s="88">
        <f>J31/2</f>
        <v>50</v>
      </c>
      <c r="N31" s="88">
        <f>J31/2</f>
        <v>50</v>
      </c>
      <c r="O31" s="88">
        <f t="shared" si="0"/>
        <v>0</v>
      </c>
      <c r="P31" s="88">
        <f t="shared" si="1"/>
        <v>0</v>
      </c>
      <c r="Q31" s="88">
        <f t="shared" si="2"/>
        <v>5</v>
      </c>
      <c r="R31" s="88">
        <f t="shared" si="2"/>
        <v>5</v>
      </c>
      <c r="S31" s="88">
        <f t="shared" si="2"/>
        <v>0</v>
      </c>
      <c r="T31" s="88">
        <f t="shared" si="2"/>
        <v>0</v>
      </c>
      <c r="U31" s="85" t="s">
        <v>5</v>
      </c>
      <c r="V31" s="89" t="s">
        <v>26</v>
      </c>
      <c r="W31" s="90" t="s">
        <v>161</v>
      </c>
      <c r="X31" s="90"/>
    </row>
    <row r="32" spans="1:24" s="91" customFormat="1" ht="27" hidden="1">
      <c r="A32" s="81" t="s">
        <v>138</v>
      </c>
      <c r="B32" s="81" t="s">
        <v>243</v>
      </c>
      <c r="C32" s="81" t="s">
        <v>121</v>
      </c>
      <c r="D32" s="82" t="s">
        <v>244</v>
      </c>
      <c r="E32" s="83" t="s">
        <v>245</v>
      </c>
      <c r="F32" s="84">
        <v>2022</v>
      </c>
      <c r="G32" s="85"/>
      <c r="H32" s="81" t="s">
        <v>123</v>
      </c>
      <c r="I32" s="86">
        <v>1</v>
      </c>
      <c r="J32" s="87">
        <v>100</v>
      </c>
      <c r="K32" s="87"/>
      <c r="L32" s="87"/>
      <c r="M32" s="88">
        <f>J32/2</f>
        <v>50</v>
      </c>
      <c r="N32" s="88">
        <f>J32/2</f>
        <v>50</v>
      </c>
      <c r="O32" s="88">
        <f t="shared" si="0"/>
        <v>0</v>
      </c>
      <c r="P32" s="88">
        <f t="shared" si="1"/>
        <v>0</v>
      </c>
      <c r="Q32" s="88">
        <f t="shared" si="2"/>
        <v>50</v>
      </c>
      <c r="R32" s="88">
        <f t="shared" si="2"/>
        <v>50</v>
      </c>
      <c r="S32" s="88">
        <f t="shared" si="2"/>
        <v>0</v>
      </c>
      <c r="T32" s="88">
        <f t="shared" si="2"/>
        <v>0</v>
      </c>
      <c r="U32" s="85" t="s">
        <v>5</v>
      </c>
      <c r="V32" s="89" t="s">
        <v>26</v>
      </c>
      <c r="W32" s="90"/>
      <c r="X32" s="90"/>
    </row>
    <row r="33" spans="1:24" s="91" customFormat="1" ht="45" hidden="1">
      <c r="A33" s="81" t="s">
        <v>246</v>
      </c>
      <c r="B33" s="81" t="s">
        <v>247</v>
      </c>
      <c r="C33" s="81" t="s">
        <v>121</v>
      </c>
      <c r="D33" s="82"/>
      <c r="E33" s="83" t="s">
        <v>248</v>
      </c>
      <c r="F33" s="95">
        <v>2028</v>
      </c>
      <c r="G33" s="109"/>
      <c r="H33" s="110" t="s">
        <v>249</v>
      </c>
      <c r="I33" s="86">
        <v>0.05</v>
      </c>
      <c r="J33" s="87">
        <v>100</v>
      </c>
      <c r="K33" s="87"/>
      <c r="L33" s="87"/>
      <c r="M33" s="88">
        <f>J33/2</f>
        <v>50</v>
      </c>
      <c r="N33" s="88">
        <f>J33/2</f>
        <v>50</v>
      </c>
      <c r="O33" s="88">
        <f t="shared" si="0"/>
        <v>0</v>
      </c>
      <c r="P33" s="88">
        <f t="shared" si="1"/>
        <v>0</v>
      </c>
      <c r="Q33" s="88">
        <f t="shared" si="2"/>
        <v>2.5</v>
      </c>
      <c r="R33" s="88">
        <f t="shared" si="2"/>
        <v>2.5</v>
      </c>
      <c r="S33" s="88">
        <f t="shared" si="2"/>
        <v>0</v>
      </c>
      <c r="T33" s="88">
        <f t="shared" si="2"/>
        <v>0</v>
      </c>
      <c r="U33" s="85" t="s">
        <v>5</v>
      </c>
      <c r="V33" s="89" t="s">
        <v>26</v>
      </c>
      <c r="W33" s="90"/>
      <c r="X33" s="90"/>
    </row>
    <row r="34" spans="1:24" s="91" customFormat="1" ht="34.5" hidden="1">
      <c r="A34" s="81" t="s">
        <v>250</v>
      </c>
      <c r="B34" s="81" t="s">
        <v>180</v>
      </c>
      <c r="C34" s="81" t="s">
        <v>158</v>
      </c>
      <c r="D34" s="82" t="s">
        <v>251</v>
      </c>
      <c r="E34" s="83"/>
      <c r="F34" s="84">
        <v>2024</v>
      </c>
      <c r="G34" s="103"/>
      <c r="H34" s="81" t="s">
        <v>188</v>
      </c>
      <c r="I34" s="86">
        <v>0.5</v>
      </c>
      <c r="J34" s="87">
        <v>98</v>
      </c>
      <c r="K34" s="87"/>
      <c r="L34" s="104">
        <v>134000</v>
      </c>
      <c r="M34" s="88">
        <f>J34</f>
        <v>98</v>
      </c>
      <c r="N34" s="88">
        <v>0</v>
      </c>
      <c r="O34" s="88">
        <f t="shared" si="0"/>
        <v>0</v>
      </c>
      <c r="P34" s="88">
        <f t="shared" si="1"/>
        <v>0</v>
      </c>
      <c r="Q34" s="88">
        <f t="shared" si="2"/>
        <v>49</v>
      </c>
      <c r="R34" s="88">
        <f t="shared" si="2"/>
        <v>0</v>
      </c>
      <c r="S34" s="88">
        <f t="shared" si="2"/>
        <v>0</v>
      </c>
      <c r="T34" s="88">
        <f t="shared" si="2"/>
        <v>0</v>
      </c>
      <c r="U34" s="85" t="s">
        <v>5</v>
      </c>
      <c r="V34" s="89" t="s">
        <v>26</v>
      </c>
      <c r="W34" s="90" t="s">
        <v>161</v>
      </c>
      <c r="X34" s="90"/>
    </row>
    <row r="35" spans="1:24" ht="22.5">
      <c r="A35" s="322" t="s">
        <v>252</v>
      </c>
      <c r="B35" s="322" t="s">
        <v>253</v>
      </c>
      <c r="C35" s="322" t="s">
        <v>121</v>
      </c>
      <c r="D35" s="321" t="s">
        <v>254</v>
      </c>
      <c r="E35" s="321"/>
      <c r="F35" s="330">
        <v>2024</v>
      </c>
      <c r="G35" s="333"/>
      <c r="H35" s="334" t="s">
        <v>188</v>
      </c>
      <c r="I35" s="351">
        <v>0.05</v>
      </c>
      <c r="J35" s="352">
        <v>95</v>
      </c>
      <c r="K35" s="352"/>
      <c r="L35" s="352"/>
      <c r="M35" s="352">
        <f>J35/2</f>
        <v>47.5</v>
      </c>
      <c r="N35" s="352">
        <f>J35/2</f>
        <v>47.5</v>
      </c>
      <c r="O35" s="352">
        <f t="shared" si="0"/>
        <v>0</v>
      </c>
      <c r="P35" s="352">
        <f t="shared" si="1"/>
        <v>0</v>
      </c>
      <c r="Q35" s="352">
        <f t="shared" ref="Q35:T66" si="3">M35*$I35</f>
        <v>2.375</v>
      </c>
      <c r="R35" s="352">
        <f t="shared" si="3"/>
        <v>2.375</v>
      </c>
      <c r="S35" s="352">
        <f t="shared" si="3"/>
        <v>0</v>
      </c>
      <c r="T35" s="352">
        <f t="shared" si="3"/>
        <v>0</v>
      </c>
      <c r="U35" s="331" t="s">
        <v>5</v>
      </c>
      <c r="V35" s="331" t="s">
        <v>26</v>
      </c>
      <c r="W35" s="321"/>
      <c r="X35" s="321"/>
    </row>
    <row r="36" spans="1:24" s="91" customFormat="1" ht="202.5" hidden="1">
      <c r="A36" s="81" t="s">
        <v>252</v>
      </c>
      <c r="B36" s="81" t="s">
        <v>255</v>
      </c>
      <c r="C36" s="81" t="s">
        <v>121</v>
      </c>
      <c r="D36" s="82" t="s">
        <v>254</v>
      </c>
      <c r="E36" s="83" t="s">
        <v>256</v>
      </c>
      <c r="F36" s="84">
        <v>2026</v>
      </c>
      <c r="G36" s="109"/>
      <c r="H36" s="110" t="s">
        <v>188</v>
      </c>
      <c r="I36" s="86">
        <v>0.05</v>
      </c>
      <c r="J36" s="87">
        <v>95</v>
      </c>
      <c r="K36" s="87"/>
      <c r="L36" s="87"/>
      <c r="M36" s="88">
        <f>J36-N36</f>
        <v>15.200000000000003</v>
      </c>
      <c r="N36" s="88">
        <v>79.8</v>
      </c>
      <c r="O36" s="88">
        <f t="shared" si="0"/>
        <v>0</v>
      </c>
      <c r="P36" s="88">
        <f t="shared" si="1"/>
        <v>0</v>
      </c>
      <c r="Q36" s="88">
        <f t="shared" si="3"/>
        <v>0.76000000000000023</v>
      </c>
      <c r="R36" s="88">
        <f t="shared" si="3"/>
        <v>3.99</v>
      </c>
      <c r="S36" s="88">
        <f t="shared" si="3"/>
        <v>0</v>
      </c>
      <c r="T36" s="88">
        <f t="shared" si="3"/>
        <v>0</v>
      </c>
      <c r="U36" s="85" t="s">
        <v>5</v>
      </c>
      <c r="V36" s="89" t="s">
        <v>26</v>
      </c>
      <c r="W36" s="90"/>
      <c r="X36" s="90"/>
    </row>
    <row r="37" spans="1:24" ht="67.5">
      <c r="A37" s="322" t="s">
        <v>257</v>
      </c>
      <c r="B37" s="322" t="s">
        <v>258</v>
      </c>
      <c r="C37" s="322" t="s">
        <v>121</v>
      </c>
      <c r="D37" s="321" t="s">
        <v>259</v>
      </c>
      <c r="E37" s="321" t="s">
        <v>1220</v>
      </c>
      <c r="F37" s="330">
        <v>2025</v>
      </c>
      <c r="G37" s="331"/>
      <c r="H37" s="334"/>
      <c r="I37" s="351">
        <v>0.5</v>
      </c>
      <c r="J37" s="352">
        <v>78</v>
      </c>
      <c r="K37" s="352"/>
      <c r="L37" s="352"/>
      <c r="M37" s="353">
        <v>0</v>
      </c>
      <c r="N37" s="352">
        <v>78</v>
      </c>
      <c r="O37" s="352">
        <f t="shared" si="0"/>
        <v>0</v>
      </c>
      <c r="P37" s="352">
        <f t="shared" si="1"/>
        <v>0</v>
      </c>
      <c r="Q37" s="352">
        <f t="shared" si="3"/>
        <v>0</v>
      </c>
      <c r="R37" s="352">
        <f t="shared" si="3"/>
        <v>39</v>
      </c>
      <c r="S37" s="352">
        <f t="shared" si="3"/>
        <v>0</v>
      </c>
      <c r="T37" s="352">
        <f t="shared" si="3"/>
        <v>0</v>
      </c>
      <c r="U37" s="331" t="s">
        <v>7</v>
      </c>
      <c r="V37" s="331" t="s">
        <v>28</v>
      </c>
      <c r="W37" s="321"/>
      <c r="X37" s="321" t="s">
        <v>260</v>
      </c>
    </row>
    <row r="38" spans="1:24" s="91" customFormat="1" ht="15.75" hidden="1">
      <c r="A38" s="106" t="s">
        <v>261</v>
      </c>
      <c r="B38" s="81" t="s">
        <v>228</v>
      </c>
      <c r="C38" s="81" t="s">
        <v>121</v>
      </c>
      <c r="D38" s="82" t="s">
        <v>262</v>
      </c>
      <c r="E38" s="83" t="s">
        <v>263</v>
      </c>
      <c r="F38" s="84">
        <v>2031</v>
      </c>
      <c r="G38" s="103"/>
      <c r="H38" s="81" t="s">
        <v>264</v>
      </c>
      <c r="I38" s="86">
        <v>0.05</v>
      </c>
      <c r="J38" s="87">
        <f>5000*42*360/1000000</f>
        <v>75.599999999999994</v>
      </c>
      <c r="K38" s="87"/>
      <c r="L38" s="87"/>
      <c r="M38" s="88">
        <f>J38*0.1</f>
        <v>7.56</v>
      </c>
      <c r="N38" s="88">
        <f>J38*0.9</f>
        <v>68.039999999999992</v>
      </c>
      <c r="O38" s="88">
        <f t="shared" si="0"/>
        <v>0</v>
      </c>
      <c r="P38" s="88">
        <f t="shared" si="1"/>
        <v>0</v>
      </c>
      <c r="Q38" s="88">
        <f t="shared" si="3"/>
        <v>0.378</v>
      </c>
      <c r="R38" s="88">
        <f t="shared" si="3"/>
        <v>3.4019999999999997</v>
      </c>
      <c r="S38" s="88">
        <f t="shared" si="3"/>
        <v>0</v>
      </c>
      <c r="T38" s="88">
        <f t="shared" si="3"/>
        <v>0</v>
      </c>
      <c r="U38" s="85" t="s">
        <v>6</v>
      </c>
      <c r="V38" s="89" t="s">
        <v>27</v>
      </c>
      <c r="W38" s="90"/>
      <c r="X38" s="90"/>
    </row>
    <row r="39" spans="1:24" s="91" customFormat="1" ht="27" hidden="1">
      <c r="A39" s="81" t="s">
        <v>265</v>
      </c>
      <c r="B39" s="81" t="s">
        <v>266</v>
      </c>
      <c r="C39" s="81" t="s">
        <v>121</v>
      </c>
      <c r="D39" s="94" t="s">
        <v>267</v>
      </c>
      <c r="E39" s="83" t="s">
        <v>268</v>
      </c>
      <c r="F39" s="95">
        <v>2027</v>
      </c>
      <c r="G39" s="109"/>
      <c r="H39" s="110" t="s">
        <v>188</v>
      </c>
      <c r="I39" s="86">
        <v>0.5</v>
      </c>
      <c r="J39" s="87">
        <v>65</v>
      </c>
      <c r="K39" s="87"/>
      <c r="L39" s="87"/>
      <c r="M39" s="88">
        <f>J39/2</f>
        <v>32.5</v>
      </c>
      <c r="N39" s="88">
        <f>J39/2</f>
        <v>32.5</v>
      </c>
      <c r="O39" s="88">
        <f t="shared" si="0"/>
        <v>0</v>
      </c>
      <c r="P39" s="88">
        <f t="shared" si="1"/>
        <v>0</v>
      </c>
      <c r="Q39" s="88">
        <f t="shared" si="3"/>
        <v>16.25</v>
      </c>
      <c r="R39" s="88">
        <f t="shared" si="3"/>
        <v>16.25</v>
      </c>
      <c r="S39" s="88">
        <f t="shared" si="3"/>
        <v>0</v>
      </c>
      <c r="T39" s="88">
        <f t="shared" si="3"/>
        <v>0</v>
      </c>
      <c r="U39" s="85" t="s">
        <v>5</v>
      </c>
      <c r="V39" s="89" t="s">
        <v>26</v>
      </c>
      <c r="W39" s="90"/>
      <c r="X39" s="90"/>
    </row>
    <row r="40" spans="1:24" s="91" customFormat="1" ht="81" hidden="1">
      <c r="A40" s="81" t="s">
        <v>269</v>
      </c>
      <c r="B40" s="81" t="s">
        <v>270</v>
      </c>
      <c r="C40" s="81" t="s">
        <v>121</v>
      </c>
      <c r="D40" s="82" t="s">
        <v>271</v>
      </c>
      <c r="E40" s="83" t="s">
        <v>272</v>
      </c>
      <c r="F40" s="111">
        <v>2028</v>
      </c>
      <c r="G40" s="85"/>
      <c r="H40" s="110" t="s">
        <v>188</v>
      </c>
      <c r="I40" s="86">
        <v>0.25</v>
      </c>
      <c r="J40" s="87">
        <v>65</v>
      </c>
      <c r="K40" s="87"/>
      <c r="L40" s="87"/>
      <c r="M40" s="88">
        <v>5</v>
      </c>
      <c r="N40" s="88">
        <v>60</v>
      </c>
      <c r="O40" s="88">
        <f t="shared" si="0"/>
        <v>0</v>
      </c>
      <c r="P40" s="88">
        <f t="shared" si="1"/>
        <v>0</v>
      </c>
      <c r="Q40" s="88">
        <f t="shared" si="3"/>
        <v>1.25</v>
      </c>
      <c r="R40" s="88">
        <f t="shared" si="3"/>
        <v>15</v>
      </c>
      <c r="S40" s="88">
        <f t="shared" si="3"/>
        <v>0</v>
      </c>
      <c r="T40" s="88">
        <f t="shared" si="3"/>
        <v>0</v>
      </c>
      <c r="U40" s="85" t="s">
        <v>6</v>
      </c>
      <c r="V40" s="89" t="s">
        <v>27</v>
      </c>
      <c r="W40" s="90"/>
      <c r="X40" s="90"/>
    </row>
    <row r="41" spans="1:24" s="91" customFormat="1" ht="27" hidden="1">
      <c r="A41" s="81" t="s">
        <v>273</v>
      </c>
      <c r="B41" s="81" t="s">
        <v>274</v>
      </c>
      <c r="C41" s="81" t="s">
        <v>121</v>
      </c>
      <c r="D41" s="82" t="s">
        <v>267</v>
      </c>
      <c r="E41" s="83" t="s">
        <v>275</v>
      </c>
      <c r="F41" s="95">
        <v>2028</v>
      </c>
      <c r="G41" s="109"/>
      <c r="H41" s="110" t="s">
        <v>188</v>
      </c>
      <c r="I41" s="86">
        <v>0.25</v>
      </c>
      <c r="J41" s="87">
        <v>65</v>
      </c>
      <c r="K41" s="87"/>
      <c r="L41" s="87"/>
      <c r="M41" s="88">
        <f>J41/2</f>
        <v>32.5</v>
      </c>
      <c r="N41" s="88">
        <f>J41/2</f>
        <v>32.5</v>
      </c>
      <c r="O41" s="88">
        <f t="shared" si="0"/>
        <v>0</v>
      </c>
      <c r="P41" s="88">
        <f t="shared" si="1"/>
        <v>0</v>
      </c>
      <c r="Q41" s="88">
        <f t="shared" si="3"/>
        <v>8.125</v>
      </c>
      <c r="R41" s="88">
        <f t="shared" si="3"/>
        <v>8.125</v>
      </c>
      <c r="S41" s="88">
        <f t="shared" si="3"/>
        <v>0</v>
      </c>
      <c r="T41" s="88">
        <f t="shared" si="3"/>
        <v>0</v>
      </c>
      <c r="U41" s="85" t="s">
        <v>5</v>
      </c>
      <c r="V41" s="89" t="s">
        <v>26</v>
      </c>
      <c r="W41" s="90"/>
      <c r="X41" s="90"/>
    </row>
    <row r="42" spans="1:24" s="91" customFormat="1" ht="121.5" hidden="1">
      <c r="A42" s="81" t="s">
        <v>276</v>
      </c>
      <c r="B42" s="81" t="s">
        <v>277</v>
      </c>
      <c r="C42" s="81" t="s">
        <v>121</v>
      </c>
      <c r="D42" s="82" t="s">
        <v>278</v>
      </c>
      <c r="E42" s="83" t="s">
        <v>279</v>
      </c>
      <c r="F42" s="84">
        <v>2028</v>
      </c>
      <c r="G42" s="92"/>
      <c r="H42" s="93"/>
      <c r="I42" s="86">
        <v>0.25</v>
      </c>
      <c r="J42" s="87">
        <v>64</v>
      </c>
      <c r="K42" s="87"/>
      <c r="L42" s="87"/>
      <c r="M42" s="88">
        <v>0</v>
      </c>
      <c r="N42" s="88">
        <f>J42</f>
        <v>64</v>
      </c>
      <c r="O42" s="88">
        <f t="shared" si="0"/>
        <v>0</v>
      </c>
      <c r="P42" s="88">
        <f t="shared" si="1"/>
        <v>0</v>
      </c>
      <c r="Q42" s="88">
        <f t="shared" si="3"/>
        <v>0</v>
      </c>
      <c r="R42" s="88">
        <f t="shared" si="3"/>
        <v>16</v>
      </c>
      <c r="S42" s="88">
        <f t="shared" si="3"/>
        <v>0</v>
      </c>
      <c r="T42" s="88">
        <f t="shared" si="3"/>
        <v>0</v>
      </c>
      <c r="U42" s="85" t="s">
        <v>7</v>
      </c>
      <c r="V42" s="89" t="s">
        <v>28</v>
      </c>
      <c r="W42" s="90"/>
      <c r="X42" s="90"/>
    </row>
    <row r="43" spans="1:24" ht="33.75">
      <c r="A43" s="322" t="s">
        <v>280</v>
      </c>
      <c r="B43" s="322" t="s">
        <v>281</v>
      </c>
      <c r="C43" s="322" t="s">
        <v>121</v>
      </c>
      <c r="D43" s="321" t="s">
        <v>282</v>
      </c>
      <c r="E43" s="321" t="s">
        <v>283</v>
      </c>
      <c r="F43" s="330">
        <v>2025</v>
      </c>
      <c r="G43" s="331"/>
      <c r="H43" s="322" t="s">
        <v>188</v>
      </c>
      <c r="I43" s="351">
        <v>0.75</v>
      </c>
      <c r="J43" s="352">
        <v>61</v>
      </c>
      <c r="K43" s="352"/>
      <c r="L43" s="352"/>
      <c r="M43" s="352">
        <f>J43*0.4</f>
        <v>24.400000000000002</v>
      </c>
      <c r="N43" s="352">
        <f>J43*0.6</f>
        <v>36.6</v>
      </c>
      <c r="O43" s="352">
        <f t="shared" si="0"/>
        <v>0</v>
      </c>
      <c r="P43" s="352">
        <f t="shared" si="1"/>
        <v>0</v>
      </c>
      <c r="Q43" s="352">
        <f t="shared" si="3"/>
        <v>18.3</v>
      </c>
      <c r="R43" s="352">
        <f t="shared" si="3"/>
        <v>27.450000000000003</v>
      </c>
      <c r="S43" s="352">
        <f t="shared" si="3"/>
        <v>0</v>
      </c>
      <c r="T43" s="352">
        <f t="shared" si="3"/>
        <v>0</v>
      </c>
      <c r="U43" s="331" t="s">
        <v>5</v>
      </c>
      <c r="V43" s="331" t="s">
        <v>26</v>
      </c>
      <c r="W43" s="321"/>
      <c r="X43" s="321"/>
    </row>
    <row r="44" spans="1:24" s="91" customFormat="1" ht="57" hidden="1">
      <c r="A44" s="81" t="s">
        <v>284</v>
      </c>
      <c r="B44" s="81" t="s">
        <v>253</v>
      </c>
      <c r="C44" s="81" t="s">
        <v>121</v>
      </c>
      <c r="D44" s="82" t="s">
        <v>285</v>
      </c>
      <c r="E44" s="83" t="s">
        <v>286</v>
      </c>
      <c r="F44" s="84">
        <v>2026</v>
      </c>
      <c r="G44" s="85"/>
      <c r="H44" s="81"/>
      <c r="I44" s="86">
        <v>0.5</v>
      </c>
      <c r="J44" s="87">
        <v>61</v>
      </c>
      <c r="K44" s="87">
        <v>200</v>
      </c>
      <c r="L44" s="87"/>
      <c r="M44" s="88">
        <v>0</v>
      </c>
      <c r="N44" s="88">
        <f>J44</f>
        <v>61</v>
      </c>
      <c r="O44" s="88">
        <f t="shared" si="0"/>
        <v>0</v>
      </c>
      <c r="P44" s="88">
        <f t="shared" si="1"/>
        <v>139</v>
      </c>
      <c r="Q44" s="88">
        <f t="shared" si="3"/>
        <v>0</v>
      </c>
      <c r="R44" s="88">
        <f t="shared" si="3"/>
        <v>30.5</v>
      </c>
      <c r="S44" s="88">
        <f t="shared" si="3"/>
        <v>0</v>
      </c>
      <c r="T44" s="88">
        <f t="shared" si="3"/>
        <v>69.5</v>
      </c>
      <c r="U44" s="85" t="s">
        <v>6</v>
      </c>
      <c r="V44" s="89" t="s">
        <v>27</v>
      </c>
      <c r="W44" s="90"/>
      <c r="X44" s="90"/>
    </row>
    <row r="45" spans="1:24" s="91" customFormat="1" ht="133.5" hidden="1">
      <c r="A45" s="81" t="s">
        <v>287</v>
      </c>
      <c r="B45" s="81" t="s">
        <v>288</v>
      </c>
      <c r="C45" s="81" t="s">
        <v>158</v>
      </c>
      <c r="D45" s="82" t="s">
        <v>289</v>
      </c>
      <c r="E45" s="112" t="s">
        <v>290</v>
      </c>
      <c r="F45" s="84">
        <v>1953</v>
      </c>
      <c r="G45" s="92"/>
      <c r="H45" s="93"/>
      <c r="I45" s="86">
        <v>0.05</v>
      </c>
      <c r="J45" s="87">
        <v>60</v>
      </c>
      <c r="K45" s="87"/>
      <c r="L45" s="104">
        <v>172000</v>
      </c>
      <c r="M45" s="88">
        <f>J45*0.1</f>
        <v>6</v>
      </c>
      <c r="N45" s="88">
        <f>J45</f>
        <v>60</v>
      </c>
      <c r="O45" s="88">
        <f t="shared" si="0"/>
        <v>0</v>
      </c>
      <c r="P45" s="88">
        <f t="shared" si="1"/>
        <v>0</v>
      </c>
      <c r="Q45" s="88">
        <f t="shared" si="3"/>
        <v>0.30000000000000004</v>
      </c>
      <c r="R45" s="88">
        <f t="shared" si="3"/>
        <v>3</v>
      </c>
      <c r="S45" s="88">
        <f t="shared" si="3"/>
        <v>0</v>
      </c>
      <c r="T45" s="88">
        <f t="shared" si="3"/>
        <v>0</v>
      </c>
      <c r="U45" s="85" t="s">
        <v>6</v>
      </c>
      <c r="V45" s="89" t="s">
        <v>27</v>
      </c>
      <c r="W45" s="90" t="s">
        <v>161</v>
      </c>
      <c r="X45" s="90" t="s">
        <v>291</v>
      </c>
    </row>
    <row r="46" spans="1:24" s="91" customFormat="1" ht="40.5" hidden="1">
      <c r="A46" s="81" t="s">
        <v>292</v>
      </c>
      <c r="B46" s="81" t="s">
        <v>293</v>
      </c>
      <c r="C46" s="81" t="s">
        <v>121</v>
      </c>
      <c r="D46" s="82" t="s">
        <v>294</v>
      </c>
      <c r="E46" s="83" t="s">
        <v>295</v>
      </c>
      <c r="F46" s="84">
        <v>2027</v>
      </c>
      <c r="G46" s="85"/>
      <c r="H46" s="81" t="s">
        <v>296</v>
      </c>
      <c r="I46" s="86">
        <v>0.75</v>
      </c>
      <c r="J46" s="87">
        <v>55</v>
      </c>
      <c r="K46" s="87">
        <v>110</v>
      </c>
      <c r="L46" s="87"/>
      <c r="M46" s="88">
        <f>J46/2</f>
        <v>27.5</v>
      </c>
      <c r="N46" s="88">
        <f>J46/2</f>
        <v>27.5</v>
      </c>
      <c r="O46" s="88">
        <f t="shared" si="0"/>
        <v>27.5</v>
      </c>
      <c r="P46" s="88">
        <f t="shared" si="1"/>
        <v>27.5</v>
      </c>
      <c r="Q46" s="88">
        <f t="shared" si="3"/>
        <v>20.625</v>
      </c>
      <c r="R46" s="88">
        <f t="shared" si="3"/>
        <v>20.625</v>
      </c>
      <c r="S46" s="88">
        <f t="shared" si="3"/>
        <v>20.625</v>
      </c>
      <c r="T46" s="88">
        <f t="shared" si="3"/>
        <v>20.625</v>
      </c>
      <c r="U46" s="85" t="s">
        <v>5</v>
      </c>
      <c r="V46" s="89" t="s">
        <v>26</v>
      </c>
      <c r="W46" s="90"/>
      <c r="X46" s="90"/>
    </row>
    <row r="47" spans="1:24" s="91" customFormat="1" ht="124.5" hidden="1">
      <c r="A47" s="81" t="s">
        <v>297</v>
      </c>
      <c r="B47" s="81" t="s">
        <v>298</v>
      </c>
      <c r="C47" s="81" t="s">
        <v>121</v>
      </c>
      <c r="D47" s="82" t="s">
        <v>299</v>
      </c>
      <c r="E47" s="113" t="s">
        <v>300</v>
      </c>
      <c r="F47" s="84">
        <v>2022</v>
      </c>
      <c r="G47" s="85">
        <v>2024</v>
      </c>
      <c r="H47" s="81" t="s">
        <v>123</v>
      </c>
      <c r="I47" s="86">
        <v>1</v>
      </c>
      <c r="J47" s="87">
        <v>50</v>
      </c>
      <c r="K47" s="87">
        <v>300</v>
      </c>
      <c r="L47" s="87"/>
      <c r="M47" s="88">
        <f>15000*42*365/1000000</f>
        <v>229.95</v>
      </c>
      <c r="N47" s="88">
        <f>J47</f>
        <v>50</v>
      </c>
      <c r="O47" s="88">
        <f>P47*0.1</f>
        <v>30</v>
      </c>
      <c r="P47" s="88">
        <f>K47</f>
        <v>300</v>
      </c>
      <c r="Q47" s="88">
        <f t="shared" si="3"/>
        <v>229.95</v>
      </c>
      <c r="R47" s="88">
        <f t="shared" si="3"/>
        <v>50</v>
      </c>
      <c r="S47" s="88">
        <f t="shared" si="3"/>
        <v>30</v>
      </c>
      <c r="T47" s="88">
        <f t="shared" si="3"/>
        <v>300</v>
      </c>
      <c r="U47" s="85" t="s">
        <v>5</v>
      </c>
      <c r="V47" s="89" t="s">
        <v>26</v>
      </c>
      <c r="W47" s="90"/>
      <c r="X47" s="90" t="s">
        <v>301</v>
      </c>
    </row>
    <row r="48" spans="1:24" s="91" customFormat="1" ht="81" hidden="1">
      <c r="A48" s="81" t="s">
        <v>302</v>
      </c>
      <c r="B48" s="81" t="s">
        <v>303</v>
      </c>
      <c r="C48" s="81" t="s">
        <v>158</v>
      </c>
      <c r="D48" s="94" t="s">
        <v>304</v>
      </c>
      <c r="E48" s="83" t="s">
        <v>305</v>
      </c>
      <c r="F48" s="84">
        <v>2030</v>
      </c>
      <c r="G48" s="85"/>
      <c r="H48" s="81" t="s">
        <v>188</v>
      </c>
      <c r="I48" s="86">
        <v>0.5</v>
      </c>
      <c r="J48" s="87">
        <v>49.5</v>
      </c>
      <c r="K48" s="87"/>
      <c r="L48" s="104">
        <v>150000</v>
      </c>
      <c r="M48" s="88">
        <v>0</v>
      </c>
      <c r="N48" s="88">
        <f>J48</f>
        <v>49.5</v>
      </c>
      <c r="O48" s="88">
        <f t="shared" ref="O48:O68" si="4">IF(K48="",0,(K48*(M48/J48))-M48)</f>
        <v>0</v>
      </c>
      <c r="P48" s="88">
        <f t="shared" ref="P48:P68" si="5">IF(K48="",0,(K48*(N48/J48))-N48)</f>
        <v>0</v>
      </c>
      <c r="Q48" s="88">
        <f t="shared" si="3"/>
        <v>0</v>
      </c>
      <c r="R48" s="88">
        <f t="shared" si="3"/>
        <v>24.75</v>
      </c>
      <c r="S48" s="88">
        <f t="shared" si="3"/>
        <v>0</v>
      </c>
      <c r="T48" s="88">
        <f t="shared" si="3"/>
        <v>0</v>
      </c>
      <c r="U48" s="85" t="s">
        <v>7</v>
      </c>
      <c r="V48" s="89" t="s">
        <v>28</v>
      </c>
      <c r="W48" s="90" t="s">
        <v>161</v>
      </c>
      <c r="X48" s="90"/>
    </row>
    <row r="49" spans="1:24" s="91" customFormat="1" ht="34.5" hidden="1">
      <c r="A49" s="81" t="s">
        <v>306</v>
      </c>
      <c r="B49" s="81" t="s">
        <v>307</v>
      </c>
      <c r="C49" s="81" t="s">
        <v>158</v>
      </c>
      <c r="D49" s="82" t="s">
        <v>308</v>
      </c>
      <c r="E49" s="83" t="s">
        <v>309</v>
      </c>
      <c r="F49" s="84">
        <v>2025</v>
      </c>
      <c r="G49" s="103"/>
      <c r="H49" s="81" t="s">
        <v>188</v>
      </c>
      <c r="I49" s="86">
        <v>0.75</v>
      </c>
      <c r="J49" s="87">
        <v>45</v>
      </c>
      <c r="K49" s="87"/>
      <c r="L49" s="104">
        <v>125000</v>
      </c>
      <c r="M49" s="88">
        <f>J49/2</f>
        <v>22.5</v>
      </c>
      <c r="N49" s="88">
        <f>J49/2</f>
        <v>22.5</v>
      </c>
      <c r="O49" s="88">
        <f t="shared" si="4"/>
        <v>0</v>
      </c>
      <c r="P49" s="88">
        <f t="shared" si="5"/>
        <v>0</v>
      </c>
      <c r="Q49" s="88">
        <f t="shared" si="3"/>
        <v>16.875</v>
      </c>
      <c r="R49" s="88">
        <f t="shared" si="3"/>
        <v>16.875</v>
      </c>
      <c r="S49" s="88">
        <f t="shared" si="3"/>
        <v>0</v>
      </c>
      <c r="T49" s="88">
        <f t="shared" si="3"/>
        <v>0</v>
      </c>
      <c r="U49" s="85" t="s">
        <v>5</v>
      </c>
      <c r="V49" s="89" t="s">
        <v>26</v>
      </c>
      <c r="W49" s="90" t="s">
        <v>161</v>
      </c>
      <c r="X49" s="90"/>
    </row>
    <row r="50" spans="1:24" s="91" customFormat="1" ht="45" hidden="1">
      <c r="A50" s="81" t="s">
        <v>310</v>
      </c>
      <c r="B50" s="81" t="s">
        <v>311</v>
      </c>
      <c r="C50" s="81" t="s">
        <v>121</v>
      </c>
      <c r="D50" s="82" t="s">
        <v>312</v>
      </c>
      <c r="E50" s="83" t="s">
        <v>313</v>
      </c>
      <c r="F50" s="84">
        <v>2027</v>
      </c>
      <c r="G50" s="85"/>
      <c r="H50" s="81" t="s">
        <v>188</v>
      </c>
      <c r="I50" s="86">
        <v>0.5</v>
      </c>
      <c r="J50" s="87">
        <v>45</v>
      </c>
      <c r="K50" s="87"/>
      <c r="L50" s="104">
        <v>130000</v>
      </c>
      <c r="M50" s="88">
        <f>J50/2</f>
        <v>22.5</v>
      </c>
      <c r="N50" s="88">
        <f>J50/2</f>
        <v>22.5</v>
      </c>
      <c r="O50" s="88">
        <f t="shared" si="4"/>
        <v>0</v>
      </c>
      <c r="P50" s="88">
        <f t="shared" si="5"/>
        <v>0</v>
      </c>
      <c r="Q50" s="88">
        <f t="shared" si="3"/>
        <v>11.25</v>
      </c>
      <c r="R50" s="88">
        <f t="shared" si="3"/>
        <v>11.25</v>
      </c>
      <c r="S50" s="88">
        <f t="shared" si="3"/>
        <v>0</v>
      </c>
      <c r="T50" s="88">
        <f t="shared" si="3"/>
        <v>0</v>
      </c>
      <c r="U50" s="85" t="s">
        <v>5</v>
      </c>
      <c r="V50" s="89" t="s">
        <v>26</v>
      </c>
      <c r="W50" s="90"/>
      <c r="X50" s="90"/>
    </row>
    <row r="51" spans="1:24" s="91" customFormat="1" ht="124.5" hidden="1">
      <c r="A51" s="81" t="s">
        <v>314</v>
      </c>
      <c r="B51" s="81" t="s">
        <v>315</v>
      </c>
      <c r="C51" s="81" t="s">
        <v>121</v>
      </c>
      <c r="D51" s="82" t="s">
        <v>316</v>
      </c>
      <c r="E51" s="83" t="s">
        <v>317</v>
      </c>
      <c r="F51" s="84">
        <v>2025</v>
      </c>
      <c r="G51" s="92"/>
      <c r="H51" s="93" t="s">
        <v>318</v>
      </c>
      <c r="I51" s="86">
        <v>1</v>
      </c>
      <c r="J51" s="87">
        <v>45</v>
      </c>
      <c r="K51" s="87"/>
      <c r="L51" s="87"/>
      <c r="M51" s="88">
        <f>J51*0.1</f>
        <v>4.5</v>
      </c>
      <c r="N51" s="88">
        <f>J51*0.9</f>
        <v>40.5</v>
      </c>
      <c r="O51" s="88">
        <f t="shared" si="4"/>
        <v>0</v>
      </c>
      <c r="P51" s="88">
        <f t="shared" si="5"/>
        <v>0</v>
      </c>
      <c r="Q51" s="88">
        <f t="shared" si="3"/>
        <v>4.5</v>
      </c>
      <c r="R51" s="88">
        <f t="shared" si="3"/>
        <v>40.5</v>
      </c>
      <c r="S51" s="88">
        <f t="shared" si="3"/>
        <v>0</v>
      </c>
      <c r="T51" s="88">
        <f t="shared" si="3"/>
        <v>0</v>
      </c>
      <c r="U51" s="85" t="s">
        <v>5</v>
      </c>
      <c r="V51" s="89" t="s">
        <v>26</v>
      </c>
      <c r="W51" s="90"/>
      <c r="X51" s="90"/>
    </row>
    <row r="52" spans="1:24" s="91" customFormat="1" ht="40.5" hidden="1">
      <c r="A52" s="81" t="s">
        <v>319</v>
      </c>
      <c r="B52" s="81" t="s">
        <v>320</v>
      </c>
      <c r="C52" s="81" t="s">
        <v>121</v>
      </c>
      <c r="D52" s="82" t="s">
        <v>321</v>
      </c>
      <c r="E52" s="83" t="s">
        <v>322</v>
      </c>
      <c r="F52" s="84">
        <v>2026</v>
      </c>
      <c r="G52" s="85"/>
      <c r="H52" s="81" t="s">
        <v>188</v>
      </c>
      <c r="I52" s="86">
        <v>0.25</v>
      </c>
      <c r="J52" s="87">
        <v>36</v>
      </c>
      <c r="K52" s="87"/>
      <c r="L52" s="87"/>
      <c r="M52" s="88">
        <f>J52/2</f>
        <v>18</v>
      </c>
      <c r="N52" s="88">
        <f>J52/2</f>
        <v>18</v>
      </c>
      <c r="O52" s="88">
        <f t="shared" si="4"/>
        <v>0</v>
      </c>
      <c r="P52" s="88">
        <f t="shared" si="5"/>
        <v>0</v>
      </c>
      <c r="Q52" s="88">
        <f t="shared" si="3"/>
        <v>4.5</v>
      </c>
      <c r="R52" s="88">
        <f t="shared" si="3"/>
        <v>4.5</v>
      </c>
      <c r="S52" s="88">
        <f t="shared" si="3"/>
        <v>0</v>
      </c>
      <c r="T52" s="88">
        <f t="shared" si="3"/>
        <v>0</v>
      </c>
      <c r="U52" s="85" t="s">
        <v>5</v>
      </c>
      <c r="V52" s="89" t="s">
        <v>26</v>
      </c>
      <c r="W52" s="90"/>
      <c r="X52" s="90"/>
    </row>
    <row r="53" spans="1:24" s="91" customFormat="1" ht="30" hidden="1">
      <c r="A53" s="81" t="s">
        <v>323</v>
      </c>
      <c r="B53" s="81" t="s">
        <v>324</v>
      </c>
      <c r="C53" s="81" t="s">
        <v>121</v>
      </c>
      <c r="D53" s="82" t="s">
        <v>325</v>
      </c>
      <c r="E53" s="83" t="s">
        <v>326</v>
      </c>
      <c r="F53" s="95">
        <v>2027</v>
      </c>
      <c r="G53" s="109"/>
      <c r="H53" s="110" t="s">
        <v>327</v>
      </c>
      <c r="I53" s="86">
        <v>0.5</v>
      </c>
      <c r="J53" s="87">
        <v>36</v>
      </c>
      <c r="K53" s="87"/>
      <c r="L53" s="87"/>
      <c r="M53" s="88">
        <v>0</v>
      </c>
      <c r="N53" s="88">
        <f>J53</f>
        <v>36</v>
      </c>
      <c r="O53" s="88">
        <f t="shared" si="4"/>
        <v>0</v>
      </c>
      <c r="P53" s="88">
        <f t="shared" si="5"/>
        <v>0</v>
      </c>
      <c r="Q53" s="88">
        <f t="shared" si="3"/>
        <v>0</v>
      </c>
      <c r="R53" s="88">
        <f t="shared" si="3"/>
        <v>18</v>
      </c>
      <c r="S53" s="88">
        <f t="shared" si="3"/>
        <v>0</v>
      </c>
      <c r="T53" s="88">
        <f t="shared" si="3"/>
        <v>0</v>
      </c>
      <c r="U53" s="85" t="s">
        <v>7</v>
      </c>
      <c r="V53" s="89" t="s">
        <v>30</v>
      </c>
      <c r="W53" s="90"/>
      <c r="X53" s="90"/>
    </row>
    <row r="54" spans="1:24" s="91" customFormat="1" ht="57" hidden="1">
      <c r="A54" s="81" t="s">
        <v>328</v>
      </c>
      <c r="B54" s="81" t="s">
        <v>329</v>
      </c>
      <c r="C54" s="81" t="s">
        <v>121</v>
      </c>
      <c r="D54" s="82" t="s">
        <v>330</v>
      </c>
      <c r="E54" s="83" t="s">
        <v>331</v>
      </c>
      <c r="F54" s="84">
        <v>2027</v>
      </c>
      <c r="G54" s="85"/>
      <c r="H54" s="81"/>
      <c r="I54" s="86">
        <v>0.5</v>
      </c>
      <c r="J54" s="87">
        <v>34</v>
      </c>
      <c r="K54" s="87"/>
      <c r="L54" s="87"/>
      <c r="M54" s="88">
        <v>0</v>
      </c>
      <c r="N54" s="88">
        <f>J54</f>
        <v>34</v>
      </c>
      <c r="O54" s="88">
        <f t="shared" si="4"/>
        <v>0</v>
      </c>
      <c r="P54" s="88">
        <f t="shared" si="5"/>
        <v>0</v>
      </c>
      <c r="Q54" s="88">
        <f t="shared" si="3"/>
        <v>0</v>
      </c>
      <c r="R54" s="88">
        <f t="shared" si="3"/>
        <v>17</v>
      </c>
      <c r="S54" s="88">
        <f t="shared" si="3"/>
        <v>0</v>
      </c>
      <c r="T54" s="88">
        <f t="shared" si="3"/>
        <v>0</v>
      </c>
      <c r="U54" s="85" t="s">
        <v>7</v>
      </c>
      <c r="V54" s="89" t="s">
        <v>28</v>
      </c>
      <c r="W54" s="90"/>
      <c r="X54" s="90"/>
    </row>
    <row r="55" spans="1:24" s="91" customFormat="1" ht="121.5" hidden="1">
      <c r="A55" s="81" t="s">
        <v>332</v>
      </c>
      <c r="B55" s="81" t="s">
        <v>333</v>
      </c>
      <c r="C55" s="81" t="s">
        <v>121</v>
      </c>
      <c r="D55" s="82" t="s">
        <v>334</v>
      </c>
      <c r="E55" s="83" t="s">
        <v>335</v>
      </c>
      <c r="F55" s="84">
        <v>2028</v>
      </c>
      <c r="G55" s="85"/>
      <c r="H55" s="81" t="s">
        <v>188</v>
      </c>
      <c r="I55" s="86">
        <v>0.1</v>
      </c>
      <c r="J55" s="87">
        <v>65</v>
      </c>
      <c r="K55" s="87"/>
      <c r="L55" s="87"/>
      <c r="M55" s="88">
        <v>0</v>
      </c>
      <c r="N55" s="88">
        <f>J55*0.82</f>
        <v>53.3</v>
      </c>
      <c r="O55" s="88">
        <f t="shared" si="4"/>
        <v>0</v>
      </c>
      <c r="P55" s="88">
        <f t="shared" si="5"/>
        <v>0</v>
      </c>
      <c r="Q55" s="88">
        <f t="shared" si="3"/>
        <v>0</v>
      </c>
      <c r="R55" s="88">
        <f t="shared" si="3"/>
        <v>5.33</v>
      </c>
      <c r="S55" s="88">
        <f t="shared" si="3"/>
        <v>0</v>
      </c>
      <c r="T55" s="88">
        <f t="shared" si="3"/>
        <v>0</v>
      </c>
      <c r="U55" s="85" t="s">
        <v>7</v>
      </c>
      <c r="V55" s="89" t="s">
        <v>28</v>
      </c>
      <c r="W55" s="90"/>
      <c r="X55" s="90"/>
    </row>
    <row r="56" spans="1:24" s="120" customFormat="1" ht="54" hidden="1">
      <c r="A56" s="98" t="s">
        <v>336</v>
      </c>
      <c r="B56" s="98" t="s">
        <v>337</v>
      </c>
      <c r="C56" s="98" t="s">
        <v>121</v>
      </c>
      <c r="D56" s="114" t="s">
        <v>338</v>
      </c>
      <c r="E56" s="100" t="s">
        <v>339</v>
      </c>
      <c r="F56" s="101">
        <v>2027</v>
      </c>
      <c r="G56" s="102"/>
      <c r="H56" s="98" t="s">
        <v>340</v>
      </c>
      <c r="I56" s="115">
        <v>0.01</v>
      </c>
      <c r="J56" s="116">
        <v>33</v>
      </c>
      <c r="K56" s="116"/>
      <c r="L56" s="116"/>
      <c r="M56" s="117">
        <f>J56/2</f>
        <v>16.5</v>
      </c>
      <c r="N56" s="117">
        <f>J56/2</f>
        <v>16.5</v>
      </c>
      <c r="O56" s="117">
        <f t="shared" si="4"/>
        <v>0</v>
      </c>
      <c r="P56" s="117">
        <f t="shared" si="5"/>
        <v>0</v>
      </c>
      <c r="Q56" s="117">
        <f t="shared" si="3"/>
        <v>0.16500000000000001</v>
      </c>
      <c r="R56" s="117">
        <f t="shared" si="3"/>
        <v>0.16500000000000001</v>
      </c>
      <c r="S56" s="117">
        <f t="shared" si="3"/>
        <v>0</v>
      </c>
      <c r="T56" s="117">
        <f t="shared" si="3"/>
        <v>0</v>
      </c>
      <c r="U56" s="102" t="s">
        <v>7</v>
      </c>
      <c r="V56" s="118" t="s">
        <v>30</v>
      </c>
      <c r="W56" s="119"/>
      <c r="X56" s="119"/>
    </row>
    <row r="57" spans="1:24" s="91" customFormat="1" ht="40.5" hidden="1">
      <c r="A57" s="81" t="s">
        <v>341</v>
      </c>
      <c r="B57" s="81" t="s">
        <v>148</v>
      </c>
      <c r="C57" s="81" t="s">
        <v>121</v>
      </c>
      <c r="D57" s="82" t="s">
        <v>342</v>
      </c>
      <c r="E57" s="83" t="s">
        <v>343</v>
      </c>
      <c r="F57" s="84">
        <v>2029</v>
      </c>
      <c r="G57" s="85"/>
      <c r="H57" s="81" t="s">
        <v>188</v>
      </c>
      <c r="I57" s="86">
        <v>0.25</v>
      </c>
      <c r="J57" s="87">
        <v>30</v>
      </c>
      <c r="K57" s="87"/>
      <c r="L57" s="87"/>
      <c r="M57" s="88">
        <v>0</v>
      </c>
      <c r="N57" s="88">
        <f>J57</f>
        <v>30</v>
      </c>
      <c r="O57" s="88">
        <f t="shared" si="4"/>
        <v>0</v>
      </c>
      <c r="P57" s="88">
        <f t="shared" si="5"/>
        <v>0</v>
      </c>
      <c r="Q57" s="88">
        <f t="shared" si="3"/>
        <v>0</v>
      </c>
      <c r="R57" s="88">
        <f t="shared" si="3"/>
        <v>7.5</v>
      </c>
      <c r="S57" s="88">
        <f t="shared" si="3"/>
        <v>0</v>
      </c>
      <c r="T57" s="88">
        <f t="shared" si="3"/>
        <v>0</v>
      </c>
      <c r="U57" s="85" t="s">
        <v>8</v>
      </c>
      <c r="V57" s="89" t="s">
        <v>29</v>
      </c>
      <c r="W57" s="90"/>
      <c r="X57" s="90"/>
    </row>
    <row r="58" spans="1:24" s="91" customFormat="1" ht="34.5" hidden="1">
      <c r="A58" s="81" t="s">
        <v>344</v>
      </c>
      <c r="B58" s="81" t="s">
        <v>345</v>
      </c>
      <c r="C58" s="81" t="s">
        <v>121</v>
      </c>
      <c r="D58" s="82" t="s">
        <v>346</v>
      </c>
      <c r="E58" s="83" t="s">
        <v>347</v>
      </c>
      <c r="F58" s="84">
        <v>2029</v>
      </c>
      <c r="G58" s="85"/>
      <c r="H58" s="81" t="s">
        <v>188</v>
      </c>
      <c r="I58" s="86">
        <v>0.25</v>
      </c>
      <c r="J58" s="87">
        <v>30</v>
      </c>
      <c r="K58" s="87"/>
      <c r="L58" s="87"/>
      <c r="M58" s="88">
        <v>0</v>
      </c>
      <c r="N58" s="88">
        <v>30</v>
      </c>
      <c r="O58" s="88">
        <f t="shared" si="4"/>
        <v>0</v>
      </c>
      <c r="P58" s="88">
        <f t="shared" si="5"/>
        <v>0</v>
      </c>
      <c r="Q58" s="88">
        <f t="shared" si="3"/>
        <v>0</v>
      </c>
      <c r="R58" s="88">
        <f t="shared" si="3"/>
        <v>7.5</v>
      </c>
      <c r="S58" s="88">
        <f t="shared" si="3"/>
        <v>0</v>
      </c>
      <c r="T58" s="88">
        <f t="shared" si="3"/>
        <v>0</v>
      </c>
      <c r="U58" s="85" t="s">
        <v>6</v>
      </c>
      <c r="V58" s="89" t="s">
        <v>27</v>
      </c>
      <c r="W58" s="90"/>
      <c r="X58" s="90"/>
    </row>
    <row r="59" spans="1:24" s="91" customFormat="1" ht="40.5" hidden="1">
      <c r="A59" s="81" t="s">
        <v>348</v>
      </c>
      <c r="B59" s="81" t="s">
        <v>349</v>
      </c>
      <c r="C59" s="81" t="s">
        <v>121</v>
      </c>
      <c r="D59" s="82" t="s">
        <v>350</v>
      </c>
      <c r="E59" s="83" t="s">
        <v>351</v>
      </c>
      <c r="F59" s="84">
        <v>2021</v>
      </c>
      <c r="G59" s="85">
        <v>2023</v>
      </c>
      <c r="H59" s="81" t="s">
        <v>123</v>
      </c>
      <c r="I59" s="86">
        <v>1</v>
      </c>
      <c r="J59" s="84">
        <f>2000*42*350/1000000</f>
        <v>29.4</v>
      </c>
      <c r="K59" s="84">
        <f>10000*42*350/1000000</f>
        <v>147</v>
      </c>
      <c r="L59" s="87"/>
      <c r="M59" s="88">
        <f>J59/2</f>
        <v>14.7</v>
      </c>
      <c r="N59" s="88">
        <f>J59/2</f>
        <v>14.7</v>
      </c>
      <c r="O59" s="88">
        <f t="shared" si="4"/>
        <v>58.8</v>
      </c>
      <c r="P59" s="88">
        <f t="shared" si="5"/>
        <v>58.8</v>
      </c>
      <c r="Q59" s="88">
        <f t="shared" si="3"/>
        <v>14.7</v>
      </c>
      <c r="R59" s="88">
        <f t="shared" si="3"/>
        <v>14.7</v>
      </c>
      <c r="S59" s="88">
        <f t="shared" si="3"/>
        <v>58.8</v>
      </c>
      <c r="T59" s="88">
        <f t="shared" si="3"/>
        <v>58.8</v>
      </c>
      <c r="U59" s="85" t="s">
        <v>10</v>
      </c>
      <c r="V59" s="89" t="s">
        <v>26</v>
      </c>
      <c r="W59" s="90"/>
      <c r="X59" s="90"/>
    </row>
    <row r="60" spans="1:24" s="91" customFormat="1" ht="90.75" hidden="1">
      <c r="A60" s="81" t="s">
        <v>352</v>
      </c>
      <c r="B60" s="81" t="s">
        <v>353</v>
      </c>
      <c r="C60" s="81" t="s">
        <v>121</v>
      </c>
      <c r="D60" s="82" t="s">
        <v>354</v>
      </c>
      <c r="E60" s="82" t="s">
        <v>355</v>
      </c>
      <c r="F60" s="84">
        <v>2027</v>
      </c>
      <c r="G60" s="85">
        <v>2028</v>
      </c>
      <c r="H60" s="81"/>
      <c r="I60" s="86">
        <v>0.25</v>
      </c>
      <c r="J60" s="84">
        <v>29</v>
      </c>
      <c r="K60" s="84">
        <v>147</v>
      </c>
      <c r="L60" s="87"/>
      <c r="M60" s="88">
        <f>J60/2</f>
        <v>14.5</v>
      </c>
      <c r="N60" s="88">
        <f>J60/2</f>
        <v>14.5</v>
      </c>
      <c r="O60" s="88">
        <f t="shared" si="4"/>
        <v>59</v>
      </c>
      <c r="P60" s="88">
        <f t="shared" si="5"/>
        <v>59</v>
      </c>
      <c r="Q60" s="88">
        <f t="shared" si="3"/>
        <v>3.625</v>
      </c>
      <c r="R60" s="88">
        <f t="shared" si="3"/>
        <v>3.625</v>
      </c>
      <c r="S60" s="88">
        <f t="shared" si="3"/>
        <v>14.75</v>
      </c>
      <c r="T60" s="88">
        <f t="shared" si="3"/>
        <v>14.75</v>
      </c>
      <c r="U60" s="85" t="s">
        <v>10</v>
      </c>
      <c r="V60" s="89" t="s">
        <v>26</v>
      </c>
      <c r="W60" s="90"/>
      <c r="X60" s="90"/>
    </row>
    <row r="61" spans="1:24" s="91" customFormat="1" ht="30" hidden="1">
      <c r="A61" s="81" t="s">
        <v>356</v>
      </c>
      <c r="B61" s="81" t="s">
        <v>357</v>
      </c>
      <c r="C61" s="81" t="s">
        <v>121</v>
      </c>
      <c r="D61" s="82" t="s">
        <v>126</v>
      </c>
      <c r="E61" s="83" t="s">
        <v>358</v>
      </c>
      <c r="F61" s="84">
        <v>2028</v>
      </c>
      <c r="G61" s="85"/>
      <c r="H61" s="81" t="s">
        <v>359</v>
      </c>
      <c r="I61" s="86">
        <v>0.5</v>
      </c>
      <c r="J61" s="87">
        <v>23.2</v>
      </c>
      <c r="K61" s="87"/>
      <c r="L61" s="87"/>
      <c r="M61" s="88">
        <v>0</v>
      </c>
      <c r="N61" s="88">
        <v>23.2</v>
      </c>
      <c r="O61" s="88">
        <f t="shared" si="4"/>
        <v>0</v>
      </c>
      <c r="P61" s="88">
        <f t="shared" si="5"/>
        <v>0</v>
      </c>
      <c r="Q61" s="88">
        <f t="shared" si="3"/>
        <v>0</v>
      </c>
      <c r="R61" s="88">
        <f t="shared" si="3"/>
        <v>11.6</v>
      </c>
      <c r="S61" s="88">
        <f t="shared" si="3"/>
        <v>0</v>
      </c>
      <c r="T61" s="88">
        <f t="shared" si="3"/>
        <v>0</v>
      </c>
      <c r="U61" s="85" t="s">
        <v>8</v>
      </c>
      <c r="V61" s="89" t="s">
        <v>29</v>
      </c>
      <c r="W61" s="90"/>
      <c r="X61" s="90"/>
    </row>
    <row r="62" spans="1:24" ht="33.75">
      <c r="A62" s="328" t="s">
        <v>360</v>
      </c>
      <c r="B62" s="322" t="s">
        <v>361</v>
      </c>
      <c r="C62" s="322" t="s">
        <v>121</v>
      </c>
      <c r="D62" s="321" t="s">
        <v>362</v>
      </c>
      <c r="E62" s="321" t="s">
        <v>363</v>
      </c>
      <c r="F62" s="330">
        <v>2025</v>
      </c>
      <c r="G62" s="335"/>
      <c r="H62" s="336"/>
      <c r="I62" s="351">
        <v>0.5</v>
      </c>
      <c r="J62" s="352">
        <v>22</v>
      </c>
      <c r="K62" s="352"/>
      <c r="L62" s="352"/>
      <c r="M62" s="352">
        <f>J62</f>
        <v>22</v>
      </c>
      <c r="N62" s="352">
        <v>0</v>
      </c>
      <c r="O62" s="352">
        <f t="shared" si="4"/>
        <v>0</v>
      </c>
      <c r="P62" s="352">
        <f t="shared" si="5"/>
        <v>0</v>
      </c>
      <c r="Q62" s="352">
        <f t="shared" si="3"/>
        <v>11</v>
      </c>
      <c r="R62" s="352">
        <f t="shared" si="3"/>
        <v>0</v>
      </c>
      <c r="S62" s="352">
        <f t="shared" si="3"/>
        <v>0</v>
      </c>
      <c r="T62" s="352">
        <f t="shared" si="3"/>
        <v>0</v>
      </c>
      <c r="U62" s="331" t="s">
        <v>10</v>
      </c>
      <c r="V62" s="331" t="s">
        <v>26</v>
      </c>
      <c r="W62" s="321"/>
      <c r="X62" s="321"/>
    </row>
    <row r="63" spans="1:24" ht="33.75">
      <c r="A63" s="322" t="s">
        <v>364</v>
      </c>
      <c r="B63" s="322" t="s">
        <v>365</v>
      </c>
      <c r="C63" s="322" t="s">
        <v>121</v>
      </c>
      <c r="D63" s="321" t="s">
        <v>366</v>
      </c>
      <c r="E63" s="321" t="s">
        <v>367</v>
      </c>
      <c r="F63" s="330">
        <v>2025</v>
      </c>
      <c r="G63" s="331"/>
      <c r="H63" s="322"/>
      <c r="I63" s="351">
        <v>0.5</v>
      </c>
      <c r="J63" s="352">
        <v>20</v>
      </c>
      <c r="K63" s="352"/>
      <c r="L63" s="352"/>
      <c r="M63" s="352">
        <f>J63/2</f>
        <v>10</v>
      </c>
      <c r="N63" s="352">
        <f>J63/2</f>
        <v>10</v>
      </c>
      <c r="O63" s="352">
        <f t="shared" si="4"/>
        <v>0</v>
      </c>
      <c r="P63" s="352">
        <f t="shared" si="5"/>
        <v>0</v>
      </c>
      <c r="Q63" s="352">
        <f t="shared" si="3"/>
        <v>5</v>
      </c>
      <c r="R63" s="352">
        <f t="shared" si="3"/>
        <v>5</v>
      </c>
      <c r="S63" s="352">
        <f t="shared" si="3"/>
        <v>0</v>
      </c>
      <c r="T63" s="352">
        <f t="shared" si="3"/>
        <v>0</v>
      </c>
      <c r="U63" s="331" t="s">
        <v>9</v>
      </c>
      <c r="V63" s="331" t="s">
        <v>28</v>
      </c>
      <c r="W63" s="321"/>
      <c r="X63" s="321"/>
    </row>
    <row r="64" spans="1:24" s="91" customFormat="1" ht="54" hidden="1">
      <c r="A64" s="81" t="s">
        <v>176</v>
      </c>
      <c r="B64" s="81" t="s">
        <v>368</v>
      </c>
      <c r="C64" s="81" t="s">
        <v>121</v>
      </c>
      <c r="D64" s="82" t="s">
        <v>369</v>
      </c>
      <c r="E64" s="83" t="s">
        <v>370</v>
      </c>
      <c r="F64" s="84">
        <v>2025</v>
      </c>
      <c r="G64" s="85">
        <v>2027</v>
      </c>
      <c r="H64" s="81" t="s">
        <v>123</v>
      </c>
      <c r="I64" s="86">
        <v>1</v>
      </c>
      <c r="J64" s="87">
        <v>20</v>
      </c>
      <c r="K64" s="87">
        <v>250</v>
      </c>
      <c r="L64" s="87"/>
      <c r="M64" s="88">
        <v>0</v>
      </c>
      <c r="N64" s="88">
        <v>20</v>
      </c>
      <c r="O64" s="88">
        <f t="shared" si="4"/>
        <v>0</v>
      </c>
      <c r="P64" s="88">
        <f t="shared" si="5"/>
        <v>230</v>
      </c>
      <c r="Q64" s="88">
        <f t="shared" si="3"/>
        <v>0</v>
      </c>
      <c r="R64" s="88">
        <f t="shared" si="3"/>
        <v>20</v>
      </c>
      <c r="S64" s="88">
        <f t="shared" si="3"/>
        <v>0</v>
      </c>
      <c r="T64" s="88">
        <f t="shared" si="3"/>
        <v>230</v>
      </c>
      <c r="U64" s="85" t="s">
        <v>5</v>
      </c>
      <c r="V64" s="89" t="s">
        <v>26</v>
      </c>
      <c r="W64" s="90"/>
      <c r="X64" s="90"/>
    </row>
    <row r="65" spans="1:24" s="91" customFormat="1" ht="45" hidden="1">
      <c r="A65" s="81" t="s">
        <v>371</v>
      </c>
      <c r="B65" s="81" t="s">
        <v>372</v>
      </c>
      <c r="C65" s="81" t="s">
        <v>121</v>
      </c>
      <c r="D65" s="82" t="s">
        <v>373</v>
      </c>
      <c r="E65" s="83" t="s">
        <v>374</v>
      </c>
      <c r="F65" s="84">
        <v>2024</v>
      </c>
      <c r="G65" s="92"/>
      <c r="H65" s="93" t="s">
        <v>123</v>
      </c>
      <c r="I65" s="86">
        <v>1</v>
      </c>
      <c r="J65" s="87">
        <v>10</v>
      </c>
      <c r="K65" s="87"/>
      <c r="L65" s="87"/>
      <c r="M65" s="88">
        <v>1</v>
      </c>
      <c r="N65" s="88">
        <v>9</v>
      </c>
      <c r="O65" s="88">
        <f t="shared" si="4"/>
        <v>0</v>
      </c>
      <c r="P65" s="88">
        <f t="shared" si="5"/>
        <v>0</v>
      </c>
      <c r="Q65" s="88">
        <f t="shared" si="3"/>
        <v>1</v>
      </c>
      <c r="R65" s="88">
        <f t="shared" si="3"/>
        <v>9</v>
      </c>
      <c r="S65" s="88">
        <f t="shared" si="3"/>
        <v>0</v>
      </c>
      <c r="T65" s="88">
        <f t="shared" si="3"/>
        <v>0</v>
      </c>
      <c r="U65" s="85" t="s">
        <v>6</v>
      </c>
      <c r="V65" s="89" t="s">
        <v>27</v>
      </c>
      <c r="W65" s="90"/>
      <c r="X65" s="90"/>
    </row>
    <row r="66" spans="1:24" ht="56.25">
      <c r="A66" s="337" t="s">
        <v>375</v>
      </c>
      <c r="B66" s="322" t="s">
        <v>376</v>
      </c>
      <c r="C66" s="322" t="s">
        <v>121</v>
      </c>
      <c r="D66" s="321" t="s">
        <v>377</v>
      </c>
      <c r="E66" s="322" t="s">
        <v>378</v>
      </c>
      <c r="F66" s="330">
        <v>2025</v>
      </c>
      <c r="G66" s="338"/>
      <c r="H66" s="322" t="s">
        <v>188</v>
      </c>
      <c r="I66" s="351">
        <v>0.5</v>
      </c>
      <c r="J66" s="352">
        <v>10</v>
      </c>
      <c r="K66" s="352"/>
      <c r="L66" s="352"/>
      <c r="M66" s="352">
        <v>0</v>
      </c>
      <c r="N66" s="352">
        <v>10</v>
      </c>
      <c r="O66" s="352">
        <f t="shared" si="4"/>
        <v>0</v>
      </c>
      <c r="P66" s="352">
        <f t="shared" si="5"/>
        <v>0</v>
      </c>
      <c r="Q66" s="352">
        <f t="shared" si="3"/>
        <v>0</v>
      </c>
      <c r="R66" s="352">
        <f t="shared" si="3"/>
        <v>5</v>
      </c>
      <c r="S66" s="352">
        <f t="shared" si="3"/>
        <v>0</v>
      </c>
      <c r="T66" s="352">
        <f t="shared" si="3"/>
        <v>0</v>
      </c>
      <c r="U66" s="331" t="s">
        <v>10</v>
      </c>
      <c r="V66" s="331" t="s">
        <v>26</v>
      </c>
      <c r="W66" s="321"/>
      <c r="X66" s="321"/>
    </row>
    <row r="67" spans="1:24" s="91" customFormat="1" ht="15.75" hidden="1">
      <c r="A67" s="81" t="s">
        <v>379</v>
      </c>
      <c r="B67" s="81" t="s">
        <v>380</v>
      </c>
      <c r="C67" s="81" t="s">
        <v>158</v>
      </c>
      <c r="D67" s="82"/>
      <c r="E67" s="83"/>
      <c r="F67" s="84">
        <v>2028</v>
      </c>
      <c r="G67" s="103"/>
      <c r="H67" s="81" t="s">
        <v>188</v>
      </c>
      <c r="I67" s="86">
        <v>0.1</v>
      </c>
      <c r="J67" s="87">
        <v>8</v>
      </c>
      <c r="K67" s="87"/>
      <c r="L67" s="104">
        <v>23000</v>
      </c>
      <c r="M67" s="88">
        <v>0</v>
      </c>
      <c r="N67" s="88">
        <f>J67</f>
        <v>8</v>
      </c>
      <c r="O67" s="88">
        <f t="shared" si="4"/>
        <v>0</v>
      </c>
      <c r="P67" s="88">
        <f t="shared" si="5"/>
        <v>0</v>
      </c>
      <c r="Q67" s="88">
        <f t="shared" ref="Q67:T78" si="6">M67*$I67</f>
        <v>0</v>
      </c>
      <c r="R67" s="88">
        <f t="shared" si="6"/>
        <v>0.8</v>
      </c>
      <c r="S67" s="88">
        <f t="shared" si="6"/>
        <v>0</v>
      </c>
      <c r="T67" s="88">
        <f t="shared" si="6"/>
        <v>0</v>
      </c>
      <c r="U67" s="85" t="s">
        <v>8</v>
      </c>
      <c r="V67" s="89" t="s">
        <v>29</v>
      </c>
      <c r="W67" s="90" t="s">
        <v>161</v>
      </c>
      <c r="X67" s="90"/>
    </row>
    <row r="68" spans="1:24" s="91" customFormat="1" ht="30" hidden="1">
      <c r="A68" s="81" t="s">
        <v>381</v>
      </c>
      <c r="B68" s="81" t="s">
        <v>382</v>
      </c>
      <c r="C68" s="81" t="s">
        <v>121</v>
      </c>
      <c r="D68" s="82" t="s">
        <v>383</v>
      </c>
      <c r="E68" s="83" t="s">
        <v>384</v>
      </c>
      <c r="F68" s="84">
        <v>2026</v>
      </c>
      <c r="G68" s="85"/>
      <c r="H68" s="81" t="s">
        <v>188</v>
      </c>
      <c r="I68" s="86">
        <v>0.25</v>
      </c>
      <c r="J68" s="87">
        <v>5</v>
      </c>
      <c r="K68" s="87"/>
      <c r="L68" s="87"/>
      <c r="M68" s="88">
        <v>0</v>
      </c>
      <c r="N68" s="88">
        <f>J68</f>
        <v>5</v>
      </c>
      <c r="O68" s="88">
        <f t="shared" si="4"/>
        <v>0</v>
      </c>
      <c r="P68" s="88">
        <f t="shared" si="5"/>
        <v>0</v>
      </c>
      <c r="Q68" s="88">
        <f t="shared" si="6"/>
        <v>0</v>
      </c>
      <c r="R68" s="88">
        <f t="shared" si="6"/>
        <v>1.25</v>
      </c>
      <c r="S68" s="88">
        <f t="shared" si="6"/>
        <v>0</v>
      </c>
      <c r="T68" s="88">
        <f t="shared" si="6"/>
        <v>0</v>
      </c>
      <c r="U68" s="85" t="s">
        <v>8</v>
      </c>
      <c r="V68" s="89" t="s">
        <v>29</v>
      </c>
      <c r="W68" s="90"/>
      <c r="X68" s="90"/>
    </row>
    <row r="69" spans="1:24" ht="45">
      <c r="A69" s="322" t="s">
        <v>385</v>
      </c>
      <c r="B69" s="322" t="s">
        <v>386</v>
      </c>
      <c r="C69" s="322" t="s">
        <v>121</v>
      </c>
      <c r="D69" s="321" t="s">
        <v>387</v>
      </c>
      <c r="E69" s="321" t="s">
        <v>388</v>
      </c>
      <c r="F69" s="330">
        <v>2025</v>
      </c>
      <c r="G69" s="331">
        <v>2027</v>
      </c>
      <c r="H69" s="322" t="s">
        <v>389</v>
      </c>
      <c r="I69" s="351">
        <v>0.5</v>
      </c>
      <c r="J69" s="352">
        <v>3</v>
      </c>
      <c r="K69" s="352">
        <v>100</v>
      </c>
      <c r="L69" s="352"/>
      <c r="M69" s="352">
        <f>J69*0.1</f>
        <v>0.30000000000000004</v>
      </c>
      <c r="N69" s="352">
        <f>J69</f>
        <v>3</v>
      </c>
      <c r="O69" s="352">
        <f>K69*0.1</f>
        <v>10</v>
      </c>
      <c r="P69" s="352">
        <f>K69</f>
        <v>100</v>
      </c>
      <c r="Q69" s="352">
        <f t="shared" si="6"/>
        <v>0.15000000000000002</v>
      </c>
      <c r="R69" s="352">
        <f t="shared" si="6"/>
        <v>1.5</v>
      </c>
      <c r="S69" s="352">
        <f t="shared" si="6"/>
        <v>5</v>
      </c>
      <c r="T69" s="352">
        <f t="shared" si="6"/>
        <v>50</v>
      </c>
      <c r="U69" s="331" t="s">
        <v>6</v>
      </c>
      <c r="V69" s="331" t="s">
        <v>27</v>
      </c>
      <c r="W69" s="321"/>
      <c r="X69" s="321" t="s">
        <v>390</v>
      </c>
    </row>
    <row r="70" spans="1:24" s="91" customFormat="1" ht="57" hidden="1">
      <c r="A70" s="81" t="s">
        <v>391</v>
      </c>
      <c r="B70" s="81" t="s">
        <v>392</v>
      </c>
      <c r="C70" s="81" t="s">
        <v>121</v>
      </c>
      <c r="D70" s="82" t="s">
        <v>393</v>
      </c>
      <c r="E70" s="83" t="s">
        <v>394</v>
      </c>
      <c r="F70" s="84">
        <v>2026</v>
      </c>
      <c r="G70" s="92"/>
      <c r="H70" s="93" t="s">
        <v>395</v>
      </c>
      <c r="I70" s="86">
        <v>0.75</v>
      </c>
      <c r="J70" s="87">
        <v>2</v>
      </c>
      <c r="K70" s="87"/>
      <c r="L70" s="87"/>
      <c r="M70" s="88">
        <v>0</v>
      </c>
      <c r="N70" s="88">
        <f>J70</f>
        <v>2</v>
      </c>
      <c r="O70" s="88">
        <f t="shared" ref="O70:O78" si="7">IF(K70="",0,(K70*(M70/J70))-M70)</f>
        <v>0</v>
      </c>
      <c r="P70" s="88">
        <f t="shared" ref="P70:P77" si="8">IF(K70="",0,(K70*(N70/J70))-N70)</f>
        <v>0</v>
      </c>
      <c r="Q70" s="88">
        <f t="shared" si="6"/>
        <v>0</v>
      </c>
      <c r="R70" s="88">
        <f t="shared" si="6"/>
        <v>1.5</v>
      </c>
      <c r="S70" s="88">
        <f t="shared" si="6"/>
        <v>0</v>
      </c>
      <c r="T70" s="88">
        <f t="shared" si="6"/>
        <v>0</v>
      </c>
      <c r="U70" s="85" t="s">
        <v>396</v>
      </c>
      <c r="V70" s="89" t="s">
        <v>397</v>
      </c>
      <c r="W70" s="90"/>
      <c r="X70" s="90"/>
    </row>
    <row r="71" spans="1:24" s="91" customFormat="1" ht="54" hidden="1">
      <c r="A71" s="81" t="s">
        <v>398</v>
      </c>
      <c r="B71" s="81" t="s">
        <v>399</v>
      </c>
      <c r="C71" s="81" t="s">
        <v>121</v>
      </c>
      <c r="D71" s="82" t="s">
        <v>400</v>
      </c>
      <c r="E71" s="83" t="s">
        <v>401</v>
      </c>
      <c r="F71" s="84">
        <v>2026</v>
      </c>
      <c r="G71" s="85"/>
      <c r="H71" s="81"/>
      <c r="I71" s="86">
        <v>0.05</v>
      </c>
      <c r="J71" s="87">
        <v>2</v>
      </c>
      <c r="K71" s="87"/>
      <c r="L71" s="87"/>
      <c r="M71" s="88">
        <f>J71/2</f>
        <v>1</v>
      </c>
      <c r="N71" s="88">
        <f>J71/2</f>
        <v>1</v>
      </c>
      <c r="O71" s="88">
        <f t="shared" si="7"/>
        <v>0</v>
      </c>
      <c r="P71" s="88">
        <f t="shared" si="8"/>
        <v>0</v>
      </c>
      <c r="Q71" s="88">
        <f t="shared" si="6"/>
        <v>0.05</v>
      </c>
      <c r="R71" s="88">
        <f t="shared" si="6"/>
        <v>0.05</v>
      </c>
      <c r="S71" s="88">
        <f t="shared" si="6"/>
        <v>0</v>
      </c>
      <c r="T71" s="88">
        <f t="shared" si="6"/>
        <v>0</v>
      </c>
      <c r="U71" s="85" t="s">
        <v>9</v>
      </c>
      <c r="V71" s="89" t="s">
        <v>28</v>
      </c>
      <c r="W71" s="90"/>
      <c r="X71" s="90"/>
    </row>
    <row r="72" spans="1:24" ht="45">
      <c r="A72" s="322" t="s">
        <v>402</v>
      </c>
      <c r="B72" s="322" t="s">
        <v>403</v>
      </c>
      <c r="C72" s="322" t="s">
        <v>121</v>
      </c>
      <c r="D72" s="321" t="s">
        <v>404</v>
      </c>
      <c r="E72" s="321" t="s">
        <v>1221</v>
      </c>
      <c r="F72" s="330">
        <v>2024</v>
      </c>
      <c r="G72" s="331"/>
      <c r="H72" s="339" t="s">
        <v>405</v>
      </c>
      <c r="I72" s="351">
        <v>0.5</v>
      </c>
      <c r="J72" s="352">
        <v>1.3</v>
      </c>
      <c r="K72" s="352"/>
      <c r="L72" s="352"/>
      <c r="M72" s="352">
        <f>J72</f>
        <v>1.3</v>
      </c>
      <c r="N72" s="352">
        <v>0</v>
      </c>
      <c r="O72" s="352">
        <f t="shared" si="7"/>
        <v>0</v>
      </c>
      <c r="P72" s="352">
        <f t="shared" si="8"/>
        <v>0</v>
      </c>
      <c r="Q72" s="352">
        <f t="shared" si="6"/>
        <v>0.65</v>
      </c>
      <c r="R72" s="352">
        <f t="shared" si="6"/>
        <v>0</v>
      </c>
      <c r="S72" s="352">
        <f t="shared" si="6"/>
        <v>0</v>
      </c>
      <c r="T72" s="352">
        <f t="shared" si="6"/>
        <v>0</v>
      </c>
      <c r="U72" s="331" t="s">
        <v>9</v>
      </c>
      <c r="V72" s="331" t="s">
        <v>28</v>
      </c>
      <c r="W72" s="321"/>
      <c r="X72" s="321"/>
    </row>
    <row r="73" spans="1:24" ht="56.25">
      <c r="A73" s="322" t="s">
        <v>406</v>
      </c>
      <c r="B73" s="322" t="s">
        <v>407</v>
      </c>
      <c r="C73" s="322" t="s">
        <v>121</v>
      </c>
      <c r="D73" s="321" t="s">
        <v>408</v>
      </c>
      <c r="E73" s="321" t="s">
        <v>409</v>
      </c>
      <c r="F73" s="330">
        <v>2024</v>
      </c>
      <c r="G73" s="331"/>
      <c r="H73" s="336" t="s">
        <v>188</v>
      </c>
      <c r="I73" s="351">
        <v>0.75</v>
      </c>
      <c r="J73" s="354">
        <f>3000000/3.78541/1000000</f>
        <v>0.79251653057396676</v>
      </c>
      <c r="K73" s="352"/>
      <c r="L73" s="352"/>
      <c r="M73" s="354">
        <f>J73/2</f>
        <v>0.39625826528698338</v>
      </c>
      <c r="N73" s="354">
        <f>J73/2</f>
        <v>0.39625826528698338</v>
      </c>
      <c r="O73" s="352">
        <f t="shared" si="7"/>
        <v>0</v>
      </c>
      <c r="P73" s="352">
        <f t="shared" si="8"/>
        <v>0</v>
      </c>
      <c r="Q73" s="352">
        <f t="shared" si="6"/>
        <v>0.29719369896523751</v>
      </c>
      <c r="R73" s="352">
        <f t="shared" si="6"/>
        <v>0.29719369896523751</v>
      </c>
      <c r="S73" s="352">
        <f t="shared" si="6"/>
        <v>0</v>
      </c>
      <c r="T73" s="352">
        <f t="shared" si="6"/>
        <v>0</v>
      </c>
      <c r="U73" s="331" t="s">
        <v>8</v>
      </c>
      <c r="V73" s="331" t="s">
        <v>29</v>
      </c>
      <c r="W73" s="321"/>
      <c r="X73" s="321"/>
    </row>
    <row r="74" spans="1:24" ht="45">
      <c r="A74" s="322" t="s">
        <v>410</v>
      </c>
      <c r="B74" s="322" t="s">
        <v>411</v>
      </c>
      <c r="C74" s="322" t="s">
        <v>121</v>
      </c>
      <c r="D74" s="321" t="s">
        <v>412</v>
      </c>
      <c r="E74" s="321" t="s">
        <v>413</v>
      </c>
      <c r="F74" s="330">
        <v>2025</v>
      </c>
      <c r="G74" s="331"/>
      <c r="H74" s="336" t="s">
        <v>188</v>
      </c>
      <c r="I74" s="351">
        <v>0.5</v>
      </c>
      <c r="J74" s="352">
        <f>500*365/1000000</f>
        <v>0.1825</v>
      </c>
      <c r="K74" s="352"/>
      <c r="L74" s="352"/>
      <c r="M74" s="352">
        <f>J74/2</f>
        <v>9.1249999999999998E-2</v>
      </c>
      <c r="N74" s="352">
        <f>J74/2</f>
        <v>9.1249999999999998E-2</v>
      </c>
      <c r="O74" s="352">
        <f t="shared" si="7"/>
        <v>0</v>
      </c>
      <c r="P74" s="352">
        <f t="shared" si="8"/>
        <v>0</v>
      </c>
      <c r="Q74" s="352">
        <f t="shared" si="6"/>
        <v>4.5624999999999999E-2</v>
      </c>
      <c r="R74" s="352">
        <f t="shared" si="6"/>
        <v>4.5624999999999999E-2</v>
      </c>
      <c r="S74" s="352">
        <f t="shared" si="6"/>
        <v>0</v>
      </c>
      <c r="T74" s="352">
        <f t="shared" si="6"/>
        <v>0</v>
      </c>
      <c r="U74" s="331" t="s">
        <v>6</v>
      </c>
      <c r="V74" s="331" t="s">
        <v>27</v>
      </c>
      <c r="W74" s="321"/>
      <c r="X74" s="321" t="s">
        <v>414</v>
      </c>
    </row>
    <row r="75" spans="1:24" s="120" customFormat="1" ht="57" hidden="1">
      <c r="A75" s="98" t="s">
        <v>415</v>
      </c>
      <c r="B75" s="98" t="s">
        <v>416</v>
      </c>
      <c r="C75" s="98" t="s">
        <v>121</v>
      </c>
      <c r="D75" s="99" t="s">
        <v>417</v>
      </c>
      <c r="E75" s="100" t="s">
        <v>418</v>
      </c>
      <c r="F75" s="101">
        <v>2020</v>
      </c>
      <c r="G75" s="102"/>
      <c r="H75" s="98" t="s">
        <v>155</v>
      </c>
      <c r="I75" s="115">
        <v>1E-3</v>
      </c>
      <c r="J75" s="124">
        <v>0.1</v>
      </c>
      <c r="K75" s="116"/>
      <c r="L75" s="116"/>
      <c r="M75" s="117">
        <f>J75*0.1</f>
        <v>1.0000000000000002E-2</v>
      </c>
      <c r="N75" s="117">
        <f>J75</f>
        <v>0.1</v>
      </c>
      <c r="O75" s="117">
        <f t="shared" si="7"/>
        <v>0</v>
      </c>
      <c r="P75" s="117">
        <f t="shared" si="8"/>
        <v>0</v>
      </c>
      <c r="Q75" s="117">
        <f t="shared" si="6"/>
        <v>1.0000000000000003E-5</v>
      </c>
      <c r="R75" s="117">
        <f t="shared" si="6"/>
        <v>1E-4</v>
      </c>
      <c r="S75" s="117">
        <f t="shared" si="6"/>
        <v>0</v>
      </c>
      <c r="T75" s="117">
        <f t="shared" si="6"/>
        <v>0</v>
      </c>
      <c r="U75" s="102" t="s">
        <v>6</v>
      </c>
      <c r="V75" s="118" t="s">
        <v>27</v>
      </c>
      <c r="W75" s="119"/>
      <c r="X75" s="119"/>
    </row>
    <row r="76" spans="1:24" ht="67.5">
      <c r="A76" s="322" t="s">
        <v>419</v>
      </c>
      <c r="B76" s="322" t="s">
        <v>420</v>
      </c>
      <c r="C76" s="322" t="s">
        <v>121</v>
      </c>
      <c r="D76" s="321" t="s">
        <v>421</v>
      </c>
      <c r="E76" s="321" t="s">
        <v>422</v>
      </c>
      <c r="F76" s="330">
        <v>2025</v>
      </c>
      <c r="G76" s="331"/>
      <c r="H76" s="336" t="s">
        <v>188</v>
      </c>
      <c r="I76" s="351">
        <v>0.5</v>
      </c>
      <c r="J76" s="354">
        <v>0.04</v>
      </c>
      <c r="K76" s="352"/>
      <c r="L76" s="352"/>
      <c r="M76" s="352">
        <v>0</v>
      </c>
      <c r="N76" s="354">
        <v>0.04</v>
      </c>
      <c r="O76" s="352">
        <f t="shared" si="7"/>
        <v>0</v>
      </c>
      <c r="P76" s="352">
        <f t="shared" si="8"/>
        <v>0</v>
      </c>
      <c r="Q76" s="352">
        <f t="shared" si="6"/>
        <v>0</v>
      </c>
      <c r="R76" s="352">
        <f t="shared" si="6"/>
        <v>0.02</v>
      </c>
      <c r="S76" s="352">
        <f t="shared" si="6"/>
        <v>0</v>
      </c>
      <c r="T76" s="352">
        <f t="shared" si="6"/>
        <v>0</v>
      </c>
      <c r="U76" s="331" t="s">
        <v>8</v>
      </c>
      <c r="V76" s="331" t="s">
        <v>29</v>
      </c>
      <c r="W76" s="321"/>
      <c r="X76" s="321"/>
    </row>
    <row r="77" spans="1:24" ht="45">
      <c r="A77" s="322" t="s">
        <v>423</v>
      </c>
      <c r="B77" s="322" t="s">
        <v>424</v>
      </c>
      <c r="C77" s="322" t="s">
        <v>121</v>
      </c>
      <c r="D77" s="321" t="s">
        <v>425</v>
      </c>
      <c r="E77" s="321" t="s">
        <v>426</v>
      </c>
      <c r="F77" s="330">
        <v>2025</v>
      </c>
      <c r="G77" s="331"/>
      <c r="H77" s="334" t="s">
        <v>133</v>
      </c>
      <c r="I77" s="351">
        <v>0.5</v>
      </c>
      <c r="J77" s="354">
        <v>3.5999999999999997E-2</v>
      </c>
      <c r="K77" s="352"/>
      <c r="L77" s="352"/>
      <c r="M77" s="352">
        <v>0</v>
      </c>
      <c r="N77" s="354">
        <v>3.5999999999999997E-2</v>
      </c>
      <c r="O77" s="352">
        <f t="shared" si="7"/>
        <v>0</v>
      </c>
      <c r="P77" s="352">
        <f t="shared" si="8"/>
        <v>0</v>
      </c>
      <c r="Q77" s="352">
        <f>M77*$I77</f>
        <v>0</v>
      </c>
      <c r="R77" s="352">
        <f>N77*$I77</f>
        <v>1.7999999999999999E-2</v>
      </c>
      <c r="S77" s="352">
        <f t="shared" si="6"/>
        <v>0</v>
      </c>
      <c r="T77" s="352">
        <f t="shared" si="6"/>
        <v>0</v>
      </c>
      <c r="U77" s="331" t="s">
        <v>7</v>
      </c>
      <c r="V77" s="331" t="s">
        <v>30</v>
      </c>
      <c r="W77" s="321"/>
      <c r="X77" s="321"/>
    </row>
    <row r="78" spans="1:24" s="91" customFormat="1" ht="27" hidden="1">
      <c r="A78" s="106" t="s">
        <v>427</v>
      </c>
      <c r="B78" s="81" t="s">
        <v>428</v>
      </c>
      <c r="C78" s="81" t="s">
        <v>158</v>
      </c>
      <c r="D78" s="82" t="s">
        <v>429</v>
      </c>
      <c r="E78" s="83" t="s">
        <v>430</v>
      </c>
      <c r="F78" s="84">
        <v>2024</v>
      </c>
      <c r="G78" s="103"/>
      <c r="H78" s="81" t="s">
        <v>431</v>
      </c>
      <c r="I78" s="86">
        <v>1</v>
      </c>
      <c r="J78" s="87">
        <v>0.32</v>
      </c>
      <c r="K78" s="87"/>
      <c r="L78" s="87">
        <v>1000</v>
      </c>
      <c r="M78" s="88">
        <v>0</v>
      </c>
      <c r="N78" s="88">
        <f>J78</f>
        <v>0.32</v>
      </c>
      <c r="O78" s="88">
        <f t="shared" si="7"/>
        <v>0</v>
      </c>
      <c r="P78" s="88">
        <f>IF(K78="",0,(K78*(N78/J78))-N78)</f>
        <v>0</v>
      </c>
      <c r="Q78" s="88">
        <f t="shared" ref="Q78:S82" si="9">M78*$I78</f>
        <v>0</v>
      </c>
      <c r="R78" s="88">
        <f t="shared" si="9"/>
        <v>0.32</v>
      </c>
      <c r="S78" s="88">
        <f t="shared" si="6"/>
        <v>0</v>
      </c>
      <c r="T78" s="88">
        <f>P78*$I78</f>
        <v>0</v>
      </c>
      <c r="U78" s="85" t="s">
        <v>10</v>
      </c>
      <c r="V78" s="89" t="s">
        <v>26</v>
      </c>
      <c r="W78" s="90" t="s">
        <v>128</v>
      </c>
      <c r="X78" s="90"/>
    </row>
    <row r="79" spans="1:24" s="91" customFormat="1" ht="45.75" hidden="1">
      <c r="A79" s="81" t="s">
        <v>432</v>
      </c>
      <c r="B79" s="81" t="s">
        <v>433</v>
      </c>
      <c r="C79" s="81" t="s">
        <v>121</v>
      </c>
      <c r="D79" s="82" t="s">
        <v>434</v>
      </c>
      <c r="E79" s="83" t="s">
        <v>435</v>
      </c>
      <c r="F79" s="84">
        <v>2025</v>
      </c>
      <c r="G79" s="85"/>
      <c r="H79" s="81" t="s">
        <v>436</v>
      </c>
      <c r="I79" s="86">
        <v>1</v>
      </c>
      <c r="J79" s="122">
        <v>0.02</v>
      </c>
      <c r="K79" s="87"/>
      <c r="L79" s="87"/>
      <c r="M79" s="123">
        <v>0</v>
      </c>
      <c r="N79" s="123">
        <f>J79</f>
        <v>0.02</v>
      </c>
      <c r="O79" s="88">
        <f>IF(K79="",0,(K79*(M79/J79))-M79)</f>
        <v>0</v>
      </c>
      <c r="P79" s="88">
        <f>IF(K79="",0,(K79*(N79/J79))-N79)</f>
        <v>0</v>
      </c>
      <c r="Q79" s="88">
        <f t="shared" si="9"/>
        <v>0</v>
      </c>
      <c r="R79" s="88">
        <f t="shared" si="9"/>
        <v>0.02</v>
      </c>
      <c r="S79" s="88">
        <f t="shared" si="9"/>
        <v>0</v>
      </c>
      <c r="T79" s="88">
        <f>P79*$I79</f>
        <v>0</v>
      </c>
      <c r="U79" s="85" t="s">
        <v>8</v>
      </c>
      <c r="V79" s="89" t="s">
        <v>29</v>
      </c>
      <c r="W79" s="90"/>
      <c r="X79" s="90"/>
    </row>
    <row r="80" spans="1:24" s="91" customFormat="1" ht="54" hidden="1">
      <c r="A80" s="81" t="s">
        <v>437</v>
      </c>
      <c r="B80" s="81" t="s">
        <v>438</v>
      </c>
      <c r="C80" s="81" t="s">
        <v>121</v>
      </c>
      <c r="D80" s="82" t="s">
        <v>439</v>
      </c>
      <c r="E80" s="83" t="s">
        <v>440</v>
      </c>
      <c r="F80" s="84">
        <v>2025</v>
      </c>
      <c r="G80" s="85"/>
      <c r="H80" s="81" t="s">
        <v>318</v>
      </c>
      <c r="I80" s="86">
        <v>1</v>
      </c>
      <c r="J80" s="87">
        <f>25*365/1000000</f>
        <v>9.1249999999999994E-3</v>
      </c>
      <c r="K80" s="87"/>
      <c r="L80" s="87"/>
      <c r="M80" s="88">
        <f>J80/2</f>
        <v>4.5624999999999997E-3</v>
      </c>
      <c r="N80" s="88">
        <f>J80/2</f>
        <v>4.5624999999999997E-3</v>
      </c>
      <c r="O80" s="88">
        <f>IF(K80="",0,(K80*(M80/J80))-M80)</f>
        <v>0</v>
      </c>
      <c r="P80" s="88">
        <f>IF(K80="",0,(K80*(N80/J80))-N80)</f>
        <v>0</v>
      </c>
      <c r="Q80" s="88">
        <f t="shared" si="9"/>
        <v>4.5624999999999997E-3</v>
      </c>
      <c r="R80" s="88">
        <f t="shared" si="9"/>
        <v>4.5624999999999997E-3</v>
      </c>
      <c r="S80" s="88">
        <f t="shared" si="9"/>
        <v>0</v>
      </c>
      <c r="T80" s="88">
        <f>P80*$I80</f>
        <v>0</v>
      </c>
      <c r="U80" s="85" t="s">
        <v>8</v>
      </c>
      <c r="V80" s="89" t="s">
        <v>29</v>
      </c>
      <c r="W80" s="90"/>
      <c r="X80" s="90"/>
    </row>
    <row r="81" spans="1:24" s="91" customFormat="1" ht="34.5" hidden="1">
      <c r="A81" s="81" t="s">
        <v>441</v>
      </c>
      <c r="B81" s="81" t="s">
        <v>442</v>
      </c>
      <c r="C81" s="81" t="s">
        <v>121</v>
      </c>
      <c r="D81" s="82" t="s">
        <v>443</v>
      </c>
      <c r="E81" s="83" t="s">
        <v>444</v>
      </c>
      <c r="F81" s="84">
        <v>2022</v>
      </c>
      <c r="G81" s="85"/>
      <c r="H81" s="81" t="s">
        <v>436</v>
      </c>
      <c r="I81" s="86">
        <v>1</v>
      </c>
      <c r="J81" s="122">
        <v>2E-3</v>
      </c>
      <c r="K81" s="87"/>
      <c r="L81" s="87"/>
      <c r="M81" s="88">
        <f>J81/2</f>
        <v>1E-3</v>
      </c>
      <c r="N81" s="88">
        <f>J81/2</f>
        <v>1E-3</v>
      </c>
      <c r="O81" s="88">
        <f>IF(K81="",0,(K81*(M81/J81))-M81)</f>
        <v>0</v>
      </c>
      <c r="P81" s="88">
        <f>IF(K81="",0,(K81*(N81/J81))-N81)</f>
        <v>0</v>
      </c>
      <c r="Q81" s="88">
        <f t="shared" si="9"/>
        <v>1E-3</v>
      </c>
      <c r="R81" s="88">
        <f t="shared" si="9"/>
        <v>1E-3</v>
      </c>
      <c r="S81" s="88">
        <f t="shared" si="9"/>
        <v>0</v>
      </c>
      <c r="T81" s="88">
        <f>P81*$I81</f>
        <v>0</v>
      </c>
      <c r="U81" s="85" t="s">
        <v>8</v>
      </c>
      <c r="V81" s="89" t="s">
        <v>29</v>
      </c>
      <c r="W81" s="90"/>
      <c r="X81" s="90"/>
    </row>
    <row r="82" spans="1:24" s="91" customFormat="1" ht="27" hidden="1">
      <c r="A82" s="81" t="s">
        <v>445</v>
      </c>
      <c r="B82" s="81" t="s">
        <v>446</v>
      </c>
      <c r="C82" s="81" t="s">
        <v>121</v>
      </c>
      <c r="D82" s="82" t="s">
        <v>447</v>
      </c>
      <c r="E82" s="83" t="s">
        <v>448</v>
      </c>
      <c r="F82" s="84"/>
      <c r="G82" s="85"/>
      <c r="H82" s="81" t="s">
        <v>449</v>
      </c>
      <c r="I82" s="86">
        <v>0.25</v>
      </c>
      <c r="J82" s="84">
        <v>23.6</v>
      </c>
      <c r="K82" s="84"/>
      <c r="L82" s="87">
        <f>500000/7</f>
        <v>71428.571428571435</v>
      </c>
      <c r="M82" s="88">
        <v>0</v>
      </c>
      <c r="N82" s="88">
        <f>J82</f>
        <v>23.6</v>
      </c>
      <c r="O82" s="88">
        <f>K82/2</f>
        <v>0</v>
      </c>
      <c r="P82" s="88">
        <f>K82/2</f>
        <v>0</v>
      </c>
      <c r="Q82" s="88">
        <f t="shared" si="9"/>
        <v>0</v>
      </c>
      <c r="R82" s="88">
        <f t="shared" si="9"/>
        <v>5.9</v>
      </c>
      <c r="S82" s="88">
        <f t="shared" si="9"/>
        <v>0</v>
      </c>
      <c r="T82" s="88">
        <f>P82*$I82</f>
        <v>0</v>
      </c>
      <c r="U82" s="85" t="s">
        <v>8</v>
      </c>
      <c r="V82" s="89" t="s">
        <v>29</v>
      </c>
      <c r="W82" s="90"/>
      <c r="X82" s="90"/>
    </row>
    <row r="83" spans="1:24" s="91" customFormat="1" ht="15.75" hidden="1">
      <c r="A83" s="81"/>
      <c r="B83" s="81"/>
      <c r="C83" s="81"/>
      <c r="D83" s="82"/>
      <c r="E83" s="90"/>
      <c r="F83" s="84"/>
      <c r="G83" s="85"/>
      <c r="H83" s="81"/>
      <c r="I83" s="86"/>
      <c r="J83" s="84"/>
      <c r="K83" s="84"/>
      <c r="L83" s="87"/>
      <c r="M83" s="88"/>
      <c r="N83" s="88"/>
      <c r="O83" s="88"/>
      <c r="P83" s="88"/>
      <c r="Q83" s="88"/>
      <c r="R83" s="88"/>
      <c r="S83" s="88"/>
      <c r="T83" s="88"/>
      <c r="U83" s="85"/>
      <c r="V83" s="89"/>
      <c r="W83" s="90"/>
      <c r="X83" s="90"/>
    </row>
    <row r="84" spans="1:24" s="129" customFormat="1" ht="24" hidden="1">
      <c r="A84" s="125" t="s">
        <v>450</v>
      </c>
      <c r="B84" s="126"/>
      <c r="C84" s="126"/>
      <c r="D84" s="126"/>
      <c r="E84" s="127"/>
      <c r="F84" s="128"/>
      <c r="G84" s="128"/>
      <c r="H84" s="128"/>
      <c r="I84" s="126"/>
      <c r="J84" s="126"/>
      <c r="K84" s="126"/>
      <c r="L84" s="126"/>
      <c r="M84" s="126"/>
      <c r="N84" s="126"/>
      <c r="O84" s="126"/>
      <c r="P84" s="126"/>
      <c r="Q84" s="126"/>
      <c r="R84" s="126"/>
      <c r="S84" s="126"/>
      <c r="T84" s="126"/>
      <c r="U84" s="126"/>
      <c r="W84" s="127"/>
      <c r="X84" s="127"/>
    </row>
    <row r="85" spans="1:24" ht="12" thickBot="1">
      <c r="F85" s="340"/>
      <c r="G85" s="340"/>
      <c r="H85" s="340"/>
      <c r="I85" s="340"/>
      <c r="J85" s="340"/>
      <c r="K85" s="340"/>
      <c r="L85" s="340"/>
      <c r="M85" s="340"/>
      <c r="N85" s="340"/>
      <c r="O85" s="340"/>
      <c r="P85" s="340"/>
      <c r="Q85" s="340"/>
      <c r="R85" s="340"/>
      <c r="S85" s="340"/>
      <c r="T85" s="340"/>
      <c r="U85" s="340"/>
      <c r="V85" s="340"/>
      <c r="W85" s="340"/>
      <c r="X85" s="340"/>
    </row>
    <row r="86" spans="1:24" ht="12" thickBot="1">
      <c r="S86" s="342"/>
      <c r="T86" s="384" t="s">
        <v>451</v>
      </c>
      <c r="U86" s="385"/>
    </row>
    <row r="87" spans="1:24" ht="12" thickTop="1">
      <c r="S87" s="343"/>
      <c r="T87" s="344" t="s">
        <v>5</v>
      </c>
      <c r="U87" s="345">
        <f t="shared" ref="U87:U92" si="10">COUNTIF($U$3:$U$82,T87)</f>
        <v>34</v>
      </c>
    </row>
    <row r="88" spans="1:24">
      <c r="S88" s="343"/>
      <c r="T88" s="346" t="s">
        <v>6</v>
      </c>
      <c r="U88" s="347">
        <f t="shared" si="10"/>
        <v>14</v>
      </c>
    </row>
    <row r="89" spans="1:24">
      <c r="S89" s="343"/>
      <c r="T89" s="346" t="s">
        <v>7</v>
      </c>
      <c r="U89" s="347">
        <f t="shared" si="10"/>
        <v>11</v>
      </c>
    </row>
    <row r="90" spans="1:24">
      <c r="S90" s="343"/>
      <c r="T90" s="346" t="s">
        <v>8</v>
      </c>
      <c r="U90" s="347">
        <f t="shared" si="10"/>
        <v>12</v>
      </c>
    </row>
    <row r="91" spans="1:24">
      <c r="S91" s="343"/>
      <c r="T91" s="346" t="s">
        <v>9</v>
      </c>
      <c r="U91" s="347">
        <f t="shared" si="10"/>
        <v>3</v>
      </c>
    </row>
    <row r="92" spans="1:24" ht="12" thickBot="1">
      <c r="S92" s="343"/>
      <c r="T92" s="346" t="s">
        <v>10</v>
      </c>
      <c r="U92" s="348">
        <f t="shared" si="10"/>
        <v>5</v>
      </c>
    </row>
    <row r="93" spans="1:24" ht="12.75" thickTop="1" thickBot="1">
      <c r="S93" s="349"/>
      <c r="T93" s="323"/>
      <c r="U93" s="350">
        <f>SUM(U87:U92)</f>
        <v>79</v>
      </c>
    </row>
  </sheetData>
  <autoFilter ref="A2:X84" xr:uid="{FA102F27-97F8-421D-93D8-12C440251E9B}">
    <filterColumn colId="2">
      <filters>
        <filter val="USA"/>
      </filters>
    </filterColumn>
    <filterColumn colId="5">
      <filters>
        <filter val="1953"/>
        <filter val="2014"/>
        <filter val="2020"/>
        <filter val="2021"/>
        <filter val="2022"/>
        <filter val="2024"/>
        <filter val="2025"/>
      </filters>
    </filterColumn>
    <filterColumn colId="8">
      <filters>
        <filter val="5%"/>
        <filter val="50%"/>
        <filter val="75%"/>
        <filter val="80%"/>
      </filters>
    </filterColumn>
    <sortState xmlns:xlrd2="http://schemas.microsoft.com/office/spreadsheetml/2017/richdata2" ref="A3:X84">
      <sortCondition descending="1" ref="J2:J84"/>
    </sortState>
  </autoFilter>
  <mergeCells count="4">
    <mergeCell ref="B1:C1"/>
    <mergeCell ref="D1:E1"/>
    <mergeCell ref="J1:P1"/>
    <mergeCell ref="T86:U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91ED8-C0F1-40CD-BBBD-B2426ADF84B0}">
  <dimension ref="A1:AK119"/>
  <sheetViews>
    <sheetView topLeftCell="A70" zoomScale="130" zoomScaleNormal="130" workbookViewId="0">
      <selection activeCell="D82" sqref="D82:AF82"/>
    </sheetView>
  </sheetViews>
  <sheetFormatPr defaultColWidth="9.140625" defaultRowHeight="15"/>
  <cols>
    <col min="1" max="1" width="23.140625" style="2" customWidth="1"/>
    <col min="2" max="16" width="8.85546875" style="2" customWidth="1"/>
    <col min="17" max="16384" width="9.140625" style="2"/>
  </cols>
  <sheetData>
    <row r="1" spans="1:32" ht="24" thickBot="1">
      <c r="A1" s="1" t="s">
        <v>452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15" customHeight="1" thickBot="1">
      <c r="A2" s="3" t="s">
        <v>3</v>
      </c>
      <c r="B2" s="4" t="s">
        <v>4</v>
      </c>
      <c r="C2" s="5">
        <v>2021</v>
      </c>
      <c r="D2" s="5">
        <v>2022</v>
      </c>
      <c r="E2" s="5">
        <v>2023</v>
      </c>
      <c r="F2" s="5">
        <v>2024</v>
      </c>
      <c r="G2" s="5">
        <v>2025</v>
      </c>
      <c r="H2" s="5">
        <v>2026</v>
      </c>
      <c r="I2" s="5">
        <v>2027</v>
      </c>
      <c r="J2" s="5">
        <v>2028</v>
      </c>
      <c r="K2" s="5">
        <v>2029</v>
      </c>
      <c r="L2" s="5">
        <v>2030</v>
      </c>
      <c r="M2" s="5">
        <v>2031</v>
      </c>
      <c r="N2" s="5">
        <v>2032</v>
      </c>
      <c r="O2" s="5">
        <v>2033</v>
      </c>
      <c r="P2" s="5">
        <v>2034</v>
      </c>
      <c r="Q2" s="5">
        <v>2035</v>
      </c>
      <c r="R2" s="5">
        <v>2036</v>
      </c>
      <c r="S2" s="5">
        <v>2037</v>
      </c>
      <c r="T2" s="5">
        <v>2038</v>
      </c>
      <c r="U2" s="5">
        <v>2039</v>
      </c>
      <c r="V2" s="5">
        <v>2040</v>
      </c>
      <c r="W2" s="5">
        <v>2041</v>
      </c>
      <c r="X2" s="5">
        <v>2042</v>
      </c>
      <c r="Y2" s="5">
        <v>2043</v>
      </c>
      <c r="Z2" s="5">
        <v>2044</v>
      </c>
      <c r="AA2" s="5">
        <v>2045</v>
      </c>
      <c r="AB2" s="5">
        <v>2046</v>
      </c>
      <c r="AC2" s="5">
        <v>2047</v>
      </c>
      <c r="AD2" s="5">
        <v>2048</v>
      </c>
      <c r="AE2" s="5">
        <v>2049</v>
      </c>
      <c r="AF2" s="5">
        <v>2050</v>
      </c>
    </row>
    <row r="3" spans="1:32" ht="15" customHeight="1">
      <c r="A3" s="6" t="s">
        <v>5</v>
      </c>
      <c r="B3" s="7">
        <f>SUMIFS(NAm!$R$3:$R$82,NAm!$F$3:$F$82,"&lt;"&amp;'NAm Capacity Data'!C$2,NAm!$U$3:$U$82,'NAm Capacity Data'!$A3)+SUMIFS(NAm!$T$3:$T$82,NAm!$F$3:$F$82,"&lt;"&amp;'NAm Capacity Data'!C$2,NAm!$U$3:$U$82,'NAm Capacity Data'!$A3)</f>
        <v>82</v>
      </c>
      <c r="C3" s="133">
        <f>SUMIFS(NAm!$R$3:$R$82,NAm!$F$3:$F$82,'NAm Capacity Data'!C$2,NAm!$U$3:$U$82,'NAm Capacity Data'!$A3)+SUMIFS(NAm!$T$3:$T$82,NAm!$F$3:$F$82,'NAm Capacity Data'!C$22,NAm!$U$3:$U$82,'NAm Capacity Data'!$A3)</f>
        <v>0.35000000000000003</v>
      </c>
      <c r="D3" s="133">
        <f>SUMIFS(NAm!$R$3:$R$82,NAm!$F$3:$F$82,'NAm Capacity Data'!D$2,NAm!$U$3:$U$82,'NAm Capacity Data'!$A3)+SUMIFS(NAm!$T$3:$T$82,NAm!$F$3:$F$82,'NAm Capacity Data'!D$22,NAm!$U$3:$U$82,'NAm Capacity Data'!$A3)</f>
        <v>400</v>
      </c>
      <c r="E3" s="133">
        <f>SUMIFS(NAm!$R$3:$R$82,NAm!$F$3:$F$82,'NAm Capacity Data'!E$2,NAm!$U$3:$U$82,'NAm Capacity Data'!$A3)+SUMIFS(NAm!$T$3:$T$82,NAm!$F$3:$F$82,'NAm Capacity Data'!E$22,NAm!$U$3:$U$82,'NAm Capacity Data'!$A3)</f>
        <v>0</v>
      </c>
      <c r="F3" s="134">
        <f>SUMIFS(NAm!$R$3:$R$82,NAm!$F$3:$F$82,'NAm Capacity Data'!F$2,NAm!$U$3:$U$82,'NAm Capacity Data'!$A3)+SUMIFS(NAm!$T$3:$T$82,NAm!$F$3:$F$82,'NAm Capacity Data'!F$22,NAm!$U$3:$U$82,'NAm Capacity Data'!$A3)</f>
        <v>827.875</v>
      </c>
      <c r="G3" s="134">
        <f>SUMIFS(NAm!$R$3:$R$82,NAm!$F$3:$F$82,'NAm Capacity Data'!G$2,NAm!$U$3:$U$82,'NAm Capacity Data'!$A3)+SUMIFS(NAm!$T$3:$T$82,NAm!$F$3:$F$82,'NAm Capacity Data'!G$22,NAm!$U$3:$U$82,'NAm Capacity Data'!$A3)</f>
        <v>409.80579999999998</v>
      </c>
      <c r="H3" s="134">
        <f>SUMIFS(NAm!$R$3:$R$82,NAm!$F$3:$F$82,'NAm Capacity Data'!H$2,NAm!$U$3:$U$82,'NAm Capacity Data'!$A3)+SUMIFS(NAm!$T$3:$T$82,NAm!$F$3:$F$82,'NAm Capacity Data'!H$22,NAm!$U$3:$U$82,'NAm Capacity Data'!$A3)</f>
        <v>389.74</v>
      </c>
      <c r="I3" s="134">
        <f>SUMIFS(NAm!$R$3:$R$82,NAm!$F$3:$F$82,'NAm Capacity Data'!I$2,NAm!$U$3:$U$82,'NAm Capacity Data'!$A3)+SUMIFS(NAm!$T$3:$T$82,NAm!$F$3:$F$82,'NAm Capacity Data'!I$22,NAm!$U$3:$U$82,'NAm Capacity Data'!$A3)</f>
        <v>678.875</v>
      </c>
      <c r="J3" s="134">
        <f>SUMIFS(NAm!$R$3:$R$82,NAm!$F$3:$F$82,'NAm Capacity Data'!J$2,NAm!$U$3:$U$82,'NAm Capacity Data'!$A3)+SUMIFS(NAm!$T$3:$T$82,NAm!$F$3:$F$82,'NAm Capacity Data'!J$22,NAm!$U$3:$U$82,'NAm Capacity Data'!$A3)</f>
        <v>10.625</v>
      </c>
      <c r="K3" s="134">
        <f>SUMIFS(NAm!$R$3:$R$82,NAm!$F$3:$F$82,'NAm Capacity Data'!K$2,NAm!$U$3:$U$82,'NAm Capacity Data'!$A3)+SUMIFS(NAm!$T$3:$T$82,NAm!$F$3:$F$82,'NAm Capacity Data'!K$22,NAm!$U$3:$U$82,'NAm Capacity Data'!$A3)</f>
        <v>35.5</v>
      </c>
      <c r="L3" s="134">
        <f>SUMIFS(NAm!$R$3:$R$82,NAm!$F$3:$F$82,'NAm Capacity Data'!L$2,NAm!$U$3:$U$82,'NAm Capacity Data'!$A3)+SUMIFS(NAm!$T$3:$T$82,NAm!$F$3:$F$82,'NAm Capacity Data'!L$22,NAm!$U$3:$U$82,'NAm Capacity Data'!$A3)</f>
        <v>5</v>
      </c>
      <c r="M3" s="134">
        <f>SUMIFS(NAm!$R$3:$R$82,NAm!$F$3:$F$82,'NAm Capacity Data'!M$2,NAm!$U$3:$U$82,'NAm Capacity Data'!$A3)+SUMIFS(NAm!$T$3:$T$82,NAm!$F$3:$F$82,'NAm Capacity Data'!M$22,NAm!$U$3:$U$82,'NAm Capacity Data'!$A3)</f>
        <v>0</v>
      </c>
      <c r="N3" s="134">
        <f>SUMIFS(NAm!$R$3:$R$82,NAm!$F$3:$F$82,'NAm Capacity Data'!N$2,NAm!$U$3:$U$82,'NAm Capacity Data'!$A3)+SUMIFS(NAm!$T$3:$T$82,NAm!$F$3:$F$82,'NAm Capacity Data'!N$22,NAm!$U$3:$U$82,'NAm Capacity Data'!$A3)</f>
        <v>0</v>
      </c>
      <c r="O3" s="134">
        <f>SUMIFS(NAm!$R$3:$R$82,NAm!$F$3:$F$82,'NAm Capacity Data'!O$2,NAm!$U$3:$U$82,'NAm Capacity Data'!$A3)+SUMIFS(NAm!$T$3:$T$82,NAm!$F$3:$F$82,'NAm Capacity Data'!O$22,NAm!$U$3:$U$82,'NAm Capacity Data'!$A3)</f>
        <v>0</v>
      </c>
      <c r="P3" s="134">
        <f>SUMIFS(NAm!$R$3:$R$82,NAm!$F$3:$F$82,'NAm Capacity Data'!P$2,NAm!$U$3:$U$82,'NAm Capacity Data'!$A3)+SUMIFS(NAm!$T$3:$T$82,NAm!$F$3:$F$82,'NAm Capacity Data'!P$22,NAm!$U$3:$U$82,'NAm Capacity Data'!$A3)</f>
        <v>0</v>
      </c>
      <c r="Q3" s="134">
        <f>SUMIFS(NAm!$R$3:$R$82,NAm!$F$3:$F$82,'NAm Capacity Data'!Q$2,NAm!$U$3:$U$82,'NAm Capacity Data'!$A3)+SUMIFS(NAm!$T$3:$T$82,NAm!$F$3:$F$82,'NAm Capacity Data'!Q$22,NAm!$U$3:$U$82,'NAm Capacity Data'!$A3)</f>
        <v>0</v>
      </c>
      <c r="R3" s="134">
        <f>SUMIFS(NAm!$R$3:$R$82,NAm!$F$3:$F$82,'NAm Capacity Data'!R$2,NAm!$U$3:$U$82,'NAm Capacity Data'!$A3)+SUMIFS(NAm!$T$3:$T$82,NAm!$F$3:$F$82,'NAm Capacity Data'!R$22,NAm!$U$3:$U$82,'NAm Capacity Data'!$A3)</f>
        <v>0</v>
      </c>
      <c r="S3" s="134">
        <f>SUMIFS(NAm!$R$3:$R$82,NAm!$F$3:$F$82,'NAm Capacity Data'!S$2,NAm!$U$3:$U$82,'NAm Capacity Data'!$A3)+SUMIFS(NAm!$T$3:$T$82,NAm!$F$3:$F$82,'NAm Capacity Data'!S$22,NAm!$U$3:$U$82,'NAm Capacity Data'!$A3)</f>
        <v>0</v>
      </c>
      <c r="T3" s="134">
        <f>SUMIFS(NAm!$R$3:$R$82,NAm!$F$3:$F$82,'NAm Capacity Data'!T$2,NAm!$U$3:$U$82,'NAm Capacity Data'!$A3)+SUMIFS(NAm!$T$3:$T$82,NAm!$F$3:$F$82,'NAm Capacity Data'!T$22,NAm!$U$3:$U$82,'NAm Capacity Data'!$A3)</f>
        <v>0</v>
      </c>
      <c r="U3" s="134">
        <f>SUMIFS(NAm!$R$3:$R$82,NAm!$F$3:$F$82,'NAm Capacity Data'!U$2,NAm!$U$3:$U$82,'NAm Capacity Data'!$A3)+SUMIFS(NAm!$T$3:$T$82,NAm!$F$3:$F$82,'NAm Capacity Data'!U$22,NAm!$U$3:$U$82,'NAm Capacity Data'!$A3)</f>
        <v>0</v>
      </c>
      <c r="V3" s="134">
        <f>SUMIFS(NAm!$R$3:$R$82,NAm!$F$3:$F$82,'NAm Capacity Data'!V$2,NAm!$U$3:$U$82,'NAm Capacity Data'!$A3)+SUMIFS(NAm!$T$3:$T$82,NAm!$F$3:$F$82,'NAm Capacity Data'!V$22,NAm!$U$3:$U$82,'NAm Capacity Data'!$A3)</f>
        <v>0</v>
      </c>
      <c r="W3" s="134">
        <f>SUMIFS(NAm!$R$3:$R$82,NAm!$F$3:$F$82,'NAm Capacity Data'!W$2,NAm!$U$3:$U$82,'NAm Capacity Data'!$A3)+SUMIFS(NAm!$T$3:$T$82,NAm!$F$3:$F$82,'NAm Capacity Data'!W$22,NAm!$U$3:$U$82,'NAm Capacity Data'!$A3)</f>
        <v>0</v>
      </c>
      <c r="X3" s="134">
        <f>SUMIFS(NAm!$R$3:$R$82,NAm!$F$3:$F$82,'NAm Capacity Data'!X$2,NAm!$U$3:$U$82,'NAm Capacity Data'!$A3)+SUMIFS(NAm!$T$3:$T$82,NAm!$F$3:$F$82,'NAm Capacity Data'!X$22,NAm!$U$3:$U$82,'NAm Capacity Data'!$A3)</f>
        <v>0</v>
      </c>
      <c r="Y3" s="134">
        <f>SUMIFS(NAm!$R$3:$R$82,NAm!$F$3:$F$82,'NAm Capacity Data'!Y$2,NAm!$U$3:$U$82,'NAm Capacity Data'!$A3)+SUMIFS(NAm!$T$3:$T$82,NAm!$F$3:$F$82,'NAm Capacity Data'!Y$22,NAm!$U$3:$U$82,'NAm Capacity Data'!$A3)</f>
        <v>0</v>
      </c>
      <c r="Z3" s="134">
        <f>SUMIFS(NAm!$R$3:$R$82,NAm!$F$3:$F$82,'NAm Capacity Data'!Z$2,NAm!$U$3:$U$82,'NAm Capacity Data'!$A3)+SUMIFS(NAm!$T$3:$T$82,NAm!$F$3:$F$82,'NAm Capacity Data'!Z$22,NAm!$U$3:$U$82,'NAm Capacity Data'!$A3)</f>
        <v>0</v>
      </c>
      <c r="AA3" s="134">
        <f>SUMIFS(NAm!$R$3:$R$82,NAm!$F$3:$F$82,'NAm Capacity Data'!AA$2,NAm!$U$3:$U$82,'NAm Capacity Data'!$A3)+SUMIFS(NAm!$T$3:$T$82,NAm!$F$3:$F$82,'NAm Capacity Data'!AA$22,NAm!$U$3:$U$82,'NAm Capacity Data'!$A3)</f>
        <v>0</v>
      </c>
      <c r="AB3" s="134">
        <f>SUMIFS(NAm!$R$3:$R$82,NAm!$F$3:$F$82,'NAm Capacity Data'!AB$2,NAm!$U$3:$U$82,'NAm Capacity Data'!$A3)+SUMIFS(NAm!$T$3:$T$82,NAm!$F$3:$F$82,'NAm Capacity Data'!AB$22,NAm!$U$3:$U$82,'NAm Capacity Data'!$A3)</f>
        <v>0</v>
      </c>
      <c r="AC3" s="134">
        <f>SUMIFS(NAm!$R$3:$R$82,NAm!$F$3:$F$82,'NAm Capacity Data'!AC$2,NAm!$U$3:$U$82,'NAm Capacity Data'!$A3)+SUMIFS(NAm!$T$3:$T$82,NAm!$F$3:$F$82,'NAm Capacity Data'!AC$22,NAm!$U$3:$U$82,'NAm Capacity Data'!$A3)</f>
        <v>0</v>
      </c>
      <c r="AD3" s="134">
        <f>SUMIFS(NAm!$R$3:$R$82,NAm!$F$3:$F$82,'NAm Capacity Data'!AD$2,NAm!$U$3:$U$82,'NAm Capacity Data'!$A3)+SUMIFS(NAm!$T$3:$T$82,NAm!$F$3:$F$82,'NAm Capacity Data'!AD$22,NAm!$U$3:$U$82,'NAm Capacity Data'!$A3)</f>
        <v>0</v>
      </c>
      <c r="AE3" s="134">
        <f>SUMIFS(NAm!$R$3:$R$82,NAm!$F$3:$F$82,'NAm Capacity Data'!AE$2,NAm!$U$3:$U$82,'NAm Capacity Data'!$A3)+SUMIFS(NAm!$T$3:$T$82,NAm!$F$3:$F$82,'NAm Capacity Data'!AE$22,NAm!$U$3:$U$82,'NAm Capacity Data'!$A3)</f>
        <v>0</v>
      </c>
      <c r="AF3" s="134">
        <f>SUMIFS(NAm!$R$3:$R$82,NAm!$F$3:$F$82,'NAm Capacity Data'!AF$2,NAm!$U$3:$U$82,'NAm Capacity Data'!$A3)+SUMIFS(NAm!$T$3:$T$82,NAm!$F$3:$F$82,'NAm Capacity Data'!AF$22,NAm!$U$3:$U$82,'NAm Capacity Data'!$A3)</f>
        <v>0</v>
      </c>
    </row>
    <row r="4" spans="1:32" ht="15" customHeight="1">
      <c r="A4" s="9" t="s">
        <v>6</v>
      </c>
      <c r="B4" s="10">
        <f>SUMIFS(NAm!$R$3:$R$82,NAm!$F$3:$F$82,"&lt;"&amp;'NAm Capacity Data'!C$2,NAm!$U$3:$U$82,'NAm Capacity Data'!$A4)+SUMIFS(NAm!$T$3:$T$82,NAm!$F$3:$F$82,"&lt;"&amp;'NAm Capacity Data'!C$2,NAm!$U$3:$U$82,'NAm Capacity Data'!$A4)</f>
        <v>3.0001000000000002</v>
      </c>
      <c r="C4" s="10">
        <f>SUMIFS(NAm!$R$3:$R$82,NAm!$F$3:$F$82,'NAm Capacity Data'!C$2,NAm!$U$3:$U$82,'NAm Capacity Data'!$A4)+SUMIFS(NAm!$T$3:$T$82,NAm!$F$3:$F$82,'NAm Capacity Data'!C$22,NAm!$U$3:$U$82,'NAm Capacity Data'!$A4)</f>
        <v>0</v>
      </c>
      <c r="D4" s="10">
        <f>SUMIFS(NAm!$R$3:$R$82,NAm!$F$3:$F$82,'NAm Capacity Data'!D$2,NAm!$U$3:$U$82,'NAm Capacity Data'!$A4)+SUMIFS(NAm!$T$3:$T$82,NAm!$F$3:$F$82,'NAm Capacity Data'!D$22,NAm!$U$3:$U$82,'NAm Capacity Data'!$A4)</f>
        <v>0</v>
      </c>
      <c r="E4" s="10">
        <f>SUMIFS(NAm!$R$3:$R$82,NAm!$F$3:$F$82,'NAm Capacity Data'!E$2,NAm!$U$3:$U$82,'NAm Capacity Data'!$A4)+SUMIFS(NAm!$T$3:$T$82,NAm!$F$3:$F$82,'NAm Capacity Data'!E$22,NAm!$U$3:$U$82,'NAm Capacity Data'!$A4)</f>
        <v>0</v>
      </c>
      <c r="F4" s="8">
        <f>SUMIFS(NAm!$R$3:$R$82,NAm!$F$3:$F$82,'NAm Capacity Data'!F$2,NAm!$U$3:$U$82,'NAm Capacity Data'!$A4)+SUMIFS(NAm!$T$3:$T$82,NAm!$F$3:$F$82,'NAm Capacity Data'!F$22,NAm!$U$3:$U$82,'NAm Capacity Data'!$A4)</f>
        <v>9</v>
      </c>
      <c r="G4" s="8">
        <f>SUMIFS(NAm!$R$3:$R$82,NAm!$F$3:$F$82,'NAm Capacity Data'!G$2,NAm!$U$3:$U$82,'NAm Capacity Data'!$A4)+SUMIFS(NAm!$T$3:$T$82,NAm!$F$3:$F$82,'NAm Capacity Data'!G$22,NAm!$U$3:$U$82,'NAm Capacity Data'!$A4)</f>
        <v>51.545625000000001</v>
      </c>
      <c r="H4" s="8">
        <f>SUMIFS(NAm!$R$3:$R$82,NAm!$F$3:$F$82,'NAm Capacity Data'!H$2,NAm!$U$3:$U$82,'NAm Capacity Data'!$A4)+SUMIFS(NAm!$T$3:$T$82,NAm!$F$3:$F$82,'NAm Capacity Data'!H$22,NAm!$U$3:$U$82,'NAm Capacity Data'!$A4)</f>
        <v>172.5</v>
      </c>
      <c r="I4" s="8">
        <f>SUMIFS(NAm!$R$3:$R$82,NAm!$F$3:$F$82,'NAm Capacity Data'!I$2,NAm!$U$3:$U$82,'NAm Capacity Data'!$A4)+SUMIFS(NAm!$T$3:$T$82,NAm!$F$3:$F$82,'NAm Capacity Data'!I$22,NAm!$U$3:$U$82,'NAm Capacity Data'!$A4)</f>
        <v>245</v>
      </c>
      <c r="J4" s="8">
        <f>SUMIFS(NAm!$R$3:$R$82,NAm!$F$3:$F$82,'NAm Capacity Data'!J$2,NAm!$U$3:$U$82,'NAm Capacity Data'!$A4)+SUMIFS(NAm!$T$3:$T$82,NAm!$F$3:$F$82,'NAm Capacity Data'!J$22,NAm!$U$3:$U$82,'NAm Capacity Data'!$A4)</f>
        <v>116.25</v>
      </c>
      <c r="K4" s="8">
        <f>SUMIFS(NAm!$R$3:$R$82,NAm!$F$3:$F$82,'NAm Capacity Data'!K$2,NAm!$U$3:$U$82,'NAm Capacity Data'!$A4)+SUMIFS(NAm!$T$3:$T$82,NAm!$F$3:$F$82,'NAm Capacity Data'!K$22,NAm!$U$3:$U$82,'NAm Capacity Data'!$A4)</f>
        <v>7.5</v>
      </c>
      <c r="L4" s="8">
        <f>SUMIFS(NAm!$R$3:$R$82,NAm!$F$3:$F$82,'NAm Capacity Data'!L$2,NAm!$U$3:$U$82,'NAm Capacity Data'!$A4)+SUMIFS(NAm!$T$3:$T$82,NAm!$F$3:$F$82,'NAm Capacity Data'!L$22,NAm!$U$3:$U$82,'NAm Capacity Data'!$A4)</f>
        <v>0</v>
      </c>
      <c r="M4" s="8">
        <f>SUMIFS(NAm!$R$3:$R$82,NAm!$F$3:$F$82,'NAm Capacity Data'!M$2,NAm!$U$3:$U$82,'NAm Capacity Data'!$A4)+SUMIFS(NAm!$T$3:$T$82,NAm!$F$3:$F$82,'NAm Capacity Data'!M$22,NAm!$U$3:$U$82,'NAm Capacity Data'!$A4)</f>
        <v>3.4019999999999997</v>
      </c>
      <c r="N4" s="8">
        <f>SUMIFS(NAm!$R$3:$R$82,NAm!$F$3:$F$82,'NAm Capacity Data'!N$2,NAm!$U$3:$U$82,'NAm Capacity Data'!$A4)+SUMIFS(NAm!$T$3:$T$82,NAm!$F$3:$F$82,'NAm Capacity Data'!N$22,NAm!$U$3:$U$82,'NAm Capacity Data'!$A4)</f>
        <v>0</v>
      </c>
      <c r="O4" s="8">
        <f>SUMIFS(NAm!$R$3:$R$82,NAm!$F$3:$F$82,'NAm Capacity Data'!O$2,NAm!$U$3:$U$82,'NAm Capacity Data'!$A4)+SUMIFS(NAm!$T$3:$T$82,NAm!$F$3:$F$82,'NAm Capacity Data'!O$22,NAm!$U$3:$U$82,'NAm Capacity Data'!$A4)</f>
        <v>0</v>
      </c>
      <c r="P4" s="8">
        <f>SUMIFS(NAm!$R$3:$R$82,NAm!$F$3:$F$82,'NAm Capacity Data'!P$2,NAm!$U$3:$U$82,'NAm Capacity Data'!$A4)+SUMIFS(NAm!$T$3:$T$82,NAm!$F$3:$F$82,'NAm Capacity Data'!P$22,NAm!$U$3:$U$82,'NAm Capacity Data'!$A4)</f>
        <v>0</v>
      </c>
      <c r="Q4" s="8">
        <f>SUMIFS(NAm!$R$3:$R$82,NAm!$F$3:$F$82,'NAm Capacity Data'!Q$2,NAm!$U$3:$U$82,'NAm Capacity Data'!$A4)+SUMIFS(NAm!$T$3:$T$82,NAm!$F$3:$F$82,'NAm Capacity Data'!Q$22,NAm!$U$3:$U$82,'NAm Capacity Data'!$A4)</f>
        <v>0</v>
      </c>
      <c r="R4" s="8">
        <f>SUMIFS(NAm!$R$3:$R$82,NAm!$F$3:$F$82,'NAm Capacity Data'!R$2,NAm!$U$3:$U$82,'NAm Capacity Data'!$A4)+SUMIFS(NAm!$T$3:$T$82,NAm!$F$3:$F$82,'NAm Capacity Data'!R$22,NAm!$U$3:$U$82,'NAm Capacity Data'!$A4)</f>
        <v>0</v>
      </c>
      <c r="S4" s="8">
        <f>SUMIFS(NAm!$R$3:$R$82,NAm!$F$3:$F$82,'NAm Capacity Data'!S$2,NAm!$U$3:$U$82,'NAm Capacity Data'!$A4)+SUMIFS(NAm!$T$3:$T$82,NAm!$F$3:$F$82,'NAm Capacity Data'!S$22,NAm!$U$3:$U$82,'NAm Capacity Data'!$A4)</f>
        <v>0</v>
      </c>
      <c r="T4" s="8">
        <f>SUMIFS(NAm!$R$3:$R$82,NAm!$F$3:$F$82,'NAm Capacity Data'!T$2,NAm!$U$3:$U$82,'NAm Capacity Data'!$A4)+SUMIFS(NAm!$T$3:$T$82,NAm!$F$3:$F$82,'NAm Capacity Data'!T$22,NAm!$U$3:$U$82,'NAm Capacity Data'!$A4)</f>
        <v>0</v>
      </c>
      <c r="U4" s="8">
        <f>SUMIFS(NAm!$R$3:$R$82,NAm!$F$3:$F$82,'NAm Capacity Data'!U$2,NAm!$U$3:$U$82,'NAm Capacity Data'!$A4)+SUMIFS(NAm!$T$3:$T$82,NAm!$F$3:$F$82,'NAm Capacity Data'!U$22,NAm!$U$3:$U$82,'NAm Capacity Data'!$A4)</f>
        <v>0</v>
      </c>
      <c r="V4" s="8">
        <f>SUMIFS(NAm!$R$3:$R$82,NAm!$F$3:$F$82,'NAm Capacity Data'!V$2,NAm!$U$3:$U$82,'NAm Capacity Data'!$A4)+SUMIFS(NAm!$T$3:$T$82,NAm!$F$3:$F$82,'NAm Capacity Data'!V$22,NAm!$U$3:$U$82,'NAm Capacity Data'!$A4)</f>
        <v>0</v>
      </c>
      <c r="W4" s="8">
        <f>SUMIFS(NAm!$R$3:$R$82,NAm!$F$3:$F$82,'NAm Capacity Data'!W$2,NAm!$U$3:$U$82,'NAm Capacity Data'!$A4)+SUMIFS(NAm!$T$3:$T$82,NAm!$F$3:$F$82,'NAm Capacity Data'!W$22,NAm!$U$3:$U$82,'NAm Capacity Data'!$A4)</f>
        <v>0</v>
      </c>
      <c r="X4" s="8">
        <f>SUMIFS(NAm!$R$3:$R$82,NAm!$F$3:$F$82,'NAm Capacity Data'!X$2,NAm!$U$3:$U$82,'NAm Capacity Data'!$A4)+SUMIFS(NAm!$T$3:$T$82,NAm!$F$3:$F$82,'NAm Capacity Data'!X$22,NAm!$U$3:$U$82,'NAm Capacity Data'!$A4)</f>
        <v>0</v>
      </c>
      <c r="Y4" s="8">
        <f>SUMIFS(NAm!$R$3:$R$82,NAm!$F$3:$F$82,'NAm Capacity Data'!Y$2,NAm!$U$3:$U$82,'NAm Capacity Data'!$A4)+SUMIFS(NAm!$T$3:$T$82,NAm!$F$3:$F$82,'NAm Capacity Data'!Y$22,NAm!$U$3:$U$82,'NAm Capacity Data'!$A4)</f>
        <v>0</v>
      </c>
      <c r="Z4" s="8">
        <f>SUMIFS(NAm!$R$3:$R$82,NAm!$F$3:$F$82,'NAm Capacity Data'!Z$2,NAm!$U$3:$U$82,'NAm Capacity Data'!$A4)+SUMIFS(NAm!$T$3:$T$82,NAm!$F$3:$F$82,'NAm Capacity Data'!Z$22,NAm!$U$3:$U$82,'NAm Capacity Data'!$A4)</f>
        <v>0</v>
      </c>
      <c r="AA4" s="8">
        <f>SUMIFS(NAm!$R$3:$R$82,NAm!$F$3:$F$82,'NAm Capacity Data'!AA$2,NAm!$U$3:$U$82,'NAm Capacity Data'!$A4)+SUMIFS(NAm!$T$3:$T$82,NAm!$F$3:$F$82,'NAm Capacity Data'!AA$22,NAm!$U$3:$U$82,'NAm Capacity Data'!$A4)</f>
        <v>0</v>
      </c>
      <c r="AB4" s="8">
        <f>SUMIFS(NAm!$R$3:$R$82,NAm!$F$3:$F$82,'NAm Capacity Data'!AB$2,NAm!$U$3:$U$82,'NAm Capacity Data'!$A4)+SUMIFS(NAm!$T$3:$T$82,NAm!$F$3:$F$82,'NAm Capacity Data'!AB$22,NAm!$U$3:$U$82,'NAm Capacity Data'!$A4)</f>
        <v>0</v>
      </c>
      <c r="AC4" s="8">
        <f>SUMIFS(NAm!$R$3:$R$82,NAm!$F$3:$F$82,'NAm Capacity Data'!AC$2,NAm!$U$3:$U$82,'NAm Capacity Data'!$A4)+SUMIFS(NAm!$T$3:$T$82,NAm!$F$3:$F$82,'NAm Capacity Data'!AC$22,NAm!$U$3:$U$82,'NAm Capacity Data'!$A4)</f>
        <v>0</v>
      </c>
      <c r="AD4" s="8">
        <f>SUMIFS(NAm!$R$3:$R$82,NAm!$F$3:$F$82,'NAm Capacity Data'!AD$2,NAm!$U$3:$U$82,'NAm Capacity Data'!$A4)+SUMIFS(NAm!$T$3:$T$82,NAm!$F$3:$F$82,'NAm Capacity Data'!AD$22,NAm!$U$3:$U$82,'NAm Capacity Data'!$A4)</f>
        <v>0</v>
      </c>
      <c r="AE4" s="8">
        <f>SUMIFS(NAm!$R$3:$R$82,NAm!$F$3:$F$82,'NAm Capacity Data'!AE$2,NAm!$U$3:$U$82,'NAm Capacity Data'!$A4)+SUMIFS(NAm!$T$3:$T$82,NAm!$F$3:$F$82,'NAm Capacity Data'!AE$22,NAm!$U$3:$U$82,'NAm Capacity Data'!$A4)</f>
        <v>0</v>
      </c>
      <c r="AF4" s="8">
        <f>SUMIFS(NAm!$R$3:$R$82,NAm!$F$3:$F$82,'NAm Capacity Data'!AF$2,NAm!$U$3:$U$82,'NAm Capacity Data'!$A4)+SUMIFS(NAm!$T$3:$T$82,NAm!$F$3:$F$82,'NAm Capacity Data'!AF$22,NAm!$U$3:$U$82,'NAm Capacity Data'!$A4)</f>
        <v>0</v>
      </c>
    </row>
    <row r="5" spans="1:32" ht="15" customHeight="1">
      <c r="A5" s="9" t="s">
        <v>7</v>
      </c>
      <c r="B5" s="10">
        <f>SUMIFS(NAm!$R$3:$R$82,NAm!$F$3:$F$82,"&lt;"&amp;'NAm Capacity Data'!C$2,NAm!$U$3:$U$82,'NAm Capacity Data'!$A5)+SUMIFS(NAm!$T$3:$T$82,NAm!$F$3:$F$82,"&lt;"&amp;'NAm Capacity Data'!C$2,NAm!$U$3:$U$82,'NAm Capacity Data'!$A5)</f>
        <v>0</v>
      </c>
      <c r="C5" s="10">
        <f>SUMIFS(NAm!$R$3:$R$82,NAm!$F$3:$F$82,'NAm Capacity Data'!C$2,NAm!$U$3:$U$82,'NAm Capacity Data'!$A5)+SUMIFS(NAm!$T$3:$T$82,NAm!$F$3:$F$82,'NAm Capacity Data'!C$22,NAm!$U$3:$U$82,'NAm Capacity Data'!$A5)</f>
        <v>0</v>
      </c>
      <c r="D5" s="10">
        <f>SUMIFS(NAm!$R$3:$R$82,NAm!$F$3:$F$82,'NAm Capacity Data'!D$2,NAm!$U$3:$U$82,'NAm Capacity Data'!$A5)+SUMIFS(NAm!$T$3:$T$82,NAm!$F$3:$F$82,'NAm Capacity Data'!D$22,NAm!$U$3:$U$82,'NAm Capacity Data'!$A5)</f>
        <v>0</v>
      </c>
      <c r="E5" s="10">
        <f>SUMIFS(NAm!$R$3:$R$82,NAm!$F$3:$F$82,'NAm Capacity Data'!E$2,NAm!$U$3:$U$82,'NAm Capacity Data'!$A5)+SUMIFS(NAm!$T$3:$T$82,NAm!$F$3:$F$82,'NAm Capacity Data'!E$22,NAm!$U$3:$U$82,'NAm Capacity Data'!$A5)</f>
        <v>0</v>
      </c>
      <c r="F5" s="8">
        <f>SUMIFS(NAm!$R$3:$R$82,NAm!$F$3:$F$82,'NAm Capacity Data'!F$2,NAm!$U$3:$U$82,'NAm Capacity Data'!$A5)+SUMIFS(NAm!$T$3:$T$82,NAm!$F$3:$F$82,'NAm Capacity Data'!F$22,NAm!$U$3:$U$82,'NAm Capacity Data'!$A5)</f>
        <v>0</v>
      </c>
      <c r="G5" s="8">
        <f>SUMIFS(NAm!$R$3:$R$82,NAm!$F$3:$F$82,'NAm Capacity Data'!G$2,NAm!$U$3:$U$82,'NAm Capacity Data'!$A5)+SUMIFS(NAm!$T$3:$T$82,NAm!$F$3:$F$82,'NAm Capacity Data'!G$22,NAm!$U$3:$U$82,'NAm Capacity Data'!$A5)</f>
        <v>39.018000000000001</v>
      </c>
      <c r="H5" s="8">
        <f>SUMIFS(NAm!$R$3:$R$82,NAm!$F$3:$F$82,'NAm Capacity Data'!H$2,NAm!$U$3:$U$82,'NAm Capacity Data'!$A5)+SUMIFS(NAm!$T$3:$T$82,NAm!$F$3:$F$82,'NAm Capacity Data'!H$22,NAm!$U$3:$U$82,'NAm Capacity Data'!$A5)</f>
        <v>0</v>
      </c>
      <c r="I5" s="8">
        <f>SUMIFS(NAm!$R$3:$R$82,NAm!$F$3:$F$82,'NAm Capacity Data'!I$2,NAm!$U$3:$U$82,'NAm Capacity Data'!$A5)+SUMIFS(NAm!$T$3:$T$82,NAm!$F$3:$F$82,'NAm Capacity Data'!I$22,NAm!$U$3:$U$82,'NAm Capacity Data'!$A5)</f>
        <v>183.91499999999999</v>
      </c>
      <c r="J5" s="8">
        <f>SUMIFS(NAm!$R$3:$R$82,NAm!$F$3:$F$82,'NAm Capacity Data'!J$2,NAm!$U$3:$U$82,'NAm Capacity Data'!$A5)+SUMIFS(NAm!$T$3:$T$82,NAm!$F$3:$F$82,'NAm Capacity Data'!J$22,NAm!$U$3:$U$82,'NAm Capacity Data'!$A5)</f>
        <v>21.33</v>
      </c>
      <c r="K5" s="8">
        <f>SUMIFS(NAm!$R$3:$R$82,NAm!$F$3:$F$82,'NAm Capacity Data'!K$2,NAm!$U$3:$U$82,'NAm Capacity Data'!$A5)+SUMIFS(NAm!$T$3:$T$82,NAm!$F$3:$F$82,'NAm Capacity Data'!K$22,NAm!$U$3:$U$82,'NAm Capacity Data'!$A5)</f>
        <v>59.5</v>
      </c>
      <c r="L5" s="8">
        <f>SUMIFS(NAm!$R$3:$R$82,NAm!$F$3:$F$82,'NAm Capacity Data'!L$2,NAm!$U$3:$U$82,'NAm Capacity Data'!$A5)+SUMIFS(NAm!$T$3:$T$82,NAm!$F$3:$F$82,'NAm Capacity Data'!L$22,NAm!$U$3:$U$82,'NAm Capacity Data'!$A5)</f>
        <v>24.75</v>
      </c>
      <c r="M5" s="8">
        <f>SUMIFS(NAm!$R$3:$R$82,NAm!$F$3:$F$82,'NAm Capacity Data'!M$2,NAm!$U$3:$U$82,'NAm Capacity Data'!$A5)+SUMIFS(NAm!$T$3:$T$82,NAm!$F$3:$F$82,'NAm Capacity Data'!M$22,NAm!$U$3:$U$82,'NAm Capacity Data'!$A5)</f>
        <v>0</v>
      </c>
      <c r="N5" s="8">
        <f>SUMIFS(NAm!$R$3:$R$82,NAm!$F$3:$F$82,'NAm Capacity Data'!N$2,NAm!$U$3:$U$82,'NAm Capacity Data'!$A5)+SUMIFS(NAm!$T$3:$T$82,NAm!$F$3:$F$82,'NAm Capacity Data'!N$22,NAm!$U$3:$U$82,'NAm Capacity Data'!$A5)</f>
        <v>0</v>
      </c>
      <c r="O5" s="8">
        <f>SUMIFS(NAm!$R$3:$R$82,NAm!$F$3:$F$82,'NAm Capacity Data'!O$2,NAm!$U$3:$U$82,'NAm Capacity Data'!$A5)+SUMIFS(NAm!$T$3:$T$82,NAm!$F$3:$F$82,'NAm Capacity Data'!O$22,NAm!$U$3:$U$82,'NAm Capacity Data'!$A5)</f>
        <v>0</v>
      </c>
      <c r="P5" s="8">
        <f>SUMIFS(NAm!$R$3:$R$82,NAm!$F$3:$F$82,'NAm Capacity Data'!P$2,NAm!$U$3:$U$82,'NAm Capacity Data'!$A5)+SUMIFS(NAm!$T$3:$T$82,NAm!$F$3:$F$82,'NAm Capacity Data'!P$22,NAm!$U$3:$U$82,'NAm Capacity Data'!$A5)</f>
        <v>0</v>
      </c>
      <c r="Q5" s="8">
        <f>SUMIFS(NAm!$R$3:$R$82,NAm!$F$3:$F$82,'NAm Capacity Data'!Q$2,NAm!$U$3:$U$82,'NAm Capacity Data'!$A5)+SUMIFS(NAm!$T$3:$T$82,NAm!$F$3:$F$82,'NAm Capacity Data'!Q$22,NAm!$U$3:$U$82,'NAm Capacity Data'!$A5)</f>
        <v>0</v>
      </c>
      <c r="R5" s="8">
        <f>SUMIFS(NAm!$R$3:$R$82,NAm!$F$3:$F$82,'NAm Capacity Data'!R$2,NAm!$U$3:$U$82,'NAm Capacity Data'!$A5)+SUMIFS(NAm!$T$3:$T$82,NAm!$F$3:$F$82,'NAm Capacity Data'!R$22,NAm!$U$3:$U$82,'NAm Capacity Data'!$A5)</f>
        <v>0</v>
      </c>
      <c r="S5" s="8">
        <f>SUMIFS(NAm!$R$3:$R$82,NAm!$F$3:$F$82,'NAm Capacity Data'!S$2,NAm!$U$3:$U$82,'NAm Capacity Data'!$A5)+SUMIFS(NAm!$T$3:$T$82,NAm!$F$3:$F$82,'NAm Capacity Data'!S$22,NAm!$U$3:$U$82,'NAm Capacity Data'!$A5)</f>
        <v>0</v>
      </c>
      <c r="T5" s="8">
        <f>SUMIFS(NAm!$R$3:$R$82,NAm!$F$3:$F$82,'NAm Capacity Data'!T$2,NAm!$U$3:$U$82,'NAm Capacity Data'!$A5)+SUMIFS(NAm!$T$3:$T$82,NAm!$F$3:$F$82,'NAm Capacity Data'!T$22,NAm!$U$3:$U$82,'NAm Capacity Data'!$A5)</f>
        <v>0</v>
      </c>
      <c r="U5" s="8">
        <f>SUMIFS(NAm!$R$3:$R$82,NAm!$F$3:$F$82,'NAm Capacity Data'!U$2,NAm!$U$3:$U$82,'NAm Capacity Data'!$A5)+SUMIFS(NAm!$T$3:$T$82,NAm!$F$3:$F$82,'NAm Capacity Data'!U$22,NAm!$U$3:$U$82,'NAm Capacity Data'!$A5)</f>
        <v>0</v>
      </c>
      <c r="V5" s="8">
        <f>SUMIFS(NAm!$R$3:$R$82,NAm!$F$3:$F$82,'NAm Capacity Data'!V$2,NAm!$U$3:$U$82,'NAm Capacity Data'!$A5)+SUMIFS(NAm!$T$3:$T$82,NAm!$F$3:$F$82,'NAm Capacity Data'!V$22,NAm!$U$3:$U$82,'NAm Capacity Data'!$A5)</f>
        <v>0</v>
      </c>
      <c r="W5" s="8">
        <f>SUMIFS(NAm!$R$3:$R$82,NAm!$F$3:$F$82,'NAm Capacity Data'!W$2,NAm!$U$3:$U$82,'NAm Capacity Data'!$A5)+SUMIFS(NAm!$T$3:$T$82,NAm!$F$3:$F$82,'NAm Capacity Data'!W$22,NAm!$U$3:$U$82,'NAm Capacity Data'!$A5)</f>
        <v>0</v>
      </c>
      <c r="X5" s="8">
        <f>SUMIFS(NAm!$R$3:$R$82,NAm!$F$3:$F$82,'NAm Capacity Data'!X$2,NAm!$U$3:$U$82,'NAm Capacity Data'!$A5)+SUMIFS(NAm!$T$3:$T$82,NAm!$F$3:$F$82,'NAm Capacity Data'!X$22,NAm!$U$3:$U$82,'NAm Capacity Data'!$A5)</f>
        <v>0</v>
      </c>
      <c r="Y5" s="8">
        <f>SUMIFS(NAm!$R$3:$R$82,NAm!$F$3:$F$82,'NAm Capacity Data'!Y$2,NAm!$U$3:$U$82,'NAm Capacity Data'!$A5)+SUMIFS(NAm!$T$3:$T$82,NAm!$F$3:$F$82,'NAm Capacity Data'!Y$22,NAm!$U$3:$U$82,'NAm Capacity Data'!$A5)</f>
        <v>0</v>
      </c>
      <c r="Z5" s="8">
        <f>SUMIFS(NAm!$R$3:$R$82,NAm!$F$3:$F$82,'NAm Capacity Data'!Z$2,NAm!$U$3:$U$82,'NAm Capacity Data'!$A5)+SUMIFS(NAm!$T$3:$T$82,NAm!$F$3:$F$82,'NAm Capacity Data'!Z$22,NAm!$U$3:$U$82,'NAm Capacity Data'!$A5)</f>
        <v>0</v>
      </c>
      <c r="AA5" s="8">
        <f>SUMIFS(NAm!$R$3:$R$82,NAm!$F$3:$F$82,'NAm Capacity Data'!AA$2,NAm!$U$3:$U$82,'NAm Capacity Data'!$A5)+SUMIFS(NAm!$T$3:$T$82,NAm!$F$3:$F$82,'NAm Capacity Data'!AA$22,NAm!$U$3:$U$82,'NAm Capacity Data'!$A5)</f>
        <v>0</v>
      </c>
      <c r="AB5" s="8">
        <f>SUMIFS(NAm!$R$3:$R$82,NAm!$F$3:$F$82,'NAm Capacity Data'!AB$2,NAm!$U$3:$U$82,'NAm Capacity Data'!$A5)+SUMIFS(NAm!$T$3:$T$82,NAm!$F$3:$F$82,'NAm Capacity Data'!AB$22,NAm!$U$3:$U$82,'NAm Capacity Data'!$A5)</f>
        <v>0</v>
      </c>
      <c r="AC5" s="8">
        <f>SUMIFS(NAm!$R$3:$R$82,NAm!$F$3:$F$82,'NAm Capacity Data'!AC$2,NAm!$U$3:$U$82,'NAm Capacity Data'!$A5)+SUMIFS(NAm!$T$3:$T$82,NAm!$F$3:$F$82,'NAm Capacity Data'!AC$22,NAm!$U$3:$U$82,'NAm Capacity Data'!$A5)</f>
        <v>0</v>
      </c>
      <c r="AD5" s="8">
        <f>SUMIFS(NAm!$R$3:$R$82,NAm!$F$3:$F$82,'NAm Capacity Data'!AD$2,NAm!$U$3:$U$82,'NAm Capacity Data'!$A5)+SUMIFS(NAm!$T$3:$T$82,NAm!$F$3:$F$82,'NAm Capacity Data'!AD$22,NAm!$U$3:$U$82,'NAm Capacity Data'!$A5)</f>
        <v>0</v>
      </c>
      <c r="AE5" s="8">
        <f>SUMIFS(NAm!$R$3:$R$82,NAm!$F$3:$F$82,'NAm Capacity Data'!AE$2,NAm!$U$3:$U$82,'NAm Capacity Data'!$A5)+SUMIFS(NAm!$T$3:$T$82,NAm!$F$3:$F$82,'NAm Capacity Data'!AE$22,NAm!$U$3:$U$82,'NAm Capacity Data'!$A5)</f>
        <v>0</v>
      </c>
      <c r="AF5" s="8">
        <f>SUMIFS(NAm!$R$3:$R$82,NAm!$F$3:$F$82,'NAm Capacity Data'!AF$2,NAm!$U$3:$U$82,'NAm Capacity Data'!$A5)+SUMIFS(NAm!$T$3:$T$82,NAm!$F$3:$F$82,'NAm Capacity Data'!AF$22,NAm!$U$3:$U$82,'NAm Capacity Data'!$A5)</f>
        <v>0</v>
      </c>
    </row>
    <row r="6" spans="1:32" ht="15" customHeight="1">
      <c r="A6" s="9" t="s">
        <v>8</v>
      </c>
      <c r="B6" s="10">
        <f>SUMIFS(NAm!$R$3:$R$82,NAm!$F$3:$F$82,"&lt;"&amp;'NAm Capacity Data'!C$2,NAm!$U$3:$U$82,'NAm Capacity Data'!$A6)+SUMIFS(NAm!$T$3:$T$82,NAm!$F$3:$F$82,"&lt;"&amp;'NAm Capacity Data'!C$2,NAm!$U$3:$U$82,'NAm Capacity Data'!$A6)</f>
        <v>0</v>
      </c>
      <c r="C6" s="10">
        <f>SUMIFS(NAm!$R$3:$R$82,NAm!$F$3:$F$82,'NAm Capacity Data'!C$2,NAm!$U$3:$U$82,'NAm Capacity Data'!$A6)+SUMIFS(NAm!$T$3:$T$82,NAm!$F$3:$F$82,'NAm Capacity Data'!C$22,NAm!$U$3:$U$82,'NAm Capacity Data'!$A6)</f>
        <v>0</v>
      </c>
      <c r="D6" s="10">
        <f>SUMIFS(NAm!$R$3:$R$82,NAm!$F$3:$F$82,'NAm Capacity Data'!D$2,NAm!$U$3:$U$82,'NAm Capacity Data'!$A6)+SUMIFS(NAm!$T$3:$T$82,NAm!$F$3:$F$82,'NAm Capacity Data'!D$22,NAm!$U$3:$U$82,'NAm Capacity Data'!$A6)</f>
        <v>1E-3</v>
      </c>
      <c r="E6" s="10">
        <f>SUMIFS(NAm!$R$3:$R$82,NAm!$F$3:$F$82,'NAm Capacity Data'!E$2,NAm!$U$3:$U$82,'NAm Capacity Data'!$A6)+SUMIFS(NAm!$T$3:$T$82,NAm!$F$3:$F$82,'NAm Capacity Data'!E$22,NAm!$U$3:$U$82,'NAm Capacity Data'!$A6)</f>
        <v>0</v>
      </c>
      <c r="F6" s="8">
        <f>SUMIFS(NAm!$R$3:$R$82,NAm!$F$3:$F$82,'NAm Capacity Data'!F$2,NAm!$U$3:$U$82,'NAm Capacity Data'!$A6)+SUMIFS(NAm!$T$3:$T$82,NAm!$F$3:$F$82,'NAm Capacity Data'!F$22,NAm!$U$3:$U$82,'NAm Capacity Data'!$A6)</f>
        <v>0.29719369896523751</v>
      </c>
      <c r="G6" s="8">
        <f>SUMIFS(NAm!$R$3:$R$82,NAm!$F$3:$F$82,'NAm Capacity Data'!G$2,NAm!$U$3:$U$82,'NAm Capacity Data'!$A6)+SUMIFS(NAm!$T$3:$T$82,NAm!$F$3:$F$82,'NAm Capacity Data'!G$22,NAm!$U$3:$U$82,'NAm Capacity Data'!$A6)</f>
        <v>4.4562499999999998E-2</v>
      </c>
      <c r="H6" s="8">
        <f>SUMIFS(NAm!$R$3:$R$82,NAm!$F$3:$F$82,'NAm Capacity Data'!H$2,NAm!$U$3:$U$82,'NAm Capacity Data'!$A6)+SUMIFS(NAm!$T$3:$T$82,NAm!$F$3:$F$82,'NAm Capacity Data'!H$22,NAm!$U$3:$U$82,'NAm Capacity Data'!$A6)</f>
        <v>2.75</v>
      </c>
      <c r="I6" s="8">
        <f>SUMIFS(NAm!$R$3:$R$82,NAm!$F$3:$F$82,'NAm Capacity Data'!I$2,NAm!$U$3:$U$82,'NAm Capacity Data'!$A6)+SUMIFS(NAm!$T$3:$T$82,NAm!$F$3:$F$82,'NAm Capacity Data'!I$22,NAm!$U$3:$U$82,'NAm Capacity Data'!$A6)</f>
        <v>0</v>
      </c>
      <c r="J6" s="8">
        <f>SUMIFS(NAm!$R$3:$R$82,NAm!$F$3:$F$82,'NAm Capacity Data'!J$2,NAm!$U$3:$U$82,'NAm Capacity Data'!$A6)+SUMIFS(NAm!$T$3:$T$82,NAm!$F$3:$F$82,'NAm Capacity Data'!J$22,NAm!$U$3:$U$82,'NAm Capacity Data'!$A6)</f>
        <v>12.4</v>
      </c>
      <c r="K6" s="8">
        <f>SUMIFS(NAm!$R$3:$R$82,NAm!$F$3:$F$82,'NAm Capacity Data'!K$2,NAm!$U$3:$U$82,'NAm Capacity Data'!$A6)+SUMIFS(NAm!$T$3:$T$82,NAm!$F$3:$F$82,'NAm Capacity Data'!K$22,NAm!$U$3:$U$82,'NAm Capacity Data'!$A6)</f>
        <v>7.5</v>
      </c>
      <c r="L6" s="8">
        <f>SUMIFS(NAm!$R$3:$R$82,NAm!$F$3:$F$82,'NAm Capacity Data'!L$2,NAm!$U$3:$U$82,'NAm Capacity Data'!$A6)+SUMIFS(NAm!$T$3:$T$82,NAm!$F$3:$F$82,'NAm Capacity Data'!L$22,NAm!$U$3:$U$82,'NAm Capacity Data'!$A6)</f>
        <v>20.75</v>
      </c>
      <c r="M6" s="8">
        <f>SUMIFS(NAm!$R$3:$R$82,NAm!$F$3:$F$82,'NAm Capacity Data'!M$2,NAm!$U$3:$U$82,'NAm Capacity Data'!$A6)+SUMIFS(NAm!$T$3:$T$82,NAm!$F$3:$F$82,'NAm Capacity Data'!M$22,NAm!$U$3:$U$82,'NAm Capacity Data'!$A6)</f>
        <v>0</v>
      </c>
      <c r="N6" s="8">
        <f>SUMIFS(NAm!$R$3:$R$82,NAm!$F$3:$F$82,'NAm Capacity Data'!N$2,NAm!$U$3:$U$82,'NAm Capacity Data'!$A6)+SUMIFS(NAm!$T$3:$T$82,NAm!$F$3:$F$82,'NAm Capacity Data'!N$22,NAm!$U$3:$U$82,'NAm Capacity Data'!$A6)</f>
        <v>0</v>
      </c>
      <c r="O6" s="8">
        <f>SUMIFS(NAm!$R$3:$R$82,NAm!$F$3:$F$82,'NAm Capacity Data'!O$2,NAm!$U$3:$U$82,'NAm Capacity Data'!$A6)+SUMIFS(NAm!$T$3:$T$82,NAm!$F$3:$F$82,'NAm Capacity Data'!O$22,NAm!$U$3:$U$82,'NAm Capacity Data'!$A6)</f>
        <v>0</v>
      </c>
      <c r="P6" s="8">
        <f>SUMIFS(NAm!$R$3:$R$82,NAm!$F$3:$F$82,'NAm Capacity Data'!P$2,NAm!$U$3:$U$82,'NAm Capacity Data'!$A6)+SUMIFS(NAm!$T$3:$T$82,NAm!$F$3:$F$82,'NAm Capacity Data'!P$22,NAm!$U$3:$U$82,'NAm Capacity Data'!$A6)</f>
        <v>0</v>
      </c>
      <c r="Q6" s="8">
        <f>SUMIFS(NAm!$R$3:$R$82,NAm!$F$3:$F$82,'NAm Capacity Data'!Q$2,NAm!$U$3:$U$82,'NAm Capacity Data'!$A6)+SUMIFS(NAm!$T$3:$T$82,NAm!$F$3:$F$82,'NAm Capacity Data'!Q$22,NAm!$U$3:$U$82,'NAm Capacity Data'!$A6)</f>
        <v>0</v>
      </c>
      <c r="R6" s="8">
        <f>SUMIFS(NAm!$R$3:$R$82,NAm!$F$3:$F$82,'NAm Capacity Data'!R$2,NAm!$U$3:$U$82,'NAm Capacity Data'!$A6)+SUMIFS(NAm!$T$3:$T$82,NAm!$F$3:$F$82,'NAm Capacity Data'!R$22,NAm!$U$3:$U$82,'NAm Capacity Data'!$A6)</f>
        <v>0</v>
      </c>
      <c r="S6" s="8">
        <f>SUMIFS(NAm!$R$3:$R$82,NAm!$F$3:$F$82,'NAm Capacity Data'!S$2,NAm!$U$3:$U$82,'NAm Capacity Data'!$A6)+SUMIFS(NAm!$T$3:$T$82,NAm!$F$3:$F$82,'NAm Capacity Data'!S$22,NAm!$U$3:$U$82,'NAm Capacity Data'!$A6)</f>
        <v>0</v>
      </c>
      <c r="T6" s="8">
        <f>SUMIFS(NAm!$R$3:$R$82,NAm!$F$3:$F$82,'NAm Capacity Data'!T$2,NAm!$U$3:$U$82,'NAm Capacity Data'!$A6)+SUMIFS(NAm!$T$3:$T$82,NAm!$F$3:$F$82,'NAm Capacity Data'!T$22,NAm!$U$3:$U$82,'NAm Capacity Data'!$A6)</f>
        <v>0</v>
      </c>
      <c r="U6" s="8">
        <f>SUMIFS(NAm!$R$3:$R$82,NAm!$F$3:$F$82,'NAm Capacity Data'!U$2,NAm!$U$3:$U$82,'NAm Capacity Data'!$A6)+SUMIFS(NAm!$T$3:$T$82,NAm!$F$3:$F$82,'NAm Capacity Data'!U$22,NAm!$U$3:$U$82,'NAm Capacity Data'!$A6)</f>
        <v>0</v>
      </c>
      <c r="V6" s="8">
        <f>SUMIFS(NAm!$R$3:$R$82,NAm!$F$3:$F$82,'NAm Capacity Data'!V$2,NAm!$U$3:$U$82,'NAm Capacity Data'!$A6)+SUMIFS(NAm!$T$3:$T$82,NAm!$F$3:$F$82,'NAm Capacity Data'!V$22,NAm!$U$3:$U$82,'NAm Capacity Data'!$A6)</f>
        <v>0</v>
      </c>
      <c r="W6" s="8">
        <f>SUMIFS(NAm!$R$3:$R$82,NAm!$F$3:$F$82,'NAm Capacity Data'!W$2,NAm!$U$3:$U$82,'NAm Capacity Data'!$A6)+SUMIFS(NAm!$T$3:$T$82,NAm!$F$3:$F$82,'NAm Capacity Data'!W$22,NAm!$U$3:$U$82,'NAm Capacity Data'!$A6)</f>
        <v>0</v>
      </c>
      <c r="X6" s="8">
        <f>SUMIFS(NAm!$R$3:$R$82,NAm!$F$3:$F$82,'NAm Capacity Data'!X$2,NAm!$U$3:$U$82,'NAm Capacity Data'!$A6)+SUMIFS(NAm!$T$3:$T$82,NAm!$F$3:$F$82,'NAm Capacity Data'!X$22,NAm!$U$3:$U$82,'NAm Capacity Data'!$A6)</f>
        <v>0</v>
      </c>
      <c r="Y6" s="8">
        <f>SUMIFS(NAm!$R$3:$R$82,NAm!$F$3:$F$82,'NAm Capacity Data'!Y$2,NAm!$U$3:$U$82,'NAm Capacity Data'!$A6)+SUMIFS(NAm!$T$3:$T$82,NAm!$F$3:$F$82,'NAm Capacity Data'!Y$22,NAm!$U$3:$U$82,'NAm Capacity Data'!$A6)</f>
        <v>0</v>
      </c>
      <c r="Z6" s="8">
        <f>SUMIFS(NAm!$R$3:$R$82,NAm!$F$3:$F$82,'NAm Capacity Data'!Z$2,NAm!$U$3:$U$82,'NAm Capacity Data'!$A6)+SUMIFS(NAm!$T$3:$T$82,NAm!$F$3:$F$82,'NAm Capacity Data'!Z$22,NAm!$U$3:$U$82,'NAm Capacity Data'!$A6)</f>
        <v>0</v>
      </c>
      <c r="AA6" s="8">
        <f>SUMIFS(NAm!$R$3:$R$82,NAm!$F$3:$F$82,'NAm Capacity Data'!AA$2,NAm!$U$3:$U$82,'NAm Capacity Data'!$A6)+SUMIFS(NAm!$T$3:$T$82,NAm!$F$3:$F$82,'NAm Capacity Data'!AA$22,NAm!$U$3:$U$82,'NAm Capacity Data'!$A6)</f>
        <v>0</v>
      </c>
      <c r="AB6" s="8">
        <f>SUMIFS(NAm!$R$3:$R$82,NAm!$F$3:$F$82,'NAm Capacity Data'!AB$2,NAm!$U$3:$U$82,'NAm Capacity Data'!$A6)+SUMIFS(NAm!$T$3:$T$82,NAm!$F$3:$F$82,'NAm Capacity Data'!AB$22,NAm!$U$3:$U$82,'NAm Capacity Data'!$A6)</f>
        <v>0</v>
      </c>
      <c r="AC6" s="8">
        <f>SUMIFS(NAm!$R$3:$R$82,NAm!$F$3:$F$82,'NAm Capacity Data'!AC$2,NAm!$U$3:$U$82,'NAm Capacity Data'!$A6)+SUMIFS(NAm!$T$3:$T$82,NAm!$F$3:$F$82,'NAm Capacity Data'!AC$22,NAm!$U$3:$U$82,'NAm Capacity Data'!$A6)</f>
        <v>0</v>
      </c>
      <c r="AD6" s="8">
        <f>SUMIFS(NAm!$R$3:$R$82,NAm!$F$3:$F$82,'NAm Capacity Data'!AD$2,NAm!$U$3:$U$82,'NAm Capacity Data'!$A6)+SUMIFS(NAm!$T$3:$T$82,NAm!$F$3:$F$82,'NAm Capacity Data'!AD$22,NAm!$U$3:$U$82,'NAm Capacity Data'!$A6)</f>
        <v>0</v>
      </c>
      <c r="AE6" s="8">
        <f>SUMIFS(NAm!$R$3:$R$82,NAm!$F$3:$F$82,'NAm Capacity Data'!AE$2,NAm!$U$3:$U$82,'NAm Capacity Data'!$A6)+SUMIFS(NAm!$T$3:$T$82,NAm!$F$3:$F$82,'NAm Capacity Data'!AE$22,NAm!$U$3:$U$82,'NAm Capacity Data'!$A6)</f>
        <v>0</v>
      </c>
      <c r="AF6" s="8">
        <f>SUMIFS(NAm!$R$3:$R$82,NAm!$F$3:$F$82,'NAm Capacity Data'!AF$2,NAm!$U$3:$U$82,'NAm Capacity Data'!$A6)+SUMIFS(NAm!$T$3:$T$82,NAm!$F$3:$F$82,'NAm Capacity Data'!AF$22,NAm!$U$3:$U$82,'NAm Capacity Data'!$A6)</f>
        <v>0</v>
      </c>
    </row>
    <row r="7" spans="1:32" ht="15" customHeight="1">
      <c r="A7" s="9" t="s">
        <v>9</v>
      </c>
      <c r="B7" s="10">
        <f>SUMIFS(NAm!$R$3:$R$82,NAm!$F$3:$F$82,"&lt;"&amp;'NAm Capacity Data'!C$2,NAm!$U$3:$U$82,'NAm Capacity Data'!$A7)+SUMIFS(NAm!$T$3:$T$82,NAm!$F$3:$F$82,"&lt;"&amp;'NAm Capacity Data'!C$2,NAm!$U$3:$U$82,'NAm Capacity Data'!$A7)</f>
        <v>0</v>
      </c>
      <c r="C7" s="10">
        <f>SUMIFS(NAm!$R$3:$R$82,NAm!$F$3:$F$82,'NAm Capacity Data'!C$2,NAm!$U$3:$U$82,'NAm Capacity Data'!$A7)+SUMIFS(NAm!$T$3:$T$82,NAm!$F$3:$F$82,'NAm Capacity Data'!C$22,NAm!$U$3:$U$82,'NAm Capacity Data'!$A7)</f>
        <v>0</v>
      </c>
      <c r="D7" s="10">
        <f>SUMIFS(NAm!$R$3:$R$82,NAm!$F$3:$F$82,'NAm Capacity Data'!D$2,NAm!$U$3:$U$82,'NAm Capacity Data'!$A7)+SUMIFS(NAm!$T$3:$T$82,NAm!$F$3:$F$82,'NAm Capacity Data'!D$22,NAm!$U$3:$U$82,'NAm Capacity Data'!$A7)</f>
        <v>0</v>
      </c>
      <c r="E7" s="10">
        <f>SUMIFS(NAm!$R$3:$R$82,NAm!$F$3:$F$82,'NAm Capacity Data'!E$2,NAm!$U$3:$U$82,'NAm Capacity Data'!$A7)+SUMIFS(NAm!$T$3:$T$82,NAm!$F$3:$F$82,'NAm Capacity Data'!E$22,NAm!$U$3:$U$82,'NAm Capacity Data'!$A7)</f>
        <v>0</v>
      </c>
      <c r="F7" s="8">
        <f>SUMIFS(NAm!$R$3:$R$82,NAm!$F$3:$F$82,'NAm Capacity Data'!F$2,NAm!$U$3:$U$82,'NAm Capacity Data'!$A7)+SUMIFS(NAm!$T$3:$T$82,NAm!$F$3:$F$82,'NAm Capacity Data'!F$22,NAm!$U$3:$U$82,'NAm Capacity Data'!$A7)</f>
        <v>0</v>
      </c>
      <c r="G7" s="8">
        <f>SUMIFS(NAm!$R$3:$R$82,NAm!$F$3:$F$82,'NAm Capacity Data'!G$2,NAm!$U$3:$U$82,'NAm Capacity Data'!$A7)+SUMIFS(NAm!$T$3:$T$82,NAm!$F$3:$F$82,'NAm Capacity Data'!G$22,NAm!$U$3:$U$82,'NAm Capacity Data'!$A7)</f>
        <v>5</v>
      </c>
      <c r="H7" s="8">
        <f>SUMIFS(NAm!$R$3:$R$82,NAm!$F$3:$F$82,'NAm Capacity Data'!H$2,NAm!$U$3:$U$82,'NAm Capacity Data'!$A7)+SUMIFS(NAm!$T$3:$T$82,NAm!$F$3:$F$82,'NAm Capacity Data'!H$22,NAm!$U$3:$U$82,'NAm Capacity Data'!$A7)</f>
        <v>0.05</v>
      </c>
      <c r="I7" s="8">
        <f>SUMIFS(NAm!$R$3:$R$82,NAm!$F$3:$F$82,'NAm Capacity Data'!I$2,NAm!$U$3:$U$82,'NAm Capacity Data'!$A7)+SUMIFS(NAm!$T$3:$T$82,NAm!$F$3:$F$82,'NAm Capacity Data'!I$22,NAm!$U$3:$U$82,'NAm Capacity Data'!$A7)</f>
        <v>0</v>
      </c>
      <c r="J7" s="8">
        <f>SUMIFS(NAm!$R$3:$R$82,NAm!$F$3:$F$82,'NAm Capacity Data'!J$2,NAm!$U$3:$U$82,'NAm Capacity Data'!$A7)+SUMIFS(NAm!$T$3:$T$82,NAm!$F$3:$F$82,'NAm Capacity Data'!J$22,NAm!$U$3:$U$82,'NAm Capacity Data'!$A7)</f>
        <v>0</v>
      </c>
      <c r="K7" s="8">
        <f>SUMIFS(NAm!$R$3:$R$82,NAm!$F$3:$F$82,'NAm Capacity Data'!K$2,NAm!$U$3:$U$82,'NAm Capacity Data'!$A7)+SUMIFS(NAm!$T$3:$T$82,NAm!$F$3:$F$82,'NAm Capacity Data'!K$22,NAm!$U$3:$U$82,'NAm Capacity Data'!$A7)</f>
        <v>0</v>
      </c>
      <c r="L7" s="8">
        <f>SUMIFS(NAm!$R$3:$R$82,NAm!$F$3:$F$82,'NAm Capacity Data'!L$2,NAm!$U$3:$U$82,'NAm Capacity Data'!$A7)+SUMIFS(NAm!$T$3:$T$82,NAm!$F$3:$F$82,'NAm Capacity Data'!L$22,NAm!$U$3:$U$82,'NAm Capacity Data'!$A7)</f>
        <v>0</v>
      </c>
      <c r="M7" s="8">
        <f>SUMIFS(NAm!$R$3:$R$82,NAm!$F$3:$F$82,'NAm Capacity Data'!M$2,NAm!$U$3:$U$82,'NAm Capacity Data'!$A7)+SUMIFS(NAm!$T$3:$T$82,NAm!$F$3:$F$82,'NAm Capacity Data'!M$22,NAm!$U$3:$U$82,'NAm Capacity Data'!$A7)</f>
        <v>0</v>
      </c>
      <c r="N7" s="8">
        <f>SUMIFS(NAm!$R$3:$R$82,NAm!$F$3:$F$82,'NAm Capacity Data'!N$2,NAm!$U$3:$U$82,'NAm Capacity Data'!$A7)+SUMIFS(NAm!$T$3:$T$82,NAm!$F$3:$F$82,'NAm Capacity Data'!N$22,NAm!$U$3:$U$82,'NAm Capacity Data'!$A7)</f>
        <v>0</v>
      </c>
      <c r="O7" s="8">
        <f>SUMIFS(NAm!$R$3:$R$82,NAm!$F$3:$F$82,'NAm Capacity Data'!O$2,NAm!$U$3:$U$82,'NAm Capacity Data'!$A7)+SUMIFS(NAm!$T$3:$T$82,NAm!$F$3:$F$82,'NAm Capacity Data'!O$22,NAm!$U$3:$U$82,'NAm Capacity Data'!$A7)</f>
        <v>0</v>
      </c>
      <c r="P7" s="8">
        <f>SUMIFS(NAm!$R$3:$R$82,NAm!$F$3:$F$82,'NAm Capacity Data'!P$2,NAm!$U$3:$U$82,'NAm Capacity Data'!$A7)+SUMIFS(NAm!$T$3:$T$82,NAm!$F$3:$F$82,'NAm Capacity Data'!P$22,NAm!$U$3:$U$82,'NAm Capacity Data'!$A7)</f>
        <v>0</v>
      </c>
      <c r="Q7" s="8">
        <f>SUMIFS(NAm!$R$3:$R$82,NAm!$F$3:$F$82,'NAm Capacity Data'!Q$2,NAm!$U$3:$U$82,'NAm Capacity Data'!$A7)+SUMIFS(NAm!$T$3:$T$82,NAm!$F$3:$F$82,'NAm Capacity Data'!Q$22,NAm!$U$3:$U$82,'NAm Capacity Data'!$A7)</f>
        <v>0</v>
      </c>
      <c r="R7" s="8">
        <f>SUMIFS(NAm!$R$3:$R$82,NAm!$F$3:$F$82,'NAm Capacity Data'!R$2,NAm!$U$3:$U$82,'NAm Capacity Data'!$A7)+SUMIFS(NAm!$T$3:$T$82,NAm!$F$3:$F$82,'NAm Capacity Data'!R$22,NAm!$U$3:$U$82,'NAm Capacity Data'!$A7)</f>
        <v>0</v>
      </c>
      <c r="S7" s="8">
        <f>SUMIFS(NAm!$R$3:$R$82,NAm!$F$3:$F$82,'NAm Capacity Data'!S$2,NAm!$U$3:$U$82,'NAm Capacity Data'!$A7)+SUMIFS(NAm!$T$3:$T$82,NAm!$F$3:$F$82,'NAm Capacity Data'!S$22,NAm!$U$3:$U$82,'NAm Capacity Data'!$A7)</f>
        <v>0</v>
      </c>
      <c r="T7" s="8">
        <f>SUMIFS(NAm!$R$3:$R$82,NAm!$F$3:$F$82,'NAm Capacity Data'!T$2,NAm!$U$3:$U$82,'NAm Capacity Data'!$A7)+SUMIFS(NAm!$T$3:$T$82,NAm!$F$3:$F$82,'NAm Capacity Data'!T$22,NAm!$U$3:$U$82,'NAm Capacity Data'!$A7)</f>
        <v>0</v>
      </c>
      <c r="U7" s="8">
        <f>SUMIFS(NAm!$R$3:$R$82,NAm!$F$3:$F$82,'NAm Capacity Data'!U$2,NAm!$U$3:$U$82,'NAm Capacity Data'!$A7)+SUMIFS(NAm!$T$3:$T$82,NAm!$F$3:$F$82,'NAm Capacity Data'!U$22,NAm!$U$3:$U$82,'NAm Capacity Data'!$A7)</f>
        <v>0</v>
      </c>
      <c r="V7" s="8">
        <f>SUMIFS(NAm!$R$3:$R$82,NAm!$F$3:$F$82,'NAm Capacity Data'!V$2,NAm!$U$3:$U$82,'NAm Capacity Data'!$A7)+SUMIFS(NAm!$T$3:$T$82,NAm!$F$3:$F$82,'NAm Capacity Data'!V$22,NAm!$U$3:$U$82,'NAm Capacity Data'!$A7)</f>
        <v>0</v>
      </c>
      <c r="W7" s="8">
        <f>SUMIFS(NAm!$R$3:$R$82,NAm!$F$3:$F$82,'NAm Capacity Data'!W$2,NAm!$U$3:$U$82,'NAm Capacity Data'!$A7)+SUMIFS(NAm!$T$3:$T$82,NAm!$F$3:$F$82,'NAm Capacity Data'!W$22,NAm!$U$3:$U$82,'NAm Capacity Data'!$A7)</f>
        <v>0</v>
      </c>
      <c r="X7" s="8">
        <f>SUMIFS(NAm!$R$3:$R$82,NAm!$F$3:$F$82,'NAm Capacity Data'!X$2,NAm!$U$3:$U$82,'NAm Capacity Data'!$A7)+SUMIFS(NAm!$T$3:$T$82,NAm!$F$3:$F$82,'NAm Capacity Data'!X$22,NAm!$U$3:$U$82,'NAm Capacity Data'!$A7)</f>
        <v>0</v>
      </c>
      <c r="Y7" s="8">
        <f>SUMIFS(NAm!$R$3:$R$82,NAm!$F$3:$F$82,'NAm Capacity Data'!Y$2,NAm!$U$3:$U$82,'NAm Capacity Data'!$A7)+SUMIFS(NAm!$T$3:$T$82,NAm!$F$3:$F$82,'NAm Capacity Data'!Y$22,NAm!$U$3:$U$82,'NAm Capacity Data'!$A7)</f>
        <v>0</v>
      </c>
      <c r="Z7" s="8">
        <f>SUMIFS(NAm!$R$3:$R$82,NAm!$F$3:$F$82,'NAm Capacity Data'!Z$2,NAm!$U$3:$U$82,'NAm Capacity Data'!$A7)+SUMIFS(NAm!$T$3:$T$82,NAm!$F$3:$F$82,'NAm Capacity Data'!Z$22,NAm!$U$3:$U$82,'NAm Capacity Data'!$A7)</f>
        <v>0</v>
      </c>
      <c r="AA7" s="8">
        <f>SUMIFS(NAm!$R$3:$R$82,NAm!$F$3:$F$82,'NAm Capacity Data'!AA$2,NAm!$U$3:$U$82,'NAm Capacity Data'!$A7)+SUMIFS(NAm!$T$3:$T$82,NAm!$F$3:$F$82,'NAm Capacity Data'!AA$22,NAm!$U$3:$U$82,'NAm Capacity Data'!$A7)</f>
        <v>0</v>
      </c>
      <c r="AB7" s="8">
        <f>SUMIFS(NAm!$R$3:$R$82,NAm!$F$3:$F$82,'NAm Capacity Data'!AB$2,NAm!$U$3:$U$82,'NAm Capacity Data'!$A7)+SUMIFS(NAm!$T$3:$T$82,NAm!$F$3:$F$82,'NAm Capacity Data'!AB$22,NAm!$U$3:$U$82,'NAm Capacity Data'!$A7)</f>
        <v>0</v>
      </c>
      <c r="AC7" s="8">
        <f>SUMIFS(NAm!$R$3:$R$82,NAm!$F$3:$F$82,'NAm Capacity Data'!AC$2,NAm!$U$3:$U$82,'NAm Capacity Data'!$A7)+SUMIFS(NAm!$T$3:$T$82,NAm!$F$3:$F$82,'NAm Capacity Data'!AC$22,NAm!$U$3:$U$82,'NAm Capacity Data'!$A7)</f>
        <v>0</v>
      </c>
      <c r="AD7" s="8">
        <f>SUMIFS(NAm!$R$3:$R$82,NAm!$F$3:$F$82,'NAm Capacity Data'!AD$2,NAm!$U$3:$U$82,'NAm Capacity Data'!$A7)+SUMIFS(NAm!$T$3:$T$82,NAm!$F$3:$F$82,'NAm Capacity Data'!AD$22,NAm!$U$3:$U$82,'NAm Capacity Data'!$A7)</f>
        <v>0</v>
      </c>
      <c r="AE7" s="8">
        <f>SUMIFS(NAm!$R$3:$R$82,NAm!$F$3:$F$82,'NAm Capacity Data'!AE$2,NAm!$U$3:$U$82,'NAm Capacity Data'!$A7)+SUMIFS(NAm!$T$3:$T$82,NAm!$F$3:$F$82,'NAm Capacity Data'!AE$22,NAm!$U$3:$U$82,'NAm Capacity Data'!$A7)</f>
        <v>0</v>
      </c>
      <c r="AF7" s="8">
        <f>SUMIFS(NAm!$R$3:$R$82,NAm!$F$3:$F$82,'NAm Capacity Data'!AF$2,NAm!$U$3:$U$82,'NAm Capacity Data'!$A7)+SUMIFS(NAm!$T$3:$T$82,NAm!$F$3:$F$82,'NAm Capacity Data'!AF$22,NAm!$U$3:$U$82,'NAm Capacity Data'!$A7)</f>
        <v>0</v>
      </c>
    </row>
    <row r="8" spans="1:32" ht="15" customHeight="1">
      <c r="A8" s="9" t="s">
        <v>10</v>
      </c>
      <c r="B8" s="10">
        <f>SUMIFS(NAm!$R$3:$R$82,NAm!$F$3:$F$82,"&lt;"&amp;'NAm Capacity Data'!C$2,NAm!$U$3:$U$82,'NAm Capacity Data'!$A8)+SUMIFS(NAm!$T$3:$T$82,NAm!$F$3:$F$82,"&lt;"&amp;'NAm Capacity Data'!C$2,NAm!$U$3:$U$82,'NAm Capacity Data'!$A8)</f>
        <v>0</v>
      </c>
      <c r="C8" s="10">
        <f>SUMIFS(NAm!$R$3:$R$82,NAm!$F$3:$F$82,'NAm Capacity Data'!C$2,NAm!$U$3:$U$82,'NAm Capacity Data'!$A8)+SUMIFS(NAm!$T$3:$T$82,NAm!$F$3:$F$82,'NAm Capacity Data'!C$22,NAm!$U$3:$U$82,'NAm Capacity Data'!$A8)</f>
        <v>73.5</v>
      </c>
      <c r="D8" s="10">
        <f>SUMIFS(NAm!$R$3:$R$82,NAm!$F$3:$F$82,'NAm Capacity Data'!D$2,NAm!$U$3:$U$82,'NAm Capacity Data'!$A8)+SUMIFS(NAm!$T$3:$T$82,NAm!$F$3:$F$82,'NAm Capacity Data'!D$22,NAm!$U$3:$U$82,'NAm Capacity Data'!$A8)</f>
        <v>0</v>
      </c>
      <c r="E8" s="10">
        <f>SUMIFS(NAm!$R$3:$R$82,NAm!$F$3:$F$82,'NAm Capacity Data'!E$2,NAm!$U$3:$U$82,'NAm Capacity Data'!$A8)+SUMIFS(NAm!$T$3:$T$82,NAm!$F$3:$F$82,'NAm Capacity Data'!E$22,NAm!$U$3:$U$82,'NAm Capacity Data'!$A8)</f>
        <v>0</v>
      </c>
      <c r="F8" s="8">
        <f>SUMIFS(NAm!$R$3:$R$82,NAm!$F$3:$F$82,'NAm Capacity Data'!F$2,NAm!$U$3:$U$82,'NAm Capacity Data'!$A8)+SUMIFS(NAm!$T$3:$T$82,NAm!$F$3:$F$82,'NAm Capacity Data'!F$22,NAm!$U$3:$U$82,'NAm Capacity Data'!$A8)</f>
        <v>0.32</v>
      </c>
      <c r="G8" s="8">
        <f>SUMIFS(NAm!$R$3:$R$82,NAm!$F$3:$F$82,'NAm Capacity Data'!G$2,NAm!$U$3:$U$82,'NAm Capacity Data'!$A8)+SUMIFS(NAm!$T$3:$T$82,NAm!$F$3:$F$82,'NAm Capacity Data'!G$22,NAm!$U$3:$U$82,'NAm Capacity Data'!$A8)</f>
        <v>5</v>
      </c>
      <c r="H8" s="8">
        <f>SUMIFS(NAm!$R$3:$R$82,NAm!$F$3:$F$82,'NAm Capacity Data'!H$2,NAm!$U$3:$U$82,'NAm Capacity Data'!$A8)+SUMIFS(NAm!$T$3:$T$82,NAm!$F$3:$F$82,'NAm Capacity Data'!H$22,NAm!$U$3:$U$82,'NAm Capacity Data'!$A8)</f>
        <v>0</v>
      </c>
      <c r="I8" s="8">
        <f>SUMIFS(NAm!$R$3:$R$82,NAm!$F$3:$F$82,'NAm Capacity Data'!I$2,NAm!$U$3:$U$82,'NAm Capacity Data'!$A8)+SUMIFS(NAm!$T$3:$T$82,NAm!$F$3:$F$82,'NAm Capacity Data'!I$22,NAm!$U$3:$U$82,'NAm Capacity Data'!$A8)</f>
        <v>18.375</v>
      </c>
      <c r="J8" s="8">
        <f>SUMIFS(NAm!$R$3:$R$82,NAm!$F$3:$F$82,'NAm Capacity Data'!J$2,NAm!$U$3:$U$82,'NAm Capacity Data'!$A8)+SUMIFS(NAm!$T$3:$T$82,NAm!$F$3:$F$82,'NAm Capacity Data'!J$22,NAm!$U$3:$U$82,'NAm Capacity Data'!$A8)</f>
        <v>0</v>
      </c>
      <c r="K8" s="8">
        <f>SUMIFS(NAm!$R$3:$R$82,NAm!$F$3:$F$82,'NAm Capacity Data'!K$2,NAm!$U$3:$U$82,'NAm Capacity Data'!$A8)+SUMIFS(NAm!$T$3:$T$82,NAm!$F$3:$F$82,'NAm Capacity Data'!K$22,NAm!$U$3:$U$82,'NAm Capacity Data'!$A8)</f>
        <v>0</v>
      </c>
      <c r="L8" s="8">
        <f>SUMIFS(NAm!$R$3:$R$82,NAm!$F$3:$F$82,'NAm Capacity Data'!L$2,NAm!$U$3:$U$82,'NAm Capacity Data'!$A8)+SUMIFS(NAm!$T$3:$T$82,NAm!$F$3:$F$82,'NAm Capacity Data'!L$22,NAm!$U$3:$U$82,'NAm Capacity Data'!$A8)</f>
        <v>0</v>
      </c>
      <c r="M8" s="8">
        <f>SUMIFS(NAm!$R$3:$R$82,NAm!$F$3:$F$82,'NAm Capacity Data'!M$2,NAm!$U$3:$U$82,'NAm Capacity Data'!$A8)+SUMIFS(NAm!$T$3:$T$82,NAm!$F$3:$F$82,'NAm Capacity Data'!M$22,NAm!$U$3:$U$82,'NAm Capacity Data'!$A8)</f>
        <v>0</v>
      </c>
      <c r="N8" s="8">
        <f>SUMIFS(NAm!$R$3:$R$82,NAm!$F$3:$F$82,'NAm Capacity Data'!N$2,NAm!$U$3:$U$82,'NAm Capacity Data'!$A8)+SUMIFS(NAm!$T$3:$T$82,NAm!$F$3:$F$82,'NAm Capacity Data'!N$22,NAm!$U$3:$U$82,'NAm Capacity Data'!$A8)</f>
        <v>0</v>
      </c>
      <c r="O8" s="8">
        <f>SUMIFS(NAm!$R$3:$R$82,NAm!$F$3:$F$82,'NAm Capacity Data'!O$2,NAm!$U$3:$U$82,'NAm Capacity Data'!$A8)+SUMIFS(NAm!$T$3:$T$82,NAm!$F$3:$F$82,'NAm Capacity Data'!O$22,NAm!$U$3:$U$82,'NAm Capacity Data'!$A8)</f>
        <v>0</v>
      </c>
      <c r="P8" s="8">
        <f>SUMIFS(NAm!$R$3:$R$82,NAm!$F$3:$F$82,'NAm Capacity Data'!P$2,NAm!$U$3:$U$82,'NAm Capacity Data'!$A8)+SUMIFS(NAm!$T$3:$T$82,NAm!$F$3:$F$82,'NAm Capacity Data'!P$22,NAm!$U$3:$U$82,'NAm Capacity Data'!$A8)</f>
        <v>0</v>
      </c>
      <c r="Q8" s="8">
        <f>SUMIFS(NAm!$R$3:$R$82,NAm!$F$3:$F$82,'NAm Capacity Data'!Q$2,NAm!$U$3:$U$82,'NAm Capacity Data'!$A8)+SUMIFS(NAm!$T$3:$T$82,NAm!$F$3:$F$82,'NAm Capacity Data'!Q$22,NAm!$U$3:$U$82,'NAm Capacity Data'!$A8)</f>
        <v>0</v>
      </c>
      <c r="R8" s="8">
        <f>SUMIFS(NAm!$R$3:$R$82,NAm!$F$3:$F$82,'NAm Capacity Data'!R$2,NAm!$U$3:$U$82,'NAm Capacity Data'!$A8)+SUMIFS(NAm!$T$3:$T$82,NAm!$F$3:$F$82,'NAm Capacity Data'!R$22,NAm!$U$3:$U$82,'NAm Capacity Data'!$A8)</f>
        <v>0</v>
      </c>
      <c r="S8" s="8">
        <f>SUMIFS(NAm!$R$3:$R$82,NAm!$F$3:$F$82,'NAm Capacity Data'!S$2,NAm!$U$3:$U$82,'NAm Capacity Data'!$A8)+SUMIFS(NAm!$T$3:$T$82,NAm!$F$3:$F$82,'NAm Capacity Data'!S$22,NAm!$U$3:$U$82,'NAm Capacity Data'!$A8)</f>
        <v>0</v>
      </c>
      <c r="T8" s="8">
        <f>SUMIFS(NAm!$R$3:$R$82,NAm!$F$3:$F$82,'NAm Capacity Data'!T$2,NAm!$U$3:$U$82,'NAm Capacity Data'!$A8)+SUMIFS(NAm!$T$3:$T$82,NAm!$F$3:$F$82,'NAm Capacity Data'!T$22,NAm!$U$3:$U$82,'NAm Capacity Data'!$A8)</f>
        <v>0</v>
      </c>
      <c r="U8" s="8">
        <f>SUMIFS(NAm!$R$3:$R$82,NAm!$F$3:$F$82,'NAm Capacity Data'!U$2,NAm!$U$3:$U$82,'NAm Capacity Data'!$A8)+SUMIFS(NAm!$T$3:$T$82,NAm!$F$3:$F$82,'NAm Capacity Data'!U$22,NAm!$U$3:$U$82,'NAm Capacity Data'!$A8)</f>
        <v>0</v>
      </c>
      <c r="V8" s="8">
        <f>SUMIFS(NAm!$R$3:$R$82,NAm!$F$3:$F$82,'NAm Capacity Data'!V$2,NAm!$U$3:$U$82,'NAm Capacity Data'!$A8)+SUMIFS(NAm!$T$3:$T$82,NAm!$F$3:$F$82,'NAm Capacity Data'!V$22,NAm!$U$3:$U$82,'NAm Capacity Data'!$A8)</f>
        <v>0</v>
      </c>
      <c r="W8" s="8">
        <f>SUMIFS(NAm!$R$3:$R$82,NAm!$F$3:$F$82,'NAm Capacity Data'!W$2,NAm!$U$3:$U$82,'NAm Capacity Data'!$A8)+SUMIFS(NAm!$T$3:$T$82,NAm!$F$3:$F$82,'NAm Capacity Data'!W$22,NAm!$U$3:$U$82,'NAm Capacity Data'!$A8)</f>
        <v>0</v>
      </c>
      <c r="X8" s="8">
        <f>SUMIFS(NAm!$R$3:$R$82,NAm!$F$3:$F$82,'NAm Capacity Data'!X$2,NAm!$U$3:$U$82,'NAm Capacity Data'!$A8)+SUMIFS(NAm!$T$3:$T$82,NAm!$F$3:$F$82,'NAm Capacity Data'!X$22,NAm!$U$3:$U$82,'NAm Capacity Data'!$A8)</f>
        <v>0</v>
      </c>
      <c r="Y8" s="8">
        <f>SUMIFS(NAm!$R$3:$R$82,NAm!$F$3:$F$82,'NAm Capacity Data'!Y$2,NAm!$U$3:$U$82,'NAm Capacity Data'!$A8)+SUMIFS(NAm!$T$3:$T$82,NAm!$F$3:$F$82,'NAm Capacity Data'!Y$22,NAm!$U$3:$U$82,'NAm Capacity Data'!$A8)</f>
        <v>0</v>
      </c>
      <c r="Z8" s="8">
        <f>SUMIFS(NAm!$R$3:$R$82,NAm!$F$3:$F$82,'NAm Capacity Data'!Z$2,NAm!$U$3:$U$82,'NAm Capacity Data'!$A8)+SUMIFS(NAm!$T$3:$T$82,NAm!$F$3:$F$82,'NAm Capacity Data'!Z$22,NAm!$U$3:$U$82,'NAm Capacity Data'!$A8)</f>
        <v>0</v>
      </c>
      <c r="AA8" s="8">
        <f>SUMIFS(NAm!$R$3:$R$82,NAm!$F$3:$F$82,'NAm Capacity Data'!AA$2,NAm!$U$3:$U$82,'NAm Capacity Data'!$A8)+SUMIFS(NAm!$T$3:$T$82,NAm!$F$3:$F$82,'NAm Capacity Data'!AA$22,NAm!$U$3:$U$82,'NAm Capacity Data'!$A8)</f>
        <v>0</v>
      </c>
      <c r="AB8" s="8">
        <f>SUMIFS(NAm!$R$3:$R$82,NAm!$F$3:$F$82,'NAm Capacity Data'!AB$2,NAm!$U$3:$U$82,'NAm Capacity Data'!$A8)+SUMIFS(NAm!$T$3:$T$82,NAm!$F$3:$F$82,'NAm Capacity Data'!AB$22,NAm!$U$3:$U$82,'NAm Capacity Data'!$A8)</f>
        <v>0</v>
      </c>
      <c r="AC8" s="8">
        <f>SUMIFS(NAm!$R$3:$R$82,NAm!$F$3:$F$82,'NAm Capacity Data'!AC$2,NAm!$U$3:$U$82,'NAm Capacity Data'!$A8)+SUMIFS(NAm!$T$3:$T$82,NAm!$F$3:$F$82,'NAm Capacity Data'!AC$22,NAm!$U$3:$U$82,'NAm Capacity Data'!$A8)</f>
        <v>0</v>
      </c>
      <c r="AD8" s="8">
        <f>SUMIFS(NAm!$R$3:$R$82,NAm!$F$3:$F$82,'NAm Capacity Data'!AD$2,NAm!$U$3:$U$82,'NAm Capacity Data'!$A8)+SUMIFS(NAm!$T$3:$T$82,NAm!$F$3:$F$82,'NAm Capacity Data'!AD$22,NAm!$U$3:$U$82,'NAm Capacity Data'!$A8)</f>
        <v>0</v>
      </c>
      <c r="AE8" s="8">
        <f>SUMIFS(NAm!$R$3:$R$82,NAm!$F$3:$F$82,'NAm Capacity Data'!AE$2,NAm!$U$3:$U$82,'NAm Capacity Data'!$A8)+SUMIFS(NAm!$T$3:$T$82,NAm!$F$3:$F$82,'NAm Capacity Data'!AE$22,NAm!$U$3:$U$82,'NAm Capacity Data'!$A8)</f>
        <v>0</v>
      </c>
      <c r="AF8" s="8">
        <f>SUMIFS(NAm!$R$3:$R$82,NAm!$F$3:$F$82,'NAm Capacity Data'!AF$2,NAm!$U$3:$U$82,'NAm Capacity Data'!$A8)+SUMIFS(NAm!$T$3:$T$82,NAm!$F$3:$F$82,'NAm Capacity Data'!AF$22,NAm!$U$3:$U$82,'NAm Capacity Data'!$A8)</f>
        <v>0</v>
      </c>
    </row>
    <row r="9" spans="1:32" ht="15" customHeight="1" thickBot="1">
      <c r="A9" s="11" t="s">
        <v>11</v>
      </c>
      <c r="B9" s="12">
        <f>SUM(B3:B8)</f>
        <v>85.000100000000003</v>
      </c>
      <c r="C9" s="12">
        <f>SUM(C3:C8)</f>
        <v>73.849999999999994</v>
      </c>
      <c r="D9" s="12">
        <f t="shared" ref="D9:AF9" si="0">SUM(D3:D8)</f>
        <v>400.00099999999998</v>
      </c>
      <c r="E9" s="12">
        <f t="shared" si="0"/>
        <v>0</v>
      </c>
      <c r="F9" s="13">
        <f t="shared" si="0"/>
        <v>837.49219369896525</v>
      </c>
      <c r="G9" s="13">
        <f t="shared" si="0"/>
        <v>510.41398749999996</v>
      </c>
      <c r="H9" s="13">
        <f t="shared" si="0"/>
        <v>565.04</v>
      </c>
      <c r="I9" s="13">
        <f t="shared" si="0"/>
        <v>1126.165</v>
      </c>
      <c r="J9" s="13">
        <f t="shared" si="0"/>
        <v>160.60499999999999</v>
      </c>
      <c r="K9" s="13">
        <f t="shared" si="0"/>
        <v>110</v>
      </c>
      <c r="L9" s="13">
        <f t="shared" si="0"/>
        <v>50.5</v>
      </c>
      <c r="M9" s="13">
        <f t="shared" si="0"/>
        <v>3.4019999999999997</v>
      </c>
      <c r="N9" s="13">
        <f t="shared" si="0"/>
        <v>0</v>
      </c>
      <c r="O9" s="13">
        <f t="shared" si="0"/>
        <v>0</v>
      </c>
      <c r="P9" s="13">
        <f t="shared" si="0"/>
        <v>0</v>
      </c>
      <c r="Q9" s="13">
        <f t="shared" si="0"/>
        <v>0</v>
      </c>
      <c r="R9" s="13">
        <f t="shared" si="0"/>
        <v>0</v>
      </c>
      <c r="S9" s="13">
        <f t="shared" si="0"/>
        <v>0</v>
      </c>
      <c r="T9" s="13">
        <f t="shared" si="0"/>
        <v>0</v>
      </c>
      <c r="U9" s="13">
        <f t="shared" si="0"/>
        <v>0</v>
      </c>
      <c r="V9" s="13">
        <f t="shared" si="0"/>
        <v>0</v>
      </c>
      <c r="W9" s="13">
        <f t="shared" si="0"/>
        <v>0</v>
      </c>
      <c r="X9" s="13">
        <f t="shared" si="0"/>
        <v>0</v>
      </c>
      <c r="Y9" s="13">
        <f t="shared" si="0"/>
        <v>0</v>
      </c>
      <c r="Z9" s="13">
        <f t="shared" si="0"/>
        <v>0</v>
      </c>
      <c r="AA9" s="13">
        <f t="shared" si="0"/>
        <v>0</v>
      </c>
      <c r="AB9" s="13">
        <f t="shared" si="0"/>
        <v>0</v>
      </c>
      <c r="AC9" s="13">
        <f t="shared" si="0"/>
        <v>0</v>
      </c>
      <c r="AD9" s="13">
        <f t="shared" si="0"/>
        <v>0</v>
      </c>
      <c r="AE9" s="13">
        <f t="shared" si="0"/>
        <v>0</v>
      </c>
      <c r="AF9" s="13">
        <f t="shared" si="0"/>
        <v>0</v>
      </c>
    </row>
    <row r="10" spans="1:32" ht="15" customHeight="1">
      <c r="A10" s="14"/>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row>
    <row r="11" spans="1:32" ht="15" customHeight="1" thickBot="1">
      <c r="A11" s="16" t="s">
        <v>453</v>
      </c>
      <c r="B11" s="15"/>
      <c r="C11" s="15"/>
      <c r="D11" s="15"/>
      <c r="E11" s="15"/>
      <c r="F11" s="15"/>
      <c r="G11" s="15"/>
      <c r="H11" s="15"/>
      <c r="I11" s="15"/>
      <c r="J11" s="15"/>
      <c r="K11" s="15"/>
      <c r="L11" s="15"/>
      <c r="M11" s="15"/>
      <c r="N11" s="15"/>
      <c r="O11" s="15"/>
      <c r="P11" s="15"/>
    </row>
    <row r="12" spans="1:32" ht="15" customHeight="1" thickBot="1">
      <c r="A12" s="17" t="s">
        <v>3</v>
      </c>
      <c r="B12" s="18" t="str">
        <f t="shared" ref="B12:B18" si="1">B2</f>
        <v>&lt; 2021</v>
      </c>
      <c r="C12" s="18">
        <f t="shared" ref="C12:AF12" si="2">C2</f>
        <v>2021</v>
      </c>
      <c r="D12" s="18">
        <f t="shared" si="2"/>
        <v>2022</v>
      </c>
      <c r="E12" s="18">
        <f t="shared" si="2"/>
        <v>2023</v>
      </c>
      <c r="F12" s="18">
        <f t="shared" si="2"/>
        <v>2024</v>
      </c>
      <c r="G12" s="18">
        <f t="shared" si="2"/>
        <v>2025</v>
      </c>
      <c r="H12" s="18">
        <f t="shared" si="2"/>
        <v>2026</v>
      </c>
      <c r="I12" s="18">
        <f t="shared" si="2"/>
        <v>2027</v>
      </c>
      <c r="J12" s="18">
        <f t="shared" si="2"/>
        <v>2028</v>
      </c>
      <c r="K12" s="18">
        <f t="shared" si="2"/>
        <v>2029</v>
      </c>
      <c r="L12" s="18">
        <f t="shared" si="2"/>
        <v>2030</v>
      </c>
      <c r="M12" s="18">
        <f t="shared" si="2"/>
        <v>2031</v>
      </c>
      <c r="N12" s="18">
        <f t="shared" si="2"/>
        <v>2032</v>
      </c>
      <c r="O12" s="18">
        <f t="shared" si="2"/>
        <v>2033</v>
      </c>
      <c r="P12" s="18">
        <f t="shared" si="2"/>
        <v>2034</v>
      </c>
      <c r="Q12" s="18">
        <f t="shared" si="2"/>
        <v>2035</v>
      </c>
      <c r="R12" s="18">
        <f t="shared" si="2"/>
        <v>2036</v>
      </c>
      <c r="S12" s="18">
        <f t="shared" si="2"/>
        <v>2037</v>
      </c>
      <c r="T12" s="18">
        <f t="shared" si="2"/>
        <v>2038</v>
      </c>
      <c r="U12" s="18">
        <f t="shared" si="2"/>
        <v>2039</v>
      </c>
      <c r="V12" s="18">
        <f t="shared" si="2"/>
        <v>2040</v>
      </c>
      <c r="W12" s="18">
        <f t="shared" si="2"/>
        <v>2041</v>
      </c>
      <c r="X12" s="18">
        <f t="shared" si="2"/>
        <v>2042</v>
      </c>
      <c r="Y12" s="18">
        <f t="shared" si="2"/>
        <v>2043</v>
      </c>
      <c r="Z12" s="18">
        <f t="shared" si="2"/>
        <v>2044</v>
      </c>
      <c r="AA12" s="18">
        <f t="shared" si="2"/>
        <v>2045</v>
      </c>
      <c r="AB12" s="18">
        <f t="shared" si="2"/>
        <v>2046</v>
      </c>
      <c r="AC12" s="18">
        <f t="shared" si="2"/>
        <v>2047</v>
      </c>
      <c r="AD12" s="18">
        <f t="shared" si="2"/>
        <v>2048</v>
      </c>
      <c r="AE12" s="18">
        <f t="shared" si="2"/>
        <v>2049</v>
      </c>
      <c r="AF12" s="18">
        <f t="shared" si="2"/>
        <v>2050</v>
      </c>
    </row>
    <row r="13" spans="1:32" ht="15" customHeight="1">
      <c r="A13" s="19" t="s">
        <v>5</v>
      </c>
      <c r="B13" s="10">
        <f t="shared" si="1"/>
        <v>82</v>
      </c>
      <c r="C13" s="10">
        <f>B13+C3</f>
        <v>82.35</v>
      </c>
      <c r="D13" s="10">
        <f t="shared" ref="D13:AF18" si="3">C13+D3</f>
        <v>482.35</v>
      </c>
      <c r="E13" s="10">
        <f t="shared" si="3"/>
        <v>482.35</v>
      </c>
      <c r="F13" s="8">
        <f>E13+F3</f>
        <v>1310.2249999999999</v>
      </c>
      <c r="G13" s="8">
        <f t="shared" si="3"/>
        <v>1720.0308</v>
      </c>
      <c r="H13" s="8">
        <f>G13+H3</f>
        <v>2109.7708000000002</v>
      </c>
      <c r="I13" s="8">
        <f t="shared" si="3"/>
        <v>2788.6458000000002</v>
      </c>
      <c r="J13" s="8">
        <f t="shared" si="3"/>
        <v>2799.2708000000002</v>
      </c>
      <c r="K13" s="8">
        <f t="shared" si="3"/>
        <v>2834.7708000000002</v>
      </c>
      <c r="L13" s="8">
        <f t="shared" si="3"/>
        <v>2839.7708000000002</v>
      </c>
      <c r="M13" s="8">
        <f t="shared" si="3"/>
        <v>2839.7708000000002</v>
      </c>
      <c r="N13" s="8">
        <f t="shared" si="3"/>
        <v>2839.7708000000002</v>
      </c>
      <c r="O13" s="8">
        <f t="shared" si="3"/>
        <v>2839.7708000000002</v>
      </c>
      <c r="P13" s="8">
        <f t="shared" si="3"/>
        <v>2839.7708000000002</v>
      </c>
      <c r="Q13" s="8">
        <f t="shared" si="3"/>
        <v>2839.7708000000002</v>
      </c>
      <c r="R13" s="8">
        <f t="shared" si="3"/>
        <v>2839.7708000000002</v>
      </c>
      <c r="S13" s="8">
        <f t="shared" si="3"/>
        <v>2839.7708000000002</v>
      </c>
      <c r="T13" s="8">
        <f t="shared" si="3"/>
        <v>2839.7708000000002</v>
      </c>
      <c r="U13" s="8">
        <f t="shared" si="3"/>
        <v>2839.7708000000002</v>
      </c>
      <c r="V13" s="8">
        <f t="shared" si="3"/>
        <v>2839.7708000000002</v>
      </c>
      <c r="W13" s="8">
        <f t="shared" si="3"/>
        <v>2839.7708000000002</v>
      </c>
      <c r="X13" s="8">
        <f t="shared" si="3"/>
        <v>2839.7708000000002</v>
      </c>
      <c r="Y13" s="8">
        <f t="shared" si="3"/>
        <v>2839.7708000000002</v>
      </c>
      <c r="Z13" s="8">
        <f t="shared" si="3"/>
        <v>2839.7708000000002</v>
      </c>
      <c r="AA13" s="8">
        <f t="shared" si="3"/>
        <v>2839.7708000000002</v>
      </c>
      <c r="AB13" s="8">
        <f t="shared" si="3"/>
        <v>2839.7708000000002</v>
      </c>
      <c r="AC13" s="8">
        <f t="shared" si="3"/>
        <v>2839.7708000000002</v>
      </c>
      <c r="AD13" s="8">
        <f t="shared" si="3"/>
        <v>2839.7708000000002</v>
      </c>
      <c r="AE13" s="8">
        <f t="shared" si="3"/>
        <v>2839.7708000000002</v>
      </c>
      <c r="AF13" s="8">
        <f t="shared" si="3"/>
        <v>2839.7708000000002</v>
      </c>
    </row>
    <row r="14" spans="1:32" ht="15" customHeight="1">
      <c r="A14" s="20" t="s">
        <v>6</v>
      </c>
      <c r="B14" s="10">
        <f t="shared" si="1"/>
        <v>3.0001000000000002</v>
      </c>
      <c r="C14" s="10">
        <f>B14+C4</f>
        <v>3.0001000000000002</v>
      </c>
      <c r="D14" s="10">
        <f t="shared" si="3"/>
        <v>3.0001000000000002</v>
      </c>
      <c r="E14" s="10">
        <f t="shared" si="3"/>
        <v>3.0001000000000002</v>
      </c>
      <c r="F14" s="8">
        <f t="shared" si="3"/>
        <v>12.0001</v>
      </c>
      <c r="G14" s="8">
        <f t="shared" si="3"/>
        <v>63.545725000000004</v>
      </c>
      <c r="H14" s="8">
        <f t="shared" si="3"/>
        <v>236.045725</v>
      </c>
      <c r="I14" s="8">
        <f t="shared" si="3"/>
        <v>481.045725</v>
      </c>
      <c r="J14" s="8">
        <f t="shared" si="3"/>
        <v>597.29572499999995</v>
      </c>
      <c r="K14" s="8">
        <f t="shared" si="3"/>
        <v>604.79572499999995</v>
      </c>
      <c r="L14" s="8">
        <f t="shared" si="3"/>
        <v>604.79572499999995</v>
      </c>
      <c r="M14" s="8">
        <f t="shared" si="3"/>
        <v>608.19772499999999</v>
      </c>
      <c r="N14" s="8">
        <f t="shared" si="3"/>
        <v>608.19772499999999</v>
      </c>
      <c r="O14" s="8">
        <f t="shared" si="3"/>
        <v>608.19772499999999</v>
      </c>
      <c r="P14" s="8">
        <f t="shared" si="3"/>
        <v>608.19772499999999</v>
      </c>
      <c r="Q14" s="8">
        <f t="shared" si="3"/>
        <v>608.19772499999999</v>
      </c>
      <c r="R14" s="8">
        <f t="shared" si="3"/>
        <v>608.19772499999999</v>
      </c>
      <c r="S14" s="8">
        <f t="shared" si="3"/>
        <v>608.19772499999999</v>
      </c>
      <c r="T14" s="8">
        <f t="shared" si="3"/>
        <v>608.19772499999999</v>
      </c>
      <c r="U14" s="8">
        <f t="shared" si="3"/>
        <v>608.19772499999999</v>
      </c>
      <c r="V14" s="8">
        <f t="shared" si="3"/>
        <v>608.19772499999999</v>
      </c>
      <c r="W14" s="8">
        <f t="shared" si="3"/>
        <v>608.19772499999999</v>
      </c>
      <c r="X14" s="8">
        <f t="shared" si="3"/>
        <v>608.19772499999999</v>
      </c>
      <c r="Y14" s="8">
        <f t="shared" si="3"/>
        <v>608.19772499999999</v>
      </c>
      <c r="Z14" s="8">
        <f t="shared" si="3"/>
        <v>608.19772499999999</v>
      </c>
      <c r="AA14" s="8">
        <f t="shared" si="3"/>
        <v>608.19772499999999</v>
      </c>
      <c r="AB14" s="8">
        <f t="shared" si="3"/>
        <v>608.19772499999999</v>
      </c>
      <c r="AC14" s="8">
        <f t="shared" si="3"/>
        <v>608.19772499999999</v>
      </c>
      <c r="AD14" s="8">
        <f t="shared" si="3"/>
        <v>608.19772499999999</v>
      </c>
      <c r="AE14" s="8">
        <f t="shared" si="3"/>
        <v>608.19772499999999</v>
      </c>
      <c r="AF14" s="8">
        <f t="shared" si="3"/>
        <v>608.19772499999999</v>
      </c>
    </row>
    <row r="15" spans="1:32" ht="15" customHeight="1">
      <c r="A15" s="20" t="s">
        <v>7</v>
      </c>
      <c r="B15" s="10">
        <f t="shared" si="1"/>
        <v>0</v>
      </c>
      <c r="C15" s="10">
        <f t="shared" ref="C15:P18" si="4">B15+C5</f>
        <v>0</v>
      </c>
      <c r="D15" s="10">
        <f t="shared" si="4"/>
        <v>0</v>
      </c>
      <c r="E15" s="10">
        <f t="shared" si="4"/>
        <v>0</v>
      </c>
      <c r="F15" s="8">
        <f t="shared" si="4"/>
        <v>0</v>
      </c>
      <c r="G15" s="8">
        <f t="shared" si="4"/>
        <v>39.018000000000001</v>
      </c>
      <c r="H15" s="8">
        <f t="shared" si="4"/>
        <v>39.018000000000001</v>
      </c>
      <c r="I15" s="8">
        <f t="shared" si="4"/>
        <v>222.93299999999999</v>
      </c>
      <c r="J15" s="8">
        <f t="shared" si="4"/>
        <v>244.26299999999998</v>
      </c>
      <c r="K15" s="8">
        <f t="shared" si="4"/>
        <v>303.76299999999998</v>
      </c>
      <c r="L15" s="8">
        <f t="shared" si="4"/>
        <v>328.51299999999998</v>
      </c>
      <c r="M15" s="8">
        <f t="shared" si="4"/>
        <v>328.51299999999998</v>
      </c>
      <c r="N15" s="8">
        <f t="shared" si="4"/>
        <v>328.51299999999998</v>
      </c>
      <c r="O15" s="8">
        <f t="shared" si="4"/>
        <v>328.51299999999998</v>
      </c>
      <c r="P15" s="8">
        <f t="shared" si="4"/>
        <v>328.51299999999998</v>
      </c>
      <c r="Q15" s="8">
        <f t="shared" si="3"/>
        <v>328.51299999999998</v>
      </c>
      <c r="R15" s="8">
        <f t="shared" si="3"/>
        <v>328.51299999999998</v>
      </c>
      <c r="S15" s="8">
        <f t="shared" si="3"/>
        <v>328.51299999999998</v>
      </c>
      <c r="T15" s="8">
        <f t="shared" si="3"/>
        <v>328.51299999999998</v>
      </c>
      <c r="U15" s="8">
        <f t="shared" si="3"/>
        <v>328.51299999999998</v>
      </c>
      <c r="V15" s="8">
        <f t="shared" si="3"/>
        <v>328.51299999999998</v>
      </c>
      <c r="W15" s="8">
        <f t="shared" si="3"/>
        <v>328.51299999999998</v>
      </c>
      <c r="X15" s="8">
        <f t="shared" si="3"/>
        <v>328.51299999999998</v>
      </c>
      <c r="Y15" s="8">
        <f t="shared" si="3"/>
        <v>328.51299999999998</v>
      </c>
      <c r="Z15" s="8">
        <f t="shared" si="3"/>
        <v>328.51299999999998</v>
      </c>
      <c r="AA15" s="8">
        <f t="shared" si="3"/>
        <v>328.51299999999998</v>
      </c>
      <c r="AB15" s="8">
        <f t="shared" si="3"/>
        <v>328.51299999999998</v>
      </c>
      <c r="AC15" s="8">
        <f t="shared" si="3"/>
        <v>328.51299999999998</v>
      </c>
      <c r="AD15" s="8">
        <f t="shared" si="3"/>
        <v>328.51299999999998</v>
      </c>
      <c r="AE15" s="8">
        <f t="shared" si="3"/>
        <v>328.51299999999998</v>
      </c>
      <c r="AF15" s="8">
        <f t="shared" si="3"/>
        <v>328.51299999999998</v>
      </c>
    </row>
    <row r="16" spans="1:32" ht="15" customHeight="1">
      <c r="A16" s="20" t="s">
        <v>8</v>
      </c>
      <c r="B16" s="10">
        <f t="shared" si="1"/>
        <v>0</v>
      </c>
      <c r="C16" s="10">
        <f t="shared" si="4"/>
        <v>0</v>
      </c>
      <c r="D16" s="10">
        <f t="shared" si="4"/>
        <v>1E-3</v>
      </c>
      <c r="E16" s="10">
        <f t="shared" si="4"/>
        <v>1E-3</v>
      </c>
      <c r="F16" s="8">
        <f t="shared" si="4"/>
        <v>0.29819369896523751</v>
      </c>
      <c r="G16" s="8">
        <f t="shared" si="4"/>
        <v>0.34275619896523751</v>
      </c>
      <c r="H16" s="8">
        <f t="shared" si="4"/>
        <v>3.0927561989652377</v>
      </c>
      <c r="I16" s="8">
        <f t="shared" si="4"/>
        <v>3.0927561989652377</v>
      </c>
      <c r="J16" s="8">
        <f t="shared" si="4"/>
        <v>15.492756198965239</v>
      </c>
      <c r="K16" s="8">
        <f t="shared" si="4"/>
        <v>22.992756198965239</v>
      </c>
      <c r="L16" s="8">
        <f t="shared" si="4"/>
        <v>43.742756198965239</v>
      </c>
      <c r="M16" s="8">
        <f t="shared" si="4"/>
        <v>43.742756198965239</v>
      </c>
      <c r="N16" s="8">
        <f t="shared" si="4"/>
        <v>43.742756198965239</v>
      </c>
      <c r="O16" s="8">
        <f t="shared" si="4"/>
        <v>43.742756198965239</v>
      </c>
      <c r="P16" s="8">
        <f t="shared" si="4"/>
        <v>43.742756198965239</v>
      </c>
      <c r="Q16" s="8">
        <f t="shared" si="3"/>
        <v>43.742756198965239</v>
      </c>
      <c r="R16" s="8">
        <f t="shared" si="3"/>
        <v>43.742756198965239</v>
      </c>
      <c r="S16" s="8">
        <f t="shared" si="3"/>
        <v>43.742756198965239</v>
      </c>
      <c r="T16" s="8">
        <f t="shared" si="3"/>
        <v>43.742756198965239</v>
      </c>
      <c r="U16" s="8">
        <f t="shared" si="3"/>
        <v>43.742756198965239</v>
      </c>
      <c r="V16" s="8">
        <f t="shared" si="3"/>
        <v>43.742756198965239</v>
      </c>
      <c r="W16" s="8">
        <f t="shared" si="3"/>
        <v>43.742756198965239</v>
      </c>
      <c r="X16" s="8">
        <f t="shared" si="3"/>
        <v>43.742756198965239</v>
      </c>
      <c r="Y16" s="8">
        <f t="shared" si="3"/>
        <v>43.742756198965239</v>
      </c>
      <c r="Z16" s="8">
        <f t="shared" si="3"/>
        <v>43.742756198965239</v>
      </c>
      <c r="AA16" s="8">
        <f t="shared" si="3"/>
        <v>43.742756198965239</v>
      </c>
      <c r="AB16" s="8">
        <f t="shared" si="3"/>
        <v>43.742756198965239</v>
      </c>
      <c r="AC16" s="8">
        <f t="shared" si="3"/>
        <v>43.742756198965239</v>
      </c>
      <c r="AD16" s="8">
        <f t="shared" si="3"/>
        <v>43.742756198965239</v>
      </c>
      <c r="AE16" s="8">
        <f t="shared" si="3"/>
        <v>43.742756198965239</v>
      </c>
      <c r="AF16" s="8">
        <f t="shared" si="3"/>
        <v>43.742756198965239</v>
      </c>
    </row>
    <row r="17" spans="1:32" ht="15" customHeight="1">
      <c r="A17" s="20" t="s">
        <v>9</v>
      </c>
      <c r="B17" s="10">
        <f t="shared" si="1"/>
        <v>0</v>
      </c>
      <c r="C17" s="10">
        <f t="shared" si="4"/>
        <v>0</v>
      </c>
      <c r="D17" s="10">
        <f t="shared" si="4"/>
        <v>0</v>
      </c>
      <c r="E17" s="10">
        <f t="shared" si="4"/>
        <v>0</v>
      </c>
      <c r="F17" s="8">
        <f t="shared" si="4"/>
        <v>0</v>
      </c>
      <c r="G17" s="8">
        <f t="shared" si="4"/>
        <v>5</v>
      </c>
      <c r="H17" s="8">
        <f t="shared" si="4"/>
        <v>5.05</v>
      </c>
      <c r="I17" s="8">
        <f t="shared" si="4"/>
        <v>5.05</v>
      </c>
      <c r="J17" s="8">
        <f t="shared" si="4"/>
        <v>5.05</v>
      </c>
      <c r="K17" s="8">
        <f t="shared" si="4"/>
        <v>5.05</v>
      </c>
      <c r="L17" s="8">
        <f t="shared" si="4"/>
        <v>5.05</v>
      </c>
      <c r="M17" s="8">
        <f t="shared" si="4"/>
        <v>5.05</v>
      </c>
      <c r="N17" s="8">
        <f t="shared" si="4"/>
        <v>5.05</v>
      </c>
      <c r="O17" s="8">
        <f t="shared" si="4"/>
        <v>5.05</v>
      </c>
      <c r="P17" s="8">
        <f t="shared" si="4"/>
        <v>5.05</v>
      </c>
      <c r="Q17" s="8">
        <f t="shared" si="3"/>
        <v>5.05</v>
      </c>
      <c r="R17" s="8">
        <f t="shared" si="3"/>
        <v>5.05</v>
      </c>
      <c r="S17" s="8">
        <f t="shared" si="3"/>
        <v>5.05</v>
      </c>
      <c r="T17" s="8">
        <f t="shared" si="3"/>
        <v>5.05</v>
      </c>
      <c r="U17" s="8">
        <f t="shared" si="3"/>
        <v>5.05</v>
      </c>
      <c r="V17" s="8">
        <f t="shared" si="3"/>
        <v>5.05</v>
      </c>
      <c r="W17" s="8">
        <f t="shared" si="3"/>
        <v>5.05</v>
      </c>
      <c r="X17" s="8">
        <f t="shared" si="3"/>
        <v>5.05</v>
      </c>
      <c r="Y17" s="8">
        <f t="shared" si="3"/>
        <v>5.05</v>
      </c>
      <c r="Z17" s="8">
        <f t="shared" si="3"/>
        <v>5.05</v>
      </c>
      <c r="AA17" s="8">
        <f t="shared" si="3"/>
        <v>5.05</v>
      </c>
      <c r="AB17" s="8">
        <f t="shared" si="3"/>
        <v>5.05</v>
      </c>
      <c r="AC17" s="8">
        <f t="shared" si="3"/>
        <v>5.05</v>
      </c>
      <c r="AD17" s="8">
        <f t="shared" si="3"/>
        <v>5.05</v>
      </c>
      <c r="AE17" s="8">
        <f t="shared" si="3"/>
        <v>5.05</v>
      </c>
      <c r="AF17" s="8">
        <f t="shared" si="3"/>
        <v>5.05</v>
      </c>
    </row>
    <row r="18" spans="1:32" ht="15" customHeight="1">
      <c r="A18" s="20" t="s">
        <v>10</v>
      </c>
      <c r="B18" s="10">
        <f t="shared" si="1"/>
        <v>0</v>
      </c>
      <c r="C18" s="10">
        <f t="shared" si="4"/>
        <v>73.5</v>
      </c>
      <c r="D18" s="10">
        <f t="shared" si="4"/>
        <v>73.5</v>
      </c>
      <c r="E18" s="10">
        <f t="shared" si="4"/>
        <v>73.5</v>
      </c>
      <c r="F18" s="8">
        <f t="shared" si="4"/>
        <v>73.819999999999993</v>
      </c>
      <c r="G18" s="8">
        <f t="shared" si="4"/>
        <v>78.819999999999993</v>
      </c>
      <c r="H18" s="8">
        <f t="shared" si="4"/>
        <v>78.819999999999993</v>
      </c>
      <c r="I18" s="8">
        <f t="shared" si="4"/>
        <v>97.194999999999993</v>
      </c>
      <c r="J18" s="8">
        <f t="shared" si="4"/>
        <v>97.194999999999993</v>
      </c>
      <c r="K18" s="8">
        <f t="shared" si="4"/>
        <v>97.194999999999993</v>
      </c>
      <c r="L18" s="8">
        <f t="shared" si="4"/>
        <v>97.194999999999993</v>
      </c>
      <c r="M18" s="8">
        <f t="shared" si="4"/>
        <v>97.194999999999993</v>
      </c>
      <c r="N18" s="8">
        <f t="shared" si="4"/>
        <v>97.194999999999993</v>
      </c>
      <c r="O18" s="8">
        <f t="shared" si="4"/>
        <v>97.194999999999993</v>
      </c>
      <c r="P18" s="8">
        <f t="shared" si="4"/>
        <v>97.194999999999993</v>
      </c>
      <c r="Q18" s="8">
        <f t="shared" si="3"/>
        <v>97.194999999999993</v>
      </c>
      <c r="R18" s="8">
        <f t="shared" si="3"/>
        <v>97.194999999999993</v>
      </c>
      <c r="S18" s="8">
        <f t="shared" si="3"/>
        <v>97.194999999999993</v>
      </c>
      <c r="T18" s="8">
        <f t="shared" si="3"/>
        <v>97.194999999999993</v>
      </c>
      <c r="U18" s="8">
        <f t="shared" si="3"/>
        <v>97.194999999999993</v>
      </c>
      <c r="V18" s="8">
        <f t="shared" si="3"/>
        <v>97.194999999999993</v>
      </c>
      <c r="W18" s="8">
        <f t="shared" si="3"/>
        <v>97.194999999999993</v>
      </c>
      <c r="X18" s="8">
        <f t="shared" si="3"/>
        <v>97.194999999999993</v>
      </c>
      <c r="Y18" s="8">
        <f t="shared" si="3"/>
        <v>97.194999999999993</v>
      </c>
      <c r="Z18" s="8">
        <f t="shared" si="3"/>
        <v>97.194999999999993</v>
      </c>
      <c r="AA18" s="8">
        <f t="shared" si="3"/>
        <v>97.194999999999993</v>
      </c>
      <c r="AB18" s="8">
        <f t="shared" si="3"/>
        <v>97.194999999999993</v>
      </c>
      <c r="AC18" s="8">
        <f t="shared" si="3"/>
        <v>97.194999999999993</v>
      </c>
      <c r="AD18" s="8">
        <f t="shared" si="3"/>
        <v>97.194999999999993</v>
      </c>
      <c r="AE18" s="8">
        <f t="shared" si="3"/>
        <v>97.194999999999993</v>
      </c>
      <c r="AF18" s="8">
        <f t="shared" si="3"/>
        <v>97.194999999999993</v>
      </c>
    </row>
    <row r="19" spans="1:32" ht="15" customHeight="1" thickBot="1">
      <c r="A19" s="21" t="s">
        <v>11</v>
      </c>
      <c r="B19" s="12">
        <f>SUM(B13:B18)</f>
        <v>85.000100000000003</v>
      </c>
      <c r="C19" s="12">
        <f t="shared" ref="C19:AF19" si="5">SUM(C13:C18)</f>
        <v>158.8501</v>
      </c>
      <c r="D19" s="12">
        <f t="shared" si="5"/>
        <v>558.85109999999997</v>
      </c>
      <c r="E19" s="12">
        <f t="shared" si="5"/>
        <v>558.85109999999997</v>
      </c>
      <c r="F19" s="13">
        <f t="shared" si="5"/>
        <v>1396.343293698965</v>
      </c>
      <c r="G19" s="13">
        <f t="shared" si="5"/>
        <v>1906.7572811989651</v>
      </c>
      <c r="H19" s="13">
        <f t="shared" si="5"/>
        <v>2471.7972811989657</v>
      </c>
      <c r="I19" s="13">
        <f t="shared" si="5"/>
        <v>3597.9622811989657</v>
      </c>
      <c r="J19" s="13">
        <f t="shared" si="5"/>
        <v>3758.5672811989657</v>
      </c>
      <c r="K19" s="13">
        <f t="shared" si="5"/>
        <v>3868.5672811989657</v>
      </c>
      <c r="L19" s="13">
        <f t="shared" si="5"/>
        <v>3919.0672811989657</v>
      </c>
      <c r="M19" s="13">
        <f t="shared" si="5"/>
        <v>3922.4692811989657</v>
      </c>
      <c r="N19" s="13">
        <f t="shared" si="5"/>
        <v>3922.4692811989657</v>
      </c>
      <c r="O19" s="13">
        <f t="shared" si="5"/>
        <v>3922.4692811989657</v>
      </c>
      <c r="P19" s="13">
        <f t="shared" si="5"/>
        <v>3922.4692811989657</v>
      </c>
      <c r="Q19" s="13">
        <f t="shared" si="5"/>
        <v>3922.4692811989657</v>
      </c>
      <c r="R19" s="13">
        <f t="shared" si="5"/>
        <v>3922.4692811989657</v>
      </c>
      <c r="S19" s="13">
        <f t="shared" si="5"/>
        <v>3922.4692811989657</v>
      </c>
      <c r="T19" s="13">
        <f t="shared" si="5"/>
        <v>3922.4692811989657</v>
      </c>
      <c r="U19" s="13">
        <f t="shared" si="5"/>
        <v>3922.4692811989657</v>
      </c>
      <c r="V19" s="13">
        <f t="shared" si="5"/>
        <v>3922.4692811989657</v>
      </c>
      <c r="W19" s="13">
        <f t="shared" si="5"/>
        <v>3922.4692811989657</v>
      </c>
      <c r="X19" s="13">
        <f t="shared" si="5"/>
        <v>3922.4692811989657</v>
      </c>
      <c r="Y19" s="13">
        <f t="shared" si="5"/>
        <v>3922.4692811989657</v>
      </c>
      <c r="Z19" s="13">
        <f t="shared" si="5"/>
        <v>3922.4692811989657</v>
      </c>
      <c r="AA19" s="13">
        <f t="shared" si="5"/>
        <v>3922.4692811989657</v>
      </c>
      <c r="AB19" s="13">
        <f t="shared" si="5"/>
        <v>3922.4692811989657</v>
      </c>
      <c r="AC19" s="13">
        <f t="shared" si="5"/>
        <v>3922.4692811989657</v>
      </c>
      <c r="AD19" s="13">
        <f t="shared" si="5"/>
        <v>3922.4692811989657</v>
      </c>
      <c r="AE19" s="13">
        <f t="shared" si="5"/>
        <v>3922.4692811989657</v>
      </c>
      <c r="AF19" s="13">
        <f t="shared" si="5"/>
        <v>3922.4692811989657</v>
      </c>
    </row>
    <row r="20" spans="1:32" ht="1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row>
    <row r="21" spans="1:32" ht="15" customHeight="1" thickBot="1">
      <c r="A21" s="16" t="s">
        <v>454</v>
      </c>
      <c r="B21" s="15"/>
      <c r="C21" s="15"/>
      <c r="D21" s="15"/>
      <c r="E21" s="15"/>
      <c r="F21" s="15"/>
      <c r="G21" s="15"/>
      <c r="H21" s="15"/>
      <c r="I21" s="15"/>
      <c r="J21" s="15"/>
      <c r="K21" s="15"/>
      <c r="L21" s="15"/>
      <c r="M21" s="15"/>
      <c r="N21" s="15"/>
      <c r="O21" s="15"/>
      <c r="P21" s="15"/>
    </row>
    <row r="22" spans="1:32" ht="15.75" thickBot="1">
      <c r="A22" s="17" t="s">
        <v>3</v>
      </c>
      <c r="B22" s="18" t="str">
        <f>B2</f>
        <v>&lt; 2021</v>
      </c>
      <c r="C22" s="18">
        <f t="shared" ref="C22:AF22" si="6">C2</f>
        <v>2021</v>
      </c>
      <c r="D22" s="18">
        <f t="shared" si="6"/>
        <v>2022</v>
      </c>
      <c r="E22" s="18">
        <f t="shared" si="6"/>
        <v>2023</v>
      </c>
      <c r="F22" s="18">
        <f t="shared" si="6"/>
        <v>2024</v>
      </c>
      <c r="G22" s="18">
        <f t="shared" si="6"/>
        <v>2025</v>
      </c>
      <c r="H22" s="18">
        <f t="shared" si="6"/>
        <v>2026</v>
      </c>
      <c r="I22" s="18">
        <f t="shared" si="6"/>
        <v>2027</v>
      </c>
      <c r="J22" s="18">
        <f t="shared" si="6"/>
        <v>2028</v>
      </c>
      <c r="K22" s="18">
        <f t="shared" si="6"/>
        <v>2029</v>
      </c>
      <c r="L22" s="18">
        <f t="shared" si="6"/>
        <v>2030</v>
      </c>
      <c r="M22" s="18">
        <f t="shared" si="6"/>
        <v>2031</v>
      </c>
      <c r="N22" s="18">
        <f t="shared" si="6"/>
        <v>2032</v>
      </c>
      <c r="O22" s="18">
        <f t="shared" si="6"/>
        <v>2033</v>
      </c>
      <c r="P22" s="18">
        <f t="shared" si="6"/>
        <v>2034</v>
      </c>
      <c r="Q22" s="18">
        <f t="shared" si="6"/>
        <v>2035</v>
      </c>
      <c r="R22" s="18">
        <f t="shared" si="6"/>
        <v>2036</v>
      </c>
      <c r="S22" s="18">
        <f t="shared" si="6"/>
        <v>2037</v>
      </c>
      <c r="T22" s="18">
        <f t="shared" si="6"/>
        <v>2038</v>
      </c>
      <c r="U22" s="18">
        <f t="shared" si="6"/>
        <v>2039</v>
      </c>
      <c r="V22" s="18">
        <f t="shared" si="6"/>
        <v>2040</v>
      </c>
      <c r="W22" s="18">
        <f t="shared" si="6"/>
        <v>2041</v>
      </c>
      <c r="X22" s="18">
        <f t="shared" si="6"/>
        <v>2042</v>
      </c>
      <c r="Y22" s="18">
        <f t="shared" si="6"/>
        <v>2043</v>
      </c>
      <c r="Z22" s="18">
        <f t="shared" si="6"/>
        <v>2044</v>
      </c>
      <c r="AA22" s="18">
        <f t="shared" si="6"/>
        <v>2045</v>
      </c>
      <c r="AB22" s="18">
        <f t="shared" si="6"/>
        <v>2046</v>
      </c>
      <c r="AC22" s="18">
        <f t="shared" si="6"/>
        <v>2047</v>
      </c>
      <c r="AD22" s="18">
        <f t="shared" si="6"/>
        <v>2048</v>
      </c>
      <c r="AE22" s="18">
        <f t="shared" si="6"/>
        <v>2049</v>
      </c>
      <c r="AF22" s="18">
        <f t="shared" si="6"/>
        <v>2050</v>
      </c>
    </row>
    <row r="23" spans="1:32">
      <c r="A23" s="19" t="s">
        <v>5</v>
      </c>
      <c r="B23" s="7">
        <f>SUMIFS(NAm!$N$3:$N$82,NAm!$F$3:$F$82,"&lt;"&amp;'NAm Capacity Data'!C$22,NAm!$U$3:$U$82,'NAm Capacity Data'!$A23)+SUMIFS(NAm!$P$3:$P$82,NAm!$F$3:$F$82,"&lt;"&amp;'NAm Capacity Data'!C$22,NAm!$U$3:$U$82,'NAm Capacity Data'!$A23)</f>
        <v>82</v>
      </c>
      <c r="C23" s="7">
        <f>SUMIFS(NAm!$N$3:$N$82,NAm!$F$3:$F$82,'NAm Capacity Data'!C$22,NAm!$U$3:$U$82,'NAm Capacity Data'!$A23)+SUMIFS(NAm!$P$3:$P$82,NAm!$F$3:$F$82,'NAm Capacity Data'!C$22,NAm!$U$3:$U$82,'NAm Capacity Data'!$A23)</f>
        <v>350</v>
      </c>
      <c r="D23" s="7">
        <f>SUMIFS(NAm!$N$3:$N$82,NAm!$F$3:$F$82,'NAm Capacity Data'!D$22,NAm!$U$3:$U$82,'NAm Capacity Data'!$A23)+SUMIFS(NAm!$P$3:$P$82,NAm!$F$3:$F$82,'NAm Capacity Data'!D$22,NAm!$U$3:$U$82,'NAm Capacity Data'!$A23)</f>
        <v>400</v>
      </c>
      <c r="E23" s="7">
        <f>SUMIFS(NAm!$N$3:$N$82,NAm!$F$3:$F$82,'NAm Capacity Data'!E$22,NAm!$U$3:$U$82,'NAm Capacity Data'!$A23)+SUMIFS(NAm!$P$3:$P$82,NAm!$F$3:$F$82,'NAm Capacity Data'!E$22,NAm!$U$3:$U$82,'NAm Capacity Data'!$A23)</f>
        <v>0</v>
      </c>
      <c r="F23" s="39">
        <f>SUMIFS(NAm!$N$3:$N$82,NAm!$F$3:$F$82,'NAm Capacity Data'!F$22,NAm!$U$3:$U$82,'NAm Capacity Data'!$A23)+SUMIFS(NAm!$P$3:$P$82,NAm!$F$3:$F$82,'NAm Capacity Data'!F$22,NAm!$U$3:$U$82,'NAm Capacity Data'!$A23)</f>
        <v>873</v>
      </c>
      <c r="G23" s="39">
        <f>SUMIFS(NAm!$N$3:$N$82,NAm!$F$3:$F$82,'NAm Capacity Data'!G$22,NAm!$U$3:$U$82,'NAm Capacity Data'!$A23)+SUMIFS(NAm!$P$3:$P$82,NAm!$F$3:$F$82,'NAm Capacity Data'!G$22,NAm!$U$3:$U$82,'NAm Capacity Data'!$A23)</f>
        <v>443.32600000000002</v>
      </c>
      <c r="H23" s="39">
        <f>SUMIFS(NAm!$N$3:$N$82,NAm!$F$3:$F$82,'NAm Capacity Data'!H$22,NAm!$U$3:$U$82,'NAm Capacity Data'!$A23)+SUMIFS(NAm!$P$3:$P$82,NAm!$F$3:$F$82,'NAm Capacity Data'!H$22,NAm!$U$3:$U$82,'NAm Capacity Data'!$A23)</f>
        <v>572.79999999999995</v>
      </c>
      <c r="I23" s="39">
        <f>SUMIFS(NAm!$N$3:$N$82,NAm!$F$3:$F$82,'NAm Capacity Data'!I$22,NAm!$U$3:$U$82,'NAm Capacity Data'!$A23)+SUMIFS(NAm!$P$3:$P$82,NAm!$F$3:$F$82,'NAm Capacity Data'!I$22,NAm!$U$3:$U$82,'NAm Capacity Data'!$A23)</f>
        <v>1451</v>
      </c>
      <c r="J23" s="39">
        <f>SUMIFS(NAm!$N$3:$N$82,NAm!$F$3:$F$82,'NAm Capacity Data'!J$22,NAm!$U$3:$U$82,'NAm Capacity Data'!$A23)+SUMIFS(NAm!$P$3:$P$82,NAm!$F$3:$F$82,'NAm Capacity Data'!J$22,NAm!$U$3:$U$82,'NAm Capacity Data'!$A23)</f>
        <v>82.5</v>
      </c>
      <c r="K23" s="39">
        <f>SUMIFS(NAm!$N$3:$N$82,NAm!$F$3:$F$82,'NAm Capacity Data'!K$22,NAm!$U$3:$U$82,'NAm Capacity Data'!$A23)+SUMIFS(NAm!$P$3:$P$82,NAm!$F$3:$F$82,'NAm Capacity Data'!K$22,NAm!$U$3:$U$82,'NAm Capacity Data'!$A23)</f>
        <v>71</v>
      </c>
      <c r="L23" s="39">
        <f>SUMIFS(NAm!$N$3:$N$82,NAm!$F$3:$F$82,'NAm Capacity Data'!L$22,NAm!$U$3:$U$82,'NAm Capacity Data'!$A23)+SUMIFS(NAm!$P$3:$P$82,NAm!$F$3:$F$82,'NAm Capacity Data'!L$22,NAm!$U$3:$U$82,'NAm Capacity Data'!$A23)</f>
        <v>50</v>
      </c>
      <c r="M23" s="39">
        <f>SUMIFS(NAm!$N$3:$N$82,NAm!$F$3:$F$82,'NAm Capacity Data'!M$22,NAm!$U$3:$U$82,'NAm Capacity Data'!$A23)+SUMIFS(NAm!$P$3:$P$82,NAm!$F$3:$F$82,'NAm Capacity Data'!M$22,NAm!$U$3:$U$82,'NAm Capacity Data'!$A23)</f>
        <v>0</v>
      </c>
      <c r="N23" s="39">
        <f>SUMIFS(NAm!$N$3:$N$82,NAm!$F$3:$F$82,'NAm Capacity Data'!N$22,NAm!$U$3:$U$82,'NAm Capacity Data'!$A23)+SUMIFS(NAm!$P$3:$P$82,NAm!$F$3:$F$82,'NAm Capacity Data'!N$22,NAm!$U$3:$U$82,'NAm Capacity Data'!$A23)</f>
        <v>0</v>
      </c>
      <c r="O23" s="39">
        <f>SUMIFS(NAm!$N$3:$N$82,NAm!$F$3:$F$82,'NAm Capacity Data'!O$22,NAm!$U$3:$U$82,'NAm Capacity Data'!$A23)+SUMIFS(NAm!$P$3:$P$82,NAm!$F$3:$F$82,'NAm Capacity Data'!O$22,NAm!$U$3:$U$82,'NAm Capacity Data'!$A23)</f>
        <v>0</v>
      </c>
      <c r="P23" s="39">
        <f>SUMIFS(NAm!$N$3:$N$82,NAm!$F$3:$F$82,'NAm Capacity Data'!P$22,NAm!$U$3:$U$82,'NAm Capacity Data'!$A23)+SUMIFS(NAm!$P$3:$P$82,NAm!$F$3:$F$82,'NAm Capacity Data'!P$22,NAm!$U$3:$U$82,'NAm Capacity Data'!$A23)</f>
        <v>0</v>
      </c>
      <c r="Q23" s="39">
        <f>SUMIFS(NAm!$N$3:$N$82,NAm!$F$3:$F$82,'NAm Capacity Data'!Q$22,NAm!$U$3:$U$82,'NAm Capacity Data'!$A23)+SUMIFS(NAm!$P$3:$P$82,NAm!$F$3:$F$82,'NAm Capacity Data'!Q$22,NAm!$U$3:$U$82,'NAm Capacity Data'!$A23)</f>
        <v>0</v>
      </c>
      <c r="R23" s="39">
        <f>SUMIFS(NAm!$N$3:$N$82,NAm!$F$3:$F$82,'NAm Capacity Data'!R$22,NAm!$U$3:$U$82,'NAm Capacity Data'!$A23)+SUMIFS(NAm!$P$3:$P$82,NAm!$F$3:$F$82,'NAm Capacity Data'!R$22,NAm!$U$3:$U$82,'NAm Capacity Data'!$A23)</f>
        <v>0</v>
      </c>
      <c r="S23" s="39">
        <f>SUMIFS(NAm!$N$3:$N$82,NAm!$F$3:$F$82,'NAm Capacity Data'!S$22,NAm!$U$3:$U$82,'NAm Capacity Data'!$A23)+SUMIFS(NAm!$P$3:$P$82,NAm!$F$3:$F$82,'NAm Capacity Data'!S$22,NAm!$U$3:$U$82,'NAm Capacity Data'!$A23)</f>
        <v>0</v>
      </c>
      <c r="T23" s="39">
        <f>SUMIFS(NAm!$N$3:$N$82,NAm!$F$3:$F$82,'NAm Capacity Data'!T$22,NAm!$U$3:$U$82,'NAm Capacity Data'!$A23)+SUMIFS(NAm!$P$3:$P$82,NAm!$F$3:$F$82,'NAm Capacity Data'!T$22,NAm!$U$3:$U$82,'NAm Capacity Data'!$A23)</f>
        <v>0</v>
      </c>
      <c r="U23" s="39">
        <f>SUMIFS(NAm!$N$3:$N$82,NAm!$F$3:$F$82,'NAm Capacity Data'!U$22,NAm!$U$3:$U$82,'NAm Capacity Data'!$A23)+SUMIFS(NAm!$P$3:$P$82,NAm!$F$3:$F$82,'NAm Capacity Data'!U$22,NAm!$U$3:$U$82,'NAm Capacity Data'!$A23)</f>
        <v>0</v>
      </c>
      <c r="V23" s="39">
        <f>SUMIFS(NAm!$N$3:$N$82,NAm!$F$3:$F$82,'NAm Capacity Data'!V$22,NAm!$U$3:$U$82,'NAm Capacity Data'!$A23)+SUMIFS(NAm!$P$3:$P$82,NAm!$F$3:$F$82,'NAm Capacity Data'!V$22,NAm!$U$3:$U$82,'NAm Capacity Data'!$A23)</f>
        <v>0</v>
      </c>
      <c r="W23" s="39">
        <f>SUMIFS(NAm!$N$3:$N$82,NAm!$F$3:$F$82,'NAm Capacity Data'!W$22,NAm!$U$3:$U$82,'NAm Capacity Data'!$A23)+SUMIFS(NAm!$P$3:$P$82,NAm!$F$3:$F$82,'NAm Capacity Data'!W$22,NAm!$U$3:$U$82,'NAm Capacity Data'!$A23)</f>
        <v>0</v>
      </c>
      <c r="X23" s="39">
        <f>SUMIFS(NAm!$N$3:$N$82,NAm!$F$3:$F$82,'NAm Capacity Data'!X$22,NAm!$U$3:$U$82,'NAm Capacity Data'!$A23)+SUMIFS(NAm!$P$3:$P$82,NAm!$F$3:$F$82,'NAm Capacity Data'!X$22,NAm!$U$3:$U$82,'NAm Capacity Data'!$A23)</f>
        <v>0</v>
      </c>
      <c r="Y23" s="39">
        <f>SUMIFS(NAm!$N$3:$N$82,NAm!$F$3:$F$82,'NAm Capacity Data'!Y$22,NAm!$U$3:$U$82,'NAm Capacity Data'!$A23)+SUMIFS(NAm!$P$3:$P$82,NAm!$F$3:$F$82,'NAm Capacity Data'!Y$22,NAm!$U$3:$U$82,'NAm Capacity Data'!$A23)</f>
        <v>0</v>
      </c>
      <c r="Z23" s="39">
        <f>SUMIFS(NAm!$N$3:$N$82,NAm!$F$3:$F$82,'NAm Capacity Data'!Z$22,NAm!$U$3:$U$82,'NAm Capacity Data'!$A23)+SUMIFS(NAm!$P$3:$P$82,NAm!$F$3:$F$82,'NAm Capacity Data'!Z$22,NAm!$U$3:$U$82,'NAm Capacity Data'!$A23)</f>
        <v>0</v>
      </c>
      <c r="AA23" s="39">
        <f>SUMIFS(NAm!$N$3:$N$82,NAm!$F$3:$F$82,'NAm Capacity Data'!AA$22,NAm!$U$3:$U$82,'NAm Capacity Data'!$A23)+SUMIFS(NAm!$P$3:$P$82,NAm!$F$3:$F$82,'NAm Capacity Data'!AA$22,NAm!$U$3:$U$82,'NAm Capacity Data'!$A23)</f>
        <v>0</v>
      </c>
      <c r="AB23" s="39">
        <f>SUMIFS(NAm!$N$3:$N$82,NAm!$F$3:$F$82,'NAm Capacity Data'!AB$22,NAm!$U$3:$U$82,'NAm Capacity Data'!$A23)+SUMIFS(NAm!$P$3:$P$82,NAm!$F$3:$F$82,'NAm Capacity Data'!AB$22,NAm!$U$3:$U$82,'NAm Capacity Data'!$A23)</f>
        <v>0</v>
      </c>
      <c r="AC23" s="39">
        <f>SUMIFS(NAm!$N$3:$N$82,NAm!$F$3:$F$82,'NAm Capacity Data'!AC$22,NAm!$U$3:$U$82,'NAm Capacity Data'!$A23)+SUMIFS(NAm!$P$3:$P$82,NAm!$F$3:$F$82,'NAm Capacity Data'!AC$22,NAm!$U$3:$U$82,'NAm Capacity Data'!$A23)</f>
        <v>0</v>
      </c>
      <c r="AD23" s="39">
        <f>SUMIFS(NAm!$N$3:$N$82,NAm!$F$3:$F$82,'NAm Capacity Data'!AD$22,NAm!$U$3:$U$82,'NAm Capacity Data'!$A23)+SUMIFS(NAm!$P$3:$P$82,NAm!$F$3:$F$82,'NAm Capacity Data'!AD$22,NAm!$U$3:$U$82,'NAm Capacity Data'!$A23)</f>
        <v>0</v>
      </c>
      <c r="AE23" s="39">
        <f>SUMIFS(NAm!$N$3:$N$82,NAm!$F$3:$F$82,'NAm Capacity Data'!AE$22,NAm!$U$3:$U$82,'NAm Capacity Data'!$A23)+SUMIFS(NAm!$P$3:$P$82,NAm!$F$3:$F$82,'NAm Capacity Data'!AE$22,NAm!$U$3:$U$82,'NAm Capacity Data'!$A23)</f>
        <v>0</v>
      </c>
      <c r="AF23" s="39">
        <f>SUMIFS(NAm!$N$3:$N$82,NAm!$F$3:$F$82,'NAm Capacity Data'!AF$22,NAm!$U$3:$U$82,'NAm Capacity Data'!$A23)+SUMIFS(NAm!$P$3:$P$82,NAm!$F$3:$F$82,'NAm Capacity Data'!AF$22,NAm!$U$3:$U$82,'NAm Capacity Data'!$A23)</f>
        <v>0</v>
      </c>
    </row>
    <row r="24" spans="1:32">
      <c r="A24" s="20" t="s">
        <v>6</v>
      </c>
      <c r="B24" s="22">
        <f>SUMIFS(NAm!$N$3:$N$82,NAm!$F$3:$F$82,"&lt;"&amp;'NAm Capacity Data'!C$22,NAm!$U$3:$U$82,'NAm Capacity Data'!$A24)+SUMIFS(NAm!$P$3:$P$82,NAm!$F$3:$F$82,"&lt;"&amp;'NAm Capacity Data'!C$22,NAm!$U$3:$U$82,'NAm Capacity Data'!$A24)</f>
        <v>60.1</v>
      </c>
      <c r="C24" s="22">
        <f>SUMIFS(NAm!$N$3:$N$82,NAm!$F$3:$F$82,'NAm Capacity Data'!C$22,NAm!$U$3:$U$82,'NAm Capacity Data'!$A24)+SUMIFS(NAm!$P$3:$P$82,NAm!$F$3:$F$82,'NAm Capacity Data'!C$22,NAm!$U$3:$U$82,'NAm Capacity Data'!$A24)</f>
        <v>0</v>
      </c>
      <c r="D24" s="22">
        <f>SUMIFS(NAm!$N$3:$N$82,NAm!$F$3:$F$82,'NAm Capacity Data'!D$22,NAm!$U$3:$U$82,'NAm Capacity Data'!$A24)+SUMIFS(NAm!$P$3:$P$82,NAm!$F$3:$F$82,'NAm Capacity Data'!D$22,NAm!$U$3:$U$82,'NAm Capacity Data'!$A24)</f>
        <v>0</v>
      </c>
      <c r="E24" s="22">
        <f>SUMIFS(NAm!$N$3:$N$82,NAm!$F$3:$F$82,'NAm Capacity Data'!E$22,NAm!$U$3:$U$82,'NAm Capacity Data'!$A24)+SUMIFS(NAm!$P$3:$P$82,NAm!$F$3:$F$82,'NAm Capacity Data'!E$22,NAm!$U$3:$U$82,'NAm Capacity Data'!$A24)</f>
        <v>0</v>
      </c>
      <c r="F24" s="23">
        <f>SUMIFS(NAm!$N$3:$N$82,NAm!$F$3:$F$82,'NAm Capacity Data'!F$22,NAm!$U$3:$U$82,'NAm Capacity Data'!$A24)+SUMIFS(NAm!$P$3:$P$82,NAm!$F$3:$F$82,'NAm Capacity Data'!F$22,NAm!$U$3:$U$82,'NAm Capacity Data'!$A24)</f>
        <v>9</v>
      </c>
      <c r="G24" s="23">
        <f>SUMIFS(NAm!$N$3:$N$82,NAm!$F$3:$F$82,'NAm Capacity Data'!G$22,NAm!$U$3:$U$82,'NAm Capacity Data'!$A24)+SUMIFS(NAm!$P$3:$P$82,NAm!$F$3:$F$82,'NAm Capacity Data'!G$22,NAm!$U$3:$U$82,'NAm Capacity Data'!$A24)</f>
        <v>103.09125</v>
      </c>
      <c r="H24" s="23">
        <f>SUMIFS(NAm!$N$3:$N$82,NAm!$F$3:$F$82,'NAm Capacity Data'!H$22,NAm!$U$3:$U$82,'NAm Capacity Data'!$A24)+SUMIFS(NAm!$P$3:$P$82,NAm!$F$3:$F$82,'NAm Capacity Data'!H$22,NAm!$U$3:$U$82,'NAm Capacity Data'!$A24)</f>
        <v>345</v>
      </c>
      <c r="I24" s="23">
        <f>SUMIFS(NAm!$N$3:$N$82,NAm!$F$3:$F$82,'NAm Capacity Data'!I$22,NAm!$U$3:$U$82,'NAm Capacity Data'!$A24)+SUMIFS(NAm!$P$3:$P$82,NAm!$F$3:$F$82,'NAm Capacity Data'!I$22,NAm!$U$3:$U$82,'NAm Capacity Data'!$A24)</f>
        <v>490</v>
      </c>
      <c r="J24" s="23">
        <f>SUMIFS(NAm!$N$3:$N$82,NAm!$F$3:$F$82,'NAm Capacity Data'!J$22,NAm!$U$3:$U$82,'NAm Capacity Data'!$A24)+SUMIFS(NAm!$P$3:$P$82,NAm!$F$3:$F$82,'NAm Capacity Data'!J$22,NAm!$U$3:$U$82,'NAm Capacity Data'!$A24)</f>
        <v>195</v>
      </c>
      <c r="K24" s="23">
        <f>SUMIFS(NAm!$N$3:$N$82,NAm!$F$3:$F$82,'NAm Capacity Data'!K$22,NAm!$U$3:$U$82,'NAm Capacity Data'!$A24)+SUMIFS(NAm!$P$3:$P$82,NAm!$F$3:$F$82,'NAm Capacity Data'!K$22,NAm!$U$3:$U$82,'NAm Capacity Data'!$A24)</f>
        <v>30</v>
      </c>
      <c r="L24" s="23">
        <f>SUMIFS(NAm!$N$3:$N$82,NAm!$F$3:$F$82,'NAm Capacity Data'!L$22,NAm!$U$3:$U$82,'NAm Capacity Data'!$A24)+SUMIFS(NAm!$P$3:$P$82,NAm!$F$3:$F$82,'NAm Capacity Data'!L$22,NAm!$U$3:$U$82,'NAm Capacity Data'!$A24)</f>
        <v>0</v>
      </c>
      <c r="M24" s="23">
        <f>SUMIFS(NAm!$N$3:$N$82,NAm!$F$3:$F$82,'NAm Capacity Data'!M$22,NAm!$U$3:$U$82,'NAm Capacity Data'!$A24)+SUMIFS(NAm!$P$3:$P$82,NAm!$F$3:$F$82,'NAm Capacity Data'!M$22,NAm!$U$3:$U$82,'NAm Capacity Data'!$A24)</f>
        <v>68.039999999999992</v>
      </c>
      <c r="N24" s="23">
        <f>SUMIFS(NAm!$N$3:$N$82,NAm!$F$3:$F$82,'NAm Capacity Data'!N$22,NAm!$U$3:$U$82,'NAm Capacity Data'!$A24)+SUMIFS(NAm!$P$3:$P$82,NAm!$F$3:$F$82,'NAm Capacity Data'!N$22,NAm!$U$3:$U$82,'NAm Capacity Data'!$A24)</f>
        <v>0</v>
      </c>
      <c r="O24" s="23">
        <f>SUMIFS(NAm!$N$3:$N$82,NAm!$F$3:$F$82,'NAm Capacity Data'!O$22,NAm!$U$3:$U$82,'NAm Capacity Data'!$A24)+SUMIFS(NAm!$P$3:$P$82,NAm!$F$3:$F$82,'NAm Capacity Data'!O$22,NAm!$U$3:$U$82,'NAm Capacity Data'!$A24)</f>
        <v>0</v>
      </c>
      <c r="P24" s="23">
        <f>SUMIFS(NAm!$N$3:$N$82,NAm!$F$3:$F$82,'NAm Capacity Data'!P$22,NAm!$U$3:$U$82,'NAm Capacity Data'!$A24)+SUMIFS(NAm!$P$3:$P$82,NAm!$F$3:$F$82,'NAm Capacity Data'!P$22,NAm!$U$3:$U$82,'NAm Capacity Data'!$A24)</f>
        <v>0</v>
      </c>
      <c r="Q24" s="23">
        <f>SUMIFS(NAm!$N$3:$N$82,NAm!$F$3:$F$82,'NAm Capacity Data'!Q$22,NAm!$U$3:$U$82,'NAm Capacity Data'!$A24)+SUMIFS(NAm!$P$3:$P$82,NAm!$F$3:$F$82,'NAm Capacity Data'!Q$22,NAm!$U$3:$U$82,'NAm Capacity Data'!$A24)</f>
        <v>0</v>
      </c>
      <c r="R24" s="23">
        <f>SUMIFS(NAm!$N$3:$N$82,NAm!$F$3:$F$82,'NAm Capacity Data'!R$22,NAm!$U$3:$U$82,'NAm Capacity Data'!$A24)+SUMIFS(NAm!$P$3:$P$82,NAm!$F$3:$F$82,'NAm Capacity Data'!R$22,NAm!$U$3:$U$82,'NAm Capacity Data'!$A24)</f>
        <v>0</v>
      </c>
      <c r="S24" s="23">
        <f>SUMIFS(NAm!$N$3:$N$82,NAm!$F$3:$F$82,'NAm Capacity Data'!S$22,NAm!$U$3:$U$82,'NAm Capacity Data'!$A24)+SUMIFS(NAm!$P$3:$P$82,NAm!$F$3:$F$82,'NAm Capacity Data'!S$22,NAm!$U$3:$U$82,'NAm Capacity Data'!$A24)</f>
        <v>0</v>
      </c>
      <c r="T24" s="23">
        <f>SUMIFS(NAm!$N$3:$N$82,NAm!$F$3:$F$82,'NAm Capacity Data'!T$22,NAm!$U$3:$U$82,'NAm Capacity Data'!$A24)+SUMIFS(NAm!$P$3:$P$82,NAm!$F$3:$F$82,'NAm Capacity Data'!T$22,NAm!$U$3:$U$82,'NAm Capacity Data'!$A24)</f>
        <v>0</v>
      </c>
      <c r="U24" s="23">
        <f>SUMIFS(NAm!$N$3:$N$82,NAm!$F$3:$F$82,'NAm Capacity Data'!U$22,NAm!$U$3:$U$82,'NAm Capacity Data'!$A24)+SUMIFS(NAm!$P$3:$P$82,NAm!$F$3:$F$82,'NAm Capacity Data'!U$22,NAm!$U$3:$U$82,'NAm Capacity Data'!$A24)</f>
        <v>0</v>
      </c>
      <c r="V24" s="23">
        <f>SUMIFS(NAm!$N$3:$N$82,NAm!$F$3:$F$82,'NAm Capacity Data'!V$22,NAm!$U$3:$U$82,'NAm Capacity Data'!$A24)+SUMIFS(NAm!$P$3:$P$82,NAm!$F$3:$F$82,'NAm Capacity Data'!V$22,NAm!$U$3:$U$82,'NAm Capacity Data'!$A24)</f>
        <v>0</v>
      </c>
      <c r="W24" s="23">
        <f>SUMIFS(NAm!$N$3:$N$82,NAm!$F$3:$F$82,'NAm Capacity Data'!W$22,NAm!$U$3:$U$82,'NAm Capacity Data'!$A24)+SUMIFS(NAm!$P$3:$P$82,NAm!$F$3:$F$82,'NAm Capacity Data'!W$22,NAm!$U$3:$U$82,'NAm Capacity Data'!$A24)</f>
        <v>0</v>
      </c>
      <c r="X24" s="23">
        <f>SUMIFS(NAm!$N$3:$N$82,NAm!$F$3:$F$82,'NAm Capacity Data'!X$22,NAm!$U$3:$U$82,'NAm Capacity Data'!$A24)+SUMIFS(NAm!$P$3:$P$82,NAm!$F$3:$F$82,'NAm Capacity Data'!X$22,NAm!$U$3:$U$82,'NAm Capacity Data'!$A24)</f>
        <v>0</v>
      </c>
      <c r="Y24" s="23">
        <f>SUMIFS(NAm!$N$3:$N$82,NAm!$F$3:$F$82,'NAm Capacity Data'!Y$22,NAm!$U$3:$U$82,'NAm Capacity Data'!$A24)+SUMIFS(NAm!$P$3:$P$82,NAm!$F$3:$F$82,'NAm Capacity Data'!Y$22,NAm!$U$3:$U$82,'NAm Capacity Data'!$A24)</f>
        <v>0</v>
      </c>
      <c r="Z24" s="23">
        <f>SUMIFS(NAm!$N$3:$N$82,NAm!$F$3:$F$82,'NAm Capacity Data'!Z$22,NAm!$U$3:$U$82,'NAm Capacity Data'!$A24)+SUMIFS(NAm!$P$3:$P$82,NAm!$F$3:$F$82,'NAm Capacity Data'!Z$22,NAm!$U$3:$U$82,'NAm Capacity Data'!$A24)</f>
        <v>0</v>
      </c>
      <c r="AA24" s="23">
        <f>SUMIFS(NAm!$N$3:$N$82,NAm!$F$3:$F$82,'NAm Capacity Data'!AA$22,NAm!$U$3:$U$82,'NAm Capacity Data'!$A24)+SUMIFS(NAm!$P$3:$P$82,NAm!$F$3:$F$82,'NAm Capacity Data'!AA$22,NAm!$U$3:$U$82,'NAm Capacity Data'!$A24)</f>
        <v>0</v>
      </c>
      <c r="AB24" s="23">
        <f>SUMIFS(NAm!$N$3:$N$82,NAm!$F$3:$F$82,'NAm Capacity Data'!AB$22,NAm!$U$3:$U$82,'NAm Capacity Data'!$A24)+SUMIFS(NAm!$P$3:$P$82,NAm!$F$3:$F$82,'NAm Capacity Data'!AB$22,NAm!$U$3:$U$82,'NAm Capacity Data'!$A24)</f>
        <v>0</v>
      </c>
      <c r="AC24" s="23">
        <f>SUMIFS(NAm!$N$3:$N$82,NAm!$F$3:$F$82,'NAm Capacity Data'!AC$22,NAm!$U$3:$U$82,'NAm Capacity Data'!$A24)+SUMIFS(NAm!$P$3:$P$82,NAm!$F$3:$F$82,'NAm Capacity Data'!AC$22,NAm!$U$3:$U$82,'NAm Capacity Data'!$A24)</f>
        <v>0</v>
      </c>
      <c r="AD24" s="23">
        <f>SUMIFS(NAm!$N$3:$N$82,NAm!$F$3:$F$82,'NAm Capacity Data'!AD$22,NAm!$U$3:$U$82,'NAm Capacity Data'!$A24)+SUMIFS(NAm!$P$3:$P$82,NAm!$F$3:$F$82,'NAm Capacity Data'!AD$22,NAm!$U$3:$U$82,'NAm Capacity Data'!$A24)</f>
        <v>0</v>
      </c>
      <c r="AE24" s="23">
        <f>SUMIFS(NAm!$N$3:$N$82,NAm!$F$3:$F$82,'NAm Capacity Data'!AE$22,NAm!$U$3:$U$82,'NAm Capacity Data'!$A24)+SUMIFS(NAm!$P$3:$P$82,NAm!$F$3:$F$82,'NAm Capacity Data'!AE$22,NAm!$U$3:$U$82,'NAm Capacity Data'!$A24)</f>
        <v>0</v>
      </c>
      <c r="AF24" s="23">
        <f>SUMIFS(NAm!$N$3:$N$82,NAm!$F$3:$F$82,'NAm Capacity Data'!AF$22,NAm!$U$3:$U$82,'NAm Capacity Data'!$A24)+SUMIFS(NAm!$P$3:$P$82,NAm!$F$3:$F$82,'NAm Capacity Data'!AF$22,NAm!$U$3:$U$82,'NAm Capacity Data'!$A24)</f>
        <v>0</v>
      </c>
    </row>
    <row r="25" spans="1:32">
      <c r="A25" s="20" t="s">
        <v>7</v>
      </c>
      <c r="B25" s="22">
        <f>SUMIFS(NAm!$N$3:$N$82,NAm!$F$3:$F$82,"&lt;"&amp;'NAm Capacity Data'!C$22,NAm!$U$3:$U$82,'NAm Capacity Data'!$A25)+SUMIFS(NAm!$P$3:$P$82,NAm!$F$3:$F$82,"&lt;"&amp;'NAm Capacity Data'!C$22,NAm!$U$3:$U$82,'NAm Capacity Data'!$A25)</f>
        <v>0</v>
      </c>
      <c r="C25" s="22">
        <f>SUMIFS(NAm!$N$3:$N$82,NAm!$F$3:$F$82,'NAm Capacity Data'!C$22,NAm!$U$3:$U$82,'NAm Capacity Data'!$A25)+SUMIFS(NAm!$P$3:$P$82,NAm!$F$3:$F$82,'NAm Capacity Data'!C$22,NAm!$U$3:$U$82,'NAm Capacity Data'!$A25)</f>
        <v>0</v>
      </c>
      <c r="D25" s="22">
        <f>SUMIFS(NAm!$N$3:$N$82,NAm!$F$3:$F$82,'NAm Capacity Data'!D$22,NAm!$U$3:$U$82,'NAm Capacity Data'!$A25)+SUMIFS(NAm!$P$3:$P$82,NAm!$F$3:$F$82,'NAm Capacity Data'!D$22,NAm!$U$3:$U$82,'NAm Capacity Data'!$A25)</f>
        <v>0</v>
      </c>
      <c r="E25" s="22">
        <f>SUMIFS(NAm!$N$3:$N$82,NAm!$F$3:$F$82,'NAm Capacity Data'!E$22,NAm!$U$3:$U$82,'NAm Capacity Data'!$A25)+SUMIFS(NAm!$P$3:$P$82,NAm!$F$3:$F$82,'NAm Capacity Data'!E$22,NAm!$U$3:$U$82,'NAm Capacity Data'!$A25)</f>
        <v>0</v>
      </c>
      <c r="F25" s="23">
        <f>SUMIFS(NAm!$N$3:$N$82,NAm!$F$3:$F$82,'NAm Capacity Data'!F$22,NAm!$U$3:$U$82,'NAm Capacity Data'!$A25)+SUMIFS(NAm!$P$3:$P$82,NAm!$F$3:$F$82,'NAm Capacity Data'!F$22,NAm!$U$3:$U$82,'NAm Capacity Data'!$A25)</f>
        <v>0</v>
      </c>
      <c r="G25" s="23">
        <f>SUMIFS(NAm!$N$3:$N$82,NAm!$F$3:$F$82,'NAm Capacity Data'!G$22,NAm!$U$3:$U$82,'NAm Capacity Data'!$A25)+SUMIFS(NAm!$P$3:$P$82,NAm!$F$3:$F$82,'NAm Capacity Data'!G$22,NAm!$U$3:$U$82,'NAm Capacity Data'!$A25)</f>
        <v>78.036000000000001</v>
      </c>
      <c r="H25" s="23">
        <f>SUMIFS(NAm!$N$3:$N$82,NAm!$F$3:$F$82,'NAm Capacity Data'!H$22,NAm!$U$3:$U$82,'NAm Capacity Data'!$A25)+SUMIFS(NAm!$P$3:$P$82,NAm!$F$3:$F$82,'NAm Capacity Data'!H$22,NAm!$U$3:$U$82,'NAm Capacity Data'!$A25)</f>
        <v>0</v>
      </c>
      <c r="I25" s="23">
        <f>SUMIFS(NAm!$N$3:$N$82,NAm!$F$3:$F$82,'NAm Capacity Data'!I$22,NAm!$U$3:$U$82,'NAm Capacity Data'!$A25)+SUMIFS(NAm!$P$3:$P$82,NAm!$F$3:$F$82,'NAm Capacity Data'!I$22,NAm!$U$3:$U$82,'NAm Capacity Data'!$A25)</f>
        <v>411.5</v>
      </c>
      <c r="J25" s="23">
        <f>SUMIFS(NAm!$N$3:$N$82,NAm!$F$3:$F$82,'NAm Capacity Data'!J$22,NAm!$U$3:$U$82,'NAm Capacity Data'!$A25)+SUMIFS(NAm!$P$3:$P$82,NAm!$F$3:$F$82,'NAm Capacity Data'!J$22,NAm!$U$3:$U$82,'NAm Capacity Data'!$A25)</f>
        <v>117.3</v>
      </c>
      <c r="K25" s="23">
        <f>SUMIFS(NAm!$N$3:$N$82,NAm!$F$3:$F$82,'NAm Capacity Data'!K$22,NAm!$U$3:$U$82,'NAm Capacity Data'!$A25)+SUMIFS(NAm!$P$3:$P$82,NAm!$F$3:$F$82,'NAm Capacity Data'!K$22,NAm!$U$3:$U$82,'NAm Capacity Data'!$A25)</f>
        <v>119</v>
      </c>
      <c r="L25" s="23">
        <f>SUMIFS(NAm!$N$3:$N$82,NAm!$F$3:$F$82,'NAm Capacity Data'!L$22,NAm!$U$3:$U$82,'NAm Capacity Data'!$A25)+SUMIFS(NAm!$P$3:$P$82,NAm!$F$3:$F$82,'NAm Capacity Data'!L$22,NAm!$U$3:$U$82,'NAm Capacity Data'!$A25)</f>
        <v>49.5</v>
      </c>
      <c r="M25" s="23">
        <f>SUMIFS(NAm!$N$3:$N$82,NAm!$F$3:$F$82,'NAm Capacity Data'!M$22,NAm!$U$3:$U$82,'NAm Capacity Data'!$A25)+SUMIFS(NAm!$P$3:$P$82,NAm!$F$3:$F$82,'NAm Capacity Data'!M$22,NAm!$U$3:$U$82,'NAm Capacity Data'!$A25)</f>
        <v>0</v>
      </c>
      <c r="N25" s="23">
        <f>SUMIFS(NAm!$N$3:$N$82,NAm!$F$3:$F$82,'NAm Capacity Data'!N$22,NAm!$U$3:$U$82,'NAm Capacity Data'!$A25)+SUMIFS(NAm!$P$3:$P$82,NAm!$F$3:$F$82,'NAm Capacity Data'!N$22,NAm!$U$3:$U$82,'NAm Capacity Data'!$A25)</f>
        <v>0</v>
      </c>
      <c r="O25" s="23">
        <f>SUMIFS(NAm!$N$3:$N$82,NAm!$F$3:$F$82,'NAm Capacity Data'!O$22,NAm!$U$3:$U$82,'NAm Capacity Data'!$A25)+SUMIFS(NAm!$P$3:$P$82,NAm!$F$3:$F$82,'NAm Capacity Data'!O$22,NAm!$U$3:$U$82,'NAm Capacity Data'!$A25)</f>
        <v>0</v>
      </c>
      <c r="P25" s="23">
        <f>SUMIFS(NAm!$N$3:$N$82,NAm!$F$3:$F$82,'NAm Capacity Data'!P$22,NAm!$U$3:$U$82,'NAm Capacity Data'!$A25)+SUMIFS(NAm!$P$3:$P$82,NAm!$F$3:$F$82,'NAm Capacity Data'!P$22,NAm!$U$3:$U$82,'NAm Capacity Data'!$A25)</f>
        <v>0</v>
      </c>
      <c r="Q25" s="23">
        <f>SUMIFS(NAm!$N$3:$N$82,NAm!$F$3:$F$82,'NAm Capacity Data'!Q$22,NAm!$U$3:$U$82,'NAm Capacity Data'!$A25)+SUMIFS(NAm!$P$3:$P$82,NAm!$F$3:$F$82,'NAm Capacity Data'!Q$22,NAm!$U$3:$U$82,'NAm Capacity Data'!$A25)</f>
        <v>0</v>
      </c>
      <c r="R25" s="23">
        <f>SUMIFS(NAm!$N$3:$N$82,NAm!$F$3:$F$82,'NAm Capacity Data'!R$22,NAm!$U$3:$U$82,'NAm Capacity Data'!$A25)+SUMIFS(NAm!$P$3:$P$82,NAm!$F$3:$F$82,'NAm Capacity Data'!R$22,NAm!$U$3:$U$82,'NAm Capacity Data'!$A25)</f>
        <v>0</v>
      </c>
      <c r="S25" s="23">
        <f>SUMIFS(NAm!$N$3:$N$82,NAm!$F$3:$F$82,'NAm Capacity Data'!S$22,NAm!$U$3:$U$82,'NAm Capacity Data'!$A25)+SUMIFS(NAm!$P$3:$P$82,NAm!$F$3:$F$82,'NAm Capacity Data'!S$22,NAm!$U$3:$U$82,'NAm Capacity Data'!$A25)</f>
        <v>0</v>
      </c>
      <c r="T25" s="23">
        <f>SUMIFS(NAm!$N$3:$N$82,NAm!$F$3:$F$82,'NAm Capacity Data'!T$22,NAm!$U$3:$U$82,'NAm Capacity Data'!$A25)+SUMIFS(NAm!$P$3:$P$82,NAm!$F$3:$F$82,'NAm Capacity Data'!T$22,NAm!$U$3:$U$82,'NAm Capacity Data'!$A25)</f>
        <v>0</v>
      </c>
      <c r="U25" s="23">
        <f>SUMIFS(NAm!$N$3:$N$82,NAm!$F$3:$F$82,'NAm Capacity Data'!U$22,NAm!$U$3:$U$82,'NAm Capacity Data'!$A25)+SUMIFS(NAm!$P$3:$P$82,NAm!$F$3:$F$82,'NAm Capacity Data'!U$22,NAm!$U$3:$U$82,'NAm Capacity Data'!$A25)</f>
        <v>0</v>
      </c>
      <c r="V25" s="23">
        <f>SUMIFS(NAm!$N$3:$N$82,NAm!$F$3:$F$82,'NAm Capacity Data'!V$22,NAm!$U$3:$U$82,'NAm Capacity Data'!$A25)+SUMIFS(NAm!$P$3:$P$82,NAm!$F$3:$F$82,'NAm Capacity Data'!V$22,NAm!$U$3:$U$82,'NAm Capacity Data'!$A25)</f>
        <v>0</v>
      </c>
      <c r="W25" s="23">
        <f>SUMIFS(NAm!$N$3:$N$82,NAm!$F$3:$F$82,'NAm Capacity Data'!W$22,NAm!$U$3:$U$82,'NAm Capacity Data'!$A25)+SUMIFS(NAm!$P$3:$P$82,NAm!$F$3:$F$82,'NAm Capacity Data'!W$22,NAm!$U$3:$U$82,'NAm Capacity Data'!$A25)</f>
        <v>0</v>
      </c>
      <c r="X25" s="23">
        <f>SUMIFS(NAm!$N$3:$N$82,NAm!$F$3:$F$82,'NAm Capacity Data'!X$22,NAm!$U$3:$U$82,'NAm Capacity Data'!$A25)+SUMIFS(NAm!$P$3:$P$82,NAm!$F$3:$F$82,'NAm Capacity Data'!X$22,NAm!$U$3:$U$82,'NAm Capacity Data'!$A25)</f>
        <v>0</v>
      </c>
      <c r="Y25" s="23">
        <f>SUMIFS(NAm!$N$3:$N$82,NAm!$F$3:$F$82,'NAm Capacity Data'!Y$22,NAm!$U$3:$U$82,'NAm Capacity Data'!$A25)+SUMIFS(NAm!$P$3:$P$82,NAm!$F$3:$F$82,'NAm Capacity Data'!Y$22,NAm!$U$3:$U$82,'NAm Capacity Data'!$A25)</f>
        <v>0</v>
      </c>
      <c r="Z25" s="23">
        <f>SUMIFS(NAm!$N$3:$N$82,NAm!$F$3:$F$82,'NAm Capacity Data'!Z$22,NAm!$U$3:$U$82,'NAm Capacity Data'!$A25)+SUMIFS(NAm!$P$3:$P$82,NAm!$F$3:$F$82,'NAm Capacity Data'!Z$22,NAm!$U$3:$U$82,'NAm Capacity Data'!$A25)</f>
        <v>0</v>
      </c>
      <c r="AA25" s="23">
        <f>SUMIFS(NAm!$N$3:$N$82,NAm!$F$3:$F$82,'NAm Capacity Data'!AA$22,NAm!$U$3:$U$82,'NAm Capacity Data'!$A25)+SUMIFS(NAm!$P$3:$P$82,NAm!$F$3:$F$82,'NAm Capacity Data'!AA$22,NAm!$U$3:$U$82,'NAm Capacity Data'!$A25)</f>
        <v>0</v>
      </c>
      <c r="AB25" s="23">
        <f>SUMIFS(NAm!$N$3:$N$82,NAm!$F$3:$F$82,'NAm Capacity Data'!AB$22,NAm!$U$3:$U$82,'NAm Capacity Data'!$A25)+SUMIFS(NAm!$P$3:$P$82,NAm!$F$3:$F$82,'NAm Capacity Data'!AB$22,NAm!$U$3:$U$82,'NAm Capacity Data'!$A25)</f>
        <v>0</v>
      </c>
      <c r="AC25" s="23">
        <f>SUMIFS(NAm!$N$3:$N$82,NAm!$F$3:$F$82,'NAm Capacity Data'!AC$22,NAm!$U$3:$U$82,'NAm Capacity Data'!$A25)+SUMIFS(NAm!$P$3:$P$82,NAm!$F$3:$F$82,'NAm Capacity Data'!AC$22,NAm!$U$3:$U$82,'NAm Capacity Data'!$A25)</f>
        <v>0</v>
      </c>
      <c r="AD25" s="23">
        <f>SUMIFS(NAm!$N$3:$N$82,NAm!$F$3:$F$82,'NAm Capacity Data'!AD$22,NAm!$U$3:$U$82,'NAm Capacity Data'!$A25)+SUMIFS(NAm!$P$3:$P$82,NAm!$F$3:$F$82,'NAm Capacity Data'!AD$22,NAm!$U$3:$U$82,'NAm Capacity Data'!$A25)</f>
        <v>0</v>
      </c>
      <c r="AE25" s="23">
        <f>SUMIFS(NAm!$N$3:$N$82,NAm!$F$3:$F$82,'NAm Capacity Data'!AE$22,NAm!$U$3:$U$82,'NAm Capacity Data'!$A25)+SUMIFS(NAm!$P$3:$P$82,NAm!$F$3:$F$82,'NAm Capacity Data'!AE$22,NAm!$U$3:$U$82,'NAm Capacity Data'!$A25)</f>
        <v>0</v>
      </c>
      <c r="AF25" s="23">
        <f>SUMIFS(NAm!$N$3:$N$82,NAm!$F$3:$F$82,'NAm Capacity Data'!AF$22,NAm!$U$3:$U$82,'NAm Capacity Data'!$A25)+SUMIFS(NAm!$P$3:$P$82,NAm!$F$3:$F$82,'NAm Capacity Data'!AF$22,NAm!$U$3:$U$82,'NAm Capacity Data'!$A25)</f>
        <v>0</v>
      </c>
    </row>
    <row r="26" spans="1:32">
      <c r="A26" s="20" t="s">
        <v>8</v>
      </c>
      <c r="B26" s="22">
        <f>SUMIFS(NAm!$N$3:$N$82,NAm!$F$3:$F$82,"&lt;"&amp;'NAm Capacity Data'!C$22,NAm!$U$3:$U$82,'NAm Capacity Data'!$A26)+SUMIFS(NAm!$P$3:$P$82,NAm!$F$3:$F$82,"&lt;"&amp;'NAm Capacity Data'!C$22,NAm!$U$3:$U$82,'NAm Capacity Data'!$A26)</f>
        <v>0</v>
      </c>
      <c r="C26" s="22">
        <f>SUMIFS(NAm!$N$3:$N$82,NAm!$F$3:$F$82,'NAm Capacity Data'!C$22,NAm!$U$3:$U$82,'NAm Capacity Data'!$A26)+SUMIFS(NAm!$P$3:$P$82,NAm!$F$3:$F$82,'NAm Capacity Data'!C$22,NAm!$U$3:$U$82,'NAm Capacity Data'!$A26)</f>
        <v>0</v>
      </c>
      <c r="D26" s="22">
        <f>SUMIFS(NAm!$N$3:$N$82,NAm!$F$3:$F$82,'NAm Capacity Data'!D$22,NAm!$U$3:$U$82,'NAm Capacity Data'!$A26)+SUMIFS(NAm!$P$3:$P$82,NAm!$F$3:$F$82,'NAm Capacity Data'!D$22,NAm!$U$3:$U$82,'NAm Capacity Data'!$A26)</f>
        <v>1E-3</v>
      </c>
      <c r="E26" s="22">
        <f>SUMIFS(NAm!$N$3:$N$82,NAm!$F$3:$F$82,'NAm Capacity Data'!E$22,NAm!$U$3:$U$82,'NAm Capacity Data'!$A26)+SUMIFS(NAm!$P$3:$P$82,NAm!$F$3:$F$82,'NAm Capacity Data'!E$22,NAm!$U$3:$U$82,'NAm Capacity Data'!$A26)</f>
        <v>0</v>
      </c>
      <c r="F26" s="31">
        <f>SUMIFS(NAm!$N$3:$N$82,NAm!$F$3:$F$82,'NAm Capacity Data'!F$22,NAm!$U$3:$U$82,'NAm Capacity Data'!$A26)+SUMIFS(NAm!$P$3:$P$82,NAm!$F$3:$F$82,'NAm Capacity Data'!F$22,NAm!$U$3:$U$82,'NAm Capacity Data'!$A26)</f>
        <v>0.39625826528698338</v>
      </c>
      <c r="G26" s="31">
        <f>SUMIFS(NAm!$N$3:$N$82,NAm!$F$3:$F$82,'NAm Capacity Data'!G$22,NAm!$U$3:$U$82,'NAm Capacity Data'!$A26)+SUMIFS(NAm!$P$3:$P$82,NAm!$F$3:$F$82,'NAm Capacity Data'!G$22,NAm!$U$3:$U$82,'NAm Capacity Data'!$A26)</f>
        <v>6.4562499999999995E-2</v>
      </c>
      <c r="H26" s="23">
        <f>SUMIFS(NAm!$N$3:$N$82,NAm!$F$3:$F$82,'NAm Capacity Data'!H$22,NAm!$U$3:$U$82,'NAm Capacity Data'!$A26)+SUMIFS(NAm!$P$3:$P$82,NAm!$F$3:$F$82,'NAm Capacity Data'!H$22,NAm!$U$3:$U$82,'NAm Capacity Data'!$A26)</f>
        <v>7</v>
      </c>
      <c r="I26" s="23">
        <f>SUMIFS(NAm!$N$3:$N$82,NAm!$F$3:$F$82,'NAm Capacity Data'!I$22,NAm!$U$3:$U$82,'NAm Capacity Data'!$A26)+SUMIFS(NAm!$P$3:$P$82,NAm!$F$3:$F$82,'NAm Capacity Data'!I$22,NAm!$U$3:$U$82,'NAm Capacity Data'!$A26)</f>
        <v>0</v>
      </c>
      <c r="J26" s="23">
        <f>SUMIFS(NAm!$N$3:$N$82,NAm!$F$3:$F$82,'NAm Capacity Data'!J$22,NAm!$U$3:$U$82,'NAm Capacity Data'!$A26)+SUMIFS(NAm!$P$3:$P$82,NAm!$F$3:$F$82,'NAm Capacity Data'!J$22,NAm!$U$3:$U$82,'NAm Capacity Data'!$A26)</f>
        <v>31.2</v>
      </c>
      <c r="K26" s="23">
        <f>SUMIFS(NAm!$N$3:$N$82,NAm!$F$3:$F$82,'NAm Capacity Data'!K$22,NAm!$U$3:$U$82,'NAm Capacity Data'!$A26)+SUMIFS(NAm!$P$3:$P$82,NAm!$F$3:$F$82,'NAm Capacity Data'!K$22,NAm!$U$3:$U$82,'NAm Capacity Data'!$A26)</f>
        <v>30</v>
      </c>
      <c r="L26" s="23">
        <f>SUMIFS(NAm!$N$3:$N$82,NAm!$F$3:$F$82,'NAm Capacity Data'!L$22,NAm!$U$3:$U$82,'NAm Capacity Data'!$A26)+SUMIFS(NAm!$P$3:$P$82,NAm!$F$3:$F$82,'NAm Capacity Data'!L$22,NAm!$U$3:$U$82,'NAm Capacity Data'!$A26)</f>
        <v>83</v>
      </c>
      <c r="M26" s="23">
        <f>SUMIFS(NAm!$N$3:$N$82,NAm!$F$3:$F$82,'NAm Capacity Data'!M$22,NAm!$U$3:$U$82,'NAm Capacity Data'!$A26)+SUMIFS(NAm!$P$3:$P$82,NAm!$F$3:$F$82,'NAm Capacity Data'!M$22,NAm!$U$3:$U$82,'NAm Capacity Data'!$A26)</f>
        <v>0</v>
      </c>
      <c r="N26" s="23">
        <f>SUMIFS(NAm!$N$3:$N$82,NAm!$F$3:$F$82,'NAm Capacity Data'!N$22,NAm!$U$3:$U$82,'NAm Capacity Data'!$A26)+SUMIFS(NAm!$P$3:$P$82,NAm!$F$3:$F$82,'NAm Capacity Data'!N$22,NAm!$U$3:$U$82,'NAm Capacity Data'!$A26)</f>
        <v>0</v>
      </c>
      <c r="O26" s="23">
        <f>SUMIFS(NAm!$N$3:$N$82,NAm!$F$3:$F$82,'NAm Capacity Data'!O$22,NAm!$U$3:$U$82,'NAm Capacity Data'!$A26)+SUMIFS(NAm!$P$3:$P$82,NAm!$F$3:$F$82,'NAm Capacity Data'!O$22,NAm!$U$3:$U$82,'NAm Capacity Data'!$A26)</f>
        <v>0</v>
      </c>
      <c r="P26" s="23">
        <f>SUMIFS(NAm!$N$3:$N$82,NAm!$F$3:$F$82,'NAm Capacity Data'!P$22,NAm!$U$3:$U$82,'NAm Capacity Data'!$A26)+SUMIFS(NAm!$P$3:$P$82,NAm!$F$3:$F$82,'NAm Capacity Data'!P$22,NAm!$U$3:$U$82,'NAm Capacity Data'!$A26)</f>
        <v>0</v>
      </c>
      <c r="Q26" s="23">
        <f>SUMIFS(NAm!$N$3:$N$82,NAm!$F$3:$F$82,'NAm Capacity Data'!Q$22,NAm!$U$3:$U$82,'NAm Capacity Data'!$A26)+SUMIFS(NAm!$P$3:$P$82,NAm!$F$3:$F$82,'NAm Capacity Data'!Q$22,NAm!$U$3:$U$82,'NAm Capacity Data'!$A26)</f>
        <v>0</v>
      </c>
      <c r="R26" s="23">
        <f>SUMIFS(NAm!$N$3:$N$82,NAm!$F$3:$F$82,'NAm Capacity Data'!R$22,NAm!$U$3:$U$82,'NAm Capacity Data'!$A26)+SUMIFS(NAm!$P$3:$P$82,NAm!$F$3:$F$82,'NAm Capacity Data'!R$22,NAm!$U$3:$U$82,'NAm Capacity Data'!$A26)</f>
        <v>0</v>
      </c>
      <c r="S26" s="23">
        <f>SUMIFS(NAm!$N$3:$N$82,NAm!$F$3:$F$82,'NAm Capacity Data'!S$22,NAm!$U$3:$U$82,'NAm Capacity Data'!$A26)+SUMIFS(NAm!$P$3:$P$82,NAm!$F$3:$F$82,'NAm Capacity Data'!S$22,NAm!$U$3:$U$82,'NAm Capacity Data'!$A26)</f>
        <v>0</v>
      </c>
      <c r="T26" s="23">
        <f>SUMIFS(NAm!$N$3:$N$82,NAm!$F$3:$F$82,'NAm Capacity Data'!T$22,NAm!$U$3:$U$82,'NAm Capacity Data'!$A26)+SUMIFS(NAm!$P$3:$P$82,NAm!$F$3:$F$82,'NAm Capacity Data'!T$22,NAm!$U$3:$U$82,'NAm Capacity Data'!$A26)</f>
        <v>0</v>
      </c>
      <c r="U26" s="23">
        <f>SUMIFS(NAm!$N$3:$N$82,NAm!$F$3:$F$82,'NAm Capacity Data'!U$22,NAm!$U$3:$U$82,'NAm Capacity Data'!$A26)+SUMIFS(NAm!$P$3:$P$82,NAm!$F$3:$F$82,'NAm Capacity Data'!U$22,NAm!$U$3:$U$82,'NAm Capacity Data'!$A26)</f>
        <v>0</v>
      </c>
      <c r="V26" s="23">
        <f>SUMIFS(NAm!$N$3:$N$82,NAm!$F$3:$F$82,'NAm Capacity Data'!V$22,NAm!$U$3:$U$82,'NAm Capacity Data'!$A26)+SUMIFS(NAm!$P$3:$P$82,NAm!$F$3:$F$82,'NAm Capacity Data'!V$22,NAm!$U$3:$U$82,'NAm Capacity Data'!$A26)</f>
        <v>0</v>
      </c>
      <c r="W26" s="23">
        <f>SUMIFS(NAm!$N$3:$N$82,NAm!$F$3:$F$82,'NAm Capacity Data'!W$22,NAm!$U$3:$U$82,'NAm Capacity Data'!$A26)+SUMIFS(NAm!$P$3:$P$82,NAm!$F$3:$F$82,'NAm Capacity Data'!W$22,NAm!$U$3:$U$82,'NAm Capacity Data'!$A26)</f>
        <v>0</v>
      </c>
      <c r="X26" s="23">
        <f>SUMIFS(NAm!$N$3:$N$82,NAm!$F$3:$F$82,'NAm Capacity Data'!X$22,NAm!$U$3:$U$82,'NAm Capacity Data'!$A26)+SUMIFS(NAm!$P$3:$P$82,NAm!$F$3:$F$82,'NAm Capacity Data'!X$22,NAm!$U$3:$U$82,'NAm Capacity Data'!$A26)</f>
        <v>0</v>
      </c>
      <c r="Y26" s="23">
        <f>SUMIFS(NAm!$N$3:$N$82,NAm!$F$3:$F$82,'NAm Capacity Data'!Y$22,NAm!$U$3:$U$82,'NAm Capacity Data'!$A26)+SUMIFS(NAm!$P$3:$P$82,NAm!$F$3:$F$82,'NAm Capacity Data'!Y$22,NAm!$U$3:$U$82,'NAm Capacity Data'!$A26)</f>
        <v>0</v>
      </c>
      <c r="Z26" s="23">
        <f>SUMIFS(NAm!$N$3:$N$82,NAm!$F$3:$F$82,'NAm Capacity Data'!Z$22,NAm!$U$3:$U$82,'NAm Capacity Data'!$A26)+SUMIFS(NAm!$P$3:$P$82,NAm!$F$3:$F$82,'NAm Capacity Data'!Z$22,NAm!$U$3:$U$82,'NAm Capacity Data'!$A26)</f>
        <v>0</v>
      </c>
      <c r="AA26" s="23">
        <f>SUMIFS(NAm!$N$3:$N$82,NAm!$F$3:$F$82,'NAm Capacity Data'!AA$22,NAm!$U$3:$U$82,'NAm Capacity Data'!$A26)+SUMIFS(NAm!$P$3:$P$82,NAm!$F$3:$F$82,'NAm Capacity Data'!AA$22,NAm!$U$3:$U$82,'NAm Capacity Data'!$A26)</f>
        <v>0</v>
      </c>
      <c r="AB26" s="23">
        <f>SUMIFS(NAm!$N$3:$N$82,NAm!$F$3:$F$82,'NAm Capacity Data'!AB$22,NAm!$U$3:$U$82,'NAm Capacity Data'!$A26)+SUMIFS(NAm!$P$3:$P$82,NAm!$F$3:$F$82,'NAm Capacity Data'!AB$22,NAm!$U$3:$U$82,'NAm Capacity Data'!$A26)</f>
        <v>0</v>
      </c>
      <c r="AC26" s="23">
        <f>SUMIFS(NAm!$N$3:$N$82,NAm!$F$3:$F$82,'NAm Capacity Data'!AC$22,NAm!$U$3:$U$82,'NAm Capacity Data'!$A26)+SUMIFS(NAm!$P$3:$P$82,NAm!$F$3:$F$82,'NAm Capacity Data'!AC$22,NAm!$U$3:$U$82,'NAm Capacity Data'!$A26)</f>
        <v>0</v>
      </c>
      <c r="AD26" s="23">
        <f>SUMIFS(NAm!$N$3:$N$82,NAm!$F$3:$F$82,'NAm Capacity Data'!AD$22,NAm!$U$3:$U$82,'NAm Capacity Data'!$A26)+SUMIFS(NAm!$P$3:$P$82,NAm!$F$3:$F$82,'NAm Capacity Data'!AD$22,NAm!$U$3:$U$82,'NAm Capacity Data'!$A26)</f>
        <v>0</v>
      </c>
      <c r="AE26" s="23">
        <f>SUMIFS(NAm!$N$3:$N$82,NAm!$F$3:$F$82,'NAm Capacity Data'!AE$22,NAm!$U$3:$U$82,'NAm Capacity Data'!$A26)+SUMIFS(NAm!$P$3:$P$82,NAm!$F$3:$F$82,'NAm Capacity Data'!AE$22,NAm!$U$3:$U$82,'NAm Capacity Data'!$A26)</f>
        <v>0</v>
      </c>
      <c r="AF26" s="23">
        <f>SUMIFS(NAm!$N$3:$N$82,NAm!$F$3:$F$82,'NAm Capacity Data'!AF$22,NAm!$U$3:$U$82,'NAm Capacity Data'!$A26)+SUMIFS(NAm!$P$3:$P$82,NAm!$F$3:$F$82,'NAm Capacity Data'!AF$22,NAm!$U$3:$U$82,'NAm Capacity Data'!$A26)</f>
        <v>0</v>
      </c>
    </row>
    <row r="27" spans="1:32">
      <c r="A27" s="20" t="s">
        <v>9</v>
      </c>
      <c r="B27" s="22">
        <f>SUMIFS(NAm!$N$3:$N$82,NAm!$F$3:$F$82,"&lt;"&amp;'NAm Capacity Data'!C$22,NAm!$U$3:$U$82,'NAm Capacity Data'!$A27)+SUMIFS(NAm!$P$3:$P$82,NAm!$F$3:$F$82,"&lt;"&amp;'NAm Capacity Data'!C$22,NAm!$U$3:$U$82,'NAm Capacity Data'!$A27)</f>
        <v>0</v>
      </c>
      <c r="C27" s="22">
        <f>SUMIFS(NAm!$N$3:$N$82,NAm!$F$3:$F$82,'NAm Capacity Data'!C$22,NAm!$U$3:$U$82,'NAm Capacity Data'!$A27)+SUMIFS(NAm!$P$3:$P$82,NAm!$F$3:$F$82,'NAm Capacity Data'!C$22,NAm!$U$3:$U$82,'NAm Capacity Data'!$A27)</f>
        <v>0</v>
      </c>
      <c r="D27" s="22">
        <f>SUMIFS(NAm!$N$3:$N$82,NAm!$F$3:$F$82,'NAm Capacity Data'!D$22,NAm!$U$3:$U$82,'NAm Capacity Data'!$A27)+SUMIFS(NAm!$P$3:$P$82,NAm!$F$3:$F$82,'NAm Capacity Data'!D$22,NAm!$U$3:$U$82,'NAm Capacity Data'!$A27)</f>
        <v>0</v>
      </c>
      <c r="E27" s="22">
        <f>SUMIFS(NAm!$N$3:$N$82,NAm!$F$3:$F$82,'NAm Capacity Data'!E$22,NAm!$U$3:$U$82,'NAm Capacity Data'!$A27)+SUMIFS(NAm!$P$3:$P$82,NAm!$F$3:$F$82,'NAm Capacity Data'!E$22,NAm!$U$3:$U$82,'NAm Capacity Data'!$A27)</f>
        <v>0</v>
      </c>
      <c r="F27" s="31">
        <f>SUMIFS(NAm!$N$3:$N$82,NAm!$F$3:$F$82,'NAm Capacity Data'!F$22,NAm!$U$3:$U$82,'NAm Capacity Data'!$A27)+SUMIFS(NAm!$P$3:$P$82,NAm!$F$3:$F$82,'NAm Capacity Data'!F$22,NAm!$U$3:$U$82,'NAm Capacity Data'!$A27)</f>
        <v>0</v>
      </c>
      <c r="G27" s="23">
        <f>SUMIFS(NAm!$N$3:$N$82,NAm!$F$3:$F$82,'NAm Capacity Data'!G$22,NAm!$U$3:$U$82,'NAm Capacity Data'!$A27)+SUMIFS(NAm!$P$3:$P$82,NAm!$F$3:$F$82,'NAm Capacity Data'!G$22,NAm!$U$3:$U$82,'NAm Capacity Data'!$A27)</f>
        <v>10</v>
      </c>
      <c r="H27" s="23">
        <f>SUMIFS(NAm!$N$3:$N$82,NAm!$F$3:$F$82,'NAm Capacity Data'!H$22,NAm!$U$3:$U$82,'NAm Capacity Data'!$A27)+SUMIFS(NAm!$P$3:$P$82,NAm!$F$3:$F$82,'NAm Capacity Data'!H$22,NAm!$U$3:$U$82,'NAm Capacity Data'!$A27)</f>
        <v>1</v>
      </c>
      <c r="I27" s="23">
        <f>SUMIFS(NAm!$N$3:$N$82,NAm!$F$3:$F$82,'NAm Capacity Data'!I$22,NAm!$U$3:$U$82,'NAm Capacity Data'!$A27)+SUMIFS(NAm!$P$3:$P$82,NAm!$F$3:$F$82,'NAm Capacity Data'!I$22,NAm!$U$3:$U$82,'NAm Capacity Data'!$A27)</f>
        <v>0</v>
      </c>
      <c r="J27" s="23">
        <f>SUMIFS(NAm!$N$3:$N$82,NAm!$F$3:$F$82,'NAm Capacity Data'!J$22,NAm!$U$3:$U$82,'NAm Capacity Data'!$A27)+SUMIFS(NAm!$P$3:$P$82,NAm!$F$3:$F$82,'NAm Capacity Data'!J$22,NAm!$U$3:$U$82,'NAm Capacity Data'!$A27)</f>
        <v>0</v>
      </c>
      <c r="K27" s="23">
        <f>SUMIFS(NAm!$N$3:$N$82,NAm!$F$3:$F$82,'NAm Capacity Data'!K$22,NAm!$U$3:$U$82,'NAm Capacity Data'!$A27)+SUMIFS(NAm!$P$3:$P$82,NAm!$F$3:$F$82,'NAm Capacity Data'!K$22,NAm!$U$3:$U$82,'NAm Capacity Data'!$A27)</f>
        <v>0</v>
      </c>
      <c r="L27" s="23">
        <f>SUMIFS(NAm!$N$3:$N$82,NAm!$F$3:$F$82,'NAm Capacity Data'!L$22,NAm!$U$3:$U$82,'NAm Capacity Data'!$A27)+SUMIFS(NAm!$P$3:$P$82,NAm!$F$3:$F$82,'NAm Capacity Data'!L$22,NAm!$U$3:$U$82,'NAm Capacity Data'!$A27)</f>
        <v>0</v>
      </c>
      <c r="M27" s="23">
        <f>SUMIFS(NAm!$N$3:$N$82,NAm!$F$3:$F$82,'NAm Capacity Data'!M$22,NAm!$U$3:$U$82,'NAm Capacity Data'!$A27)+SUMIFS(NAm!$P$3:$P$82,NAm!$F$3:$F$82,'NAm Capacity Data'!M$22,NAm!$U$3:$U$82,'NAm Capacity Data'!$A27)</f>
        <v>0</v>
      </c>
      <c r="N27" s="23">
        <f>SUMIFS(NAm!$N$3:$N$82,NAm!$F$3:$F$82,'NAm Capacity Data'!N$22,NAm!$U$3:$U$82,'NAm Capacity Data'!$A27)+SUMIFS(NAm!$P$3:$P$82,NAm!$F$3:$F$82,'NAm Capacity Data'!N$22,NAm!$U$3:$U$82,'NAm Capacity Data'!$A27)</f>
        <v>0</v>
      </c>
      <c r="O27" s="23">
        <f>SUMIFS(NAm!$N$3:$N$82,NAm!$F$3:$F$82,'NAm Capacity Data'!O$22,NAm!$U$3:$U$82,'NAm Capacity Data'!$A27)+SUMIFS(NAm!$P$3:$P$82,NAm!$F$3:$F$82,'NAm Capacity Data'!O$22,NAm!$U$3:$U$82,'NAm Capacity Data'!$A27)</f>
        <v>0</v>
      </c>
      <c r="P27" s="23">
        <f>SUMIFS(NAm!$N$3:$N$82,NAm!$F$3:$F$82,'NAm Capacity Data'!P$22,NAm!$U$3:$U$82,'NAm Capacity Data'!$A27)+SUMIFS(NAm!$P$3:$P$82,NAm!$F$3:$F$82,'NAm Capacity Data'!P$22,NAm!$U$3:$U$82,'NAm Capacity Data'!$A27)</f>
        <v>0</v>
      </c>
      <c r="Q27" s="23">
        <f>SUMIFS(NAm!$N$3:$N$82,NAm!$F$3:$F$82,'NAm Capacity Data'!Q$22,NAm!$U$3:$U$82,'NAm Capacity Data'!$A27)+SUMIFS(NAm!$P$3:$P$82,NAm!$F$3:$F$82,'NAm Capacity Data'!Q$22,NAm!$U$3:$U$82,'NAm Capacity Data'!$A27)</f>
        <v>0</v>
      </c>
      <c r="R27" s="23">
        <f>SUMIFS(NAm!$N$3:$N$82,NAm!$F$3:$F$82,'NAm Capacity Data'!R$22,NAm!$U$3:$U$82,'NAm Capacity Data'!$A27)+SUMIFS(NAm!$P$3:$P$82,NAm!$F$3:$F$82,'NAm Capacity Data'!R$22,NAm!$U$3:$U$82,'NAm Capacity Data'!$A27)</f>
        <v>0</v>
      </c>
      <c r="S27" s="23">
        <f>SUMIFS(NAm!$N$3:$N$82,NAm!$F$3:$F$82,'NAm Capacity Data'!S$22,NAm!$U$3:$U$82,'NAm Capacity Data'!$A27)+SUMIFS(NAm!$P$3:$P$82,NAm!$F$3:$F$82,'NAm Capacity Data'!S$22,NAm!$U$3:$U$82,'NAm Capacity Data'!$A27)</f>
        <v>0</v>
      </c>
      <c r="T27" s="23">
        <f>SUMIFS(NAm!$N$3:$N$82,NAm!$F$3:$F$82,'NAm Capacity Data'!T$22,NAm!$U$3:$U$82,'NAm Capacity Data'!$A27)+SUMIFS(NAm!$P$3:$P$82,NAm!$F$3:$F$82,'NAm Capacity Data'!T$22,NAm!$U$3:$U$82,'NAm Capacity Data'!$A27)</f>
        <v>0</v>
      </c>
      <c r="U27" s="23">
        <f>SUMIFS(NAm!$N$3:$N$82,NAm!$F$3:$F$82,'NAm Capacity Data'!U$22,NAm!$U$3:$U$82,'NAm Capacity Data'!$A27)+SUMIFS(NAm!$P$3:$P$82,NAm!$F$3:$F$82,'NAm Capacity Data'!U$22,NAm!$U$3:$U$82,'NAm Capacity Data'!$A27)</f>
        <v>0</v>
      </c>
      <c r="V27" s="23">
        <f>SUMIFS(NAm!$N$3:$N$82,NAm!$F$3:$F$82,'NAm Capacity Data'!V$22,NAm!$U$3:$U$82,'NAm Capacity Data'!$A27)+SUMIFS(NAm!$P$3:$P$82,NAm!$F$3:$F$82,'NAm Capacity Data'!V$22,NAm!$U$3:$U$82,'NAm Capacity Data'!$A27)</f>
        <v>0</v>
      </c>
      <c r="W27" s="23">
        <f>SUMIFS(NAm!$N$3:$N$82,NAm!$F$3:$F$82,'NAm Capacity Data'!W$22,NAm!$U$3:$U$82,'NAm Capacity Data'!$A27)+SUMIFS(NAm!$P$3:$P$82,NAm!$F$3:$F$82,'NAm Capacity Data'!W$22,NAm!$U$3:$U$82,'NAm Capacity Data'!$A27)</f>
        <v>0</v>
      </c>
      <c r="X27" s="23">
        <f>SUMIFS(NAm!$N$3:$N$82,NAm!$F$3:$F$82,'NAm Capacity Data'!X$22,NAm!$U$3:$U$82,'NAm Capacity Data'!$A27)+SUMIFS(NAm!$P$3:$P$82,NAm!$F$3:$F$82,'NAm Capacity Data'!X$22,NAm!$U$3:$U$82,'NAm Capacity Data'!$A27)</f>
        <v>0</v>
      </c>
      <c r="Y27" s="23">
        <f>SUMIFS(NAm!$N$3:$N$82,NAm!$F$3:$F$82,'NAm Capacity Data'!Y$22,NAm!$U$3:$U$82,'NAm Capacity Data'!$A27)+SUMIFS(NAm!$P$3:$P$82,NAm!$F$3:$F$82,'NAm Capacity Data'!Y$22,NAm!$U$3:$U$82,'NAm Capacity Data'!$A27)</f>
        <v>0</v>
      </c>
      <c r="Z27" s="23">
        <f>SUMIFS(NAm!$N$3:$N$82,NAm!$F$3:$F$82,'NAm Capacity Data'!Z$22,NAm!$U$3:$U$82,'NAm Capacity Data'!$A27)+SUMIFS(NAm!$P$3:$P$82,NAm!$F$3:$F$82,'NAm Capacity Data'!Z$22,NAm!$U$3:$U$82,'NAm Capacity Data'!$A27)</f>
        <v>0</v>
      </c>
      <c r="AA27" s="23">
        <f>SUMIFS(NAm!$N$3:$N$82,NAm!$F$3:$F$82,'NAm Capacity Data'!AA$22,NAm!$U$3:$U$82,'NAm Capacity Data'!$A27)+SUMIFS(NAm!$P$3:$P$82,NAm!$F$3:$F$82,'NAm Capacity Data'!AA$22,NAm!$U$3:$U$82,'NAm Capacity Data'!$A27)</f>
        <v>0</v>
      </c>
      <c r="AB27" s="23">
        <f>SUMIFS(NAm!$N$3:$N$82,NAm!$F$3:$F$82,'NAm Capacity Data'!AB$22,NAm!$U$3:$U$82,'NAm Capacity Data'!$A27)+SUMIFS(NAm!$P$3:$P$82,NAm!$F$3:$F$82,'NAm Capacity Data'!AB$22,NAm!$U$3:$U$82,'NAm Capacity Data'!$A27)</f>
        <v>0</v>
      </c>
      <c r="AC27" s="23">
        <f>SUMIFS(NAm!$N$3:$N$82,NAm!$F$3:$F$82,'NAm Capacity Data'!AC$22,NAm!$U$3:$U$82,'NAm Capacity Data'!$A27)+SUMIFS(NAm!$P$3:$P$82,NAm!$F$3:$F$82,'NAm Capacity Data'!AC$22,NAm!$U$3:$U$82,'NAm Capacity Data'!$A27)</f>
        <v>0</v>
      </c>
      <c r="AD27" s="23">
        <f>SUMIFS(NAm!$N$3:$N$82,NAm!$F$3:$F$82,'NAm Capacity Data'!AD$22,NAm!$U$3:$U$82,'NAm Capacity Data'!$A27)+SUMIFS(NAm!$P$3:$P$82,NAm!$F$3:$F$82,'NAm Capacity Data'!AD$22,NAm!$U$3:$U$82,'NAm Capacity Data'!$A27)</f>
        <v>0</v>
      </c>
      <c r="AE27" s="23">
        <f>SUMIFS(NAm!$N$3:$N$82,NAm!$F$3:$F$82,'NAm Capacity Data'!AE$22,NAm!$U$3:$U$82,'NAm Capacity Data'!$A27)+SUMIFS(NAm!$P$3:$P$82,NAm!$F$3:$F$82,'NAm Capacity Data'!AE$22,NAm!$U$3:$U$82,'NAm Capacity Data'!$A27)</f>
        <v>0</v>
      </c>
      <c r="AF27" s="23">
        <f>SUMIFS(NAm!$N$3:$N$82,NAm!$F$3:$F$82,'NAm Capacity Data'!AF$22,NAm!$U$3:$U$82,'NAm Capacity Data'!$A27)+SUMIFS(NAm!$P$3:$P$82,NAm!$F$3:$F$82,'NAm Capacity Data'!AF$22,NAm!$U$3:$U$82,'NAm Capacity Data'!$A27)</f>
        <v>0</v>
      </c>
    </row>
    <row r="28" spans="1:32">
      <c r="A28" s="20" t="s">
        <v>10</v>
      </c>
      <c r="B28" s="22">
        <f>SUMIFS(NAm!$N$3:$N$82,NAm!$F$3:$F$82,"&lt;"&amp;'NAm Capacity Data'!C$22,NAm!$U$3:$U$82,'NAm Capacity Data'!$A28)+SUMIFS(NAm!$P$3:$P$82,NAm!$F$3:$F$82,"&lt;"&amp;'NAm Capacity Data'!C$22,NAm!$U$3:$U$82,'NAm Capacity Data'!$A28)</f>
        <v>0</v>
      </c>
      <c r="C28" s="22">
        <f>SUMIFS(NAm!$N$3:$N$82,NAm!$F$3:$F$82,'NAm Capacity Data'!C$22,NAm!$U$3:$U$82,'NAm Capacity Data'!$A28)+SUMIFS(NAm!$P$3:$P$82,NAm!$F$3:$F$82,'NAm Capacity Data'!C$22,NAm!$U$3:$U$82,'NAm Capacity Data'!$A28)</f>
        <v>73.5</v>
      </c>
      <c r="D28" s="22">
        <f>SUMIFS(NAm!$N$3:$N$82,NAm!$F$3:$F$82,'NAm Capacity Data'!D$22,NAm!$U$3:$U$82,'NAm Capacity Data'!$A28)+SUMIFS(NAm!$P$3:$P$82,NAm!$F$3:$F$82,'NAm Capacity Data'!D$22,NAm!$U$3:$U$82,'NAm Capacity Data'!$A28)</f>
        <v>0</v>
      </c>
      <c r="E28" s="22">
        <f>SUMIFS(NAm!$N$3:$N$82,NAm!$F$3:$F$82,'NAm Capacity Data'!E$22,NAm!$U$3:$U$82,'NAm Capacity Data'!$A28)+SUMIFS(NAm!$P$3:$P$82,NAm!$F$3:$F$82,'NAm Capacity Data'!E$22,NAm!$U$3:$U$82,'NAm Capacity Data'!$A28)</f>
        <v>0</v>
      </c>
      <c r="F28" s="23">
        <f>SUMIFS(NAm!$N$3:$N$82,NAm!$F$3:$F$82,'NAm Capacity Data'!F$22,NAm!$U$3:$U$82,'NAm Capacity Data'!$A28)+SUMIFS(NAm!$P$3:$P$82,NAm!$F$3:$F$82,'NAm Capacity Data'!F$22,NAm!$U$3:$U$82,'NAm Capacity Data'!$A28)</f>
        <v>0.32</v>
      </c>
      <c r="G28" s="23">
        <f>SUMIFS(NAm!$N$3:$N$82,NAm!$F$3:$F$82,'NAm Capacity Data'!G$22,NAm!$U$3:$U$82,'NAm Capacity Data'!$A28)+SUMIFS(NAm!$P$3:$P$82,NAm!$F$3:$F$82,'NAm Capacity Data'!G$22,NAm!$U$3:$U$82,'NAm Capacity Data'!$A28)</f>
        <v>10</v>
      </c>
      <c r="H28" s="23">
        <f>SUMIFS(NAm!$N$3:$N$82,NAm!$F$3:$F$82,'NAm Capacity Data'!H$22,NAm!$U$3:$U$82,'NAm Capacity Data'!$A28)+SUMIFS(NAm!$P$3:$P$82,NAm!$F$3:$F$82,'NAm Capacity Data'!H$22,NAm!$U$3:$U$82,'NAm Capacity Data'!$A28)</f>
        <v>0</v>
      </c>
      <c r="I28" s="23">
        <f>SUMIFS(NAm!$N$3:$N$82,NAm!$F$3:$F$82,'NAm Capacity Data'!I$22,NAm!$U$3:$U$82,'NAm Capacity Data'!$A28)+SUMIFS(NAm!$P$3:$P$82,NAm!$F$3:$F$82,'NAm Capacity Data'!I$22,NAm!$U$3:$U$82,'NAm Capacity Data'!$A28)</f>
        <v>73.5</v>
      </c>
      <c r="J28" s="23">
        <f>SUMIFS(NAm!$N$3:$N$82,NAm!$F$3:$F$82,'NAm Capacity Data'!J$22,NAm!$U$3:$U$82,'NAm Capacity Data'!$A28)+SUMIFS(NAm!$P$3:$P$82,NAm!$F$3:$F$82,'NAm Capacity Data'!J$22,NAm!$U$3:$U$82,'NAm Capacity Data'!$A28)</f>
        <v>0</v>
      </c>
      <c r="K28" s="23">
        <f>SUMIFS(NAm!$N$3:$N$82,NAm!$F$3:$F$82,'NAm Capacity Data'!K$22,NAm!$U$3:$U$82,'NAm Capacity Data'!$A28)+SUMIFS(NAm!$P$3:$P$82,NAm!$F$3:$F$82,'NAm Capacity Data'!K$22,NAm!$U$3:$U$82,'NAm Capacity Data'!$A28)</f>
        <v>0</v>
      </c>
      <c r="L28" s="23">
        <f>SUMIFS(NAm!$N$3:$N$82,NAm!$F$3:$F$82,'NAm Capacity Data'!L$22,NAm!$U$3:$U$82,'NAm Capacity Data'!$A28)+SUMIFS(NAm!$P$3:$P$82,NAm!$F$3:$F$82,'NAm Capacity Data'!L$22,NAm!$U$3:$U$82,'NAm Capacity Data'!$A28)</f>
        <v>0</v>
      </c>
      <c r="M28" s="23">
        <f>SUMIFS(NAm!$N$3:$N$82,NAm!$F$3:$F$82,'NAm Capacity Data'!M$22,NAm!$U$3:$U$82,'NAm Capacity Data'!$A28)+SUMIFS(NAm!$P$3:$P$82,NAm!$F$3:$F$82,'NAm Capacity Data'!M$22,NAm!$U$3:$U$82,'NAm Capacity Data'!$A28)</f>
        <v>0</v>
      </c>
      <c r="N28" s="23">
        <f>SUMIFS(NAm!$N$3:$N$82,NAm!$F$3:$F$82,'NAm Capacity Data'!N$22,NAm!$U$3:$U$82,'NAm Capacity Data'!$A28)+SUMIFS(NAm!$P$3:$P$82,NAm!$F$3:$F$82,'NAm Capacity Data'!N$22,NAm!$U$3:$U$82,'NAm Capacity Data'!$A28)</f>
        <v>0</v>
      </c>
      <c r="O28" s="23">
        <f>SUMIFS(NAm!$N$3:$N$82,NAm!$F$3:$F$82,'NAm Capacity Data'!O$22,NAm!$U$3:$U$82,'NAm Capacity Data'!$A28)+SUMIFS(NAm!$P$3:$P$82,NAm!$F$3:$F$82,'NAm Capacity Data'!O$22,NAm!$U$3:$U$82,'NAm Capacity Data'!$A28)</f>
        <v>0</v>
      </c>
      <c r="P28" s="23">
        <f>SUMIFS(NAm!$N$3:$N$82,NAm!$F$3:$F$82,'NAm Capacity Data'!P$22,NAm!$U$3:$U$82,'NAm Capacity Data'!$A28)+SUMIFS(NAm!$P$3:$P$82,NAm!$F$3:$F$82,'NAm Capacity Data'!P$22,NAm!$U$3:$U$82,'NAm Capacity Data'!$A28)</f>
        <v>0</v>
      </c>
      <c r="Q28" s="23">
        <f>SUMIFS(NAm!$N$3:$N$82,NAm!$F$3:$F$82,'NAm Capacity Data'!Q$22,NAm!$U$3:$U$82,'NAm Capacity Data'!$A28)+SUMIFS(NAm!$P$3:$P$82,NAm!$F$3:$F$82,'NAm Capacity Data'!Q$22,NAm!$U$3:$U$82,'NAm Capacity Data'!$A28)</f>
        <v>0</v>
      </c>
      <c r="R28" s="23">
        <f>SUMIFS(NAm!$N$3:$N$82,NAm!$F$3:$F$82,'NAm Capacity Data'!R$22,NAm!$U$3:$U$82,'NAm Capacity Data'!$A28)+SUMIFS(NAm!$P$3:$P$82,NAm!$F$3:$F$82,'NAm Capacity Data'!R$22,NAm!$U$3:$U$82,'NAm Capacity Data'!$A28)</f>
        <v>0</v>
      </c>
      <c r="S28" s="23">
        <f>SUMIFS(NAm!$N$3:$N$82,NAm!$F$3:$F$82,'NAm Capacity Data'!S$22,NAm!$U$3:$U$82,'NAm Capacity Data'!$A28)+SUMIFS(NAm!$P$3:$P$82,NAm!$F$3:$F$82,'NAm Capacity Data'!S$22,NAm!$U$3:$U$82,'NAm Capacity Data'!$A28)</f>
        <v>0</v>
      </c>
      <c r="T28" s="23">
        <f>SUMIFS(NAm!$N$3:$N$82,NAm!$F$3:$F$82,'NAm Capacity Data'!T$22,NAm!$U$3:$U$82,'NAm Capacity Data'!$A28)+SUMIFS(NAm!$P$3:$P$82,NAm!$F$3:$F$82,'NAm Capacity Data'!T$22,NAm!$U$3:$U$82,'NAm Capacity Data'!$A28)</f>
        <v>0</v>
      </c>
      <c r="U28" s="23">
        <f>SUMIFS(NAm!$N$3:$N$82,NAm!$F$3:$F$82,'NAm Capacity Data'!U$22,NAm!$U$3:$U$82,'NAm Capacity Data'!$A28)+SUMIFS(NAm!$P$3:$P$82,NAm!$F$3:$F$82,'NAm Capacity Data'!U$22,NAm!$U$3:$U$82,'NAm Capacity Data'!$A28)</f>
        <v>0</v>
      </c>
      <c r="V28" s="23">
        <f>SUMIFS(NAm!$N$3:$N$82,NAm!$F$3:$F$82,'NAm Capacity Data'!V$22,NAm!$U$3:$U$82,'NAm Capacity Data'!$A28)+SUMIFS(NAm!$P$3:$P$82,NAm!$F$3:$F$82,'NAm Capacity Data'!V$22,NAm!$U$3:$U$82,'NAm Capacity Data'!$A28)</f>
        <v>0</v>
      </c>
      <c r="W28" s="23">
        <f>SUMIFS(NAm!$N$3:$N$82,NAm!$F$3:$F$82,'NAm Capacity Data'!W$22,NAm!$U$3:$U$82,'NAm Capacity Data'!$A28)+SUMIFS(NAm!$P$3:$P$82,NAm!$F$3:$F$82,'NAm Capacity Data'!W$22,NAm!$U$3:$U$82,'NAm Capacity Data'!$A28)</f>
        <v>0</v>
      </c>
      <c r="X28" s="23">
        <f>SUMIFS(NAm!$N$3:$N$82,NAm!$F$3:$F$82,'NAm Capacity Data'!X$22,NAm!$U$3:$U$82,'NAm Capacity Data'!$A28)+SUMIFS(NAm!$P$3:$P$82,NAm!$F$3:$F$82,'NAm Capacity Data'!X$22,NAm!$U$3:$U$82,'NAm Capacity Data'!$A28)</f>
        <v>0</v>
      </c>
      <c r="Y28" s="23">
        <f>SUMIFS(NAm!$N$3:$N$82,NAm!$F$3:$F$82,'NAm Capacity Data'!Y$22,NAm!$U$3:$U$82,'NAm Capacity Data'!$A28)+SUMIFS(NAm!$P$3:$P$82,NAm!$F$3:$F$82,'NAm Capacity Data'!Y$22,NAm!$U$3:$U$82,'NAm Capacity Data'!$A28)</f>
        <v>0</v>
      </c>
      <c r="Z28" s="23">
        <f>SUMIFS(NAm!$N$3:$N$82,NAm!$F$3:$F$82,'NAm Capacity Data'!Z$22,NAm!$U$3:$U$82,'NAm Capacity Data'!$A28)+SUMIFS(NAm!$P$3:$P$82,NAm!$F$3:$F$82,'NAm Capacity Data'!Z$22,NAm!$U$3:$U$82,'NAm Capacity Data'!$A28)</f>
        <v>0</v>
      </c>
      <c r="AA28" s="23">
        <f>SUMIFS(NAm!$N$3:$N$82,NAm!$F$3:$F$82,'NAm Capacity Data'!AA$22,NAm!$U$3:$U$82,'NAm Capacity Data'!$A28)+SUMIFS(NAm!$P$3:$P$82,NAm!$F$3:$F$82,'NAm Capacity Data'!AA$22,NAm!$U$3:$U$82,'NAm Capacity Data'!$A28)</f>
        <v>0</v>
      </c>
      <c r="AB28" s="23">
        <f>SUMIFS(NAm!$N$3:$N$82,NAm!$F$3:$F$82,'NAm Capacity Data'!AB$22,NAm!$U$3:$U$82,'NAm Capacity Data'!$A28)+SUMIFS(NAm!$P$3:$P$82,NAm!$F$3:$F$82,'NAm Capacity Data'!AB$22,NAm!$U$3:$U$82,'NAm Capacity Data'!$A28)</f>
        <v>0</v>
      </c>
      <c r="AC28" s="23">
        <f>SUMIFS(NAm!$N$3:$N$82,NAm!$F$3:$F$82,'NAm Capacity Data'!AC$22,NAm!$U$3:$U$82,'NAm Capacity Data'!$A28)+SUMIFS(NAm!$P$3:$P$82,NAm!$F$3:$F$82,'NAm Capacity Data'!AC$22,NAm!$U$3:$U$82,'NAm Capacity Data'!$A28)</f>
        <v>0</v>
      </c>
      <c r="AD28" s="23">
        <f>SUMIFS(NAm!$N$3:$N$82,NAm!$F$3:$F$82,'NAm Capacity Data'!AD$22,NAm!$U$3:$U$82,'NAm Capacity Data'!$A28)+SUMIFS(NAm!$P$3:$P$82,NAm!$F$3:$F$82,'NAm Capacity Data'!AD$22,NAm!$U$3:$U$82,'NAm Capacity Data'!$A28)</f>
        <v>0</v>
      </c>
      <c r="AE28" s="23">
        <f>SUMIFS(NAm!$N$3:$N$82,NAm!$F$3:$F$82,'NAm Capacity Data'!AE$22,NAm!$U$3:$U$82,'NAm Capacity Data'!$A28)+SUMIFS(NAm!$P$3:$P$82,NAm!$F$3:$F$82,'NAm Capacity Data'!AE$22,NAm!$U$3:$U$82,'NAm Capacity Data'!$A28)</f>
        <v>0</v>
      </c>
      <c r="AF28" s="23">
        <f>SUMIFS(NAm!$N$3:$N$82,NAm!$F$3:$F$82,'NAm Capacity Data'!AF$22,NAm!$U$3:$U$82,'NAm Capacity Data'!$A28)+SUMIFS(NAm!$P$3:$P$82,NAm!$F$3:$F$82,'NAm Capacity Data'!AF$22,NAm!$U$3:$U$82,'NAm Capacity Data'!$A28)</f>
        <v>0</v>
      </c>
    </row>
    <row r="29" spans="1:32" ht="15.75" thickBot="1">
      <c r="A29" s="21" t="s">
        <v>11</v>
      </c>
      <c r="B29" s="24">
        <f>SUM(B23:B28)</f>
        <v>142.1</v>
      </c>
      <c r="C29" s="24">
        <f>B29+SUM(C23:C28)</f>
        <v>565.6</v>
      </c>
      <c r="D29" s="24">
        <f>C29+SUM(D23:D28)</f>
        <v>965.601</v>
      </c>
      <c r="E29" s="24">
        <f t="shared" ref="E29:AF29" si="7">D29+SUM(E23:E28)</f>
        <v>965.601</v>
      </c>
      <c r="F29" s="25">
        <f t="shared" si="7"/>
        <v>1848.3172582652869</v>
      </c>
      <c r="G29" s="25">
        <f t="shared" si="7"/>
        <v>2492.8350707652871</v>
      </c>
      <c r="H29" s="25">
        <f t="shared" si="7"/>
        <v>3418.6350707652873</v>
      </c>
      <c r="I29" s="25">
        <f t="shared" si="7"/>
        <v>5844.6350707652873</v>
      </c>
      <c r="J29" s="25">
        <f t="shared" si="7"/>
        <v>6270.6350707652873</v>
      </c>
      <c r="K29" s="25">
        <f t="shared" si="7"/>
        <v>6520.6350707652873</v>
      </c>
      <c r="L29" s="25">
        <f t="shared" si="7"/>
        <v>6703.1350707652873</v>
      </c>
      <c r="M29" s="25">
        <f t="shared" si="7"/>
        <v>6771.1750707652873</v>
      </c>
      <c r="N29" s="25">
        <f t="shared" si="7"/>
        <v>6771.1750707652873</v>
      </c>
      <c r="O29" s="25">
        <f t="shared" si="7"/>
        <v>6771.1750707652873</v>
      </c>
      <c r="P29" s="25">
        <f t="shared" si="7"/>
        <v>6771.1750707652873</v>
      </c>
      <c r="Q29" s="25">
        <f t="shared" si="7"/>
        <v>6771.1750707652873</v>
      </c>
      <c r="R29" s="25">
        <f t="shared" si="7"/>
        <v>6771.1750707652873</v>
      </c>
      <c r="S29" s="25">
        <f t="shared" si="7"/>
        <v>6771.1750707652873</v>
      </c>
      <c r="T29" s="25">
        <f t="shared" si="7"/>
        <v>6771.1750707652873</v>
      </c>
      <c r="U29" s="25">
        <f t="shared" si="7"/>
        <v>6771.1750707652873</v>
      </c>
      <c r="V29" s="25">
        <f t="shared" si="7"/>
        <v>6771.1750707652873</v>
      </c>
      <c r="W29" s="25">
        <f t="shared" si="7"/>
        <v>6771.1750707652873</v>
      </c>
      <c r="X29" s="25">
        <f t="shared" si="7"/>
        <v>6771.1750707652873</v>
      </c>
      <c r="Y29" s="25">
        <f t="shared" si="7"/>
        <v>6771.1750707652873</v>
      </c>
      <c r="Z29" s="25">
        <f t="shared" si="7"/>
        <v>6771.1750707652873</v>
      </c>
      <c r="AA29" s="25">
        <f t="shared" si="7"/>
        <v>6771.1750707652873</v>
      </c>
      <c r="AB29" s="25">
        <f t="shared" si="7"/>
        <v>6771.1750707652873</v>
      </c>
      <c r="AC29" s="25">
        <f t="shared" si="7"/>
        <v>6771.1750707652873</v>
      </c>
      <c r="AD29" s="25">
        <f t="shared" si="7"/>
        <v>6771.1750707652873</v>
      </c>
      <c r="AE29" s="25">
        <f t="shared" si="7"/>
        <v>6771.1750707652873</v>
      </c>
      <c r="AF29" s="25">
        <f t="shared" si="7"/>
        <v>6771.1750707652873</v>
      </c>
    </row>
    <row r="30" spans="1:32">
      <c r="A30" s="14"/>
      <c r="B30" s="26">
        <f>B19/B29</f>
        <v>0.59817100633356801</v>
      </c>
      <c r="C30" s="26">
        <f t="shared" ref="C30:AF30" si="8">C19/C29</f>
        <v>0.28085236916548795</v>
      </c>
      <c r="D30" s="26">
        <f t="shared" si="8"/>
        <v>0.57875986043924976</v>
      </c>
      <c r="E30" s="26">
        <f t="shared" si="8"/>
        <v>0.57875986043924976</v>
      </c>
      <c r="F30" s="26">
        <f t="shared" si="8"/>
        <v>0.75546732437562369</v>
      </c>
      <c r="G30" s="26">
        <f t="shared" si="8"/>
        <v>0.76489508012802498</v>
      </c>
      <c r="H30" s="26">
        <f t="shared" si="8"/>
        <v>0.72303630836082056</v>
      </c>
      <c r="I30" s="26">
        <f t="shared" si="8"/>
        <v>0.61560084378849922</v>
      </c>
      <c r="J30" s="26">
        <f t="shared" si="8"/>
        <v>0.59939180621784438</v>
      </c>
      <c r="K30" s="26">
        <f t="shared" si="8"/>
        <v>0.59328075244439882</v>
      </c>
      <c r="L30" s="26">
        <f t="shared" si="8"/>
        <v>0.58466183954600381</v>
      </c>
      <c r="M30" s="26">
        <f t="shared" si="8"/>
        <v>0.57928930210862839</v>
      </c>
      <c r="N30" s="26">
        <f t="shared" si="8"/>
        <v>0.57928930210862839</v>
      </c>
      <c r="O30" s="26">
        <f t="shared" si="8"/>
        <v>0.57928930210862839</v>
      </c>
      <c r="P30" s="26">
        <f t="shared" si="8"/>
        <v>0.57928930210862839</v>
      </c>
      <c r="Q30" s="26">
        <f t="shared" si="8"/>
        <v>0.57928930210862839</v>
      </c>
      <c r="R30" s="26">
        <f t="shared" si="8"/>
        <v>0.57928930210862839</v>
      </c>
      <c r="S30" s="26">
        <f t="shared" si="8"/>
        <v>0.57928930210862839</v>
      </c>
      <c r="T30" s="26">
        <f t="shared" si="8"/>
        <v>0.57928930210862839</v>
      </c>
      <c r="U30" s="26">
        <f t="shared" si="8"/>
        <v>0.57928930210862839</v>
      </c>
      <c r="V30" s="26">
        <f t="shared" si="8"/>
        <v>0.57928930210862839</v>
      </c>
      <c r="W30" s="26">
        <f t="shared" si="8"/>
        <v>0.57928930210862839</v>
      </c>
      <c r="X30" s="26">
        <f t="shared" si="8"/>
        <v>0.57928930210862839</v>
      </c>
      <c r="Y30" s="26">
        <f t="shared" si="8"/>
        <v>0.57928930210862839</v>
      </c>
      <c r="Z30" s="26">
        <f t="shared" si="8"/>
        <v>0.57928930210862839</v>
      </c>
      <c r="AA30" s="26">
        <f t="shared" si="8"/>
        <v>0.57928930210862839</v>
      </c>
      <c r="AB30" s="26">
        <f t="shared" si="8"/>
        <v>0.57928930210862839</v>
      </c>
      <c r="AC30" s="26">
        <f t="shared" si="8"/>
        <v>0.57928930210862839</v>
      </c>
      <c r="AD30" s="26">
        <f t="shared" si="8"/>
        <v>0.57928930210862839</v>
      </c>
      <c r="AE30" s="26">
        <f t="shared" si="8"/>
        <v>0.57928930210862839</v>
      </c>
      <c r="AF30" s="26">
        <f t="shared" si="8"/>
        <v>0.57928930210862839</v>
      </c>
    </row>
    <row r="31" spans="1:32" ht="15.75" thickBot="1">
      <c r="A31" s="16" t="s">
        <v>455</v>
      </c>
      <c r="C31" s="27"/>
      <c r="D31" s="27"/>
      <c r="E31" s="27"/>
      <c r="F31" s="27"/>
      <c r="G31" s="27"/>
      <c r="H31" s="27"/>
      <c r="I31" s="27"/>
      <c r="J31" s="27"/>
      <c r="K31" s="27"/>
      <c r="L31" s="27"/>
      <c r="M31" s="27"/>
      <c r="N31" s="27"/>
      <c r="O31" s="27"/>
      <c r="P31" s="27"/>
    </row>
    <row r="32" spans="1:32" ht="15.75" thickBot="1">
      <c r="A32" s="17" t="s">
        <v>3</v>
      </c>
      <c r="B32" s="28" t="str">
        <f>B22</f>
        <v>&lt; 2021</v>
      </c>
      <c r="C32" s="18">
        <f>C22</f>
        <v>2021</v>
      </c>
      <c r="D32" s="18">
        <f t="shared" ref="D32:AF32" si="9">D22</f>
        <v>2022</v>
      </c>
      <c r="E32" s="18">
        <f t="shared" si="9"/>
        <v>2023</v>
      </c>
      <c r="F32" s="18">
        <f t="shared" si="9"/>
        <v>2024</v>
      </c>
      <c r="G32" s="18">
        <f t="shared" si="9"/>
        <v>2025</v>
      </c>
      <c r="H32" s="18">
        <f t="shared" si="9"/>
        <v>2026</v>
      </c>
      <c r="I32" s="18">
        <f t="shared" si="9"/>
        <v>2027</v>
      </c>
      <c r="J32" s="18">
        <f t="shared" si="9"/>
        <v>2028</v>
      </c>
      <c r="K32" s="18">
        <f t="shared" si="9"/>
        <v>2029</v>
      </c>
      <c r="L32" s="18">
        <f t="shared" si="9"/>
        <v>2030</v>
      </c>
      <c r="M32" s="18">
        <f t="shared" si="9"/>
        <v>2031</v>
      </c>
      <c r="N32" s="18">
        <f t="shared" si="9"/>
        <v>2032</v>
      </c>
      <c r="O32" s="18">
        <f t="shared" si="9"/>
        <v>2033</v>
      </c>
      <c r="P32" s="18">
        <f t="shared" si="9"/>
        <v>2034</v>
      </c>
      <c r="Q32" s="18">
        <f t="shared" si="9"/>
        <v>2035</v>
      </c>
      <c r="R32" s="18">
        <f t="shared" si="9"/>
        <v>2036</v>
      </c>
      <c r="S32" s="18">
        <f t="shared" si="9"/>
        <v>2037</v>
      </c>
      <c r="T32" s="18">
        <f t="shared" si="9"/>
        <v>2038</v>
      </c>
      <c r="U32" s="18">
        <f t="shared" si="9"/>
        <v>2039</v>
      </c>
      <c r="V32" s="18">
        <f t="shared" si="9"/>
        <v>2040</v>
      </c>
      <c r="W32" s="18">
        <f t="shared" si="9"/>
        <v>2041</v>
      </c>
      <c r="X32" s="18">
        <f t="shared" si="9"/>
        <v>2042</v>
      </c>
      <c r="Y32" s="18">
        <f t="shared" si="9"/>
        <v>2043</v>
      </c>
      <c r="Z32" s="18">
        <f t="shared" si="9"/>
        <v>2044</v>
      </c>
      <c r="AA32" s="18">
        <f t="shared" si="9"/>
        <v>2045</v>
      </c>
      <c r="AB32" s="18">
        <f t="shared" si="9"/>
        <v>2046</v>
      </c>
      <c r="AC32" s="18">
        <f t="shared" si="9"/>
        <v>2047</v>
      </c>
      <c r="AD32" s="18">
        <f t="shared" si="9"/>
        <v>2048</v>
      </c>
      <c r="AE32" s="18">
        <f t="shared" si="9"/>
        <v>2049</v>
      </c>
      <c r="AF32" s="18">
        <f t="shared" si="9"/>
        <v>2050</v>
      </c>
    </row>
    <row r="33" spans="1:35">
      <c r="A33" s="20" t="s">
        <v>15</v>
      </c>
      <c r="B33" s="22">
        <f t="shared" ref="B33:B38" si="10">B23</f>
        <v>82</v>
      </c>
      <c r="C33" s="22">
        <f t="shared" ref="C33:AF35" si="11">B33+C23</f>
        <v>432</v>
      </c>
      <c r="D33" s="22">
        <f t="shared" si="11"/>
        <v>832</v>
      </c>
      <c r="E33" s="22">
        <f t="shared" si="11"/>
        <v>832</v>
      </c>
      <c r="F33" s="23">
        <f>E33+F23</f>
        <v>1705</v>
      </c>
      <c r="G33" s="23">
        <f t="shared" si="11"/>
        <v>2148.326</v>
      </c>
      <c r="H33" s="23">
        <f t="shared" si="11"/>
        <v>2721.1260000000002</v>
      </c>
      <c r="I33" s="23">
        <f t="shared" si="11"/>
        <v>4172.1260000000002</v>
      </c>
      <c r="J33" s="23">
        <f t="shared" si="11"/>
        <v>4254.6260000000002</v>
      </c>
      <c r="K33" s="23">
        <f t="shared" si="11"/>
        <v>4325.6260000000002</v>
      </c>
      <c r="L33" s="23">
        <f t="shared" si="11"/>
        <v>4375.6260000000002</v>
      </c>
      <c r="M33" s="23">
        <f t="shared" si="11"/>
        <v>4375.6260000000002</v>
      </c>
      <c r="N33" s="23">
        <f t="shared" si="11"/>
        <v>4375.6260000000002</v>
      </c>
      <c r="O33" s="23">
        <f t="shared" si="11"/>
        <v>4375.6260000000002</v>
      </c>
      <c r="P33" s="23">
        <f t="shared" si="11"/>
        <v>4375.6260000000002</v>
      </c>
      <c r="Q33" s="23">
        <f t="shared" si="11"/>
        <v>4375.6260000000002</v>
      </c>
      <c r="R33" s="23">
        <f t="shared" si="11"/>
        <v>4375.6260000000002</v>
      </c>
      <c r="S33" s="23">
        <f t="shared" si="11"/>
        <v>4375.6260000000002</v>
      </c>
      <c r="T33" s="23">
        <f t="shared" si="11"/>
        <v>4375.6260000000002</v>
      </c>
      <c r="U33" s="23">
        <f t="shared" si="11"/>
        <v>4375.6260000000002</v>
      </c>
      <c r="V33" s="23">
        <f t="shared" si="11"/>
        <v>4375.6260000000002</v>
      </c>
      <c r="W33" s="23">
        <f t="shared" si="11"/>
        <v>4375.6260000000002</v>
      </c>
      <c r="X33" s="23">
        <f t="shared" si="11"/>
        <v>4375.6260000000002</v>
      </c>
      <c r="Y33" s="23">
        <f t="shared" si="11"/>
        <v>4375.6260000000002</v>
      </c>
      <c r="Z33" s="23">
        <f t="shared" si="11"/>
        <v>4375.6260000000002</v>
      </c>
      <c r="AA33" s="23">
        <f t="shared" si="11"/>
        <v>4375.6260000000002</v>
      </c>
      <c r="AB33" s="23">
        <f t="shared" si="11"/>
        <v>4375.6260000000002</v>
      </c>
      <c r="AC33" s="23">
        <f t="shared" si="11"/>
        <v>4375.6260000000002</v>
      </c>
      <c r="AD33" s="23">
        <f t="shared" si="11"/>
        <v>4375.6260000000002</v>
      </c>
      <c r="AE33" s="23">
        <f t="shared" si="11"/>
        <v>4375.6260000000002</v>
      </c>
      <c r="AF33" s="23">
        <f t="shared" si="11"/>
        <v>4375.6260000000002</v>
      </c>
      <c r="AG33" s="29">
        <f t="shared" ref="AG33:AG38" si="12">L33/$L$39</f>
        <v>0.65277306123274059</v>
      </c>
    </row>
    <row r="34" spans="1:35">
      <c r="A34" s="20" t="s">
        <v>16</v>
      </c>
      <c r="B34" s="22">
        <f t="shared" si="10"/>
        <v>60.1</v>
      </c>
      <c r="C34" s="22">
        <f t="shared" si="11"/>
        <v>60.1</v>
      </c>
      <c r="D34" s="22">
        <f t="shared" si="11"/>
        <v>60.1</v>
      </c>
      <c r="E34" s="22">
        <f t="shared" si="11"/>
        <v>60.1</v>
      </c>
      <c r="F34" s="23">
        <f t="shared" si="11"/>
        <v>69.099999999999994</v>
      </c>
      <c r="G34" s="23">
        <f t="shared" si="11"/>
        <v>172.19125</v>
      </c>
      <c r="H34" s="23">
        <f t="shared" si="11"/>
        <v>517.19124999999997</v>
      </c>
      <c r="I34" s="23">
        <f t="shared" si="11"/>
        <v>1007.19125</v>
      </c>
      <c r="J34" s="23">
        <f t="shared" si="11"/>
        <v>1202.1912499999999</v>
      </c>
      <c r="K34" s="23">
        <f t="shared" si="11"/>
        <v>1232.1912499999999</v>
      </c>
      <c r="L34" s="23">
        <f t="shared" si="11"/>
        <v>1232.1912499999999</v>
      </c>
      <c r="M34" s="23">
        <f t="shared" si="11"/>
        <v>1300.2312499999998</v>
      </c>
      <c r="N34" s="23">
        <f t="shared" si="11"/>
        <v>1300.2312499999998</v>
      </c>
      <c r="O34" s="23">
        <f t="shared" si="11"/>
        <v>1300.2312499999998</v>
      </c>
      <c r="P34" s="23">
        <f t="shared" si="11"/>
        <v>1300.2312499999998</v>
      </c>
      <c r="Q34" s="23">
        <f t="shared" si="11"/>
        <v>1300.2312499999998</v>
      </c>
      <c r="R34" s="23">
        <f t="shared" si="11"/>
        <v>1300.2312499999998</v>
      </c>
      <c r="S34" s="23">
        <f t="shared" si="11"/>
        <v>1300.2312499999998</v>
      </c>
      <c r="T34" s="23">
        <f t="shared" si="11"/>
        <v>1300.2312499999998</v>
      </c>
      <c r="U34" s="23">
        <f t="shared" si="11"/>
        <v>1300.2312499999998</v>
      </c>
      <c r="V34" s="23">
        <f t="shared" si="11"/>
        <v>1300.2312499999998</v>
      </c>
      <c r="W34" s="23">
        <f t="shared" si="11"/>
        <v>1300.2312499999998</v>
      </c>
      <c r="X34" s="23">
        <f t="shared" si="11"/>
        <v>1300.2312499999998</v>
      </c>
      <c r="Y34" s="23">
        <f t="shared" si="11"/>
        <v>1300.2312499999998</v>
      </c>
      <c r="Z34" s="23">
        <f t="shared" si="11"/>
        <v>1300.2312499999998</v>
      </c>
      <c r="AA34" s="23">
        <f t="shared" si="11"/>
        <v>1300.2312499999998</v>
      </c>
      <c r="AB34" s="23">
        <f t="shared" si="11"/>
        <v>1300.2312499999998</v>
      </c>
      <c r="AC34" s="23">
        <f t="shared" si="11"/>
        <v>1300.2312499999998</v>
      </c>
      <c r="AD34" s="23">
        <f t="shared" si="11"/>
        <v>1300.2312499999998</v>
      </c>
      <c r="AE34" s="23">
        <f t="shared" si="11"/>
        <v>1300.2312499999998</v>
      </c>
      <c r="AF34" s="23">
        <f t="shared" si="11"/>
        <v>1300.2312499999998</v>
      </c>
      <c r="AG34" s="29">
        <f t="shared" si="12"/>
        <v>0.18382312708780346</v>
      </c>
    </row>
    <row r="35" spans="1:35">
      <c r="A35" s="20" t="s">
        <v>17</v>
      </c>
      <c r="B35" s="22">
        <f t="shared" si="10"/>
        <v>0</v>
      </c>
      <c r="C35" s="22">
        <f t="shared" si="11"/>
        <v>0</v>
      </c>
      <c r="D35" s="22">
        <f t="shared" si="11"/>
        <v>0</v>
      </c>
      <c r="E35" s="22">
        <f t="shared" si="11"/>
        <v>0</v>
      </c>
      <c r="F35" s="23">
        <f t="shared" si="11"/>
        <v>0</v>
      </c>
      <c r="G35" s="23">
        <f t="shared" si="11"/>
        <v>78.036000000000001</v>
      </c>
      <c r="H35" s="23">
        <f t="shared" si="11"/>
        <v>78.036000000000001</v>
      </c>
      <c r="I35" s="23">
        <f t="shared" si="11"/>
        <v>489.536</v>
      </c>
      <c r="J35" s="23">
        <f t="shared" si="11"/>
        <v>606.83600000000001</v>
      </c>
      <c r="K35" s="23">
        <f t="shared" si="11"/>
        <v>725.83600000000001</v>
      </c>
      <c r="L35" s="23">
        <f t="shared" si="11"/>
        <v>775.33600000000001</v>
      </c>
      <c r="M35" s="23">
        <f t="shared" si="11"/>
        <v>775.33600000000001</v>
      </c>
      <c r="N35" s="23">
        <f t="shared" si="11"/>
        <v>775.33600000000001</v>
      </c>
      <c r="O35" s="23">
        <f t="shared" si="11"/>
        <v>775.33600000000001</v>
      </c>
      <c r="P35" s="23">
        <f t="shared" si="11"/>
        <v>775.33600000000001</v>
      </c>
      <c r="Q35" s="23">
        <f t="shared" si="11"/>
        <v>775.33600000000001</v>
      </c>
      <c r="R35" s="23">
        <f t="shared" si="11"/>
        <v>775.33600000000001</v>
      </c>
      <c r="S35" s="23">
        <f t="shared" si="11"/>
        <v>775.33600000000001</v>
      </c>
      <c r="T35" s="23">
        <f t="shared" si="11"/>
        <v>775.33600000000001</v>
      </c>
      <c r="U35" s="23">
        <f t="shared" si="11"/>
        <v>775.33600000000001</v>
      </c>
      <c r="V35" s="23">
        <f t="shared" si="11"/>
        <v>775.33600000000001</v>
      </c>
      <c r="W35" s="23">
        <f t="shared" si="11"/>
        <v>775.33600000000001</v>
      </c>
      <c r="X35" s="23">
        <f t="shared" si="11"/>
        <v>775.33600000000001</v>
      </c>
      <c r="Y35" s="23">
        <f t="shared" si="11"/>
        <v>775.33600000000001</v>
      </c>
      <c r="Z35" s="23">
        <f t="shared" si="11"/>
        <v>775.33600000000001</v>
      </c>
      <c r="AA35" s="23">
        <f t="shared" si="11"/>
        <v>775.33600000000001</v>
      </c>
      <c r="AB35" s="23">
        <f t="shared" si="11"/>
        <v>775.33600000000001</v>
      </c>
      <c r="AC35" s="23">
        <f t="shared" si="11"/>
        <v>775.33600000000001</v>
      </c>
      <c r="AD35" s="23">
        <f t="shared" si="11"/>
        <v>775.33600000000001</v>
      </c>
      <c r="AE35" s="23">
        <f t="shared" si="11"/>
        <v>775.33600000000001</v>
      </c>
      <c r="AF35" s="23">
        <f t="shared" si="11"/>
        <v>775.33600000000001</v>
      </c>
      <c r="AG35" s="29">
        <f t="shared" si="12"/>
        <v>0.11566766771290513</v>
      </c>
    </row>
    <row r="36" spans="1:35">
      <c r="A36" s="20" t="s">
        <v>18</v>
      </c>
      <c r="B36" s="22">
        <f t="shared" si="10"/>
        <v>0</v>
      </c>
      <c r="C36" s="22">
        <f>C26+B36</f>
        <v>0</v>
      </c>
      <c r="D36" s="30">
        <f>D26+C36</f>
        <v>1E-3</v>
      </c>
      <c r="E36" s="30">
        <f t="shared" ref="E36:AF36" si="13">E26+D36</f>
        <v>1E-3</v>
      </c>
      <c r="F36" s="31">
        <f t="shared" si="13"/>
        <v>0.39725826528698338</v>
      </c>
      <c r="G36" s="31">
        <f t="shared" si="13"/>
        <v>0.46182076528698335</v>
      </c>
      <c r="H36" s="23">
        <f t="shared" si="13"/>
        <v>7.4618207652869835</v>
      </c>
      <c r="I36" s="23">
        <f t="shared" si="13"/>
        <v>7.4618207652869835</v>
      </c>
      <c r="J36" s="23">
        <f t="shared" si="13"/>
        <v>38.661820765286983</v>
      </c>
      <c r="K36" s="23">
        <f t="shared" si="13"/>
        <v>68.66182076528699</v>
      </c>
      <c r="L36" s="23">
        <f t="shared" si="13"/>
        <v>151.66182076528699</v>
      </c>
      <c r="M36" s="23">
        <f t="shared" si="13"/>
        <v>151.66182076528699</v>
      </c>
      <c r="N36" s="23">
        <f t="shared" si="13"/>
        <v>151.66182076528699</v>
      </c>
      <c r="O36" s="23">
        <f t="shared" si="13"/>
        <v>151.66182076528699</v>
      </c>
      <c r="P36" s="23">
        <f t="shared" si="13"/>
        <v>151.66182076528699</v>
      </c>
      <c r="Q36" s="23">
        <f t="shared" si="13"/>
        <v>151.66182076528699</v>
      </c>
      <c r="R36" s="23">
        <f t="shared" si="13"/>
        <v>151.66182076528699</v>
      </c>
      <c r="S36" s="23">
        <f t="shared" si="13"/>
        <v>151.66182076528699</v>
      </c>
      <c r="T36" s="23">
        <f t="shared" si="13"/>
        <v>151.66182076528699</v>
      </c>
      <c r="U36" s="23">
        <f t="shared" si="13"/>
        <v>151.66182076528699</v>
      </c>
      <c r="V36" s="23">
        <f t="shared" si="13"/>
        <v>151.66182076528699</v>
      </c>
      <c r="W36" s="23">
        <f t="shared" si="13"/>
        <v>151.66182076528699</v>
      </c>
      <c r="X36" s="23">
        <f t="shared" si="13"/>
        <v>151.66182076528699</v>
      </c>
      <c r="Y36" s="23">
        <f t="shared" si="13"/>
        <v>151.66182076528699</v>
      </c>
      <c r="Z36" s="23">
        <f t="shared" si="13"/>
        <v>151.66182076528699</v>
      </c>
      <c r="AA36" s="23">
        <f t="shared" si="13"/>
        <v>151.66182076528699</v>
      </c>
      <c r="AB36" s="23">
        <f t="shared" si="13"/>
        <v>151.66182076528699</v>
      </c>
      <c r="AC36" s="23">
        <f t="shared" si="13"/>
        <v>151.66182076528699</v>
      </c>
      <c r="AD36" s="23">
        <f t="shared" si="13"/>
        <v>151.66182076528699</v>
      </c>
      <c r="AE36" s="23">
        <f t="shared" si="13"/>
        <v>151.66182076528699</v>
      </c>
      <c r="AF36" s="23">
        <f t="shared" si="13"/>
        <v>151.66182076528699</v>
      </c>
      <c r="AG36" s="29">
        <f t="shared" si="12"/>
        <v>2.2625505702061285E-2</v>
      </c>
    </row>
    <row r="37" spans="1:35">
      <c r="A37" s="20" t="s">
        <v>19</v>
      </c>
      <c r="B37" s="22">
        <f t="shared" si="10"/>
        <v>0</v>
      </c>
      <c r="C37" s="22">
        <f>B37+C27</f>
        <v>0</v>
      </c>
      <c r="D37" s="22">
        <f>C37+D27</f>
        <v>0</v>
      </c>
      <c r="E37" s="22">
        <f t="shared" ref="E37:AF38" si="14">D37+E27</f>
        <v>0</v>
      </c>
      <c r="F37" s="23">
        <f t="shared" si="14"/>
        <v>0</v>
      </c>
      <c r="G37" s="23">
        <f t="shared" si="14"/>
        <v>10</v>
      </c>
      <c r="H37" s="23">
        <f t="shared" si="14"/>
        <v>11</v>
      </c>
      <c r="I37" s="23">
        <f t="shared" si="14"/>
        <v>11</v>
      </c>
      <c r="J37" s="23">
        <f t="shared" si="14"/>
        <v>11</v>
      </c>
      <c r="K37" s="23">
        <f t="shared" si="14"/>
        <v>11</v>
      </c>
      <c r="L37" s="23">
        <f t="shared" si="14"/>
        <v>11</v>
      </c>
      <c r="M37" s="23">
        <f t="shared" si="14"/>
        <v>11</v>
      </c>
      <c r="N37" s="23">
        <f t="shared" si="14"/>
        <v>11</v>
      </c>
      <c r="O37" s="23">
        <f t="shared" si="14"/>
        <v>11</v>
      </c>
      <c r="P37" s="23">
        <f t="shared" si="14"/>
        <v>11</v>
      </c>
      <c r="Q37" s="23">
        <f t="shared" si="14"/>
        <v>11</v>
      </c>
      <c r="R37" s="23">
        <f t="shared" si="14"/>
        <v>11</v>
      </c>
      <c r="S37" s="23">
        <f t="shared" si="14"/>
        <v>11</v>
      </c>
      <c r="T37" s="23">
        <f t="shared" si="14"/>
        <v>11</v>
      </c>
      <c r="U37" s="23">
        <f t="shared" si="14"/>
        <v>11</v>
      </c>
      <c r="V37" s="23">
        <f t="shared" si="14"/>
        <v>11</v>
      </c>
      <c r="W37" s="23">
        <f t="shared" si="14"/>
        <v>11</v>
      </c>
      <c r="X37" s="23">
        <f t="shared" si="14"/>
        <v>11</v>
      </c>
      <c r="Y37" s="23">
        <f t="shared" si="14"/>
        <v>11</v>
      </c>
      <c r="Z37" s="23">
        <f t="shared" si="14"/>
        <v>11</v>
      </c>
      <c r="AA37" s="23">
        <f t="shared" si="14"/>
        <v>11</v>
      </c>
      <c r="AB37" s="23">
        <f t="shared" si="14"/>
        <v>11</v>
      </c>
      <c r="AC37" s="23">
        <f t="shared" si="14"/>
        <v>11</v>
      </c>
      <c r="AD37" s="23">
        <f t="shared" si="14"/>
        <v>11</v>
      </c>
      <c r="AE37" s="23">
        <f t="shared" si="14"/>
        <v>11</v>
      </c>
      <c r="AF37" s="23">
        <f t="shared" si="14"/>
        <v>11</v>
      </c>
      <c r="AG37" s="29">
        <f t="shared" si="12"/>
        <v>1.6410231755547998E-3</v>
      </c>
    </row>
    <row r="38" spans="1:35">
      <c r="A38" s="20" t="s">
        <v>20</v>
      </c>
      <c r="B38" s="22">
        <f t="shared" si="10"/>
        <v>0</v>
      </c>
      <c r="C38" s="22">
        <f>B38+C28</f>
        <v>73.5</v>
      </c>
      <c r="D38" s="22">
        <f>C38+D28</f>
        <v>73.5</v>
      </c>
      <c r="E38" s="22">
        <f t="shared" si="14"/>
        <v>73.5</v>
      </c>
      <c r="F38" s="23">
        <f t="shared" si="14"/>
        <v>73.819999999999993</v>
      </c>
      <c r="G38" s="23">
        <f t="shared" si="14"/>
        <v>83.82</v>
      </c>
      <c r="H38" s="23">
        <f t="shared" si="14"/>
        <v>83.82</v>
      </c>
      <c r="I38" s="23">
        <f t="shared" si="14"/>
        <v>157.32</v>
      </c>
      <c r="J38" s="23">
        <f t="shared" si="14"/>
        <v>157.32</v>
      </c>
      <c r="K38" s="23">
        <f t="shared" si="14"/>
        <v>157.32</v>
      </c>
      <c r="L38" s="23">
        <f t="shared" si="14"/>
        <v>157.32</v>
      </c>
      <c r="M38" s="23">
        <f t="shared" si="14"/>
        <v>157.32</v>
      </c>
      <c r="N38" s="23">
        <f t="shared" si="14"/>
        <v>157.32</v>
      </c>
      <c r="O38" s="23">
        <f t="shared" si="14"/>
        <v>157.32</v>
      </c>
      <c r="P38" s="23">
        <f t="shared" si="14"/>
        <v>157.32</v>
      </c>
      <c r="Q38" s="23">
        <f t="shared" si="14"/>
        <v>157.32</v>
      </c>
      <c r="R38" s="23">
        <f t="shared" si="14"/>
        <v>157.32</v>
      </c>
      <c r="S38" s="23">
        <f t="shared" si="14"/>
        <v>157.32</v>
      </c>
      <c r="T38" s="23">
        <f t="shared" si="14"/>
        <v>157.32</v>
      </c>
      <c r="U38" s="23">
        <f t="shared" si="14"/>
        <v>157.32</v>
      </c>
      <c r="V38" s="23">
        <f t="shared" si="14"/>
        <v>157.32</v>
      </c>
      <c r="W38" s="23">
        <f t="shared" si="14"/>
        <v>157.32</v>
      </c>
      <c r="X38" s="23">
        <f t="shared" si="14"/>
        <v>157.32</v>
      </c>
      <c r="Y38" s="23">
        <f t="shared" si="14"/>
        <v>157.32</v>
      </c>
      <c r="Z38" s="23">
        <f t="shared" si="14"/>
        <v>157.32</v>
      </c>
      <c r="AA38" s="23">
        <f t="shared" si="14"/>
        <v>157.32</v>
      </c>
      <c r="AB38" s="23">
        <f t="shared" si="14"/>
        <v>157.32</v>
      </c>
      <c r="AC38" s="23">
        <f t="shared" si="14"/>
        <v>157.32</v>
      </c>
      <c r="AD38" s="23">
        <f t="shared" si="14"/>
        <v>157.32</v>
      </c>
      <c r="AE38" s="23">
        <f t="shared" si="14"/>
        <v>157.32</v>
      </c>
      <c r="AF38" s="23">
        <f t="shared" si="14"/>
        <v>157.32</v>
      </c>
      <c r="AG38" s="29">
        <f t="shared" si="12"/>
        <v>2.3469615088934647E-2</v>
      </c>
    </row>
    <row r="39" spans="1:35" ht="15.75" thickBot="1">
      <c r="A39" s="32" t="s">
        <v>11</v>
      </c>
      <c r="B39" s="33">
        <f>SUM(B33:B38)</f>
        <v>142.1</v>
      </c>
      <c r="C39" s="33">
        <f>SUM(C33:C38)</f>
        <v>565.6</v>
      </c>
      <c r="D39" s="33">
        <f t="shared" ref="D39:AF39" si="15">SUM(D33:D38)</f>
        <v>965.601</v>
      </c>
      <c r="E39" s="33">
        <f t="shared" si="15"/>
        <v>965.601</v>
      </c>
      <c r="F39" s="34">
        <f t="shared" si="15"/>
        <v>1848.3172582652869</v>
      </c>
      <c r="G39" s="34">
        <f t="shared" si="15"/>
        <v>2492.8350707652871</v>
      </c>
      <c r="H39" s="34">
        <f t="shared" si="15"/>
        <v>3418.6350707652873</v>
      </c>
      <c r="I39" s="34">
        <f t="shared" si="15"/>
        <v>5844.6350707652864</v>
      </c>
      <c r="J39" s="34">
        <f t="shared" si="15"/>
        <v>6270.6350707652873</v>
      </c>
      <c r="K39" s="34">
        <f t="shared" si="15"/>
        <v>6520.6350707652873</v>
      </c>
      <c r="L39" s="34">
        <f t="shared" si="15"/>
        <v>6703.1350707652873</v>
      </c>
      <c r="M39" s="34">
        <f t="shared" si="15"/>
        <v>6771.1750707652873</v>
      </c>
      <c r="N39" s="34">
        <f t="shared" si="15"/>
        <v>6771.1750707652873</v>
      </c>
      <c r="O39" s="34">
        <f t="shared" si="15"/>
        <v>6771.1750707652873</v>
      </c>
      <c r="P39" s="34">
        <f t="shared" si="15"/>
        <v>6771.1750707652873</v>
      </c>
      <c r="Q39" s="34">
        <f t="shared" si="15"/>
        <v>6771.1750707652873</v>
      </c>
      <c r="R39" s="34">
        <f t="shared" si="15"/>
        <v>6771.1750707652873</v>
      </c>
      <c r="S39" s="34">
        <f t="shared" si="15"/>
        <v>6771.1750707652873</v>
      </c>
      <c r="T39" s="34">
        <f t="shared" si="15"/>
        <v>6771.1750707652873</v>
      </c>
      <c r="U39" s="34">
        <f t="shared" si="15"/>
        <v>6771.1750707652873</v>
      </c>
      <c r="V39" s="34">
        <f t="shared" si="15"/>
        <v>6771.1750707652873</v>
      </c>
      <c r="W39" s="34">
        <f t="shared" si="15"/>
        <v>6771.1750707652873</v>
      </c>
      <c r="X39" s="34">
        <f t="shared" si="15"/>
        <v>6771.1750707652873</v>
      </c>
      <c r="Y39" s="34">
        <f t="shared" si="15"/>
        <v>6771.1750707652873</v>
      </c>
      <c r="Z39" s="34">
        <f t="shared" si="15"/>
        <v>6771.1750707652873</v>
      </c>
      <c r="AA39" s="34">
        <f t="shared" si="15"/>
        <v>6771.1750707652873</v>
      </c>
      <c r="AB39" s="34">
        <f t="shared" si="15"/>
        <v>6771.1750707652873</v>
      </c>
      <c r="AC39" s="34">
        <f t="shared" si="15"/>
        <v>6771.1750707652873</v>
      </c>
      <c r="AD39" s="34">
        <f t="shared" si="15"/>
        <v>6771.1750707652873</v>
      </c>
      <c r="AE39" s="34">
        <f t="shared" si="15"/>
        <v>6771.1750707652873</v>
      </c>
      <c r="AF39" s="34">
        <f t="shared" si="15"/>
        <v>6771.1750707652873</v>
      </c>
    </row>
    <row r="40" spans="1: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row>
    <row r="41" spans="1:35" ht="15.75" thickBot="1">
      <c r="A41" s="16" t="s">
        <v>21</v>
      </c>
    </row>
    <row r="42" spans="1:35" ht="15.75" customHeight="1" thickBot="1">
      <c r="A42" s="17"/>
      <c r="B42" s="28" t="str">
        <f>B22</f>
        <v>&lt; 2021</v>
      </c>
      <c r="C42" s="18">
        <f t="shared" ref="C42:AF42" si="16">C22</f>
        <v>2021</v>
      </c>
      <c r="D42" s="18">
        <f t="shared" si="16"/>
        <v>2022</v>
      </c>
      <c r="E42" s="18">
        <f t="shared" si="16"/>
        <v>2023</v>
      </c>
      <c r="F42" s="18">
        <f t="shared" si="16"/>
        <v>2024</v>
      </c>
      <c r="G42" s="18">
        <f t="shared" si="16"/>
        <v>2025</v>
      </c>
      <c r="H42" s="18">
        <f t="shared" si="16"/>
        <v>2026</v>
      </c>
      <c r="I42" s="18">
        <f t="shared" si="16"/>
        <v>2027</v>
      </c>
      <c r="J42" s="18">
        <f t="shared" si="16"/>
        <v>2028</v>
      </c>
      <c r="K42" s="18">
        <f t="shared" si="16"/>
        <v>2029</v>
      </c>
      <c r="L42" s="18">
        <f t="shared" si="16"/>
        <v>2030</v>
      </c>
      <c r="M42" s="18">
        <f t="shared" si="16"/>
        <v>2031</v>
      </c>
      <c r="N42" s="18">
        <f t="shared" si="16"/>
        <v>2032</v>
      </c>
      <c r="O42" s="18">
        <f t="shared" si="16"/>
        <v>2033</v>
      </c>
      <c r="P42" s="18">
        <f t="shared" si="16"/>
        <v>2034</v>
      </c>
      <c r="Q42" s="18">
        <f t="shared" si="16"/>
        <v>2035</v>
      </c>
      <c r="R42" s="18">
        <f t="shared" si="16"/>
        <v>2036</v>
      </c>
      <c r="S42" s="18">
        <f t="shared" si="16"/>
        <v>2037</v>
      </c>
      <c r="T42" s="18">
        <f t="shared" si="16"/>
        <v>2038</v>
      </c>
      <c r="U42" s="18">
        <f t="shared" si="16"/>
        <v>2039</v>
      </c>
      <c r="V42" s="18">
        <f t="shared" si="16"/>
        <v>2040</v>
      </c>
      <c r="W42" s="18">
        <f t="shared" si="16"/>
        <v>2041</v>
      </c>
      <c r="X42" s="18">
        <f t="shared" si="16"/>
        <v>2042</v>
      </c>
      <c r="Y42" s="18">
        <f t="shared" si="16"/>
        <v>2043</v>
      </c>
      <c r="Z42" s="18">
        <f t="shared" si="16"/>
        <v>2044</v>
      </c>
      <c r="AA42" s="18">
        <f t="shared" si="16"/>
        <v>2045</v>
      </c>
      <c r="AB42" s="18">
        <f t="shared" si="16"/>
        <v>2046</v>
      </c>
      <c r="AC42" s="18">
        <f t="shared" si="16"/>
        <v>2047</v>
      </c>
      <c r="AD42" s="18">
        <f t="shared" si="16"/>
        <v>2048</v>
      </c>
      <c r="AE42" s="18">
        <f t="shared" si="16"/>
        <v>2049</v>
      </c>
      <c r="AF42" s="18">
        <f t="shared" si="16"/>
        <v>2050</v>
      </c>
      <c r="AG42" s="35" t="s">
        <v>22</v>
      </c>
      <c r="AH42" s="35" t="s">
        <v>23</v>
      </c>
      <c r="AI42" s="389" t="s">
        <v>456</v>
      </c>
    </row>
    <row r="43" spans="1:35">
      <c r="A43" s="19" t="s">
        <v>5</v>
      </c>
      <c r="B43" s="7">
        <f>COUNTIFS(NAm!$F$3:$F$82,"&lt;"&amp;'NAm Capacity Data'!C$22,NAm!$U$3:$U$82,$A43)</f>
        <v>1</v>
      </c>
      <c r="C43" s="22">
        <f>COUNTIFS(NAm!$F$3:$F$82,'NAm Capacity Data'!C$22,NAm!$U$3:$U$82,$A43)</f>
        <v>1</v>
      </c>
      <c r="D43" s="22">
        <f>COUNTIFS(NAm!$F$3:$F$82,'NAm Capacity Data'!D$22,NAm!$U$3:$U$82,$A43)</f>
        <v>2</v>
      </c>
      <c r="E43" s="22">
        <f>COUNTIFS(NAm!$F$3:$F$82,'NAm Capacity Data'!E$22,NAm!$U$3:$U$82,$A43)</f>
        <v>0</v>
      </c>
      <c r="F43" s="23">
        <f>COUNTIFS(NAm!$F$3:$F$82,'NAm Capacity Data'!F$22,NAm!$U$3:$U$82,$A43)</f>
        <v>5</v>
      </c>
      <c r="G43" s="23">
        <f>COUNTIFS(NAm!$F$3:$F$82,'NAm Capacity Data'!G$22,NAm!$U$3:$U$82,$A43)</f>
        <v>6</v>
      </c>
      <c r="H43" s="23">
        <f>COUNTIFS(NAm!$F$3:$F$82,'NAm Capacity Data'!H$22,NAm!$U$3:$U$82,$A43)</f>
        <v>4</v>
      </c>
      <c r="I43" s="23">
        <f>COUNTIFS(NAm!$F$3:$F$82,'NAm Capacity Data'!I$22,NAm!$U$3:$U$82,$A43)</f>
        <v>10</v>
      </c>
      <c r="J43" s="23">
        <f>COUNTIFS(NAm!$F$3:$F$82,'NAm Capacity Data'!J$22,NAm!$U$3:$U$82,$A43)</f>
        <v>2</v>
      </c>
      <c r="K43" s="23">
        <f>COUNTIFS(NAm!$F$3:$F$82,'NAm Capacity Data'!K$22,NAm!$U$3:$U$82,$A43)</f>
        <v>1</v>
      </c>
      <c r="L43" s="23">
        <f>COUNTIFS(NAm!$F$3:$F$82,'NAm Capacity Data'!L$22,NAm!$U$3:$U$82,$A43)</f>
        <v>1</v>
      </c>
      <c r="M43" s="23">
        <f>COUNTIFS(NAm!$F$3:$F$82,'NAm Capacity Data'!M$22,NAm!$U$3:$U$82,$A43)</f>
        <v>1</v>
      </c>
      <c r="N43" s="23">
        <f>COUNTIFS(NAm!$F$3:$F$82,'NAm Capacity Data'!N$22,NAm!$U$3:$U$82,$A43)</f>
        <v>0</v>
      </c>
      <c r="O43" s="23">
        <f>COUNTIFS(NAm!$F$3:$F$82,'NAm Capacity Data'!O$22,NAm!$U$3:$U$82,$A43)</f>
        <v>0</v>
      </c>
      <c r="P43" s="23">
        <f>COUNTIFS(NAm!$F$3:$F$82,'NAm Capacity Data'!P$22,NAm!$U$3:$U$82,$A43)</f>
        <v>0</v>
      </c>
      <c r="Q43" s="23">
        <f>COUNTIFS(NAm!$F$3:$F$82,'NAm Capacity Data'!Q$22,NAm!$U$3:$U$82,$A43)</f>
        <v>0</v>
      </c>
      <c r="R43" s="23">
        <f>COUNTIFS(NAm!$F$3:$F$82,'NAm Capacity Data'!R$22,NAm!$U$3:$U$82,$A43)</f>
        <v>0</v>
      </c>
      <c r="S43" s="23">
        <f>COUNTIFS(NAm!$F$3:$F$82,'NAm Capacity Data'!S$22,NAm!$U$3:$U$82,$A43)</f>
        <v>0</v>
      </c>
      <c r="T43" s="23">
        <f>COUNTIFS(NAm!$F$3:$F$82,'NAm Capacity Data'!T$22,NAm!$U$3:$U$82,$A43)</f>
        <v>0</v>
      </c>
      <c r="U43" s="23">
        <f>COUNTIFS(NAm!$F$3:$F$82,'NAm Capacity Data'!U$22,NAm!$U$3:$U$82,$A43)</f>
        <v>0</v>
      </c>
      <c r="V43" s="23">
        <f>COUNTIFS(NAm!$F$3:$F$82,'NAm Capacity Data'!V$22,NAm!$U$3:$U$82,$A43)</f>
        <v>0</v>
      </c>
      <c r="W43" s="23">
        <f>COUNTIFS(NAm!$F$3:$F$82,'NAm Capacity Data'!W$22,NAm!$U$3:$U$82,$A43)</f>
        <v>0</v>
      </c>
      <c r="X43" s="23">
        <f>COUNTIFS(NAm!$F$3:$F$82,'NAm Capacity Data'!X$22,NAm!$U$3:$U$82,$A43)</f>
        <v>0</v>
      </c>
      <c r="Y43" s="23">
        <f>COUNTIFS(NAm!$F$3:$F$82,'NAm Capacity Data'!Y$22,NAm!$U$3:$U$82,$A43)</f>
        <v>0</v>
      </c>
      <c r="Z43" s="23">
        <f>COUNTIFS(NAm!$F$3:$F$82,'NAm Capacity Data'!Z$22,NAm!$U$3:$U$82,$A43)</f>
        <v>0</v>
      </c>
      <c r="AA43" s="23">
        <f>COUNTIFS(NAm!$F$3:$F$82,'NAm Capacity Data'!AA$22,NAm!$U$3:$U$82,$A43)</f>
        <v>0</v>
      </c>
      <c r="AB43" s="23">
        <f>COUNTIFS(NAm!$F$3:$F$82,'NAm Capacity Data'!AB$22,NAm!$U$3:$U$82,$A43)</f>
        <v>0</v>
      </c>
      <c r="AC43" s="23">
        <f>COUNTIFS(NAm!$F$3:$F$82,'NAm Capacity Data'!AC$22,NAm!$U$3:$U$82,$A43)</f>
        <v>0</v>
      </c>
      <c r="AD43" s="23">
        <f>COUNTIFS(NAm!$F$3:$F$82,'NAm Capacity Data'!AD$22,NAm!$U$3:$U$82,$A43)</f>
        <v>0</v>
      </c>
      <c r="AE43" s="23">
        <f>COUNTIFS(NAm!$F$3:$F$82,'NAm Capacity Data'!AE$22,NAm!$U$3:$U$82,$A43)</f>
        <v>0</v>
      </c>
      <c r="AF43" s="23">
        <f>COUNTIFS(NAm!$F$3:$F$82,'NAm Capacity Data'!AF$22,NAm!$U$3:$U$82,$A43)</f>
        <v>0</v>
      </c>
      <c r="AG43" s="22">
        <f t="shared" ref="AG43:AG48" si="17">SUM(B43:P43)</f>
        <v>34</v>
      </c>
      <c r="AH43" s="22">
        <f>AG43-NAm!U87</f>
        <v>0</v>
      </c>
      <c r="AI43" s="389"/>
    </row>
    <row r="44" spans="1:35">
      <c r="A44" s="20" t="s">
        <v>6</v>
      </c>
      <c r="B44" s="22">
        <f>COUNTIFS(NAm!$F$3:$F$82,"&lt;"&amp;'NAm Capacity Data'!C$22,NAm!$U$3:$U$82,$A44)</f>
        <v>2</v>
      </c>
      <c r="C44" s="22">
        <f>COUNTIFS(NAm!$F$3:$F$82,'NAm Capacity Data'!C$22,NAm!$U$3:$U$82,$A44)</f>
        <v>0</v>
      </c>
      <c r="D44" s="22">
        <f>COUNTIFS(NAm!$F$3:$F$82,'NAm Capacity Data'!D$22,NAm!$U$3:$U$82,$A44)</f>
        <v>0</v>
      </c>
      <c r="E44" s="22">
        <f>COUNTIFS(NAm!$F$3:$F$82,'NAm Capacity Data'!E$22,NAm!$U$3:$U$82,$A44)</f>
        <v>0</v>
      </c>
      <c r="F44" s="23">
        <f>COUNTIFS(NAm!$F$3:$F$82,'NAm Capacity Data'!F$22,NAm!$U$3:$U$82,$A44)</f>
        <v>1</v>
      </c>
      <c r="G44" s="23">
        <f>COUNTIFS(NAm!$F$3:$F$82,'NAm Capacity Data'!G$22,NAm!$U$3:$U$82,$A44)</f>
        <v>2</v>
      </c>
      <c r="H44" s="23">
        <f>COUNTIFS(NAm!$F$3:$F$82,'NAm Capacity Data'!H$22,NAm!$U$3:$U$82,$A44)</f>
        <v>2</v>
      </c>
      <c r="I44" s="23">
        <f>COUNTIFS(NAm!$F$3:$F$82,'NAm Capacity Data'!I$22,NAm!$U$3:$U$82,$A44)</f>
        <v>3</v>
      </c>
      <c r="J44" s="23">
        <f>COUNTIFS(NAm!$F$3:$F$82,'NAm Capacity Data'!J$22,NAm!$U$3:$U$82,$A44)</f>
        <v>2</v>
      </c>
      <c r="K44" s="23">
        <f>COUNTIFS(NAm!$F$3:$F$82,'NAm Capacity Data'!K$22,NAm!$U$3:$U$82,$A44)</f>
        <v>1</v>
      </c>
      <c r="L44" s="23">
        <f>COUNTIFS(NAm!$F$3:$F$82,'NAm Capacity Data'!L$22,NAm!$U$3:$U$82,$A44)</f>
        <v>0</v>
      </c>
      <c r="M44" s="23">
        <f>COUNTIFS(NAm!$F$3:$F$82,'NAm Capacity Data'!M$22,NAm!$U$3:$U$82,$A44)</f>
        <v>1</v>
      </c>
      <c r="N44" s="23">
        <f>COUNTIFS(NAm!$F$3:$F$82,'NAm Capacity Data'!N$22,NAm!$U$3:$U$82,$A44)</f>
        <v>0</v>
      </c>
      <c r="O44" s="23">
        <f>COUNTIFS(NAm!$F$3:$F$82,'NAm Capacity Data'!O$22,NAm!$U$3:$U$82,$A44)</f>
        <v>0</v>
      </c>
      <c r="P44" s="23">
        <f>COUNTIFS(NAm!$F$3:$F$82,'NAm Capacity Data'!P$22,NAm!$U$3:$U$82,$A44)</f>
        <v>0</v>
      </c>
      <c r="Q44" s="23">
        <f>COUNTIFS(NAm!$F$3:$F$82,'NAm Capacity Data'!Q$22,NAm!$U$3:$U$82,$A44)</f>
        <v>0</v>
      </c>
      <c r="R44" s="23">
        <f>COUNTIFS(NAm!$F$3:$F$82,'NAm Capacity Data'!R$22,NAm!$U$3:$U$82,$A44)</f>
        <v>0</v>
      </c>
      <c r="S44" s="23">
        <f>COUNTIFS(NAm!$F$3:$F$82,'NAm Capacity Data'!S$22,NAm!$U$3:$U$82,$A44)</f>
        <v>0</v>
      </c>
      <c r="T44" s="23">
        <f>COUNTIFS(NAm!$F$3:$F$82,'NAm Capacity Data'!T$22,NAm!$U$3:$U$82,$A44)</f>
        <v>0</v>
      </c>
      <c r="U44" s="23">
        <f>COUNTIFS(NAm!$F$3:$F$82,'NAm Capacity Data'!U$22,NAm!$U$3:$U$82,$A44)</f>
        <v>0</v>
      </c>
      <c r="V44" s="23">
        <f>COUNTIFS(NAm!$F$3:$F$82,'NAm Capacity Data'!V$22,NAm!$U$3:$U$82,$A44)</f>
        <v>0</v>
      </c>
      <c r="W44" s="23">
        <f>COUNTIFS(NAm!$F$3:$F$82,'NAm Capacity Data'!W$22,NAm!$U$3:$U$82,$A44)</f>
        <v>0</v>
      </c>
      <c r="X44" s="23">
        <f>COUNTIFS(NAm!$F$3:$F$82,'NAm Capacity Data'!X$22,NAm!$U$3:$U$82,$A44)</f>
        <v>0</v>
      </c>
      <c r="Y44" s="23">
        <f>COUNTIFS(NAm!$F$3:$F$82,'NAm Capacity Data'!Y$22,NAm!$U$3:$U$82,$A44)</f>
        <v>0</v>
      </c>
      <c r="Z44" s="23">
        <f>COUNTIFS(NAm!$F$3:$F$82,'NAm Capacity Data'!Z$22,NAm!$U$3:$U$82,$A44)</f>
        <v>0</v>
      </c>
      <c r="AA44" s="23">
        <f>COUNTIFS(NAm!$F$3:$F$82,'NAm Capacity Data'!AA$22,NAm!$U$3:$U$82,$A44)</f>
        <v>0</v>
      </c>
      <c r="AB44" s="23">
        <f>COUNTIFS(NAm!$F$3:$F$82,'NAm Capacity Data'!AB$22,NAm!$U$3:$U$82,$A44)</f>
        <v>0</v>
      </c>
      <c r="AC44" s="23">
        <f>COUNTIFS(NAm!$F$3:$F$82,'NAm Capacity Data'!AC$22,NAm!$U$3:$U$82,$A44)</f>
        <v>0</v>
      </c>
      <c r="AD44" s="23">
        <f>COUNTIFS(NAm!$F$3:$F$82,'NAm Capacity Data'!AD$22,NAm!$U$3:$U$82,$A44)</f>
        <v>0</v>
      </c>
      <c r="AE44" s="23">
        <f>COUNTIFS(NAm!$F$3:$F$82,'NAm Capacity Data'!AE$22,NAm!$U$3:$U$82,$A44)</f>
        <v>0</v>
      </c>
      <c r="AF44" s="23">
        <f>COUNTIFS(NAm!$F$3:$F$82,'NAm Capacity Data'!AF$22,NAm!$U$3:$U$82,$A44)</f>
        <v>0</v>
      </c>
      <c r="AG44" s="22">
        <f t="shared" si="17"/>
        <v>14</v>
      </c>
      <c r="AH44" s="22">
        <f>AG44-NAm!U88</f>
        <v>0</v>
      </c>
      <c r="AI44" s="389"/>
    </row>
    <row r="45" spans="1:35">
      <c r="A45" s="20" t="s">
        <v>7</v>
      </c>
      <c r="B45" s="22">
        <f>COUNTIFS(NAm!$F$3:$F$82,"&lt;"&amp;'NAm Capacity Data'!C$22,NAm!$U$3:$U$82,$A45)</f>
        <v>0</v>
      </c>
      <c r="C45" s="22">
        <f>COUNTIFS(NAm!$F$3:$F$82,'NAm Capacity Data'!C$22,NAm!$U$3:$U$82,$A45)</f>
        <v>0</v>
      </c>
      <c r="D45" s="22">
        <f>COUNTIFS(NAm!$F$3:$F$82,'NAm Capacity Data'!D$22,NAm!$U$3:$U$82,$A45)</f>
        <v>0</v>
      </c>
      <c r="E45" s="22">
        <f>COUNTIFS(NAm!$F$3:$F$82,'NAm Capacity Data'!E$22,NAm!$U$3:$U$82,$A45)</f>
        <v>0</v>
      </c>
      <c r="F45" s="23">
        <f>COUNTIFS(NAm!$F$3:$F$82,'NAm Capacity Data'!F$22,NAm!$U$3:$U$82,$A45)</f>
        <v>0</v>
      </c>
      <c r="G45" s="23">
        <f>COUNTIFS(NAm!$F$3:$F$82,'NAm Capacity Data'!G$22,NAm!$U$3:$U$82,$A45)</f>
        <v>2</v>
      </c>
      <c r="H45" s="23">
        <f>COUNTIFS(NAm!$F$3:$F$82,'NAm Capacity Data'!H$22,NAm!$U$3:$U$82,$A45)</f>
        <v>0</v>
      </c>
      <c r="I45" s="23">
        <f>COUNTIFS(NAm!$F$3:$F$82,'NAm Capacity Data'!I$22,NAm!$U$3:$U$82,$A45)</f>
        <v>5</v>
      </c>
      <c r="J45" s="23">
        <f>COUNTIFS(NAm!$F$3:$F$82,'NAm Capacity Data'!J$22,NAm!$U$3:$U$82,$A45)</f>
        <v>2</v>
      </c>
      <c r="K45" s="23">
        <f>COUNTIFS(NAm!$F$3:$F$82,'NAm Capacity Data'!K$22,NAm!$U$3:$U$82,$A45)</f>
        <v>1</v>
      </c>
      <c r="L45" s="23">
        <f>COUNTIFS(NAm!$F$3:$F$82,'NAm Capacity Data'!L$22,NAm!$U$3:$U$82,$A45)</f>
        <v>1</v>
      </c>
      <c r="M45" s="23">
        <f>COUNTIFS(NAm!$F$3:$F$82,'NAm Capacity Data'!M$22,NAm!$U$3:$U$82,$A45)</f>
        <v>0</v>
      </c>
      <c r="N45" s="23">
        <f>COUNTIFS(NAm!$F$3:$F$82,'NAm Capacity Data'!N$22,NAm!$U$3:$U$82,$A45)</f>
        <v>0</v>
      </c>
      <c r="O45" s="23">
        <f>COUNTIFS(NAm!$F$3:$F$82,'NAm Capacity Data'!O$22,NAm!$U$3:$U$82,$A45)</f>
        <v>0</v>
      </c>
      <c r="P45" s="23">
        <f>COUNTIFS(NAm!$F$3:$F$82,'NAm Capacity Data'!P$22,NAm!$U$3:$U$82,$A45)</f>
        <v>0</v>
      </c>
      <c r="Q45" s="23">
        <f>COUNTIFS(NAm!$F$3:$F$82,'NAm Capacity Data'!Q$22,NAm!$U$3:$U$82,$A45)</f>
        <v>0</v>
      </c>
      <c r="R45" s="23">
        <f>COUNTIFS(NAm!$F$3:$F$82,'NAm Capacity Data'!R$22,NAm!$U$3:$U$82,$A45)</f>
        <v>0</v>
      </c>
      <c r="S45" s="23">
        <f>COUNTIFS(NAm!$F$3:$F$82,'NAm Capacity Data'!S$22,NAm!$U$3:$U$82,$A45)</f>
        <v>0</v>
      </c>
      <c r="T45" s="23">
        <f>COUNTIFS(NAm!$F$3:$F$82,'NAm Capacity Data'!T$22,NAm!$U$3:$U$82,$A45)</f>
        <v>0</v>
      </c>
      <c r="U45" s="23">
        <f>COUNTIFS(NAm!$F$3:$F$82,'NAm Capacity Data'!U$22,NAm!$U$3:$U$82,$A45)</f>
        <v>0</v>
      </c>
      <c r="V45" s="23">
        <f>COUNTIFS(NAm!$F$3:$F$82,'NAm Capacity Data'!V$22,NAm!$U$3:$U$82,$A45)</f>
        <v>0</v>
      </c>
      <c r="W45" s="23">
        <f>COUNTIFS(NAm!$F$3:$F$82,'NAm Capacity Data'!W$22,NAm!$U$3:$U$82,$A45)</f>
        <v>0</v>
      </c>
      <c r="X45" s="23">
        <f>COUNTIFS(NAm!$F$3:$F$82,'NAm Capacity Data'!X$22,NAm!$U$3:$U$82,$A45)</f>
        <v>0</v>
      </c>
      <c r="Y45" s="23">
        <f>COUNTIFS(NAm!$F$3:$F$82,'NAm Capacity Data'!Y$22,NAm!$U$3:$U$82,$A45)</f>
        <v>0</v>
      </c>
      <c r="Z45" s="23">
        <f>COUNTIFS(NAm!$F$3:$F$82,'NAm Capacity Data'!Z$22,NAm!$U$3:$U$82,$A45)</f>
        <v>0</v>
      </c>
      <c r="AA45" s="23">
        <f>COUNTIFS(NAm!$F$3:$F$82,'NAm Capacity Data'!AA$22,NAm!$U$3:$U$82,$A45)</f>
        <v>0</v>
      </c>
      <c r="AB45" s="23">
        <f>COUNTIFS(NAm!$F$3:$F$82,'NAm Capacity Data'!AB$22,NAm!$U$3:$U$82,$A45)</f>
        <v>0</v>
      </c>
      <c r="AC45" s="23">
        <f>COUNTIFS(NAm!$F$3:$F$82,'NAm Capacity Data'!AC$22,NAm!$U$3:$U$82,$A45)</f>
        <v>0</v>
      </c>
      <c r="AD45" s="23">
        <f>COUNTIFS(NAm!$F$3:$F$82,'NAm Capacity Data'!AD$22,NAm!$U$3:$U$82,$A45)</f>
        <v>0</v>
      </c>
      <c r="AE45" s="23">
        <f>COUNTIFS(NAm!$F$3:$F$82,'NAm Capacity Data'!AE$22,NAm!$U$3:$U$82,$A45)</f>
        <v>0</v>
      </c>
      <c r="AF45" s="23">
        <f>COUNTIFS(NAm!$F$3:$F$82,'NAm Capacity Data'!AF$22,NAm!$U$3:$U$82,$A45)</f>
        <v>0</v>
      </c>
      <c r="AG45" s="22">
        <f t="shared" si="17"/>
        <v>11</v>
      </c>
      <c r="AH45" s="22">
        <f>AG45-NAm!U89</f>
        <v>0</v>
      </c>
      <c r="AI45" s="389"/>
    </row>
    <row r="46" spans="1:35">
      <c r="A46" s="20" t="s">
        <v>8</v>
      </c>
      <c r="B46" s="22">
        <f>COUNTIFS(NAm!$F$3:$F$82,"&lt;"&amp;'NAm Capacity Data'!C$22,NAm!$U$3:$U$82,$A46)</f>
        <v>0</v>
      </c>
      <c r="C46" s="22">
        <f>COUNTIFS(NAm!$F$3:$F$82,'NAm Capacity Data'!C$22,NAm!$U$3:$U$82,$A46)</f>
        <v>0</v>
      </c>
      <c r="D46" s="22">
        <f>COUNTIFS(NAm!$F$3:$F$82,'NAm Capacity Data'!D$22,NAm!$U$3:$U$82,$A46)</f>
        <v>1</v>
      </c>
      <c r="E46" s="22">
        <f>COUNTIFS(NAm!$F$3:$F$82,'NAm Capacity Data'!E$22,NAm!$U$3:$U$82,$A46)</f>
        <v>0</v>
      </c>
      <c r="F46" s="23">
        <f>COUNTIFS(NAm!$F$3:$F$82,'NAm Capacity Data'!F$22,NAm!$U$3:$U$82,$A46)</f>
        <v>1</v>
      </c>
      <c r="G46" s="23">
        <f>COUNTIFS(NAm!$F$3:$F$82,'NAm Capacity Data'!G$22,NAm!$U$3:$U$82,$A46)</f>
        <v>3</v>
      </c>
      <c r="H46" s="23">
        <f>COUNTIFS(NAm!$F$3:$F$82,'NAm Capacity Data'!H$22,NAm!$U$3:$U$82,$A46)</f>
        <v>2</v>
      </c>
      <c r="I46" s="23">
        <f>COUNTIFS(NAm!$F$3:$F$82,'NAm Capacity Data'!I$22,NAm!$U$3:$U$82,$A46)</f>
        <v>0</v>
      </c>
      <c r="J46" s="23">
        <f>COUNTIFS(NAm!$F$3:$F$82,'NAm Capacity Data'!J$22,NAm!$U$3:$U$82,$A46)</f>
        <v>2</v>
      </c>
      <c r="K46" s="23">
        <f>COUNTIFS(NAm!$F$3:$F$82,'NAm Capacity Data'!K$22,NAm!$U$3:$U$82,$A46)</f>
        <v>1</v>
      </c>
      <c r="L46" s="23">
        <f>COUNTIFS(NAm!$F$3:$F$82,'NAm Capacity Data'!L$22,NAm!$U$3:$U$82,$A46)</f>
        <v>1</v>
      </c>
      <c r="M46" s="23">
        <f>COUNTIFS(NAm!$F$3:$F$82,'NAm Capacity Data'!M$22,NAm!$U$3:$U$82,$A46)</f>
        <v>0</v>
      </c>
      <c r="N46" s="23">
        <f>COUNTIFS(NAm!$F$3:$F$82,'NAm Capacity Data'!N$22,NAm!$U$3:$U$82,$A46)</f>
        <v>0</v>
      </c>
      <c r="O46" s="23">
        <f>COUNTIFS(NAm!$F$3:$F$82,'NAm Capacity Data'!O$22,NAm!$U$3:$U$82,$A46)</f>
        <v>0</v>
      </c>
      <c r="P46" s="23">
        <f>COUNTIFS(NAm!$F$3:$F$82,'NAm Capacity Data'!P$22,NAm!$U$3:$U$82,$A46)</f>
        <v>0</v>
      </c>
      <c r="Q46" s="23">
        <f>COUNTIFS(NAm!$F$3:$F$82,'NAm Capacity Data'!Q$22,NAm!$U$3:$U$82,$A46)</f>
        <v>0</v>
      </c>
      <c r="R46" s="23">
        <f>COUNTIFS(NAm!$F$3:$F$82,'NAm Capacity Data'!R$22,NAm!$U$3:$U$82,$A46)</f>
        <v>0</v>
      </c>
      <c r="S46" s="23">
        <f>COUNTIFS(NAm!$F$3:$F$82,'NAm Capacity Data'!S$22,NAm!$U$3:$U$82,$A46)</f>
        <v>0</v>
      </c>
      <c r="T46" s="23">
        <f>COUNTIFS(NAm!$F$3:$F$82,'NAm Capacity Data'!T$22,NAm!$U$3:$U$82,$A46)</f>
        <v>0</v>
      </c>
      <c r="U46" s="23">
        <f>COUNTIFS(NAm!$F$3:$F$82,'NAm Capacity Data'!U$22,NAm!$U$3:$U$82,$A46)</f>
        <v>0</v>
      </c>
      <c r="V46" s="23">
        <f>COUNTIFS(NAm!$F$3:$F$82,'NAm Capacity Data'!V$22,NAm!$U$3:$U$82,$A46)</f>
        <v>0</v>
      </c>
      <c r="W46" s="23">
        <f>COUNTIFS(NAm!$F$3:$F$82,'NAm Capacity Data'!W$22,NAm!$U$3:$U$82,$A46)</f>
        <v>0</v>
      </c>
      <c r="X46" s="23">
        <f>COUNTIFS(NAm!$F$3:$F$82,'NAm Capacity Data'!X$22,NAm!$U$3:$U$82,$A46)</f>
        <v>0</v>
      </c>
      <c r="Y46" s="23">
        <f>COUNTIFS(NAm!$F$3:$F$82,'NAm Capacity Data'!Y$22,NAm!$U$3:$U$82,$A46)</f>
        <v>0</v>
      </c>
      <c r="Z46" s="23">
        <f>COUNTIFS(NAm!$F$3:$F$82,'NAm Capacity Data'!Z$22,NAm!$U$3:$U$82,$A46)</f>
        <v>0</v>
      </c>
      <c r="AA46" s="23">
        <f>COUNTIFS(NAm!$F$3:$F$82,'NAm Capacity Data'!AA$22,NAm!$U$3:$U$82,$A46)</f>
        <v>0</v>
      </c>
      <c r="AB46" s="23">
        <f>COUNTIFS(NAm!$F$3:$F$82,'NAm Capacity Data'!AB$22,NAm!$U$3:$U$82,$A46)</f>
        <v>0</v>
      </c>
      <c r="AC46" s="23">
        <f>COUNTIFS(NAm!$F$3:$F$82,'NAm Capacity Data'!AC$22,NAm!$U$3:$U$82,$A46)</f>
        <v>0</v>
      </c>
      <c r="AD46" s="23">
        <f>COUNTIFS(NAm!$F$3:$F$82,'NAm Capacity Data'!AD$22,NAm!$U$3:$U$82,$A46)</f>
        <v>0</v>
      </c>
      <c r="AE46" s="23">
        <f>COUNTIFS(NAm!$F$3:$F$82,'NAm Capacity Data'!AE$22,NAm!$U$3:$U$82,$A46)</f>
        <v>0</v>
      </c>
      <c r="AF46" s="23">
        <f>COUNTIFS(NAm!$F$3:$F$82,'NAm Capacity Data'!AF$22,NAm!$U$3:$U$82,$A46)</f>
        <v>0</v>
      </c>
      <c r="AG46" s="22">
        <f t="shared" si="17"/>
        <v>11</v>
      </c>
      <c r="AH46" s="22">
        <f>AG46-NAm!U90</f>
        <v>-1</v>
      </c>
      <c r="AI46" s="389"/>
    </row>
    <row r="47" spans="1:35">
      <c r="A47" s="20" t="s">
        <v>9</v>
      </c>
      <c r="B47" s="22">
        <f>COUNTIFS(NAm!$F$3:$F$82,"&lt;"&amp;'NAm Capacity Data'!C$22,NAm!$U$3:$U$82,$A47)</f>
        <v>0</v>
      </c>
      <c r="C47" s="22">
        <f>COUNTIFS(NAm!$F$3:$F$82,'NAm Capacity Data'!C$22,NAm!$U$3:$U$82,$A47)</f>
        <v>0</v>
      </c>
      <c r="D47" s="22">
        <f>COUNTIFS(NAm!$F$3:$F$82,'NAm Capacity Data'!D$22,NAm!$U$3:$U$82,$A47)</f>
        <v>0</v>
      </c>
      <c r="E47" s="22">
        <f>COUNTIFS(NAm!$F$3:$F$82,'NAm Capacity Data'!E$22,NAm!$U$3:$U$82,$A47)</f>
        <v>0</v>
      </c>
      <c r="F47" s="23">
        <f>COUNTIFS(NAm!$F$3:$F$82,'NAm Capacity Data'!F$22,NAm!$U$3:$U$82,$A47)</f>
        <v>1</v>
      </c>
      <c r="G47" s="23">
        <f>COUNTIFS(NAm!$F$3:$F$82,'NAm Capacity Data'!G$22,NAm!$U$3:$U$82,$A47)</f>
        <v>1</v>
      </c>
      <c r="H47" s="23">
        <f>COUNTIFS(NAm!$F$3:$F$82,'NAm Capacity Data'!H$22,NAm!$U$3:$U$82,$A47)</f>
        <v>1</v>
      </c>
      <c r="I47" s="23">
        <f>COUNTIFS(NAm!$F$3:$F$82,'NAm Capacity Data'!I$22,NAm!$U$3:$U$82,$A47)</f>
        <v>0</v>
      </c>
      <c r="J47" s="23">
        <f>COUNTIFS(NAm!$F$3:$F$82,'NAm Capacity Data'!J$22,NAm!$U$3:$U$82,$A47)</f>
        <v>0</v>
      </c>
      <c r="K47" s="23">
        <f>COUNTIFS(NAm!$F$3:$F$82,'NAm Capacity Data'!K$22,NAm!$U$3:$U$82,$A47)</f>
        <v>0</v>
      </c>
      <c r="L47" s="23">
        <f>COUNTIFS(NAm!$F$3:$F$82,'NAm Capacity Data'!L$22,NAm!$U$3:$U$82,$A47)</f>
        <v>0</v>
      </c>
      <c r="M47" s="23">
        <f>COUNTIFS(NAm!$F$3:$F$82,'NAm Capacity Data'!M$22,NAm!$U$3:$U$82,$A47)</f>
        <v>0</v>
      </c>
      <c r="N47" s="23">
        <f>COUNTIFS(NAm!$F$3:$F$82,'NAm Capacity Data'!N$22,NAm!$U$3:$U$82,$A47)</f>
        <v>0</v>
      </c>
      <c r="O47" s="23">
        <f>COUNTIFS(NAm!$F$3:$F$82,'NAm Capacity Data'!O$22,NAm!$U$3:$U$82,$A47)</f>
        <v>0</v>
      </c>
      <c r="P47" s="23">
        <f>COUNTIFS(NAm!$F$3:$F$82,'NAm Capacity Data'!P$22,NAm!$U$3:$U$82,$A47)</f>
        <v>0</v>
      </c>
      <c r="Q47" s="23">
        <f>COUNTIFS(NAm!$F$3:$F$82,'NAm Capacity Data'!Q$22,NAm!$U$3:$U$82,$A47)</f>
        <v>0</v>
      </c>
      <c r="R47" s="23">
        <f>COUNTIFS(NAm!$F$3:$F$82,'NAm Capacity Data'!R$22,NAm!$U$3:$U$82,$A47)</f>
        <v>0</v>
      </c>
      <c r="S47" s="23">
        <f>COUNTIFS(NAm!$F$3:$F$82,'NAm Capacity Data'!S$22,NAm!$U$3:$U$82,$A47)</f>
        <v>0</v>
      </c>
      <c r="T47" s="23">
        <f>COUNTIFS(NAm!$F$3:$F$82,'NAm Capacity Data'!T$22,NAm!$U$3:$U$82,$A47)</f>
        <v>0</v>
      </c>
      <c r="U47" s="23">
        <f>COUNTIFS(NAm!$F$3:$F$82,'NAm Capacity Data'!U$22,NAm!$U$3:$U$82,$A47)</f>
        <v>0</v>
      </c>
      <c r="V47" s="23">
        <f>COUNTIFS(NAm!$F$3:$F$82,'NAm Capacity Data'!V$22,NAm!$U$3:$U$82,$A47)</f>
        <v>0</v>
      </c>
      <c r="W47" s="23">
        <f>COUNTIFS(NAm!$F$3:$F$82,'NAm Capacity Data'!W$22,NAm!$U$3:$U$82,$A47)</f>
        <v>0</v>
      </c>
      <c r="X47" s="23">
        <f>COUNTIFS(NAm!$F$3:$F$82,'NAm Capacity Data'!X$22,NAm!$U$3:$U$82,$A47)</f>
        <v>0</v>
      </c>
      <c r="Y47" s="23">
        <f>COUNTIFS(NAm!$F$3:$F$82,'NAm Capacity Data'!Y$22,NAm!$U$3:$U$82,$A47)</f>
        <v>0</v>
      </c>
      <c r="Z47" s="23">
        <f>COUNTIFS(NAm!$F$3:$F$82,'NAm Capacity Data'!Z$22,NAm!$U$3:$U$82,$A47)</f>
        <v>0</v>
      </c>
      <c r="AA47" s="23">
        <f>COUNTIFS(NAm!$F$3:$F$82,'NAm Capacity Data'!AA$22,NAm!$U$3:$U$82,$A47)</f>
        <v>0</v>
      </c>
      <c r="AB47" s="23">
        <f>COUNTIFS(NAm!$F$3:$F$82,'NAm Capacity Data'!AB$22,NAm!$U$3:$U$82,$A47)</f>
        <v>0</v>
      </c>
      <c r="AC47" s="23">
        <f>COUNTIFS(NAm!$F$3:$F$82,'NAm Capacity Data'!AC$22,NAm!$U$3:$U$82,$A47)</f>
        <v>0</v>
      </c>
      <c r="AD47" s="23">
        <f>COUNTIFS(NAm!$F$3:$F$82,'NAm Capacity Data'!AD$22,NAm!$U$3:$U$82,$A47)</f>
        <v>0</v>
      </c>
      <c r="AE47" s="23">
        <f>COUNTIFS(NAm!$F$3:$F$82,'NAm Capacity Data'!AE$22,NAm!$U$3:$U$82,$A47)</f>
        <v>0</v>
      </c>
      <c r="AF47" s="23">
        <f>COUNTIFS(NAm!$F$3:$F$82,'NAm Capacity Data'!AF$22,NAm!$U$3:$U$82,$A47)</f>
        <v>0</v>
      </c>
      <c r="AG47" s="22">
        <f t="shared" si="17"/>
        <v>3</v>
      </c>
      <c r="AH47" s="22">
        <f>AG47-NAm!U91</f>
        <v>0</v>
      </c>
      <c r="AI47" s="389"/>
    </row>
    <row r="48" spans="1:35">
      <c r="A48" s="20" t="s">
        <v>10</v>
      </c>
      <c r="B48" s="22">
        <f>COUNTIFS(NAm!$F$3:$F$82,"&lt;"&amp;'NAm Capacity Data'!C$22,NAm!$U$3:$U$82,$A48)</f>
        <v>0</v>
      </c>
      <c r="C48" s="22">
        <f>COUNTIFS(NAm!$F$3:$F$82,'NAm Capacity Data'!C$22,NAm!$U$3:$U$82,$A48)</f>
        <v>1</v>
      </c>
      <c r="D48" s="22">
        <f>COUNTIFS(NAm!$F$3:$F$82,'NAm Capacity Data'!D$22,NAm!$U$3:$U$82,$A48)</f>
        <v>0</v>
      </c>
      <c r="E48" s="22">
        <f>COUNTIFS(NAm!$F$3:$F$82,'NAm Capacity Data'!E$22,NAm!$U$3:$U$82,$A48)</f>
        <v>0</v>
      </c>
      <c r="F48" s="23">
        <f>COUNTIFS(NAm!$F$3:$F$82,'NAm Capacity Data'!F$22,NAm!$U$3:$U$82,$A48)</f>
        <v>1</v>
      </c>
      <c r="G48" s="23">
        <f>COUNTIFS(NAm!$F$3:$F$82,'NAm Capacity Data'!G$22,NAm!$U$3:$U$82,$A48)</f>
        <v>2</v>
      </c>
      <c r="H48" s="23">
        <f>COUNTIFS(NAm!$F$3:$F$82,'NAm Capacity Data'!H$22,NAm!$U$3:$U$82,$A48)</f>
        <v>0</v>
      </c>
      <c r="I48" s="23">
        <f>COUNTIFS(NAm!$F$3:$F$82,'NAm Capacity Data'!I$22,NAm!$U$3:$U$82,$A48)</f>
        <v>1</v>
      </c>
      <c r="J48" s="23">
        <f>COUNTIFS(NAm!$F$3:$F$82,'NAm Capacity Data'!J$22,NAm!$U$3:$U$82,$A48)</f>
        <v>0</v>
      </c>
      <c r="K48" s="23">
        <f>COUNTIFS(NAm!$F$3:$F$82,'NAm Capacity Data'!K$22,NAm!$U$3:$U$82,$A48)</f>
        <v>0</v>
      </c>
      <c r="L48" s="23">
        <f>COUNTIFS(NAm!$F$3:$F$82,'NAm Capacity Data'!L$22,NAm!$U$3:$U$82,$A48)</f>
        <v>0</v>
      </c>
      <c r="M48" s="23">
        <f>COUNTIFS(NAm!$F$3:$F$82,'NAm Capacity Data'!M$22,NAm!$U$3:$U$82,$A48)</f>
        <v>0</v>
      </c>
      <c r="N48" s="23">
        <f>COUNTIFS(NAm!$F$3:$F$82,'NAm Capacity Data'!N$22,NAm!$U$3:$U$82,$A48)</f>
        <v>0</v>
      </c>
      <c r="O48" s="23">
        <f>COUNTIFS(NAm!$F$3:$F$82,'NAm Capacity Data'!O$22,NAm!$U$3:$U$82,$A48)</f>
        <v>0</v>
      </c>
      <c r="P48" s="23">
        <f>COUNTIFS(NAm!$F$3:$F$82,'NAm Capacity Data'!P$22,NAm!$U$3:$U$82,$A48)</f>
        <v>0</v>
      </c>
      <c r="Q48" s="23">
        <f>COUNTIFS(NAm!$F$3:$F$82,'NAm Capacity Data'!Q$22,NAm!$U$3:$U$82,$A48)</f>
        <v>0</v>
      </c>
      <c r="R48" s="23">
        <f>COUNTIFS(NAm!$F$3:$F$82,'NAm Capacity Data'!R$22,NAm!$U$3:$U$82,$A48)</f>
        <v>0</v>
      </c>
      <c r="S48" s="23">
        <f>COUNTIFS(NAm!$F$3:$F$82,'NAm Capacity Data'!S$22,NAm!$U$3:$U$82,$A48)</f>
        <v>0</v>
      </c>
      <c r="T48" s="23">
        <f>COUNTIFS(NAm!$F$3:$F$82,'NAm Capacity Data'!T$22,NAm!$U$3:$U$82,$A48)</f>
        <v>0</v>
      </c>
      <c r="U48" s="23">
        <f>COUNTIFS(NAm!$F$3:$F$82,'NAm Capacity Data'!U$22,NAm!$U$3:$U$82,$A48)</f>
        <v>0</v>
      </c>
      <c r="V48" s="23">
        <f>COUNTIFS(NAm!$F$3:$F$82,'NAm Capacity Data'!V$22,NAm!$U$3:$U$82,$A48)</f>
        <v>0</v>
      </c>
      <c r="W48" s="23">
        <f>COUNTIFS(NAm!$F$3:$F$82,'NAm Capacity Data'!W$22,NAm!$U$3:$U$82,$A48)</f>
        <v>0</v>
      </c>
      <c r="X48" s="23">
        <f>COUNTIFS(NAm!$F$3:$F$82,'NAm Capacity Data'!X$22,NAm!$U$3:$U$82,$A48)</f>
        <v>0</v>
      </c>
      <c r="Y48" s="23">
        <f>COUNTIFS(NAm!$F$3:$F$82,'NAm Capacity Data'!Y$22,NAm!$U$3:$U$82,$A48)</f>
        <v>0</v>
      </c>
      <c r="Z48" s="23">
        <f>COUNTIFS(NAm!$F$3:$F$82,'NAm Capacity Data'!Z$22,NAm!$U$3:$U$82,$A48)</f>
        <v>0</v>
      </c>
      <c r="AA48" s="23">
        <f>COUNTIFS(NAm!$F$3:$F$82,'NAm Capacity Data'!AA$22,NAm!$U$3:$U$82,$A48)</f>
        <v>0</v>
      </c>
      <c r="AB48" s="23">
        <f>COUNTIFS(NAm!$F$3:$F$82,'NAm Capacity Data'!AB$22,NAm!$U$3:$U$82,$A48)</f>
        <v>0</v>
      </c>
      <c r="AC48" s="23">
        <f>COUNTIFS(NAm!$F$3:$F$82,'NAm Capacity Data'!AC$22,NAm!$U$3:$U$82,$A48)</f>
        <v>0</v>
      </c>
      <c r="AD48" s="23">
        <f>COUNTIFS(NAm!$F$3:$F$82,'NAm Capacity Data'!AD$22,NAm!$U$3:$U$82,$A48)</f>
        <v>0</v>
      </c>
      <c r="AE48" s="23">
        <f>COUNTIFS(NAm!$F$3:$F$82,'NAm Capacity Data'!AE$22,NAm!$U$3:$U$82,$A48)</f>
        <v>0</v>
      </c>
      <c r="AF48" s="23">
        <f>COUNTIFS(NAm!$F$3:$F$82,'NAm Capacity Data'!AF$22,NAm!$U$3:$U$82,$A48)</f>
        <v>0</v>
      </c>
      <c r="AG48" s="22">
        <f t="shared" si="17"/>
        <v>5</v>
      </c>
      <c r="AH48" s="22">
        <f>AG48-NAm!U92</f>
        <v>0</v>
      </c>
      <c r="AI48" s="389"/>
    </row>
    <row r="49" spans="1:35" ht="15.75" thickBot="1">
      <c r="A49" s="32" t="s">
        <v>24</v>
      </c>
      <c r="B49" s="36">
        <f>SUM(B43:B48)</f>
        <v>3</v>
      </c>
      <c r="C49" s="36">
        <f>B49+SUM(C43:C48)</f>
        <v>5</v>
      </c>
      <c r="D49" s="36">
        <f>C49+SUM(D43:D48)</f>
        <v>8</v>
      </c>
      <c r="E49" s="36">
        <f t="shared" ref="E49:AF49" si="18">D49+SUM(E43:E48)</f>
        <v>8</v>
      </c>
      <c r="F49" s="37">
        <f t="shared" si="18"/>
        <v>17</v>
      </c>
      <c r="G49" s="37">
        <f t="shared" si="18"/>
        <v>33</v>
      </c>
      <c r="H49" s="37">
        <f t="shared" si="18"/>
        <v>42</v>
      </c>
      <c r="I49" s="37">
        <f t="shared" si="18"/>
        <v>61</v>
      </c>
      <c r="J49" s="37">
        <f t="shared" si="18"/>
        <v>69</v>
      </c>
      <c r="K49" s="37">
        <f t="shared" si="18"/>
        <v>73</v>
      </c>
      <c r="L49" s="37">
        <f t="shared" si="18"/>
        <v>76</v>
      </c>
      <c r="M49" s="37">
        <f t="shared" si="18"/>
        <v>78</v>
      </c>
      <c r="N49" s="37">
        <f t="shared" si="18"/>
        <v>78</v>
      </c>
      <c r="O49" s="37">
        <f t="shared" si="18"/>
        <v>78</v>
      </c>
      <c r="P49" s="37">
        <f t="shared" si="18"/>
        <v>78</v>
      </c>
      <c r="Q49" s="37">
        <f t="shared" si="18"/>
        <v>78</v>
      </c>
      <c r="R49" s="37">
        <f t="shared" si="18"/>
        <v>78</v>
      </c>
      <c r="S49" s="37">
        <f t="shared" si="18"/>
        <v>78</v>
      </c>
      <c r="T49" s="37">
        <f t="shared" si="18"/>
        <v>78</v>
      </c>
      <c r="U49" s="37">
        <f t="shared" si="18"/>
        <v>78</v>
      </c>
      <c r="V49" s="37">
        <f t="shared" si="18"/>
        <v>78</v>
      </c>
      <c r="W49" s="37">
        <f t="shared" si="18"/>
        <v>78</v>
      </c>
      <c r="X49" s="37">
        <f t="shared" si="18"/>
        <v>78</v>
      </c>
      <c r="Y49" s="37">
        <f t="shared" si="18"/>
        <v>78</v>
      </c>
      <c r="Z49" s="37">
        <f t="shared" si="18"/>
        <v>78</v>
      </c>
      <c r="AA49" s="37">
        <f t="shared" si="18"/>
        <v>78</v>
      </c>
      <c r="AB49" s="37">
        <f t="shared" si="18"/>
        <v>78</v>
      </c>
      <c r="AC49" s="37">
        <f t="shared" si="18"/>
        <v>78</v>
      </c>
      <c r="AD49" s="37">
        <f t="shared" si="18"/>
        <v>78</v>
      </c>
      <c r="AE49" s="37">
        <f t="shared" si="18"/>
        <v>78</v>
      </c>
      <c r="AF49" s="37">
        <f t="shared" si="18"/>
        <v>78</v>
      </c>
      <c r="AG49" s="36">
        <f>SUM(AG43:AG48)</f>
        <v>78</v>
      </c>
      <c r="AH49" s="36"/>
      <c r="AI49" s="389"/>
    </row>
    <row r="50" spans="1: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row>
    <row r="51" spans="1:35" ht="15.75" thickBot="1">
      <c r="A51" s="38" t="s">
        <v>457</v>
      </c>
    </row>
    <row r="52" spans="1:35" ht="15.75" thickBot="1">
      <c r="A52" s="17" t="str">
        <f>A22</f>
        <v>(mil gal/yr)</v>
      </c>
      <c r="B52" s="28" t="str">
        <f>B22</f>
        <v>&lt; 2021</v>
      </c>
      <c r="C52" s="18">
        <f t="shared" ref="C52:AF52" si="19">C22</f>
        <v>2021</v>
      </c>
      <c r="D52" s="18">
        <f t="shared" si="19"/>
        <v>2022</v>
      </c>
      <c r="E52" s="18">
        <f t="shared" si="19"/>
        <v>2023</v>
      </c>
      <c r="F52" s="18">
        <f t="shared" si="19"/>
        <v>2024</v>
      </c>
      <c r="G52" s="18">
        <f t="shared" si="19"/>
        <v>2025</v>
      </c>
      <c r="H52" s="18">
        <f t="shared" si="19"/>
        <v>2026</v>
      </c>
      <c r="I52" s="18">
        <f t="shared" si="19"/>
        <v>2027</v>
      </c>
      <c r="J52" s="18">
        <f t="shared" si="19"/>
        <v>2028</v>
      </c>
      <c r="K52" s="18">
        <f t="shared" si="19"/>
        <v>2029</v>
      </c>
      <c r="L52" s="18">
        <f t="shared" si="19"/>
        <v>2030</v>
      </c>
      <c r="M52" s="18">
        <f t="shared" si="19"/>
        <v>2031</v>
      </c>
      <c r="N52" s="18">
        <f t="shared" si="19"/>
        <v>2032</v>
      </c>
      <c r="O52" s="18">
        <f t="shared" si="19"/>
        <v>2033</v>
      </c>
      <c r="P52" s="18">
        <f t="shared" si="19"/>
        <v>2034</v>
      </c>
      <c r="Q52" s="18">
        <f t="shared" si="19"/>
        <v>2035</v>
      </c>
      <c r="R52" s="18">
        <f t="shared" si="19"/>
        <v>2036</v>
      </c>
      <c r="S52" s="18">
        <f t="shared" si="19"/>
        <v>2037</v>
      </c>
      <c r="T52" s="18">
        <f t="shared" si="19"/>
        <v>2038</v>
      </c>
      <c r="U52" s="18">
        <f t="shared" si="19"/>
        <v>2039</v>
      </c>
      <c r="V52" s="18">
        <f t="shared" si="19"/>
        <v>2040</v>
      </c>
      <c r="W52" s="18">
        <f t="shared" si="19"/>
        <v>2041</v>
      </c>
      <c r="X52" s="18">
        <f t="shared" si="19"/>
        <v>2042</v>
      </c>
      <c r="Y52" s="18">
        <f t="shared" si="19"/>
        <v>2043</v>
      </c>
      <c r="Z52" s="18">
        <f t="shared" si="19"/>
        <v>2044</v>
      </c>
      <c r="AA52" s="18">
        <f t="shared" si="19"/>
        <v>2045</v>
      </c>
      <c r="AB52" s="18">
        <f t="shared" si="19"/>
        <v>2046</v>
      </c>
      <c r="AC52" s="18">
        <f t="shared" si="19"/>
        <v>2047</v>
      </c>
      <c r="AD52" s="18">
        <f t="shared" si="19"/>
        <v>2048</v>
      </c>
      <c r="AE52" s="18">
        <f t="shared" si="19"/>
        <v>2049</v>
      </c>
      <c r="AF52" s="18">
        <f t="shared" si="19"/>
        <v>2050</v>
      </c>
    </row>
    <row r="53" spans="1:35">
      <c r="A53" s="20" t="s">
        <v>26</v>
      </c>
      <c r="B53" s="7">
        <f>SUMIFS(NAm!$N$3:$N$82,NAm!$F$3:$F$82,"&lt;"&amp;'NAm Capacity Data'!C$22,NAm!$V$3:$V$82,'NAm Capacity Data'!$A53)</f>
        <v>82</v>
      </c>
      <c r="C53" s="7">
        <f>SUMIFS(NAm!$N$3:$N$82,NAm!$F$3:$F$82,'NAm Capacity Data'!C$22,NAm!$V$3:$V$82,'NAm Capacity Data'!$A53)</f>
        <v>364.7</v>
      </c>
      <c r="D53" s="7">
        <f>SUMIFS(NAm!$N$3:$N$82,NAm!$F$3:$F$82,'NAm Capacity Data'!D$22,NAm!$V$3:$V$82,'NAm Capacity Data'!$A53)</f>
        <v>100</v>
      </c>
      <c r="E53" s="7">
        <f>SUMIFS(NAm!$N$3:$N$82,NAm!$F$3:$F$82,'NAm Capacity Data'!E$22,NAm!$V$3:$V$82,'NAm Capacity Data'!$A53)</f>
        <v>0</v>
      </c>
      <c r="F53" s="39">
        <f>SUMIFS(NAm!$N$3:$N$82,NAm!$F$3:$F$82,'NAm Capacity Data'!F$22,NAm!$V$3:$V$82,'NAm Capacity Data'!$A53)</f>
        <v>873.32</v>
      </c>
      <c r="G53" s="39">
        <f>SUMIFS(NAm!$N$3:$N$82,NAm!$F$3:$F$82,'NAm Capacity Data'!G$22,NAm!$V$3:$V$82,'NAm Capacity Data'!$A53)</f>
        <v>223.32599999999999</v>
      </c>
      <c r="H53" s="39">
        <f>SUMIFS(NAm!$N$3:$N$82,NAm!$F$3:$F$82,'NAm Capacity Data'!H$22,NAm!$V$3:$V$82,'NAm Capacity Data'!$A53)</f>
        <v>572.79999999999995</v>
      </c>
      <c r="I53" s="39">
        <f>SUMIFS(NAm!$N$3:$N$82,NAm!$F$3:$F$82,'NAm Capacity Data'!I$22,NAm!$V$3:$V$82,'NAm Capacity Data'!$A53)</f>
        <v>1438</v>
      </c>
      <c r="J53" s="39">
        <f>SUMIFS(NAm!$N$3:$N$82,NAm!$F$3:$F$82,'NAm Capacity Data'!J$22,NAm!$V$3:$V$82,'NAm Capacity Data'!$A53)</f>
        <v>82.5</v>
      </c>
      <c r="K53" s="39">
        <f>SUMIFS(NAm!$N$3:$N$82,NAm!$F$3:$F$82,'NAm Capacity Data'!K$22,NAm!$V$3:$V$82,'NAm Capacity Data'!$A53)</f>
        <v>71</v>
      </c>
      <c r="L53" s="39">
        <f>SUMIFS(NAm!$N$3:$N$82,NAm!$F$3:$F$82,'NAm Capacity Data'!L$22,NAm!$V$3:$V$82,'NAm Capacity Data'!$A53)</f>
        <v>50</v>
      </c>
      <c r="M53" s="39">
        <f>SUMIFS(NAm!$N$3:$N$82,NAm!$F$3:$F$82,'NAm Capacity Data'!M$22,NAm!$V$3:$V$82,'NAm Capacity Data'!$A53)</f>
        <v>0</v>
      </c>
      <c r="N53" s="39">
        <f>SUMIFS(NAm!$N$3:$N$82,NAm!$F$3:$F$82,'NAm Capacity Data'!N$22,NAm!$V$3:$V$82,'NAm Capacity Data'!$A53)</f>
        <v>0</v>
      </c>
      <c r="O53" s="39">
        <f>SUMIFS(NAm!$N$3:$N$82,NAm!$F$3:$F$82,'NAm Capacity Data'!O$22,NAm!$V$3:$V$82,'NAm Capacity Data'!$A53)</f>
        <v>0</v>
      </c>
      <c r="P53" s="39">
        <f>SUMIFS(NAm!$N$3:$N$82,NAm!$F$3:$F$82,'NAm Capacity Data'!P$22,NAm!$V$3:$V$82,'NAm Capacity Data'!$A53)</f>
        <v>0</v>
      </c>
      <c r="Q53" s="39">
        <f>SUMIFS(NAm!$N$3:$N$82,NAm!$F$3:$F$82,'NAm Capacity Data'!Q$22,NAm!$V$3:$V$82,'NAm Capacity Data'!$A53)</f>
        <v>0</v>
      </c>
      <c r="R53" s="39">
        <f>SUMIFS(NAm!$N$3:$N$82,NAm!$F$3:$F$82,'NAm Capacity Data'!R$22,NAm!$V$3:$V$82,'NAm Capacity Data'!$A53)</f>
        <v>0</v>
      </c>
      <c r="S53" s="39">
        <f>SUMIFS(NAm!$N$3:$N$82,NAm!$F$3:$F$82,'NAm Capacity Data'!S$22,NAm!$V$3:$V$82,'NAm Capacity Data'!$A53)</f>
        <v>0</v>
      </c>
      <c r="T53" s="39">
        <f>SUMIFS(NAm!$N$3:$N$82,NAm!$F$3:$F$82,'NAm Capacity Data'!T$22,NAm!$V$3:$V$82,'NAm Capacity Data'!$A53)</f>
        <v>0</v>
      </c>
      <c r="U53" s="39">
        <f>SUMIFS(NAm!$N$3:$N$82,NAm!$F$3:$F$82,'NAm Capacity Data'!U$22,NAm!$V$3:$V$82,'NAm Capacity Data'!$A53)</f>
        <v>0</v>
      </c>
      <c r="V53" s="39">
        <f>SUMIFS(NAm!$N$3:$N$82,NAm!$F$3:$F$82,'NAm Capacity Data'!V$22,NAm!$V$3:$V$82,'NAm Capacity Data'!$A53)</f>
        <v>0</v>
      </c>
      <c r="W53" s="39">
        <f>SUMIFS(NAm!$N$3:$N$82,NAm!$F$3:$F$82,'NAm Capacity Data'!W$22,NAm!$V$3:$V$82,'NAm Capacity Data'!$A53)</f>
        <v>0</v>
      </c>
      <c r="X53" s="39">
        <f>SUMIFS(NAm!$N$3:$N$82,NAm!$F$3:$F$82,'NAm Capacity Data'!X$22,NAm!$V$3:$V$82,'NAm Capacity Data'!$A53)</f>
        <v>0</v>
      </c>
      <c r="Y53" s="39">
        <f>SUMIFS(NAm!$N$3:$N$82,NAm!$F$3:$F$82,'NAm Capacity Data'!Y$22,NAm!$V$3:$V$82,'NAm Capacity Data'!$A53)</f>
        <v>0</v>
      </c>
      <c r="Z53" s="39">
        <f>SUMIFS(NAm!$N$3:$N$82,NAm!$F$3:$F$82,'NAm Capacity Data'!Z$22,NAm!$V$3:$V$82,'NAm Capacity Data'!$A53)</f>
        <v>0</v>
      </c>
      <c r="AA53" s="39">
        <f>SUMIFS(NAm!$N$3:$N$82,NAm!$F$3:$F$82,'NAm Capacity Data'!AA$22,NAm!$V$3:$V$82,'NAm Capacity Data'!$A53)</f>
        <v>0</v>
      </c>
      <c r="AB53" s="39">
        <f>SUMIFS(NAm!$N$3:$N$82,NAm!$F$3:$F$82,'NAm Capacity Data'!AB$22,NAm!$V$3:$V$82,'NAm Capacity Data'!$A53)</f>
        <v>0</v>
      </c>
      <c r="AC53" s="39">
        <f>SUMIFS(NAm!$N$3:$N$82,NAm!$F$3:$F$82,'NAm Capacity Data'!AC$22,NAm!$V$3:$V$82,'NAm Capacity Data'!$A53)</f>
        <v>0</v>
      </c>
      <c r="AD53" s="39">
        <f>SUMIFS(NAm!$N$3:$N$82,NAm!$F$3:$F$82,'NAm Capacity Data'!AD$22,NAm!$V$3:$V$82,'NAm Capacity Data'!$A53)</f>
        <v>0</v>
      </c>
      <c r="AE53" s="39">
        <f>SUMIFS(NAm!$N$3:$N$82,NAm!$F$3:$F$82,'NAm Capacity Data'!AE$22,NAm!$V$3:$V$82,'NAm Capacity Data'!$A53)</f>
        <v>0</v>
      </c>
      <c r="AF53" s="39">
        <f>SUMIFS(NAm!$N$3:$N$82,NAm!$F$3:$F$82,'NAm Capacity Data'!AF$22,NAm!$V$3:$V$82,'NAm Capacity Data'!$A53)</f>
        <v>0</v>
      </c>
    </row>
    <row r="54" spans="1:35">
      <c r="A54" s="20" t="s">
        <v>27</v>
      </c>
      <c r="B54" s="22">
        <f>SUMIFS(NAm!$N$3:$N$82,NAm!$F$3:$F$82,"&lt;"&amp;'NAm Capacity Data'!C$22,NAm!$V$3:$V$82,'NAm Capacity Data'!$A54)</f>
        <v>60.1</v>
      </c>
      <c r="C54" s="22">
        <f>SUMIFS(NAm!$N$3:$N$82,NAm!$F$3:$F$82,'NAm Capacity Data'!C$22,NAm!$V$3:$V$82,'NAm Capacity Data'!$A54)</f>
        <v>0</v>
      </c>
      <c r="D54" s="22">
        <f>SUMIFS(NAm!$N$3:$N$82,NAm!$F$3:$F$82,'NAm Capacity Data'!D$22,NAm!$V$3:$V$82,'NAm Capacity Data'!$A54)</f>
        <v>0</v>
      </c>
      <c r="E54" s="22">
        <f>SUMIFS(NAm!$N$3:$N$82,NAm!$F$3:$F$82,'NAm Capacity Data'!E$22,NAm!$V$3:$V$82,'NAm Capacity Data'!$A54)</f>
        <v>0</v>
      </c>
      <c r="F54" s="23">
        <f>SUMIFS(NAm!$N$3:$N$82,NAm!$F$3:$F$82,'NAm Capacity Data'!F$22,NAm!$V$3:$V$82,'NAm Capacity Data'!$A54)</f>
        <v>9</v>
      </c>
      <c r="G54" s="23">
        <f>SUMIFS(NAm!$N$3:$N$82,NAm!$F$3:$F$82,'NAm Capacity Data'!G$22,NAm!$V$3:$V$82,'NAm Capacity Data'!$A54)</f>
        <v>3.0912500000000001</v>
      </c>
      <c r="H54" s="23">
        <f>SUMIFS(NAm!$N$3:$N$82,NAm!$F$3:$F$82,'NAm Capacity Data'!H$22,NAm!$V$3:$V$82,'NAm Capacity Data'!$A54)</f>
        <v>206</v>
      </c>
      <c r="I54" s="23">
        <f>SUMIFS(NAm!$N$3:$N$82,NAm!$F$3:$F$82,'NAm Capacity Data'!I$22,NAm!$V$3:$V$82,'NAm Capacity Data'!$A54)</f>
        <v>490</v>
      </c>
      <c r="J54" s="23">
        <f>SUMIFS(NAm!$N$3:$N$82,NAm!$F$3:$F$82,'NAm Capacity Data'!J$22,NAm!$V$3:$V$82,'NAm Capacity Data'!$A54)</f>
        <v>195</v>
      </c>
      <c r="K54" s="23">
        <f>SUMIFS(NAm!$N$3:$N$82,NAm!$F$3:$F$82,'NAm Capacity Data'!K$22,NAm!$V$3:$V$82,'NAm Capacity Data'!$A54)</f>
        <v>30</v>
      </c>
      <c r="L54" s="23">
        <f>SUMIFS(NAm!$N$3:$N$82,NAm!$F$3:$F$82,'NAm Capacity Data'!L$22,NAm!$V$3:$V$82,'NAm Capacity Data'!$A54)</f>
        <v>0</v>
      </c>
      <c r="M54" s="23">
        <f>SUMIFS(NAm!$N$3:$N$82,NAm!$F$3:$F$82,'NAm Capacity Data'!M$22,NAm!$V$3:$V$82,'NAm Capacity Data'!$A54)</f>
        <v>68.039999999999992</v>
      </c>
      <c r="N54" s="23">
        <f>SUMIFS(NAm!$N$3:$N$82,NAm!$F$3:$F$82,'NAm Capacity Data'!N$22,NAm!$V$3:$V$82,'NAm Capacity Data'!$A54)</f>
        <v>0</v>
      </c>
      <c r="O54" s="23">
        <f>SUMIFS(NAm!$N$3:$N$82,NAm!$F$3:$F$82,'NAm Capacity Data'!O$22,NAm!$V$3:$V$82,'NAm Capacity Data'!$A54)</f>
        <v>0</v>
      </c>
      <c r="P54" s="23">
        <f>SUMIFS(NAm!$N$3:$N$82,NAm!$F$3:$F$82,'NAm Capacity Data'!P$22,NAm!$V$3:$V$82,'NAm Capacity Data'!$A54)</f>
        <v>0</v>
      </c>
      <c r="Q54" s="23">
        <f>SUMIFS(NAm!$N$3:$N$82,NAm!$F$3:$F$82,'NAm Capacity Data'!Q$22,NAm!$V$3:$V$82,'NAm Capacity Data'!$A54)</f>
        <v>0</v>
      </c>
      <c r="R54" s="23">
        <f>SUMIFS(NAm!$N$3:$N$82,NAm!$F$3:$F$82,'NAm Capacity Data'!R$22,NAm!$V$3:$V$82,'NAm Capacity Data'!$A54)</f>
        <v>0</v>
      </c>
      <c r="S54" s="23">
        <f>SUMIFS(NAm!$N$3:$N$82,NAm!$F$3:$F$82,'NAm Capacity Data'!S$22,NAm!$V$3:$V$82,'NAm Capacity Data'!$A54)</f>
        <v>0</v>
      </c>
      <c r="T54" s="23">
        <f>SUMIFS(NAm!$N$3:$N$82,NAm!$F$3:$F$82,'NAm Capacity Data'!T$22,NAm!$V$3:$V$82,'NAm Capacity Data'!$A54)</f>
        <v>0</v>
      </c>
      <c r="U54" s="23">
        <f>SUMIFS(NAm!$N$3:$N$82,NAm!$F$3:$F$82,'NAm Capacity Data'!U$22,NAm!$V$3:$V$82,'NAm Capacity Data'!$A54)</f>
        <v>0</v>
      </c>
      <c r="V54" s="23">
        <f>SUMIFS(NAm!$N$3:$N$82,NAm!$F$3:$F$82,'NAm Capacity Data'!V$22,NAm!$V$3:$V$82,'NAm Capacity Data'!$A54)</f>
        <v>0</v>
      </c>
      <c r="W54" s="23">
        <f>SUMIFS(NAm!$N$3:$N$82,NAm!$F$3:$F$82,'NAm Capacity Data'!W$22,NAm!$V$3:$V$82,'NAm Capacity Data'!$A54)</f>
        <v>0</v>
      </c>
      <c r="X54" s="23">
        <f>SUMIFS(NAm!$N$3:$N$82,NAm!$F$3:$F$82,'NAm Capacity Data'!X$22,NAm!$V$3:$V$82,'NAm Capacity Data'!$A54)</f>
        <v>0</v>
      </c>
      <c r="Y54" s="23">
        <f>SUMIFS(NAm!$N$3:$N$82,NAm!$F$3:$F$82,'NAm Capacity Data'!Y$22,NAm!$V$3:$V$82,'NAm Capacity Data'!$A54)</f>
        <v>0</v>
      </c>
      <c r="Z54" s="23">
        <f>SUMIFS(NAm!$N$3:$N$82,NAm!$F$3:$F$82,'NAm Capacity Data'!Z$22,NAm!$V$3:$V$82,'NAm Capacity Data'!$A54)</f>
        <v>0</v>
      </c>
      <c r="AA54" s="23">
        <f>SUMIFS(NAm!$N$3:$N$82,NAm!$F$3:$F$82,'NAm Capacity Data'!AA$22,NAm!$V$3:$V$82,'NAm Capacity Data'!$A54)</f>
        <v>0</v>
      </c>
      <c r="AB54" s="23">
        <f>SUMIFS(NAm!$N$3:$N$82,NAm!$F$3:$F$82,'NAm Capacity Data'!AB$22,NAm!$V$3:$V$82,'NAm Capacity Data'!$A54)</f>
        <v>0</v>
      </c>
      <c r="AC54" s="23">
        <f>SUMIFS(NAm!$N$3:$N$82,NAm!$F$3:$F$82,'NAm Capacity Data'!AC$22,NAm!$V$3:$V$82,'NAm Capacity Data'!$A54)</f>
        <v>0</v>
      </c>
      <c r="AD54" s="23">
        <f>SUMIFS(NAm!$N$3:$N$82,NAm!$F$3:$F$82,'NAm Capacity Data'!AD$22,NAm!$V$3:$V$82,'NAm Capacity Data'!$A54)</f>
        <v>0</v>
      </c>
      <c r="AE54" s="23">
        <f>SUMIFS(NAm!$N$3:$N$82,NAm!$F$3:$F$82,'NAm Capacity Data'!AE$22,NAm!$V$3:$V$82,'NAm Capacity Data'!$A54)</f>
        <v>0</v>
      </c>
      <c r="AF54" s="23">
        <f>SUMIFS(NAm!$N$3:$N$82,NAm!$F$3:$F$82,'NAm Capacity Data'!AF$22,NAm!$V$3:$V$82,'NAm Capacity Data'!$A54)</f>
        <v>0</v>
      </c>
    </row>
    <row r="55" spans="1:35">
      <c r="A55" s="20" t="s">
        <v>28</v>
      </c>
      <c r="B55" s="22">
        <f>SUMIFS(NAm!$N$3:$N$82,NAm!$F$3:$F$82,"&lt;"&amp;'NAm Capacity Data'!C$22,NAm!$V$3:$V$82,'NAm Capacity Data'!$A55)</f>
        <v>0</v>
      </c>
      <c r="C55" s="22">
        <f>SUMIFS(NAm!$N$3:$N$82,NAm!$F$3:$F$82,'NAm Capacity Data'!C$22,NAm!$V$3:$V$82,'NAm Capacity Data'!$A55)</f>
        <v>0</v>
      </c>
      <c r="D55" s="22">
        <f>SUMIFS(NAm!$N$3:$N$82,NAm!$F$3:$F$82,'NAm Capacity Data'!D$22,NAm!$V$3:$V$82,'NAm Capacity Data'!$A55)</f>
        <v>0</v>
      </c>
      <c r="E55" s="22">
        <f>SUMIFS(NAm!$N$3:$N$82,NAm!$F$3:$F$82,'NAm Capacity Data'!E$22,NAm!$V$3:$V$82,'NAm Capacity Data'!$A55)</f>
        <v>0</v>
      </c>
      <c r="F55" s="23">
        <f>SUMIFS(NAm!$N$3:$N$82,NAm!$F$3:$F$82,'NAm Capacity Data'!F$22,NAm!$V$3:$V$82,'NAm Capacity Data'!$A55)</f>
        <v>0</v>
      </c>
      <c r="G55" s="23">
        <f>SUMIFS(NAm!$N$3:$N$82,NAm!$F$3:$F$82,'NAm Capacity Data'!G$22,NAm!$V$3:$V$82,'NAm Capacity Data'!$A55)</f>
        <v>88</v>
      </c>
      <c r="H55" s="23">
        <f>SUMIFS(NAm!$N$3:$N$82,NAm!$F$3:$F$82,'NAm Capacity Data'!H$22,NAm!$V$3:$V$82,'NAm Capacity Data'!$A55)</f>
        <v>1</v>
      </c>
      <c r="I55" s="23">
        <f>SUMIFS(NAm!$N$3:$N$82,NAm!$F$3:$F$82,'NAm Capacity Data'!I$22,NAm!$V$3:$V$82,'NAm Capacity Data'!$A55)</f>
        <v>34</v>
      </c>
      <c r="J55" s="23">
        <f>SUMIFS(NAm!$N$3:$N$82,NAm!$F$3:$F$82,'NAm Capacity Data'!J$22,NAm!$V$3:$V$82,'NAm Capacity Data'!$A55)</f>
        <v>117.3</v>
      </c>
      <c r="K55" s="23">
        <f>SUMIFS(NAm!$N$3:$N$82,NAm!$F$3:$F$82,'NAm Capacity Data'!K$22,NAm!$V$3:$V$82,'NAm Capacity Data'!$A55)</f>
        <v>0</v>
      </c>
      <c r="L55" s="23">
        <f>SUMIFS(NAm!$N$3:$N$82,NAm!$F$3:$F$82,'NAm Capacity Data'!L$22,NAm!$V$3:$V$82,'NAm Capacity Data'!$A55)</f>
        <v>49.5</v>
      </c>
      <c r="M55" s="23">
        <f>SUMIFS(NAm!$N$3:$N$82,NAm!$F$3:$F$82,'NAm Capacity Data'!M$22,NAm!$V$3:$V$82,'NAm Capacity Data'!$A55)</f>
        <v>0</v>
      </c>
      <c r="N55" s="23">
        <f>SUMIFS(NAm!$N$3:$N$82,NAm!$F$3:$F$82,'NAm Capacity Data'!N$22,NAm!$V$3:$V$82,'NAm Capacity Data'!$A55)</f>
        <v>0</v>
      </c>
      <c r="O55" s="23">
        <f>SUMIFS(NAm!$N$3:$N$82,NAm!$F$3:$F$82,'NAm Capacity Data'!O$22,NAm!$V$3:$V$82,'NAm Capacity Data'!$A55)</f>
        <v>0</v>
      </c>
      <c r="P55" s="23">
        <f>SUMIFS(NAm!$N$3:$N$82,NAm!$F$3:$F$82,'NAm Capacity Data'!P$22,NAm!$V$3:$V$82,'NAm Capacity Data'!$A55)</f>
        <v>0</v>
      </c>
      <c r="Q55" s="23">
        <f>SUMIFS(NAm!$N$3:$N$82,NAm!$F$3:$F$82,'NAm Capacity Data'!Q$22,NAm!$V$3:$V$82,'NAm Capacity Data'!$A55)</f>
        <v>0</v>
      </c>
      <c r="R55" s="23">
        <f>SUMIFS(NAm!$N$3:$N$82,NAm!$F$3:$F$82,'NAm Capacity Data'!R$22,NAm!$V$3:$V$82,'NAm Capacity Data'!$A55)</f>
        <v>0</v>
      </c>
      <c r="S55" s="23">
        <f>SUMIFS(NAm!$N$3:$N$82,NAm!$F$3:$F$82,'NAm Capacity Data'!S$22,NAm!$V$3:$V$82,'NAm Capacity Data'!$A55)</f>
        <v>0</v>
      </c>
      <c r="T55" s="23">
        <f>SUMIFS(NAm!$N$3:$N$82,NAm!$F$3:$F$82,'NAm Capacity Data'!T$22,NAm!$V$3:$V$82,'NAm Capacity Data'!$A55)</f>
        <v>0</v>
      </c>
      <c r="U55" s="23">
        <f>SUMIFS(NAm!$N$3:$N$82,NAm!$F$3:$F$82,'NAm Capacity Data'!U$22,NAm!$V$3:$V$82,'NAm Capacity Data'!$A55)</f>
        <v>0</v>
      </c>
      <c r="V55" s="23">
        <f>SUMIFS(NAm!$N$3:$N$82,NAm!$F$3:$F$82,'NAm Capacity Data'!V$22,NAm!$V$3:$V$82,'NAm Capacity Data'!$A55)</f>
        <v>0</v>
      </c>
      <c r="W55" s="23">
        <f>SUMIFS(NAm!$N$3:$N$82,NAm!$F$3:$F$82,'NAm Capacity Data'!W$22,NAm!$V$3:$V$82,'NAm Capacity Data'!$A55)</f>
        <v>0</v>
      </c>
      <c r="X55" s="23">
        <f>SUMIFS(NAm!$N$3:$N$82,NAm!$F$3:$F$82,'NAm Capacity Data'!X$22,NAm!$V$3:$V$82,'NAm Capacity Data'!$A55)</f>
        <v>0</v>
      </c>
      <c r="Y55" s="23">
        <f>SUMIFS(NAm!$N$3:$N$82,NAm!$F$3:$F$82,'NAm Capacity Data'!Y$22,NAm!$V$3:$V$82,'NAm Capacity Data'!$A55)</f>
        <v>0</v>
      </c>
      <c r="Z55" s="23">
        <f>SUMIFS(NAm!$N$3:$N$82,NAm!$F$3:$F$82,'NAm Capacity Data'!Z$22,NAm!$V$3:$V$82,'NAm Capacity Data'!$A55)</f>
        <v>0</v>
      </c>
      <c r="AA55" s="23">
        <f>SUMIFS(NAm!$N$3:$N$82,NAm!$F$3:$F$82,'NAm Capacity Data'!AA$22,NAm!$V$3:$V$82,'NAm Capacity Data'!$A55)</f>
        <v>0</v>
      </c>
      <c r="AB55" s="23">
        <f>SUMIFS(NAm!$N$3:$N$82,NAm!$F$3:$F$82,'NAm Capacity Data'!AB$22,NAm!$V$3:$V$82,'NAm Capacity Data'!$A55)</f>
        <v>0</v>
      </c>
      <c r="AC55" s="23">
        <f>SUMIFS(NAm!$N$3:$N$82,NAm!$F$3:$F$82,'NAm Capacity Data'!AC$22,NAm!$V$3:$V$82,'NAm Capacity Data'!$A55)</f>
        <v>0</v>
      </c>
      <c r="AD55" s="23">
        <f>SUMIFS(NAm!$N$3:$N$82,NAm!$F$3:$F$82,'NAm Capacity Data'!AD$22,NAm!$V$3:$V$82,'NAm Capacity Data'!$A55)</f>
        <v>0</v>
      </c>
      <c r="AE55" s="23">
        <f>SUMIFS(NAm!$N$3:$N$82,NAm!$F$3:$F$82,'NAm Capacity Data'!AE$22,NAm!$V$3:$V$82,'NAm Capacity Data'!$A55)</f>
        <v>0</v>
      </c>
      <c r="AF55" s="23">
        <f>SUMIFS(NAm!$N$3:$N$82,NAm!$F$3:$F$82,'NAm Capacity Data'!AF$22,NAm!$V$3:$V$82,'NAm Capacity Data'!$A55)</f>
        <v>0</v>
      </c>
    </row>
    <row r="56" spans="1:35">
      <c r="A56" s="20" t="s">
        <v>29</v>
      </c>
      <c r="B56" s="22">
        <f>SUMIFS(NAm!$N$3:$N$82,NAm!$F$3:$F$82,"&lt;"&amp;'NAm Capacity Data'!C$22,NAm!$V$3:$V$82,'NAm Capacity Data'!$A56)</f>
        <v>0</v>
      </c>
      <c r="C56" s="22">
        <f>SUMIFS(NAm!$N$3:$N$82,NAm!$F$3:$F$82,'NAm Capacity Data'!C$22,NAm!$V$3:$V$82,'NAm Capacity Data'!$A56)</f>
        <v>0</v>
      </c>
      <c r="D56" s="22">
        <f>SUMIFS(NAm!$N$3:$N$82,NAm!$F$3:$F$82,'NAm Capacity Data'!D$22,NAm!$V$3:$V$82,'NAm Capacity Data'!$A56)</f>
        <v>1E-3</v>
      </c>
      <c r="E56" s="22">
        <f>SUMIFS(NAm!$N$3:$N$82,NAm!$F$3:$F$82,'NAm Capacity Data'!E$22,NAm!$V$3:$V$82,'NAm Capacity Data'!$A56)</f>
        <v>0</v>
      </c>
      <c r="F56" s="23">
        <f>SUMIFS(NAm!$N$3:$N$82,NAm!$F$3:$F$82,'NAm Capacity Data'!F$22,NAm!$V$3:$V$82,'NAm Capacity Data'!$A56)</f>
        <v>0.39625826528698338</v>
      </c>
      <c r="G56" s="23">
        <f>SUMIFS(NAm!$N$3:$N$82,NAm!$F$3:$F$82,'NAm Capacity Data'!G$22,NAm!$V$3:$V$82,'NAm Capacity Data'!$A56)</f>
        <v>6.4562499999999995E-2</v>
      </c>
      <c r="H56" s="23">
        <f>SUMIFS(NAm!$N$3:$N$82,NAm!$F$3:$F$82,'NAm Capacity Data'!H$22,NAm!$V$3:$V$82,'NAm Capacity Data'!$A56)</f>
        <v>5</v>
      </c>
      <c r="I56" s="23">
        <f>SUMIFS(NAm!$N$3:$N$82,NAm!$F$3:$F$82,'NAm Capacity Data'!I$22,NAm!$V$3:$V$82,'NAm Capacity Data'!$A56)</f>
        <v>0</v>
      </c>
      <c r="J56" s="23">
        <f>SUMIFS(NAm!$N$3:$N$82,NAm!$F$3:$F$82,'NAm Capacity Data'!J$22,NAm!$V$3:$V$82,'NAm Capacity Data'!$A56)</f>
        <v>31.2</v>
      </c>
      <c r="K56" s="23">
        <f>SUMIFS(NAm!$N$3:$N$82,NAm!$F$3:$F$82,'NAm Capacity Data'!K$22,NAm!$V$3:$V$82,'NAm Capacity Data'!$A56)</f>
        <v>30</v>
      </c>
      <c r="L56" s="23">
        <f>SUMIFS(NAm!$N$3:$N$82,NAm!$F$3:$F$82,'NAm Capacity Data'!L$22,NAm!$V$3:$V$82,'NAm Capacity Data'!$A56)</f>
        <v>83</v>
      </c>
      <c r="M56" s="23">
        <f>SUMIFS(NAm!$N$3:$N$82,NAm!$F$3:$F$82,'NAm Capacity Data'!M$22,NAm!$V$3:$V$82,'NAm Capacity Data'!$A56)</f>
        <v>0</v>
      </c>
      <c r="N56" s="23">
        <f>SUMIFS(NAm!$N$3:$N$82,NAm!$F$3:$F$82,'NAm Capacity Data'!N$22,NAm!$V$3:$V$82,'NAm Capacity Data'!$A56)</f>
        <v>0</v>
      </c>
      <c r="O56" s="23">
        <f>SUMIFS(NAm!$N$3:$N$82,NAm!$F$3:$F$82,'NAm Capacity Data'!O$22,NAm!$V$3:$V$82,'NAm Capacity Data'!$A56)</f>
        <v>0</v>
      </c>
      <c r="P56" s="23">
        <f>SUMIFS(NAm!$N$3:$N$82,NAm!$F$3:$F$82,'NAm Capacity Data'!P$22,NAm!$V$3:$V$82,'NAm Capacity Data'!$A56)</f>
        <v>0</v>
      </c>
      <c r="Q56" s="23">
        <f>SUMIFS(NAm!$N$3:$N$82,NAm!$F$3:$F$82,'NAm Capacity Data'!Q$22,NAm!$V$3:$V$82,'NAm Capacity Data'!$A56)</f>
        <v>0</v>
      </c>
      <c r="R56" s="23">
        <f>SUMIFS(NAm!$N$3:$N$82,NAm!$F$3:$F$82,'NAm Capacity Data'!R$22,NAm!$V$3:$V$82,'NAm Capacity Data'!$A56)</f>
        <v>0</v>
      </c>
      <c r="S56" s="23">
        <f>SUMIFS(NAm!$N$3:$N$82,NAm!$F$3:$F$82,'NAm Capacity Data'!S$22,NAm!$V$3:$V$82,'NAm Capacity Data'!$A56)</f>
        <v>0</v>
      </c>
      <c r="T56" s="23">
        <f>SUMIFS(NAm!$N$3:$N$82,NAm!$F$3:$F$82,'NAm Capacity Data'!T$22,NAm!$V$3:$V$82,'NAm Capacity Data'!$A56)</f>
        <v>0</v>
      </c>
      <c r="U56" s="23">
        <f>SUMIFS(NAm!$N$3:$N$82,NAm!$F$3:$F$82,'NAm Capacity Data'!U$22,NAm!$V$3:$V$82,'NAm Capacity Data'!$A56)</f>
        <v>0</v>
      </c>
      <c r="V56" s="23">
        <f>SUMIFS(NAm!$N$3:$N$82,NAm!$F$3:$F$82,'NAm Capacity Data'!V$22,NAm!$V$3:$V$82,'NAm Capacity Data'!$A56)</f>
        <v>0</v>
      </c>
      <c r="W56" s="23">
        <f>SUMIFS(NAm!$N$3:$N$82,NAm!$F$3:$F$82,'NAm Capacity Data'!W$22,NAm!$V$3:$V$82,'NAm Capacity Data'!$A56)</f>
        <v>0</v>
      </c>
      <c r="X56" s="23">
        <f>SUMIFS(NAm!$N$3:$N$82,NAm!$F$3:$F$82,'NAm Capacity Data'!X$22,NAm!$V$3:$V$82,'NAm Capacity Data'!$A56)</f>
        <v>0</v>
      </c>
      <c r="Y56" s="23">
        <f>SUMIFS(NAm!$N$3:$N$82,NAm!$F$3:$F$82,'NAm Capacity Data'!Y$22,NAm!$V$3:$V$82,'NAm Capacity Data'!$A56)</f>
        <v>0</v>
      </c>
      <c r="Z56" s="23">
        <f>SUMIFS(NAm!$N$3:$N$82,NAm!$F$3:$F$82,'NAm Capacity Data'!Z$22,NAm!$V$3:$V$82,'NAm Capacity Data'!$A56)</f>
        <v>0</v>
      </c>
      <c r="AA56" s="23">
        <f>SUMIFS(NAm!$N$3:$N$82,NAm!$F$3:$F$82,'NAm Capacity Data'!AA$22,NAm!$V$3:$V$82,'NAm Capacity Data'!$A56)</f>
        <v>0</v>
      </c>
      <c r="AB56" s="23">
        <f>SUMIFS(NAm!$N$3:$N$82,NAm!$F$3:$F$82,'NAm Capacity Data'!AB$22,NAm!$V$3:$V$82,'NAm Capacity Data'!$A56)</f>
        <v>0</v>
      </c>
      <c r="AC56" s="23">
        <f>SUMIFS(NAm!$N$3:$N$82,NAm!$F$3:$F$82,'NAm Capacity Data'!AC$22,NAm!$V$3:$V$82,'NAm Capacity Data'!$A56)</f>
        <v>0</v>
      </c>
      <c r="AD56" s="23">
        <f>SUMIFS(NAm!$N$3:$N$82,NAm!$F$3:$F$82,'NAm Capacity Data'!AD$22,NAm!$V$3:$V$82,'NAm Capacity Data'!$A56)</f>
        <v>0</v>
      </c>
      <c r="AE56" s="23">
        <f>SUMIFS(NAm!$N$3:$N$82,NAm!$F$3:$F$82,'NAm Capacity Data'!AE$22,NAm!$V$3:$V$82,'NAm Capacity Data'!$A56)</f>
        <v>0</v>
      </c>
      <c r="AF56" s="23">
        <f>SUMIFS(NAm!$N$3:$N$82,NAm!$F$3:$F$82,'NAm Capacity Data'!AF$22,NAm!$V$3:$V$82,'NAm Capacity Data'!$A56)</f>
        <v>0</v>
      </c>
    </row>
    <row r="57" spans="1:35">
      <c r="A57" s="20" t="s">
        <v>30</v>
      </c>
      <c r="B57" s="22">
        <f>SUMIFS(NAm!$N$3:$N$82,NAm!$F$3:$F$82,"&lt;"&amp;'NAm Capacity Data'!C$22,NAm!$V$3:$V$82,'NAm Capacity Data'!$A57)</f>
        <v>0</v>
      </c>
      <c r="C57" s="22">
        <f>SUMIFS(NAm!$N$3:$N$82,NAm!$F$3:$F$82,'NAm Capacity Data'!C$22,NAm!$V$3:$V$82,'NAm Capacity Data'!$A57)</f>
        <v>0</v>
      </c>
      <c r="D57" s="22">
        <f>SUMIFS(NAm!$N$3:$N$82,NAm!$F$3:$F$82,'NAm Capacity Data'!D$22,NAm!$V$3:$V$82,'NAm Capacity Data'!$A57)</f>
        <v>0</v>
      </c>
      <c r="E57" s="22">
        <f>SUMIFS(NAm!$N$3:$N$82,NAm!$F$3:$F$82,'NAm Capacity Data'!E$22,NAm!$V$3:$V$82,'NAm Capacity Data'!$A57)</f>
        <v>0</v>
      </c>
      <c r="F57" s="23">
        <f>SUMIFS(NAm!$N$3:$N$82,NAm!$F$3:$F$82,'NAm Capacity Data'!F$22,NAm!$V$3:$V$82,'NAm Capacity Data'!$A57)</f>
        <v>0</v>
      </c>
      <c r="G57" s="23">
        <f>SUMIFS(NAm!$N$3:$N$82,NAm!$F$3:$F$82,'NAm Capacity Data'!G$22,NAm!$V$3:$V$82,'NAm Capacity Data'!$A57)</f>
        <v>3.5999999999999997E-2</v>
      </c>
      <c r="H57" s="23">
        <f>SUMIFS(NAm!$N$3:$N$82,NAm!$F$3:$F$82,'NAm Capacity Data'!H$22,NAm!$V$3:$V$82,'NAm Capacity Data'!$A57)</f>
        <v>0</v>
      </c>
      <c r="I57" s="23">
        <f>SUMIFS(NAm!$N$3:$N$82,NAm!$F$3:$F$82,'NAm Capacity Data'!I$22,NAm!$V$3:$V$82,'NAm Capacity Data'!$A57)</f>
        <v>377.5</v>
      </c>
      <c r="J57" s="23">
        <f>SUMIFS(NAm!$N$3:$N$82,NAm!$F$3:$F$82,'NAm Capacity Data'!J$22,NAm!$V$3:$V$82,'NAm Capacity Data'!$A57)</f>
        <v>0</v>
      </c>
      <c r="K57" s="23">
        <f>SUMIFS(NAm!$N$3:$N$82,NAm!$F$3:$F$82,'NAm Capacity Data'!K$22,NAm!$V$3:$V$82,'NAm Capacity Data'!$A57)</f>
        <v>119</v>
      </c>
      <c r="L57" s="23">
        <f>SUMIFS(NAm!$N$3:$N$82,NAm!$F$3:$F$82,'NAm Capacity Data'!L$22,NAm!$V$3:$V$82,'NAm Capacity Data'!$A57)</f>
        <v>0</v>
      </c>
      <c r="M57" s="23">
        <f>SUMIFS(NAm!$N$3:$N$82,NAm!$F$3:$F$82,'NAm Capacity Data'!M$22,NAm!$V$3:$V$82,'NAm Capacity Data'!$A57)</f>
        <v>0</v>
      </c>
      <c r="N57" s="23">
        <f>SUMIFS(NAm!$N$3:$N$82,NAm!$F$3:$F$82,'NAm Capacity Data'!N$22,NAm!$V$3:$V$82,'NAm Capacity Data'!$A57)</f>
        <v>0</v>
      </c>
      <c r="O57" s="23">
        <f>SUMIFS(NAm!$N$3:$N$82,NAm!$F$3:$F$82,'NAm Capacity Data'!O$22,NAm!$V$3:$V$82,'NAm Capacity Data'!$A57)</f>
        <v>0</v>
      </c>
      <c r="P57" s="23">
        <f>SUMIFS(NAm!$N$3:$N$82,NAm!$F$3:$F$82,'NAm Capacity Data'!P$22,NAm!$V$3:$V$82,'NAm Capacity Data'!$A57)</f>
        <v>0</v>
      </c>
      <c r="Q57" s="23">
        <f>SUMIFS(NAm!$N$3:$N$82,NAm!$F$3:$F$82,'NAm Capacity Data'!Q$22,NAm!$V$3:$V$82,'NAm Capacity Data'!$A57)</f>
        <v>0</v>
      </c>
      <c r="R57" s="23">
        <f>SUMIFS(NAm!$N$3:$N$82,NAm!$F$3:$F$82,'NAm Capacity Data'!R$22,NAm!$V$3:$V$82,'NAm Capacity Data'!$A57)</f>
        <v>0</v>
      </c>
      <c r="S57" s="23">
        <f>SUMIFS(NAm!$N$3:$N$82,NAm!$F$3:$F$82,'NAm Capacity Data'!S$22,NAm!$V$3:$V$82,'NAm Capacity Data'!$A57)</f>
        <v>0</v>
      </c>
      <c r="T57" s="23">
        <f>SUMIFS(NAm!$N$3:$N$82,NAm!$F$3:$F$82,'NAm Capacity Data'!T$22,NAm!$V$3:$V$82,'NAm Capacity Data'!$A57)</f>
        <v>0</v>
      </c>
      <c r="U57" s="23">
        <f>SUMIFS(NAm!$N$3:$N$82,NAm!$F$3:$F$82,'NAm Capacity Data'!U$22,NAm!$V$3:$V$82,'NAm Capacity Data'!$A57)</f>
        <v>0</v>
      </c>
      <c r="V57" s="23">
        <f>SUMIFS(NAm!$N$3:$N$82,NAm!$F$3:$F$82,'NAm Capacity Data'!V$22,NAm!$V$3:$V$82,'NAm Capacity Data'!$A57)</f>
        <v>0</v>
      </c>
      <c r="W57" s="23">
        <f>SUMIFS(NAm!$N$3:$N$82,NAm!$F$3:$F$82,'NAm Capacity Data'!W$22,NAm!$V$3:$V$82,'NAm Capacity Data'!$A57)</f>
        <v>0</v>
      </c>
      <c r="X57" s="23">
        <f>SUMIFS(NAm!$N$3:$N$82,NAm!$F$3:$F$82,'NAm Capacity Data'!X$22,NAm!$V$3:$V$82,'NAm Capacity Data'!$A57)</f>
        <v>0</v>
      </c>
      <c r="Y57" s="23">
        <f>SUMIFS(NAm!$N$3:$N$82,NAm!$F$3:$F$82,'NAm Capacity Data'!Y$22,NAm!$V$3:$V$82,'NAm Capacity Data'!$A57)</f>
        <v>0</v>
      </c>
      <c r="Z57" s="23">
        <f>SUMIFS(NAm!$N$3:$N$82,NAm!$F$3:$F$82,'NAm Capacity Data'!Z$22,NAm!$V$3:$V$82,'NAm Capacity Data'!$A57)</f>
        <v>0</v>
      </c>
      <c r="AA57" s="23">
        <f>SUMIFS(NAm!$N$3:$N$82,NAm!$F$3:$F$82,'NAm Capacity Data'!AA$22,NAm!$V$3:$V$82,'NAm Capacity Data'!$A57)</f>
        <v>0</v>
      </c>
      <c r="AB57" s="23">
        <f>SUMIFS(NAm!$N$3:$N$82,NAm!$F$3:$F$82,'NAm Capacity Data'!AB$22,NAm!$V$3:$V$82,'NAm Capacity Data'!$A57)</f>
        <v>0</v>
      </c>
      <c r="AC57" s="23">
        <f>SUMIFS(NAm!$N$3:$N$82,NAm!$F$3:$F$82,'NAm Capacity Data'!AC$22,NAm!$V$3:$V$82,'NAm Capacity Data'!$A57)</f>
        <v>0</v>
      </c>
      <c r="AD57" s="23">
        <f>SUMIFS(NAm!$N$3:$N$82,NAm!$F$3:$F$82,'NAm Capacity Data'!AD$22,NAm!$V$3:$V$82,'NAm Capacity Data'!$A57)</f>
        <v>0</v>
      </c>
      <c r="AE57" s="23">
        <f>SUMIFS(NAm!$N$3:$N$82,NAm!$F$3:$F$82,'NAm Capacity Data'!AE$22,NAm!$V$3:$V$82,'NAm Capacity Data'!$A57)</f>
        <v>0</v>
      </c>
      <c r="AF57" s="23">
        <f>SUMIFS(NAm!$N$3:$N$82,NAm!$F$3:$F$82,'NAm Capacity Data'!AF$22,NAm!$V$3:$V$82,'NAm Capacity Data'!$A57)</f>
        <v>0</v>
      </c>
    </row>
    <row r="58" spans="1:35" ht="15.75" thickBot="1">
      <c r="A58" s="40" t="s">
        <v>11</v>
      </c>
      <c r="B58" s="41">
        <f>SUM(B53:B57)</f>
        <v>142.1</v>
      </c>
      <c r="C58" s="41">
        <f>B58+SUM(C53:C57)</f>
        <v>506.79999999999995</v>
      </c>
      <c r="D58" s="41">
        <f t="shared" ref="D58:Q58" si="20">C58+SUM(D53:D57)</f>
        <v>606.80099999999993</v>
      </c>
      <c r="E58" s="41">
        <f t="shared" si="20"/>
        <v>606.80099999999993</v>
      </c>
      <c r="F58" s="42">
        <f t="shared" si="20"/>
        <v>1489.517258265287</v>
      </c>
      <c r="G58" s="42">
        <f t="shared" si="20"/>
        <v>1804.0350707652869</v>
      </c>
      <c r="H58" s="42">
        <f t="shared" si="20"/>
        <v>2588.8350707652871</v>
      </c>
      <c r="I58" s="42">
        <f t="shared" si="20"/>
        <v>4928.3350707652871</v>
      </c>
      <c r="J58" s="42">
        <f t="shared" si="20"/>
        <v>5354.3350707652871</v>
      </c>
      <c r="K58" s="42">
        <f t="shared" si="20"/>
        <v>5604.3350707652871</v>
      </c>
      <c r="L58" s="42">
        <f t="shared" si="20"/>
        <v>5786.8350707652871</v>
      </c>
      <c r="M58" s="42">
        <f t="shared" si="20"/>
        <v>5854.8750707652871</v>
      </c>
      <c r="N58" s="42">
        <f t="shared" si="20"/>
        <v>5854.8750707652871</v>
      </c>
      <c r="O58" s="42">
        <f t="shared" si="20"/>
        <v>5854.8750707652871</v>
      </c>
      <c r="P58" s="42">
        <f t="shared" si="20"/>
        <v>5854.8750707652871</v>
      </c>
      <c r="Q58" s="42">
        <f t="shared" si="20"/>
        <v>5854.8750707652871</v>
      </c>
      <c r="R58" s="42">
        <f t="shared" ref="R58:AF58" si="21">Q58+SUM(R53:R57)</f>
        <v>5854.8750707652871</v>
      </c>
      <c r="S58" s="42">
        <f t="shared" si="21"/>
        <v>5854.8750707652871</v>
      </c>
      <c r="T58" s="42">
        <f t="shared" si="21"/>
        <v>5854.8750707652871</v>
      </c>
      <c r="U58" s="42">
        <f t="shared" si="21"/>
        <v>5854.8750707652871</v>
      </c>
      <c r="V58" s="42">
        <f t="shared" si="21"/>
        <v>5854.8750707652871</v>
      </c>
      <c r="W58" s="42">
        <f t="shared" si="21"/>
        <v>5854.8750707652871</v>
      </c>
      <c r="X58" s="42">
        <f t="shared" si="21"/>
        <v>5854.8750707652871</v>
      </c>
      <c r="Y58" s="42">
        <f t="shared" si="21"/>
        <v>5854.8750707652871</v>
      </c>
      <c r="Z58" s="42">
        <f t="shared" si="21"/>
        <v>5854.8750707652871</v>
      </c>
      <c r="AA58" s="42">
        <f t="shared" si="21"/>
        <v>5854.8750707652871</v>
      </c>
      <c r="AB58" s="42">
        <f t="shared" si="21"/>
        <v>5854.8750707652871</v>
      </c>
      <c r="AC58" s="42">
        <f t="shared" si="21"/>
        <v>5854.8750707652871</v>
      </c>
      <c r="AD58" s="42">
        <f t="shared" si="21"/>
        <v>5854.8750707652871</v>
      </c>
      <c r="AE58" s="42">
        <f t="shared" si="21"/>
        <v>5854.8750707652871</v>
      </c>
      <c r="AF58" s="42">
        <f t="shared" si="21"/>
        <v>5854.8750707652871</v>
      </c>
    </row>
    <row r="59" spans="1:3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row>
    <row r="60" spans="1:35" ht="15.75" thickBot="1">
      <c r="A60" s="38" t="s">
        <v>458</v>
      </c>
    </row>
    <row r="61" spans="1:35" ht="15.75" thickBot="1">
      <c r="A61" s="17" t="str">
        <f>A22</f>
        <v>(mil gal/yr)</v>
      </c>
      <c r="B61" s="28" t="str">
        <f>B22</f>
        <v>&lt; 2021</v>
      </c>
      <c r="C61" s="18">
        <f t="shared" ref="C61:AF61" si="22">C22</f>
        <v>2021</v>
      </c>
      <c r="D61" s="18">
        <f t="shared" si="22"/>
        <v>2022</v>
      </c>
      <c r="E61" s="18">
        <f t="shared" si="22"/>
        <v>2023</v>
      </c>
      <c r="F61" s="18">
        <f t="shared" si="22"/>
        <v>2024</v>
      </c>
      <c r="G61" s="18">
        <f t="shared" si="22"/>
        <v>2025</v>
      </c>
      <c r="H61" s="18">
        <f t="shared" si="22"/>
        <v>2026</v>
      </c>
      <c r="I61" s="18">
        <f t="shared" si="22"/>
        <v>2027</v>
      </c>
      <c r="J61" s="18">
        <f t="shared" si="22"/>
        <v>2028</v>
      </c>
      <c r="K61" s="18">
        <f t="shared" si="22"/>
        <v>2029</v>
      </c>
      <c r="L61" s="18">
        <f t="shared" si="22"/>
        <v>2030</v>
      </c>
      <c r="M61" s="18">
        <f t="shared" si="22"/>
        <v>2031</v>
      </c>
      <c r="N61" s="18">
        <f t="shared" si="22"/>
        <v>2032</v>
      </c>
      <c r="O61" s="18">
        <f t="shared" si="22"/>
        <v>2033</v>
      </c>
      <c r="P61" s="18">
        <f t="shared" si="22"/>
        <v>2034</v>
      </c>
      <c r="Q61" s="18">
        <f t="shared" si="22"/>
        <v>2035</v>
      </c>
      <c r="R61" s="18">
        <f t="shared" si="22"/>
        <v>2036</v>
      </c>
      <c r="S61" s="18">
        <f t="shared" si="22"/>
        <v>2037</v>
      </c>
      <c r="T61" s="18">
        <f t="shared" si="22"/>
        <v>2038</v>
      </c>
      <c r="U61" s="18">
        <f t="shared" si="22"/>
        <v>2039</v>
      </c>
      <c r="V61" s="18">
        <f t="shared" si="22"/>
        <v>2040</v>
      </c>
      <c r="W61" s="18">
        <f t="shared" si="22"/>
        <v>2041</v>
      </c>
      <c r="X61" s="18">
        <f t="shared" si="22"/>
        <v>2042</v>
      </c>
      <c r="Y61" s="18">
        <f t="shared" si="22"/>
        <v>2043</v>
      </c>
      <c r="Z61" s="18">
        <f t="shared" si="22"/>
        <v>2044</v>
      </c>
      <c r="AA61" s="18">
        <f t="shared" si="22"/>
        <v>2045</v>
      </c>
      <c r="AB61" s="18">
        <f t="shared" si="22"/>
        <v>2046</v>
      </c>
      <c r="AC61" s="18">
        <f t="shared" si="22"/>
        <v>2047</v>
      </c>
      <c r="AD61" s="18">
        <f t="shared" si="22"/>
        <v>2048</v>
      </c>
      <c r="AE61" s="18">
        <f t="shared" si="22"/>
        <v>2049</v>
      </c>
      <c r="AF61" s="18">
        <f t="shared" si="22"/>
        <v>2050</v>
      </c>
    </row>
    <row r="62" spans="1:35">
      <c r="A62" s="20" t="s">
        <v>26</v>
      </c>
      <c r="B62" s="7">
        <f>B53</f>
        <v>82</v>
      </c>
      <c r="C62" s="22">
        <f>B62+C53</f>
        <v>446.7</v>
      </c>
      <c r="D62" s="22">
        <f t="shared" ref="D62:AF66" si="23">C62+D53</f>
        <v>546.70000000000005</v>
      </c>
      <c r="E62" s="22">
        <f t="shared" si="23"/>
        <v>546.70000000000005</v>
      </c>
      <c r="F62" s="23">
        <f t="shared" si="23"/>
        <v>1420.02</v>
      </c>
      <c r="G62" s="23">
        <f t="shared" si="23"/>
        <v>1643.346</v>
      </c>
      <c r="H62" s="23">
        <f t="shared" si="23"/>
        <v>2216.1459999999997</v>
      </c>
      <c r="I62" s="23">
        <f t="shared" si="23"/>
        <v>3654.1459999999997</v>
      </c>
      <c r="J62" s="23">
        <f t="shared" si="23"/>
        <v>3736.6459999999997</v>
      </c>
      <c r="K62" s="23">
        <f t="shared" si="23"/>
        <v>3807.6459999999997</v>
      </c>
      <c r="L62" s="23">
        <f t="shared" si="23"/>
        <v>3857.6459999999997</v>
      </c>
      <c r="M62" s="23">
        <f t="shared" si="23"/>
        <v>3857.6459999999997</v>
      </c>
      <c r="N62" s="23">
        <f t="shared" si="23"/>
        <v>3857.6459999999997</v>
      </c>
      <c r="O62" s="23">
        <f t="shared" si="23"/>
        <v>3857.6459999999997</v>
      </c>
      <c r="P62" s="23">
        <f t="shared" si="23"/>
        <v>3857.6459999999997</v>
      </c>
      <c r="Q62" s="23">
        <f t="shared" si="23"/>
        <v>3857.6459999999997</v>
      </c>
      <c r="R62" s="23">
        <f t="shared" si="23"/>
        <v>3857.6459999999997</v>
      </c>
      <c r="S62" s="23">
        <f t="shared" si="23"/>
        <v>3857.6459999999997</v>
      </c>
      <c r="T62" s="23">
        <f t="shared" si="23"/>
        <v>3857.6459999999997</v>
      </c>
      <c r="U62" s="23">
        <f t="shared" si="23"/>
        <v>3857.6459999999997</v>
      </c>
      <c r="V62" s="23">
        <f t="shared" si="23"/>
        <v>3857.6459999999997</v>
      </c>
      <c r="W62" s="23">
        <f t="shared" si="23"/>
        <v>3857.6459999999997</v>
      </c>
      <c r="X62" s="23">
        <f t="shared" si="23"/>
        <v>3857.6459999999997</v>
      </c>
      <c r="Y62" s="23">
        <f t="shared" si="23"/>
        <v>3857.6459999999997</v>
      </c>
      <c r="Z62" s="23">
        <f t="shared" si="23"/>
        <v>3857.6459999999997</v>
      </c>
      <c r="AA62" s="23">
        <f t="shared" si="23"/>
        <v>3857.6459999999997</v>
      </c>
      <c r="AB62" s="23">
        <f t="shared" si="23"/>
        <v>3857.6459999999997</v>
      </c>
      <c r="AC62" s="23">
        <f t="shared" si="23"/>
        <v>3857.6459999999997</v>
      </c>
      <c r="AD62" s="23">
        <f t="shared" si="23"/>
        <v>3857.6459999999997</v>
      </c>
      <c r="AE62" s="23">
        <f t="shared" si="23"/>
        <v>3857.6459999999997</v>
      </c>
      <c r="AF62" s="23">
        <f t="shared" si="23"/>
        <v>3857.6459999999997</v>
      </c>
    </row>
    <row r="63" spans="1:35">
      <c r="A63" s="20" t="s">
        <v>27</v>
      </c>
      <c r="B63" s="22">
        <f>B54</f>
        <v>60.1</v>
      </c>
      <c r="C63" s="22">
        <f>B63+C54</f>
        <v>60.1</v>
      </c>
      <c r="D63" s="22">
        <f t="shared" si="23"/>
        <v>60.1</v>
      </c>
      <c r="E63" s="22">
        <f t="shared" si="23"/>
        <v>60.1</v>
      </c>
      <c r="F63" s="23">
        <f t="shared" si="23"/>
        <v>69.099999999999994</v>
      </c>
      <c r="G63" s="23">
        <f t="shared" si="23"/>
        <v>72.191249999999997</v>
      </c>
      <c r="H63" s="23">
        <f t="shared" si="23"/>
        <v>278.19124999999997</v>
      </c>
      <c r="I63" s="23">
        <f>H63+I54</f>
        <v>768.19124999999997</v>
      </c>
      <c r="J63" s="23">
        <f t="shared" si="23"/>
        <v>963.19124999999997</v>
      </c>
      <c r="K63" s="23">
        <f t="shared" si="23"/>
        <v>993.19124999999997</v>
      </c>
      <c r="L63" s="23">
        <f t="shared" si="23"/>
        <v>993.19124999999997</v>
      </c>
      <c r="M63" s="23">
        <f t="shared" si="23"/>
        <v>1061.23125</v>
      </c>
      <c r="N63" s="23">
        <f t="shared" si="23"/>
        <v>1061.23125</v>
      </c>
      <c r="O63" s="23">
        <f t="shared" si="23"/>
        <v>1061.23125</v>
      </c>
      <c r="P63" s="23">
        <f t="shared" si="23"/>
        <v>1061.23125</v>
      </c>
      <c r="Q63" s="23">
        <f t="shared" si="23"/>
        <v>1061.23125</v>
      </c>
      <c r="R63" s="23">
        <f t="shared" si="23"/>
        <v>1061.23125</v>
      </c>
      <c r="S63" s="23">
        <f t="shared" si="23"/>
        <v>1061.23125</v>
      </c>
      <c r="T63" s="23">
        <f t="shared" si="23"/>
        <v>1061.23125</v>
      </c>
      <c r="U63" s="23">
        <f t="shared" si="23"/>
        <v>1061.23125</v>
      </c>
      <c r="V63" s="23">
        <f t="shared" si="23"/>
        <v>1061.23125</v>
      </c>
      <c r="W63" s="23">
        <f t="shared" si="23"/>
        <v>1061.23125</v>
      </c>
      <c r="X63" s="23">
        <f t="shared" si="23"/>
        <v>1061.23125</v>
      </c>
      <c r="Y63" s="23">
        <f t="shared" si="23"/>
        <v>1061.23125</v>
      </c>
      <c r="Z63" s="23">
        <f t="shared" si="23"/>
        <v>1061.23125</v>
      </c>
      <c r="AA63" s="23">
        <f t="shared" si="23"/>
        <v>1061.23125</v>
      </c>
      <c r="AB63" s="23">
        <f t="shared" si="23"/>
        <v>1061.23125</v>
      </c>
      <c r="AC63" s="23">
        <f t="shared" si="23"/>
        <v>1061.23125</v>
      </c>
      <c r="AD63" s="23">
        <f t="shared" si="23"/>
        <v>1061.23125</v>
      </c>
      <c r="AE63" s="23">
        <f t="shared" si="23"/>
        <v>1061.23125</v>
      </c>
      <c r="AF63" s="23">
        <f t="shared" si="23"/>
        <v>1061.23125</v>
      </c>
    </row>
    <row r="64" spans="1:35">
      <c r="A64" s="20" t="s">
        <v>28</v>
      </c>
      <c r="B64" s="22">
        <f>B55</f>
        <v>0</v>
      </c>
      <c r="C64" s="22">
        <f t="shared" ref="C64:Q66" si="24">B64+C55</f>
        <v>0</v>
      </c>
      <c r="D64" s="22">
        <f t="shared" si="24"/>
        <v>0</v>
      </c>
      <c r="E64" s="22">
        <f t="shared" si="24"/>
        <v>0</v>
      </c>
      <c r="F64" s="23">
        <f t="shared" si="24"/>
        <v>0</v>
      </c>
      <c r="G64" s="23">
        <f t="shared" si="24"/>
        <v>88</v>
      </c>
      <c r="H64" s="23">
        <f t="shared" si="24"/>
        <v>89</v>
      </c>
      <c r="I64" s="23">
        <f t="shared" si="24"/>
        <v>123</v>
      </c>
      <c r="J64" s="23">
        <f t="shared" si="24"/>
        <v>240.3</v>
      </c>
      <c r="K64" s="23">
        <f t="shared" si="24"/>
        <v>240.3</v>
      </c>
      <c r="L64" s="23">
        <f t="shared" si="24"/>
        <v>289.8</v>
      </c>
      <c r="M64" s="23">
        <f t="shared" si="24"/>
        <v>289.8</v>
      </c>
      <c r="N64" s="23">
        <f t="shared" si="24"/>
        <v>289.8</v>
      </c>
      <c r="O64" s="23">
        <f t="shared" si="24"/>
        <v>289.8</v>
      </c>
      <c r="P64" s="23">
        <f t="shared" si="24"/>
        <v>289.8</v>
      </c>
      <c r="Q64" s="23">
        <f t="shared" si="24"/>
        <v>289.8</v>
      </c>
      <c r="R64" s="23">
        <f t="shared" si="23"/>
        <v>289.8</v>
      </c>
      <c r="S64" s="23">
        <f t="shared" si="23"/>
        <v>289.8</v>
      </c>
      <c r="T64" s="23">
        <f t="shared" si="23"/>
        <v>289.8</v>
      </c>
      <c r="U64" s="23">
        <f t="shared" si="23"/>
        <v>289.8</v>
      </c>
      <c r="V64" s="23">
        <f t="shared" si="23"/>
        <v>289.8</v>
      </c>
      <c r="W64" s="23">
        <f t="shared" si="23"/>
        <v>289.8</v>
      </c>
      <c r="X64" s="23">
        <f t="shared" si="23"/>
        <v>289.8</v>
      </c>
      <c r="Y64" s="23">
        <f t="shared" si="23"/>
        <v>289.8</v>
      </c>
      <c r="Z64" s="23">
        <f t="shared" si="23"/>
        <v>289.8</v>
      </c>
      <c r="AA64" s="23">
        <f t="shared" si="23"/>
        <v>289.8</v>
      </c>
      <c r="AB64" s="23">
        <f t="shared" si="23"/>
        <v>289.8</v>
      </c>
      <c r="AC64" s="23">
        <f t="shared" si="23"/>
        <v>289.8</v>
      </c>
      <c r="AD64" s="23">
        <f t="shared" si="23"/>
        <v>289.8</v>
      </c>
      <c r="AE64" s="23">
        <f t="shared" si="23"/>
        <v>289.8</v>
      </c>
      <c r="AF64" s="23">
        <f t="shared" si="23"/>
        <v>289.8</v>
      </c>
    </row>
    <row r="65" spans="1:36">
      <c r="A65" s="20" t="s">
        <v>29</v>
      </c>
      <c r="B65" s="22">
        <f>B56</f>
        <v>0</v>
      </c>
      <c r="C65" s="22">
        <f t="shared" si="24"/>
        <v>0</v>
      </c>
      <c r="D65" s="22">
        <f t="shared" si="24"/>
        <v>1E-3</v>
      </c>
      <c r="E65" s="22">
        <f t="shared" si="24"/>
        <v>1E-3</v>
      </c>
      <c r="F65" s="23">
        <f t="shared" si="24"/>
        <v>0.39725826528698338</v>
      </c>
      <c r="G65" s="23">
        <f t="shared" si="24"/>
        <v>0.46182076528698335</v>
      </c>
      <c r="H65" s="23">
        <f t="shared" si="24"/>
        <v>5.4618207652869835</v>
      </c>
      <c r="I65" s="23">
        <f t="shared" si="24"/>
        <v>5.4618207652869835</v>
      </c>
      <c r="J65" s="23">
        <f t="shared" si="24"/>
        <v>36.661820765286983</v>
      </c>
      <c r="K65" s="23">
        <f t="shared" si="24"/>
        <v>66.66182076528699</v>
      </c>
      <c r="L65" s="23">
        <f t="shared" si="24"/>
        <v>149.66182076528699</v>
      </c>
      <c r="M65" s="23">
        <f t="shared" si="24"/>
        <v>149.66182076528699</v>
      </c>
      <c r="N65" s="23">
        <f t="shared" si="24"/>
        <v>149.66182076528699</v>
      </c>
      <c r="O65" s="23">
        <f t="shared" si="24"/>
        <v>149.66182076528699</v>
      </c>
      <c r="P65" s="23">
        <f t="shared" si="24"/>
        <v>149.66182076528699</v>
      </c>
      <c r="Q65" s="23">
        <f t="shared" si="24"/>
        <v>149.66182076528699</v>
      </c>
      <c r="R65" s="23">
        <f t="shared" si="23"/>
        <v>149.66182076528699</v>
      </c>
      <c r="S65" s="23">
        <f t="shared" si="23"/>
        <v>149.66182076528699</v>
      </c>
      <c r="T65" s="23">
        <f t="shared" si="23"/>
        <v>149.66182076528699</v>
      </c>
      <c r="U65" s="23">
        <f t="shared" si="23"/>
        <v>149.66182076528699</v>
      </c>
      <c r="V65" s="23">
        <f t="shared" si="23"/>
        <v>149.66182076528699</v>
      </c>
      <c r="W65" s="23">
        <f t="shared" si="23"/>
        <v>149.66182076528699</v>
      </c>
      <c r="X65" s="23">
        <f t="shared" si="23"/>
        <v>149.66182076528699</v>
      </c>
      <c r="Y65" s="23">
        <f t="shared" si="23"/>
        <v>149.66182076528699</v>
      </c>
      <c r="Z65" s="23">
        <f t="shared" si="23"/>
        <v>149.66182076528699</v>
      </c>
      <c r="AA65" s="23">
        <f t="shared" si="23"/>
        <v>149.66182076528699</v>
      </c>
      <c r="AB65" s="23">
        <f t="shared" si="23"/>
        <v>149.66182076528699</v>
      </c>
      <c r="AC65" s="23">
        <f t="shared" si="23"/>
        <v>149.66182076528699</v>
      </c>
      <c r="AD65" s="23">
        <f t="shared" si="23"/>
        <v>149.66182076528699</v>
      </c>
      <c r="AE65" s="23">
        <f t="shared" si="23"/>
        <v>149.66182076528699</v>
      </c>
      <c r="AF65" s="23">
        <f t="shared" si="23"/>
        <v>149.66182076528699</v>
      </c>
    </row>
    <row r="66" spans="1:36">
      <c r="A66" s="20" t="s">
        <v>30</v>
      </c>
      <c r="B66" s="22">
        <f>B57</f>
        <v>0</v>
      </c>
      <c r="C66" s="22">
        <f t="shared" si="24"/>
        <v>0</v>
      </c>
      <c r="D66" s="22">
        <f t="shared" si="24"/>
        <v>0</v>
      </c>
      <c r="E66" s="22">
        <f t="shared" si="24"/>
        <v>0</v>
      </c>
      <c r="F66" s="23">
        <f t="shared" si="24"/>
        <v>0</v>
      </c>
      <c r="G66" s="23">
        <f t="shared" si="24"/>
        <v>3.5999999999999997E-2</v>
      </c>
      <c r="H66" s="23">
        <f t="shared" si="24"/>
        <v>3.5999999999999997E-2</v>
      </c>
      <c r="I66" s="23">
        <f t="shared" si="24"/>
        <v>377.536</v>
      </c>
      <c r="J66" s="23">
        <f t="shared" si="24"/>
        <v>377.536</v>
      </c>
      <c r="K66" s="23">
        <f t="shared" si="24"/>
        <v>496.536</v>
      </c>
      <c r="L66" s="23">
        <f t="shared" si="24"/>
        <v>496.536</v>
      </c>
      <c r="M66" s="23">
        <f t="shared" si="24"/>
        <v>496.536</v>
      </c>
      <c r="N66" s="23">
        <f t="shared" si="24"/>
        <v>496.536</v>
      </c>
      <c r="O66" s="23">
        <f t="shared" si="24"/>
        <v>496.536</v>
      </c>
      <c r="P66" s="23">
        <f t="shared" si="24"/>
        <v>496.536</v>
      </c>
      <c r="Q66" s="23">
        <f t="shared" si="24"/>
        <v>496.536</v>
      </c>
      <c r="R66" s="23">
        <f t="shared" si="23"/>
        <v>496.536</v>
      </c>
      <c r="S66" s="23">
        <f t="shared" si="23"/>
        <v>496.536</v>
      </c>
      <c r="T66" s="23">
        <f t="shared" si="23"/>
        <v>496.536</v>
      </c>
      <c r="U66" s="23">
        <f t="shared" si="23"/>
        <v>496.536</v>
      </c>
      <c r="V66" s="23">
        <f t="shared" si="23"/>
        <v>496.536</v>
      </c>
      <c r="W66" s="23">
        <f t="shared" si="23"/>
        <v>496.536</v>
      </c>
      <c r="X66" s="23">
        <f t="shared" si="23"/>
        <v>496.536</v>
      </c>
      <c r="Y66" s="23">
        <f t="shared" si="23"/>
        <v>496.536</v>
      </c>
      <c r="Z66" s="23">
        <f t="shared" si="23"/>
        <v>496.536</v>
      </c>
      <c r="AA66" s="23">
        <f t="shared" si="23"/>
        <v>496.536</v>
      </c>
      <c r="AB66" s="23">
        <f t="shared" si="23"/>
        <v>496.536</v>
      </c>
      <c r="AC66" s="23">
        <f t="shared" si="23"/>
        <v>496.536</v>
      </c>
      <c r="AD66" s="23">
        <f t="shared" si="23"/>
        <v>496.536</v>
      </c>
      <c r="AE66" s="23">
        <f t="shared" si="23"/>
        <v>496.536</v>
      </c>
      <c r="AF66" s="23">
        <f t="shared" si="23"/>
        <v>496.536</v>
      </c>
    </row>
    <row r="67" spans="1:36" ht="15.75" thickBot="1">
      <c r="A67" s="40" t="s">
        <v>11</v>
      </c>
      <c r="B67" s="41">
        <f>SUM(B62:B66)</f>
        <v>142.1</v>
      </c>
      <c r="C67" s="41">
        <f>SUM(C62:C66)</f>
        <v>506.8</v>
      </c>
      <c r="D67" s="41">
        <f t="shared" ref="D67:AF67" si="25">SUM(D62:D66)</f>
        <v>606.80100000000004</v>
      </c>
      <c r="E67" s="41">
        <f t="shared" si="25"/>
        <v>606.80100000000004</v>
      </c>
      <c r="F67" s="42">
        <f t="shared" si="25"/>
        <v>1489.517258265287</v>
      </c>
      <c r="G67" s="42">
        <f t="shared" si="25"/>
        <v>1804.0350707652872</v>
      </c>
      <c r="H67" s="42">
        <f t="shared" si="25"/>
        <v>2588.8350707652867</v>
      </c>
      <c r="I67" s="42">
        <f t="shared" si="25"/>
        <v>4928.3350707652862</v>
      </c>
      <c r="J67" s="42">
        <f t="shared" si="25"/>
        <v>5354.3350707652871</v>
      </c>
      <c r="K67" s="42">
        <f t="shared" si="25"/>
        <v>5604.3350707652871</v>
      </c>
      <c r="L67" s="42">
        <f t="shared" si="25"/>
        <v>5786.8350707652871</v>
      </c>
      <c r="M67" s="42">
        <f t="shared" si="25"/>
        <v>5854.8750707652871</v>
      </c>
      <c r="N67" s="42">
        <f t="shared" si="25"/>
        <v>5854.8750707652871</v>
      </c>
      <c r="O67" s="42">
        <f t="shared" si="25"/>
        <v>5854.8750707652871</v>
      </c>
      <c r="P67" s="42">
        <f t="shared" si="25"/>
        <v>5854.8750707652871</v>
      </c>
      <c r="Q67" s="42">
        <f t="shared" si="25"/>
        <v>5854.8750707652871</v>
      </c>
      <c r="R67" s="42">
        <f t="shared" si="25"/>
        <v>5854.8750707652871</v>
      </c>
      <c r="S67" s="42">
        <f t="shared" si="25"/>
        <v>5854.8750707652871</v>
      </c>
      <c r="T67" s="42">
        <f t="shared" si="25"/>
        <v>5854.8750707652871</v>
      </c>
      <c r="U67" s="42">
        <f t="shared" si="25"/>
        <v>5854.8750707652871</v>
      </c>
      <c r="V67" s="42">
        <f t="shared" si="25"/>
        <v>5854.8750707652871</v>
      </c>
      <c r="W67" s="42">
        <f t="shared" si="25"/>
        <v>5854.8750707652871</v>
      </c>
      <c r="X67" s="42">
        <f t="shared" si="25"/>
        <v>5854.8750707652871</v>
      </c>
      <c r="Y67" s="42">
        <f t="shared" si="25"/>
        <v>5854.8750707652871</v>
      </c>
      <c r="Z67" s="42">
        <f t="shared" si="25"/>
        <v>5854.8750707652871</v>
      </c>
      <c r="AA67" s="42">
        <f t="shared" si="25"/>
        <v>5854.8750707652871</v>
      </c>
      <c r="AB67" s="42">
        <f t="shared" si="25"/>
        <v>5854.8750707652871</v>
      </c>
      <c r="AC67" s="42">
        <f t="shared" si="25"/>
        <v>5854.8750707652871</v>
      </c>
      <c r="AD67" s="42">
        <f t="shared" si="25"/>
        <v>5854.8750707652871</v>
      </c>
      <c r="AE67" s="42">
        <f t="shared" si="25"/>
        <v>5854.8750707652871</v>
      </c>
      <c r="AF67" s="42">
        <f t="shared" si="25"/>
        <v>5854.8750707652871</v>
      </c>
    </row>
    <row r="68" spans="1:36">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row>
    <row r="69" spans="1:36" ht="15.75" customHeight="1" thickBot="1">
      <c r="A69" s="38" t="s">
        <v>32</v>
      </c>
      <c r="AH69" s="390" t="s">
        <v>33</v>
      </c>
      <c r="AI69" s="390"/>
      <c r="AJ69" s="392" t="s">
        <v>34</v>
      </c>
    </row>
    <row r="70" spans="1:36" ht="15.75" thickBot="1">
      <c r="A70" s="17" t="str">
        <f>A22</f>
        <v>(mil gal/yr)</v>
      </c>
      <c r="B70" s="28" t="str">
        <f t="shared" ref="B70:AF70" si="26">B22</f>
        <v>&lt; 2021</v>
      </c>
      <c r="C70" s="18">
        <f t="shared" si="26"/>
        <v>2021</v>
      </c>
      <c r="D70" s="18">
        <f t="shared" si="26"/>
        <v>2022</v>
      </c>
      <c r="E70" s="18">
        <f t="shared" si="26"/>
        <v>2023</v>
      </c>
      <c r="F70" s="18">
        <f t="shared" si="26"/>
        <v>2024</v>
      </c>
      <c r="G70" s="18">
        <f t="shared" si="26"/>
        <v>2025</v>
      </c>
      <c r="H70" s="18">
        <f t="shared" si="26"/>
        <v>2026</v>
      </c>
      <c r="I70" s="18">
        <f t="shared" si="26"/>
        <v>2027</v>
      </c>
      <c r="J70" s="18">
        <f t="shared" si="26"/>
        <v>2028</v>
      </c>
      <c r="K70" s="18">
        <f t="shared" si="26"/>
        <v>2029</v>
      </c>
      <c r="L70" s="18">
        <f t="shared" si="26"/>
        <v>2030</v>
      </c>
      <c r="M70" s="18">
        <f t="shared" si="26"/>
        <v>2031</v>
      </c>
      <c r="N70" s="18">
        <f t="shared" si="26"/>
        <v>2032</v>
      </c>
      <c r="O70" s="18">
        <f t="shared" si="26"/>
        <v>2033</v>
      </c>
      <c r="P70" s="18">
        <f t="shared" si="26"/>
        <v>2034</v>
      </c>
      <c r="Q70" s="18">
        <f t="shared" si="26"/>
        <v>2035</v>
      </c>
      <c r="R70" s="18">
        <f t="shared" si="26"/>
        <v>2036</v>
      </c>
      <c r="S70" s="18">
        <f t="shared" si="26"/>
        <v>2037</v>
      </c>
      <c r="T70" s="18">
        <f t="shared" si="26"/>
        <v>2038</v>
      </c>
      <c r="U70" s="18">
        <f t="shared" si="26"/>
        <v>2039</v>
      </c>
      <c r="V70" s="18">
        <f t="shared" si="26"/>
        <v>2040</v>
      </c>
      <c r="W70" s="18">
        <f t="shared" si="26"/>
        <v>2041</v>
      </c>
      <c r="X70" s="18">
        <f t="shared" si="26"/>
        <v>2042</v>
      </c>
      <c r="Y70" s="18">
        <f t="shared" si="26"/>
        <v>2043</v>
      </c>
      <c r="Z70" s="18">
        <f t="shared" si="26"/>
        <v>2044</v>
      </c>
      <c r="AA70" s="18">
        <f t="shared" si="26"/>
        <v>2045</v>
      </c>
      <c r="AB70" s="18">
        <f t="shared" si="26"/>
        <v>2046</v>
      </c>
      <c r="AC70" s="18">
        <f t="shared" si="26"/>
        <v>2047</v>
      </c>
      <c r="AD70" s="18">
        <f t="shared" si="26"/>
        <v>2048</v>
      </c>
      <c r="AE70" s="18">
        <f t="shared" si="26"/>
        <v>2049</v>
      </c>
      <c r="AF70" s="18">
        <f t="shared" si="26"/>
        <v>2050</v>
      </c>
      <c r="AH70" s="391"/>
      <c r="AI70" s="391"/>
      <c r="AJ70" s="392"/>
    </row>
    <row r="71" spans="1:36">
      <c r="A71" s="43" t="s">
        <v>36</v>
      </c>
      <c r="B71" s="48">
        <f t="shared" ref="B71:AF71" si="27">B62*$AH71</f>
        <v>676.5</v>
      </c>
      <c r="C71" s="48">
        <f t="shared" si="27"/>
        <v>3685.2750000000001</v>
      </c>
      <c r="D71" s="48">
        <f t="shared" si="27"/>
        <v>4510.2750000000005</v>
      </c>
      <c r="E71" s="48">
        <f t="shared" si="27"/>
        <v>4510.2750000000005</v>
      </c>
      <c r="F71" s="49">
        <f t="shared" si="27"/>
        <v>11715.164999999999</v>
      </c>
      <c r="G71" s="49">
        <f t="shared" si="27"/>
        <v>13557.604499999999</v>
      </c>
      <c r="H71" s="49">
        <f t="shared" si="27"/>
        <v>18283.204499999996</v>
      </c>
      <c r="I71" s="49">
        <f t="shared" si="27"/>
        <v>30146.704499999996</v>
      </c>
      <c r="J71" s="49">
        <f t="shared" si="27"/>
        <v>30827.329499999996</v>
      </c>
      <c r="K71" s="49">
        <f t="shared" si="27"/>
        <v>31413.079499999996</v>
      </c>
      <c r="L71" s="49">
        <f t="shared" si="27"/>
        <v>31825.579499999996</v>
      </c>
      <c r="M71" s="49">
        <f t="shared" si="27"/>
        <v>31825.579499999996</v>
      </c>
      <c r="N71" s="49">
        <f t="shared" si="27"/>
        <v>31825.579499999996</v>
      </c>
      <c r="O71" s="49">
        <f t="shared" si="27"/>
        <v>31825.579499999996</v>
      </c>
      <c r="P71" s="49">
        <f t="shared" si="27"/>
        <v>31825.579499999996</v>
      </c>
      <c r="Q71" s="49">
        <f t="shared" si="27"/>
        <v>31825.579499999996</v>
      </c>
      <c r="R71" s="49">
        <f t="shared" si="27"/>
        <v>31825.579499999996</v>
      </c>
      <c r="S71" s="49">
        <f t="shared" si="27"/>
        <v>31825.579499999996</v>
      </c>
      <c r="T71" s="49">
        <f t="shared" si="27"/>
        <v>31825.579499999996</v>
      </c>
      <c r="U71" s="49">
        <f t="shared" si="27"/>
        <v>31825.579499999996</v>
      </c>
      <c r="V71" s="49">
        <f t="shared" si="27"/>
        <v>31825.579499999996</v>
      </c>
      <c r="W71" s="49">
        <f t="shared" si="27"/>
        <v>31825.579499999996</v>
      </c>
      <c r="X71" s="49">
        <f t="shared" si="27"/>
        <v>31825.579499999996</v>
      </c>
      <c r="Y71" s="49">
        <f t="shared" si="27"/>
        <v>31825.579499999996</v>
      </c>
      <c r="Z71" s="49">
        <f t="shared" si="27"/>
        <v>31825.579499999996</v>
      </c>
      <c r="AA71" s="49">
        <f t="shared" si="27"/>
        <v>31825.579499999996</v>
      </c>
      <c r="AB71" s="49">
        <f t="shared" si="27"/>
        <v>31825.579499999996</v>
      </c>
      <c r="AC71" s="49">
        <f t="shared" si="27"/>
        <v>31825.579499999996</v>
      </c>
      <c r="AD71" s="49">
        <f t="shared" si="27"/>
        <v>31825.579499999996</v>
      </c>
      <c r="AE71" s="49">
        <f t="shared" si="27"/>
        <v>31825.579499999996</v>
      </c>
      <c r="AF71" s="49">
        <f t="shared" si="27"/>
        <v>31825.579499999996</v>
      </c>
      <c r="AH71" s="44">
        <v>8.25</v>
      </c>
      <c r="AI71" s="45" t="s">
        <v>37</v>
      </c>
      <c r="AJ71" s="45" t="s">
        <v>38</v>
      </c>
    </row>
    <row r="72" spans="1:36">
      <c r="A72" s="43" t="s">
        <v>39</v>
      </c>
      <c r="B72" s="48">
        <f t="shared" ref="B72:AF72" si="28">B79*$AH72</f>
        <v>2036.4318840579715</v>
      </c>
      <c r="C72" s="48">
        <f t="shared" si="28"/>
        <v>2036.4318840579715</v>
      </c>
      <c r="D72" s="48">
        <f t="shared" si="28"/>
        <v>2036.4318840579715</v>
      </c>
      <c r="E72" s="48">
        <f t="shared" si="28"/>
        <v>2036.4318840579715</v>
      </c>
      <c r="F72" s="49">
        <f t="shared" si="28"/>
        <v>2341.3884057971018</v>
      </c>
      <c r="G72" s="49">
        <f t="shared" si="28"/>
        <v>2446.1325000000002</v>
      </c>
      <c r="H72" s="49">
        <f t="shared" si="28"/>
        <v>9426.2484420289857</v>
      </c>
      <c r="I72" s="49">
        <f t="shared" si="28"/>
        <v>26029.436847826091</v>
      </c>
      <c r="J72" s="49">
        <f t="shared" si="28"/>
        <v>32636.828152173919</v>
      </c>
      <c r="K72" s="49">
        <f t="shared" si="28"/>
        <v>33653.349891304351</v>
      </c>
      <c r="L72" s="49">
        <f t="shared" si="28"/>
        <v>33653.349891304351</v>
      </c>
      <c r="M72" s="49">
        <f t="shared" si="28"/>
        <v>35958.821195652177</v>
      </c>
      <c r="N72" s="49">
        <f t="shared" si="28"/>
        <v>35958.821195652177</v>
      </c>
      <c r="O72" s="49">
        <f t="shared" si="28"/>
        <v>35958.821195652177</v>
      </c>
      <c r="P72" s="49">
        <f t="shared" si="28"/>
        <v>35958.821195652177</v>
      </c>
      <c r="Q72" s="49">
        <f t="shared" si="28"/>
        <v>35958.821195652177</v>
      </c>
      <c r="R72" s="49">
        <f t="shared" si="28"/>
        <v>35958.821195652177</v>
      </c>
      <c r="S72" s="49">
        <f t="shared" si="28"/>
        <v>35958.821195652177</v>
      </c>
      <c r="T72" s="49">
        <f t="shared" si="28"/>
        <v>35958.821195652177</v>
      </c>
      <c r="U72" s="49">
        <f t="shared" si="28"/>
        <v>35958.821195652177</v>
      </c>
      <c r="V72" s="49">
        <f t="shared" si="28"/>
        <v>35958.821195652177</v>
      </c>
      <c r="W72" s="49">
        <f t="shared" si="28"/>
        <v>35958.821195652177</v>
      </c>
      <c r="X72" s="49">
        <f t="shared" si="28"/>
        <v>35958.821195652177</v>
      </c>
      <c r="Y72" s="49">
        <f t="shared" si="28"/>
        <v>35958.821195652177</v>
      </c>
      <c r="Z72" s="49">
        <f t="shared" si="28"/>
        <v>35958.821195652177</v>
      </c>
      <c r="AA72" s="49">
        <f t="shared" si="28"/>
        <v>35958.821195652177</v>
      </c>
      <c r="AB72" s="49">
        <f t="shared" si="28"/>
        <v>35958.821195652177</v>
      </c>
      <c r="AC72" s="49">
        <f t="shared" si="28"/>
        <v>35958.821195652177</v>
      </c>
      <c r="AD72" s="49">
        <f t="shared" si="28"/>
        <v>35958.821195652177</v>
      </c>
      <c r="AE72" s="49">
        <f t="shared" si="28"/>
        <v>35958.821195652177</v>
      </c>
      <c r="AF72" s="49">
        <f t="shared" si="28"/>
        <v>35958.821195652177</v>
      </c>
      <c r="AH72" s="44">
        <f>AH80*56</f>
        <v>20.289855072463773</v>
      </c>
      <c r="AI72" s="45" t="s">
        <v>37</v>
      </c>
    </row>
    <row r="73" spans="1:36">
      <c r="A73" s="43" t="s">
        <v>40</v>
      </c>
      <c r="B73" s="48">
        <f t="shared" ref="B73:AF75" si="29">B64*$AH73</f>
        <v>0</v>
      </c>
      <c r="C73" s="48">
        <f t="shared" si="29"/>
        <v>0</v>
      </c>
      <c r="D73" s="48">
        <f t="shared" si="29"/>
        <v>0</v>
      </c>
      <c r="E73" s="48">
        <f t="shared" si="29"/>
        <v>0</v>
      </c>
      <c r="F73" s="49">
        <f t="shared" si="29"/>
        <v>0</v>
      </c>
      <c r="G73" s="49">
        <f t="shared" si="29"/>
        <v>3080</v>
      </c>
      <c r="H73" s="49">
        <f t="shared" si="29"/>
        <v>3115</v>
      </c>
      <c r="I73" s="49">
        <f t="shared" si="29"/>
        <v>4305</v>
      </c>
      <c r="J73" s="49">
        <f t="shared" si="29"/>
        <v>8410.5</v>
      </c>
      <c r="K73" s="49">
        <f t="shared" si="29"/>
        <v>8410.5</v>
      </c>
      <c r="L73" s="49">
        <f t="shared" si="29"/>
        <v>10143</v>
      </c>
      <c r="M73" s="49">
        <f t="shared" si="29"/>
        <v>10143</v>
      </c>
      <c r="N73" s="49">
        <f t="shared" si="29"/>
        <v>10143</v>
      </c>
      <c r="O73" s="49">
        <f t="shared" si="29"/>
        <v>10143</v>
      </c>
      <c r="P73" s="49">
        <f t="shared" si="29"/>
        <v>10143</v>
      </c>
      <c r="Q73" s="49">
        <f t="shared" si="29"/>
        <v>10143</v>
      </c>
      <c r="R73" s="49">
        <f t="shared" si="29"/>
        <v>10143</v>
      </c>
      <c r="S73" s="49">
        <f t="shared" si="29"/>
        <v>10143</v>
      </c>
      <c r="T73" s="49">
        <f t="shared" si="29"/>
        <v>10143</v>
      </c>
      <c r="U73" s="49">
        <f t="shared" si="29"/>
        <v>10143</v>
      </c>
      <c r="V73" s="49">
        <f t="shared" si="29"/>
        <v>10143</v>
      </c>
      <c r="W73" s="49">
        <f t="shared" si="29"/>
        <v>10143</v>
      </c>
      <c r="X73" s="49">
        <f t="shared" si="29"/>
        <v>10143</v>
      </c>
      <c r="Y73" s="49">
        <f t="shared" si="29"/>
        <v>10143</v>
      </c>
      <c r="Z73" s="49">
        <f t="shared" si="29"/>
        <v>10143</v>
      </c>
      <c r="AA73" s="49">
        <f t="shared" si="29"/>
        <v>10143</v>
      </c>
      <c r="AB73" s="49">
        <f t="shared" si="29"/>
        <v>10143</v>
      </c>
      <c r="AC73" s="49">
        <f t="shared" si="29"/>
        <v>10143</v>
      </c>
      <c r="AD73" s="49">
        <f t="shared" si="29"/>
        <v>10143</v>
      </c>
      <c r="AE73" s="49">
        <f t="shared" si="29"/>
        <v>10143</v>
      </c>
      <c r="AF73" s="49">
        <f t="shared" si="29"/>
        <v>10143</v>
      </c>
      <c r="AH73" s="44">
        <v>35</v>
      </c>
      <c r="AI73" s="45" t="s">
        <v>37</v>
      </c>
      <c r="AJ73" s="45" t="s">
        <v>41</v>
      </c>
    </row>
    <row r="74" spans="1:36">
      <c r="A74" s="43" t="s">
        <v>42</v>
      </c>
      <c r="B74" s="48">
        <f t="shared" si="29"/>
        <v>0</v>
      </c>
      <c r="C74" s="48">
        <f t="shared" si="29"/>
        <v>0</v>
      </c>
      <c r="D74" s="48">
        <f t="shared" si="29"/>
        <v>1.9223267667659995E-2</v>
      </c>
      <c r="E74" s="48">
        <f t="shared" si="29"/>
        <v>1.9223267667659995E-2</v>
      </c>
      <c r="F74" s="49">
        <f t="shared" si="29"/>
        <v>7.6366019668019653</v>
      </c>
      <c r="G74" s="49">
        <f t="shared" si="29"/>
        <v>8.8777041855952632</v>
      </c>
      <c r="H74" s="49">
        <f t="shared" si="29"/>
        <v>104.99404252389525</v>
      </c>
      <c r="I74" s="49">
        <f t="shared" si="29"/>
        <v>104.99404252389525</v>
      </c>
      <c r="J74" s="49">
        <f t="shared" si="29"/>
        <v>704.75999375488709</v>
      </c>
      <c r="K74" s="49">
        <f t="shared" si="29"/>
        <v>1281.4580237846872</v>
      </c>
      <c r="L74" s="49">
        <f t="shared" si="29"/>
        <v>2876.9892402004671</v>
      </c>
      <c r="M74" s="49">
        <f t="shared" si="29"/>
        <v>2876.9892402004671</v>
      </c>
      <c r="N74" s="49">
        <f t="shared" si="29"/>
        <v>2876.9892402004671</v>
      </c>
      <c r="O74" s="49">
        <f t="shared" si="29"/>
        <v>2876.9892402004671</v>
      </c>
      <c r="P74" s="49">
        <f t="shared" si="29"/>
        <v>2876.9892402004671</v>
      </c>
      <c r="Q74" s="49">
        <f t="shared" si="29"/>
        <v>2876.9892402004671</v>
      </c>
      <c r="R74" s="49">
        <f t="shared" si="29"/>
        <v>2876.9892402004671</v>
      </c>
      <c r="S74" s="49">
        <f t="shared" si="29"/>
        <v>2876.9892402004671</v>
      </c>
      <c r="T74" s="49">
        <f t="shared" si="29"/>
        <v>2876.9892402004671</v>
      </c>
      <c r="U74" s="49">
        <f t="shared" si="29"/>
        <v>2876.9892402004671</v>
      </c>
      <c r="V74" s="49">
        <f t="shared" si="29"/>
        <v>2876.9892402004671</v>
      </c>
      <c r="W74" s="49">
        <f t="shared" si="29"/>
        <v>2876.9892402004671</v>
      </c>
      <c r="X74" s="49">
        <f t="shared" si="29"/>
        <v>2876.9892402004671</v>
      </c>
      <c r="Y74" s="49">
        <f t="shared" si="29"/>
        <v>2876.9892402004671</v>
      </c>
      <c r="Z74" s="49">
        <f t="shared" si="29"/>
        <v>2876.9892402004671</v>
      </c>
      <c r="AA74" s="49">
        <f t="shared" si="29"/>
        <v>2876.9892402004671</v>
      </c>
      <c r="AB74" s="49">
        <f t="shared" si="29"/>
        <v>2876.9892402004671</v>
      </c>
      <c r="AC74" s="49">
        <f t="shared" si="29"/>
        <v>2876.9892402004671</v>
      </c>
      <c r="AD74" s="49">
        <f t="shared" si="29"/>
        <v>2876.9892402004671</v>
      </c>
      <c r="AE74" s="49">
        <f t="shared" si="29"/>
        <v>2876.9892402004671</v>
      </c>
      <c r="AF74" s="49">
        <f t="shared" si="29"/>
        <v>2876.9892402004671</v>
      </c>
      <c r="AH74" s="44">
        <v>19.223267667659997</v>
      </c>
      <c r="AI74" s="45" t="s">
        <v>37</v>
      </c>
      <c r="AJ74" s="46" t="s">
        <v>43</v>
      </c>
    </row>
    <row r="75" spans="1:36" ht="15.75" thickBot="1">
      <c r="A75" s="43" t="s">
        <v>44</v>
      </c>
      <c r="B75" s="48">
        <f t="shared" si="29"/>
        <v>0</v>
      </c>
      <c r="C75" s="48">
        <f t="shared" si="29"/>
        <v>0</v>
      </c>
      <c r="D75" s="48">
        <f t="shared" si="29"/>
        <v>0</v>
      </c>
      <c r="E75" s="48">
        <f t="shared" si="29"/>
        <v>0</v>
      </c>
      <c r="F75" s="49">
        <f t="shared" si="29"/>
        <v>0</v>
      </c>
      <c r="G75" s="49">
        <f t="shared" si="29"/>
        <v>1.4327999999999999</v>
      </c>
      <c r="H75" s="49">
        <f t="shared" si="29"/>
        <v>1.4327999999999999</v>
      </c>
      <c r="I75" s="49">
        <f t="shared" si="29"/>
        <v>15025.932799999999</v>
      </c>
      <c r="J75" s="49">
        <f t="shared" si="29"/>
        <v>15025.932799999999</v>
      </c>
      <c r="K75" s="49">
        <f t="shared" si="29"/>
        <v>19762.132799999999</v>
      </c>
      <c r="L75" s="49">
        <f t="shared" si="29"/>
        <v>19762.132799999999</v>
      </c>
      <c r="M75" s="49">
        <f t="shared" si="29"/>
        <v>19762.132799999999</v>
      </c>
      <c r="N75" s="49">
        <f t="shared" si="29"/>
        <v>19762.132799999999</v>
      </c>
      <c r="O75" s="49">
        <f t="shared" si="29"/>
        <v>19762.132799999999</v>
      </c>
      <c r="P75" s="49">
        <f t="shared" si="29"/>
        <v>19762.132799999999</v>
      </c>
      <c r="Q75" s="49">
        <f t="shared" si="29"/>
        <v>19762.132799999999</v>
      </c>
      <c r="R75" s="49">
        <f t="shared" si="29"/>
        <v>19762.132799999999</v>
      </c>
      <c r="S75" s="49">
        <f t="shared" si="29"/>
        <v>19762.132799999999</v>
      </c>
      <c r="T75" s="49">
        <f t="shared" si="29"/>
        <v>19762.132799999999</v>
      </c>
      <c r="U75" s="49">
        <f t="shared" si="29"/>
        <v>19762.132799999999</v>
      </c>
      <c r="V75" s="49">
        <f t="shared" si="29"/>
        <v>19762.132799999999</v>
      </c>
      <c r="W75" s="49">
        <f t="shared" si="29"/>
        <v>19762.132799999999</v>
      </c>
      <c r="X75" s="49">
        <f t="shared" si="29"/>
        <v>19762.132799999999</v>
      </c>
      <c r="Y75" s="49">
        <f t="shared" si="29"/>
        <v>19762.132799999999</v>
      </c>
      <c r="Z75" s="49">
        <f t="shared" si="29"/>
        <v>19762.132799999999</v>
      </c>
      <c r="AA75" s="49">
        <f t="shared" si="29"/>
        <v>19762.132799999999</v>
      </c>
      <c r="AB75" s="49">
        <f t="shared" si="29"/>
        <v>19762.132799999999</v>
      </c>
      <c r="AC75" s="49">
        <f t="shared" si="29"/>
        <v>19762.132799999999</v>
      </c>
      <c r="AD75" s="49">
        <f t="shared" si="29"/>
        <v>19762.132799999999</v>
      </c>
      <c r="AE75" s="49">
        <f t="shared" si="29"/>
        <v>19762.132799999999</v>
      </c>
      <c r="AF75" s="49">
        <f t="shared" si="29"/>
        <v>19762.132799999999</v>
      </c>
      <c r="AH75" s="44">
        <v>39.799999999999997</v>
      </c>
      <c r="AI75" s="45" t="s">
        <v>37</v>
      </c>
    </row>
    <row r="76" spans="1:3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row>
    <row r="77" spans="1:36">
      <c r="A77" s="38" t="s">
        <v>45</v>
      </c>
    </row>
    <row r="78" spans="1:36">
      <c r="A78" s="43" t="s">
        <v>46</v>
      </c>
      <c r="B78" s="48">
        <f t="shared" ref="B78:AC78" si="30">B79*$AH78</f>
        <v>661.41853000000003</v>
      </c>
      <c r="C78" s="48">
        <f t="shared" si="30"/>
        <v>661.41853000000003</v>
      </c>
      <c r="D78" s="48">
        <f t="shared" si="30"/>
        <v>661.41853000000003</v>
      </c>
      <c r="E78" s="49">
        <f t="shared" si="30"/>
        <v>661.41853000000003</v>
      </c>
      <c r="F78" s="49">
        <f t="shared" si="30"/>
        <v>760.46622999999988</v>
      </c>
      <c r="G78" s="49">
        <f t="shared" si="30"/>
        <v>794.48636362499985</v>
      </c>
      <c r="H78" s="49">
        <f t="shared" si="30"/>
        <v>3061.5781636249994</v>
      </c>
      <c r="I78" s="49">
        <f t="shared" si="30"/>
        <v>8454.1751636249992</v>
      </c>
      <c r="J78" s="49">
        <f t="shared" si="30"/>
        <v>10600.208663625001</v>
      </c>
      <c r="K78" s="49">
        <f t="shared" si="30"/>
        <v>10930.367663624998</v>
      </c>
      <c r="L78" s="49">
        <f t="shared" si="30"/>
        <v>10930.367663624998</v>
      </c>
      <c r="M78" s="49">
        <f t="shared" si="30"/>
        <v>11679.168275624999</v>
      </c>
      <c r="N78" s="49">
        <f t="shared" si="30"/>
        <v>11679.168275624999</v>
      </c>
      <c r="O78" s="49">
        <f t="shared" si="30"/>
        <v>11679.168275624999</v>
      </c>
      <c r="P78" s="49">
        <f t="shared" si="30"/>
        <v>11679.168275624999</v>
      </c>
      <c r="Q78" s="49">
        <f t="shared" si="30"/>
        <v>11679.168275624999</v>
      </c>
      <c r="R78" s="49">
        <f t="shared" si="30"/>
        <v>11679.168275624999</v>
      </c>
      <c r="S78" s="49">
        <f t="shared" si="30"/>
        <v>11679.168275624999</v>
      </c>
      <c r="T78" s="49">
        <f t="shared" si="30"/>
        <v>11679.168275624999</v>
      </c>
      <c r="U78" s="49">
        <f t="shared" si="30"/>
        <v>11679.168275624999</v>
      </c>
      <c r="V78" s="49">
        <f t="shared" si="30"/>
        <v>11679.168275624999</v>
      </c>
      <c r="W78" s="49">
        <f t="shared" si="30"/>
        <v>11679.168275624999</v>
      </c>
      <c r="X78" s="49">
        <f t="shared" si="30"/>
        <v>11679.168275624999</v>
      </c>
      <c r="Y78" s="49">
        <f t="shared" si="30"/>
        <v>11679.168275624999</v>
      </c>
      <c r="Z78" s="49">
        <f t="shared" si="30"/>
        <v>11679.168275624999</v>
      </c>
      <c r="AA78" s="49">
        <f t="shared" si="30"/>
        <v>11679.168275624999</v>
      </c>
      <c r="AB78" s="49">
        <f t="shared" si="30"/>
        <v>11679.168275624999</v>
      </c>
      <c r="AC78" s="49">
        <f t="shared" si="30"/>
        <v>11679.168275624999</v>
      </c>
      <c r="AD78" s="49">
        <f>AD79*$AH78</f>
        <v>11679.168275624999</v>
      </c>
      <c r="AE78" s="49">
        <f>AE79*$AH78</f>
        <v>11679.168275624999</v>
      </c>
      <c r="AF78" s="49">
        <f>AF79*$AH78</f>
        <v>11679.168275624999</v>
      </c>
      <c r="AH78" s="44">
        <v>6.59</v>
      </c>
      <c r="AI78" s="45" t="s">
        <v>37</v>
      </c>
      <c r="AJ78" s="45"/>
    </row>
    <row r="79" spans="1:36">
      <c r="A79" s="43" t="s">
        <v>47</v>
      </c>
      <c r="B79" s="48">
        <f t="shared" ref="B79:AF79" si="31">B63*$AH79</f>
        <v>100.367</v>
      </c>
      <c r="C79" s="48">
        <f t="shared" si="31"/>
        <v>100.367</v>
      </c>
      <c r="D79" s="48">
        <f t="shared" si="31"/>
        <v>100.367</v>
      </c>
      <c r="E79" s="49">
        <f t="shared" si="31"/>
        <v>100.367</v>
      </c>
      <c r="F79" s="49">
        <f t="shared" si="31"/>
        <v>115.39699999999999</v>
      </c>
      <c r="G79" s="49">
        <f t="shared" si="31"/>
        <v>120.55938749999999</v>
      </c>
      <c r="H79" s="49">
        <f t="shared" si="31"/>
        <v>464.57938749999994</v>
      </c>
      <c r="I79" s="49">
        <f t="shared" si="31"/>
        <v>1282.8793874999999</v>
      </c>
      <c r="J79" s="49">
        <f t="shared" si="31"/>
        <v>1608.5293875</v>
      </c>
      <c r="K79" s="49">
        <f t="shared" si="31"/>
        <v>1658.6293874999999</v>
      </c>
      <c r="L79" s="49">
        <f t="shared" si="31"/>
        <v>1658.6293874999999</v>
      </c>
      <c r="M79" s="49">
        <f t="shared" si="31"/>
        <v>1772.2561874999999</v>
      </c>
      <c r="N79" s="49">
        <f t="shared" si="31"/>
        <v>1772.2561874999999</v>
      </c>
      <c r="O79" s="49">
        <f t="shared" si="31"/>
        <v>1772.2561874999999</v>
      </c>
      <c r="P79" s="49">
        <f t="shared" si="31"/>
        <v>1772.2561874999999</v>
      </c>
      <c r="Q79" s="49">
        <f t="shared" si="31"/>
        <v>1772.2561874999999</v>
      </c>
      <c r="R79" s="49">
        <f t="shared" si="31"/>
        <v>1772.2561874999999</v>
      </c>
      <c r="S79" s="49">
        <f t="shared" si="31"/>
        <v>1772.2561874999999</v>
      </c>
      <c r="T79" s="49">
        <f t="shared" si="31"/>
        <v>1772.2561874999999</v>
      </c>
      <c r="U79" s="49">
        <f t="shared" si="31"/>
        <v>1772.2561874999999</v>
      </c>
      <c r="V79" s="49">
        <f t="shared" si="31"/>
        <v>1772.2561874999999</v>
      </c>
      <c r="W79" s="49">
        <f t="shared" si="31"/>
        <v>1772.2561874999999</v>
      </c>
      <c r="X79" s="49">
        <f t="shared" si="31"/>
        <v>1772.2561874999999</v>
      </c>
      <c r="Y79" s="49">
        <f t="shared" si="31"/>
        <v>1772.2561874999999</v>
      </c>
      <c r="Z79" s="49">
        <f t="shared" si="31"/>
        <v>1772.2561874999999</v>
      </c>
      <c r="AA79" s="49">
        <f t="shared" si="31"/>
        <v>1772.2561874999999</v>
      </c>
      <c r="AB79" s="49">
        <f t="shared" si="31"/>
        <v>1772.2561874999999</v>
      </c>
      <c r="AC79" s="49">
        <f t="shared" si="31"/>
        <v>1772.2561874999999</v>
      </c>
      <c r="AD79" s="49">
        <f t="shared" si="31"/>
        <v>1772.2561874999999</v>
      </c>
      <c r="AE79" s="49">
        <f t="shared" si="31"/>
        <v>1772.2561874999999</v>
      </c>
      <c r="AF79" s="49">
        <f t="shared" si="31"/>
        <v>1772.2561874999999</v>
      </c>
      <c r="AH79" s="44">
        <v>1.67</v>
      </c>
      <c r="AI79" s="45" t="s">
        <v>48</v>
      </c>
      <c r="AJ79" s="45" t="s">
        <v>49</v>
      </c>
    </row>
    <row r="80" spans="1:36">
      <c r="A80" s="43" t="s">
        <v>50</v>
      </c>
      <c r="B80" s="48">
        <f t="shared" ref="B80:AF80" si="32">B79*$AH80</f>
        <v>36.364855072463776</v>
      </c>
      <c r="C80" s="48">
        <f t="shared" si="32"/>
        <v>36.364855072463776</v>
      </c>
      <c r="D80" s="48">
        <f t="shared" si="32"/>
        <v>36.364855072463776</v>
      </c>
      <c r="E80" s="49">
        <f t="shared" si="32"/>
        <v>36.364855072463776</v>
      </c>
      <c r="F80" s="49">
        <f t="shared" si="32"/>
        <v>41.810507246376815</v>
      </c>
      <c r="G80" s="49">
        <f t="shared" si="32"/>
        <v>43.680937499999999</v>
      </c>
      <c r="H80" s="49">
        <f t="shared" si="32"/>
        <v>168.32586503623187</v>
      </c>
      <c r="I80" s="49">
        <f t="shared" si="32"/>
        <v>464.81137228260872</v>
      </c>
      <c r="J80" s="49">
        <f t="shared" si="32"/>
        <v>582.8005027173914</v>
      </c>
      <c r="K80" s="49">
        <f t="shared" si="32"/>
        <v>600.95267663043478</v>
      </c>
      <c r="L80" s="49">
        <f t="shared" si="32"/>
        <v>600.95267663043478</v>
      </c>
      <c r="M80" s="49">
        <f t="shared" si="32"/>
        <v>642.12180706521747</v>
      </c>
      <c r="N80" s="49">
        <f t="shared" si="32"/>
        <v>642.12180706521747</v>
      </c>
      <c r="O80" s="49">
        <f t="shared" si="32"/>
        <v>642.12180706521747</v>
      </c>
      <c r="P80" s="49">
        <f t="shared" si="32"/>
        <v>642.12180706521747</v>
      </c>
      <c r="Q80" s="49">
        <f t="shared" si="32"/>
        <v>642.12180706521747</v>
      </c>
      <c r="R80" s="49">
        <f t="shared" si="32"/>
        <v>642.12180706521747</v>
      </c>
      <c r="S80" s="49">
        <f t="shared" si="32"/>
        <v>642.12180706521747</v>
      </c>
      <c r="T80" s="49">
        <f t="shared" si="32"/>
        <v>642.12180706521747</v>
      </c>
      <c r="U80" s="49">
        <f t="shared" si="32"/>
        <v>642.12180706521747</v>
      </c>
      <c r="V80" s="49">
        <f t="shared" si="32"/>
        <v>642.12180706521747</v>
      </c>
      <c r="W80" s="49">
        <f t="shared" si="32"/>
        <v>642.12180706521747</v>
      </c>
      <c r="X80" s="49">
        <f t="shared" si="32"/>
        <v>642.12180706521747</v>
      </c>
      <c r="Y80" s="49">
        <f t="shared" si="32"/>
        <v>642.12180706521747</v>
      </c>
      <c r="Z80" s="49">
        <f t="shared" si="32"/>
        <v>642.12180706521747</v>
      </c>
      <c r="AA80" s="49">
        <f t="shared" si="32"/>
        <v>642.12180706521747</v>
      </c>
      <c r="AB80" s="49">
        <f t="shared" si="32"/>
        <v>642.12180706521747</v>
      </c>
      <c r="AC80" s="49">
        <f t="shared" si="32"/>
        <v>642.12180706521747</v>
      </c>
      <c r="AD80" s="49">
        <f t="shared" si="32"/>
        <v>642.12180706521747</v>
      </c>
      <c r="AE80" s="49">
        <f t="shared" si="32"/>
        <v>642.12180706521747</v>
      </c>
      <c r="AF80" s="49">
        <f t="shared" si="32"/>
        <v>642.12180706521747</v>
      </c>
      <c r="AH80" s="50">
        <f>1/AH81</f>
        <v>0.3623188405797102</v>
      </c>
      <c r="AI80" s="45" t="s">
        <v>51</v>
      </c>
      <c r="AJ80" s="20" t="s">
        <v>52</v>
      </c>
    </row>
    <row r="81" spans="1:37">
      <c r="AH81" s="51">
        <v>2.76</v>
      </c>
      <c r="AI81" s="45" t="s">
        <v>53</v>
      </c>
      <c r="AJ81" s="45" t="s">
        <v>54</v>
      </c>
    </row>
    <row r="82" spans="1:37">
      <c r="A82" s="43" t="s">
        <v>55</v>
      </c>
      <c r="C82" s="255">
        <f>'[1]Jet Fuel'!E$17</f>
        <v>573403.84113099996</v>
      </c>
      <c r="D82" s="255">
        <f>'[1]Jet Fuel'!F$17</f>
        <v>708959.95827800001</v>
      </c>
      <c r="E82" s="255">
        <f>'[1]Jet Fuel'!G$17</f>
        <v>773411.55941999995</v>
      </c>
      <c r="F82" s="255">
        <f>'[1]Jet Fuel'!H$17</f>
        <v>785786.14437071991</v>
      </c>
      <c r="G82" s="255">
        <f>'[1]Jet Fuel'!I$17</f>
        <v>807002.37026872928</v>
      </c>
      <c r="H82" s="255">
        <f>'[1]Jet Fuel'!J$17</f>
        <v>828791.43426598492</v>
      </c>
      <c r="I82" s="255">
        <f>'[1]Jet Fuel'!K$17</f>
        <v>851168.80299116648</v>
      </c>
      <c r="J82" s="255">
        <f>'[1]Jet Fuel'!L$17</f>
        <v>874150.36067192792</v>
      </c>
      <c r="K82" s="255">
        <f>'[1]Jet Fuel'!M$17</f>
        <v>897752.42041006987</v>
      </c>
      <c r="L82" s="255">
        <f>'[1]Jet Fuel'!N$17</f>
        <v>921991.73576114164</v>
      </c>
      <c r="M82" s="255">
        <f>'[1]Jet Fuel'!O$17</f>
        <v>946885.51262669242</v>
      </c>
      <c r="N82" s="255">
        <f>'[1]Jet Fuel'!P$17</f>
        <v>972451.42146761308</v>
      </c>
      <c r="O82" s="255">
        <f>'[1]Jet Fuel'!Q$17</f>
        <v>998707.60984723852</v>
      </c>
      <c r="P82" s="255">
        <f>'[1]Jet Fuel'!R$17</f>
        <v>1025672.7153131139</v>
      </c>
      <c r="Q82" s="255">
        <f>'[1]Jet Fuel'!S$17</f>
        <v>1053365.8786265678</v>
      </c>
      <c r="R82" s="255">
        <f>'[1]Jet Fuel'!T$17</f>
        <v>1081806.7573494851</v>
      </c>
      <c r="S82" s="255">
        <f>'[1]Jet Fuel'!U$17</f>
        <v>1111015.539797921</v>
      </c>
      <c r="T82" s="255">
        <f>'[1]Jet Fuel'!V$17</f>
        <v>1141012.9593724648</v>
      </c>
      <c r="U82" s="255">
        <f>'[1]Jet Fuel'!W$17</f>
        <v>1171820.3092755212</v>
      </c>
      <c r="V82" s="255">
        <f>'[1]Jet Fuel'!X$17</f>
        <v>1203459.4576259602</v>
      </c>
      <c r="W82" s="255">
        <f>'[1]Jet Fuel'!Y$17</f>
        <v>1235952.862981861</v>
      </c>
      <c r="X82" s="255">
        <f>'[1]Jet Fuel'!Z$17</f>
        <v>1269323.590282371</v>
      </c>
      <c r="Y82" s="255">
        <f>'[1]Jet Fuel'!AA$17</f>
        <v>1303595.327219995</v>
      </c>
      <c r="Z82" s="255">
        <f>'[1]Jet Fuel'!AB$17</f>
        <v>1338792.4010549348</v>
      </c>
      <c r="AA82" s="255">
        <f>'[1]Jet Fuel'!AC$17</f>
        <v>1374939.7958834181</v>
      </c>
      <c r="AB82" s="255">
        <f>'[1]Jet Fuel'!AD$17</f>
        <v>1412063.1703722703</v>
      </c>
      <c r="AC82" s="255">
        <f>'[1]Jet Fuel'!AE$17</f>
        <v>1450188.8759723215</v>
      </c>
      <c r="AD82" s="255">
        <f>'[1]Jet Fuel'!AF$17</f>
        <v>1489343.9756235741</v>
      </c>
      <c r="AE82" s="255">
        <f>'[1]Jet Fuel'!AG$17</f>
        <v>1529556.2629654105</v>
      </c>
      <c r="AF82" s="255">
        <f>'[1]Jet Fuel'!AH$17</f>
        <v>1570854.2820654765</v>
      </c>
    </row>
    <row r="83" spans="1:37">
      <c r="A83" s="43" t="s">
        <v>56</v>
      </c>
      <c r="C83" s="256">
        <f>C82/C88</f>
        <v>2.2708233286102786</v>
      </c>
      <c r="D83" s="256">
        <f>D82/D88</f>
        <v>2.4821359994925207</v>
      </c>
      <c r="E83" s="53">
        <f t="shared" ref="E83:AF83" si="33">E82/E88</f>
        <v>2.5555923264791272</v>
      </c>
      <c r="F83" s="53">
        <f t="shared" si="33"/>
        <v>2.4936487771008196</v>
      </c>
      <c r="G83" s="53">
        <f t="shared" si="33"/>
        <v>2.543943164216973</v>
      </c>
      <c r="H83" s="53">
        <f t="shared" si="33"/>
        <v>2.6003747310052239</v>
      </c>
      <c r="I83" s="53">
        <f t="shared" si="33"/>
        <v>2.5918660261606776</v>
      </c>
      <c r="J83" s="53">
        <f t="shared" si="33"/>
        <v>2.6054764032486188</v>
      </c>
      <c r="K83" s="53">
        <f t="shared" si="33"/>
        <v>2.6321261318187199</v>
      </c>
      <c r="L83" s="53">
        <f t="shared" si="33"/>
        <v>2.6672213372709672</v>
      </c>
      <c r="M83" s="53">
        <f t="shared" si="33"/>
        <v>2.6830032659715868</v>
      </c>
      <c r="N83" s="53">
        <f t="shared" si="33"/>
        <v>2.6991920656931874</v>
      </c>
      <c r="O83" s="53">
        <f t="shared" si="33"/>
        <v>2.7261768025529247</v>
      </c>
      <c r="P83" s="53">
        <f t="shared" si="33"/>
        <v>2.7499402523275078</v>
      </c>
      <c r="Q83" s="53">
        <f t="shared" si="33"/>
        <v>2.767863674558078</v>
      </c>
      <c r="R83" s="53">
        <f t="shared" si="33"/>
        <v>2.7854337436260495</v>
      </c>
      <c r="S83" s="53">
        <f t="shared" si="33"/>
        <v>2.8057365013332012</v>
      </c>
      <c r="T83" s="53">
        <f t="shared" si="33"/>
        <v>2.8258633134108471</v>
      </c>
      <c r="U83" s="53">
        <f t="shared" si="33"/>
        <v>2.8437063866420464</v>
      </c>
      <c r="V83" s="53">
        <f t="shared" si="33"/>
        <v>2.8614621830255254</v>
      </c>
      <c r="W83" s="53">
        <f t="shared" si="33"/>
        <v>2.8798342470597333</v>
      </c>
      <c r="X83" s="53">
        <f t="shared" si="33"/>
        <v>2.8981644849189361</v>
      </c>
      <c r="Y83" s="53">
        <f t="shared" si="33"/>
        <v>2.9152119489679427</v>
      </c>
      <c r="Z83" s="53">
        <f t="shared" si="33"/>
        <v>2.9322507825766517</v>
      </c>
      <c r="AA83" s="53">
        <f t="shared" si="33"/>
        <v>2.9494386079829633</v>
      </c>
      <c r="AB83" s="53">
        <f t="shared" si="33"/>
        <v>2.966083076800198</v>
      </c>
      <c r="AC83" s="53">
        <f t="shared" si="33"/>
        <v>2.9822709111652403</v>
      </c>
      <c r="AD83" s="53">
        <f t="shared" si="33"/>
        <v>2.9986590203224961</v>
      </c>
      <c r="AE83" s="53">
        <f t="shared" si="33"/>
        <v>3.0146761987610824</v>
      </c>
      <c r="AF83" s="53">
        <f t="shared" si="33"/>
        <v>3.0304019022609099</v>
      </c>
    </row>
    <row r="84" spans="1:37">
      <c r="A84" s="43" t="s">
        <v>57</v>
      </c>
    </row>
    <row r="85" spans="1:37">
      <c r="A85" s="43" t="s">
        <v>58</v>
      </c>
    </row>
    <row r="86" spans="1:37">
      <c r="A86" s="43" t="s">
        <v>59</v>
      </c>
      <c r="C86" s="54" t="e">
        <f>C89/C88</f>
        <v>#REF!</v>
      </c>
      <c r="D86" s="54" t="e">
        <f t="shared" ref="D86:AF86" si="34">D89/D88</f>
        <v>#REF!</v>
      </c>
      <c r="E86" s="55" t="e">
        <f t="shared" si="34"/>
        <v>#REF!</v>
      </c>
      <c r="F86" s="55" t="e">
        <f t="shared" si="34"/>
        <v>#REF!</v>
      </c>
      <c r="G86" s="55" t="e">
        <f t="shared" si="34"/>
        <v>#REF!</v>
      </c>
      <c r="H86" s="55" t="e">
        <f t="shared" si="34"/>
        <v>#REF!</v>
      </c>
      <c r="I86" s="55" t="e">
        <f t="shared" si="34"/>
        <v>#REF!</v>
      </c>
      <c r="J86" s="55" t="e">
        <f t="shared" si="34"/>
        <v>#REF!</v>
      </c>
      <c r="K86" s="55" t="e">
        <f t="shared" si="34"/>
        <v>#REF!</v>
      </c>
      <c r="L86" s="55" t="e">
        <f t="shared" si="34"/>
        <v>#REF!</v>
      </c>
      <c r="M86" s="55" t="e">
        <f t="shared" si="34"/>
        <v>#REF!</v>
      </c>
      <c r="N86" s="55" t="e">
        <f t="shared" si="34"/>
        <v>#REF!</v>
      </c>
      <c r="O86" s="55" t="e">
        <f t="shared" si="34"/>
        <v>#REF!</v>
      </c>
      <c r="P86" s="55" t="e">
        <f t="shared" si="34"/>
        <v>#REF!</v>
      </c>
      <c r="Q86" s="55" t="e">
        <f t="shared" si="34"/>
        <v>#REF!</v>
      </c>
      <c r="R86" s="55" t="e">
        <f t="shared" si="34"/>
        <v>#REF!</v>
      </c>
      <c r="S86" s="55" t="e">
        <f t="shared" si="34"/>
        <v>#REF!</v>
      </c>
      <c r="T86" s="55" t="e">
        <f t="shared" si="34"/>
        <v>#REF!</v>
      </c>
      <c r="U86" s="55" t="e">
        <f t="shared" si="34"/>
        <v>#REF!</v>
      </c>
      <c r="V86" s="55" t="e">
        <f t="shared" si="34"/>
        <v>#REF!</v>
      </c>
      <c r="W86" s="55" t="e">
        <f t="shared" si="34"/>
        <v>#REF!</v>
      </c>
      <c r="X86" s="55" t="e">
        <f t="shared" si="34"/>
        <v>#REF!</v>
      </c>
      <c r="Y86" s="55" t="e">
        <f t="shared" si="34"/>
        <v>#REF!</v>
      </c>
      <c r="Z86" s="55" t="e">
        <f t="shared" si="34"/>
        <v>#REF!</v>
      </c>
      <c r="AA86" s="55" t="e">
        <f t="shared" si="34"/>
        <v>#REF!</v>
      </c>
      <c r="AB86" s="55" t="e">
        <f t="shared" si="34"/>
        <v>#REF!</v>
      </c>
      <c r="AC86" s="55" t="e">
        <f t="shared" si="34"/>
        <v>#REF!</v>
      </c>
      <c r="AD86" s="55" t="e">
        <f t="shared" si="34"/>
        <v>#REF!</v>
      </c>
      <c r="AE86" s="55" t="e">
        <f t="shared" si="34"/>
        <v>#REF!</v>
      </c>
      <c r="AF86" s="55" t="e">
        <f t="shared" si="34"/>
        <v>#REF!</v>
      </c>
    </row>
    <row r="88" spans="1:37">
      <c r="A88" s="43" t="s">
        <v>60</v>
      </c>
      <c r="C88" s="255">
        <f>'[1]Jet Fuel'!E$81/1000</f>
        <v>252509.22601800002</v>
      </c>
      <c r="D88" s="255">
        <f>'[1]Jet Fuel'!F$81/1000</f>
        <v>285624.944976</v>
      </c>
      <c r="E88" s="255">
        <f>'[1]Jet Fuel'!G$81/1000</f>
        <v>302634.95136000001</v>
      </c>
      <c r="F88" s="255">
        <f>'[1]Jet Fuel'!H$81/1000</f>
        <v>315115.00400000002</v>
      </c>
      <c r="G88" s="255">
        <f>'[1]Jet Fuel'!I$81/1000</f>
        <v>317225</v>
      </c>
      <c r="H88" s="255">
        <f>'[1]Jet Fuel'!J$81/1000</f>
        <v>318720</v>
      </c>
      <c r="I88" s="255">
        <f>'[1]Jet Fuel'!K$81/1000</f>
        <v>328400</v>
      </c>
      <c r="J88" s="255">
        <f>'[1]Jet Fuel'!L$81/1000</f>
        <v>335505</v>
      </c>
      <c r="K88" s="255">
        <f>'[1]Jet Fuel'!M$81/1000</f>
        <v>341075</v>
      </c>
      <c r="L88" s="255">
        <f>'[1]Jet Fuel'!N$81/1000</f>
        <v>345675</v>
      </c>
      <c r="M88" s="255">
        <f>'[1]Jet Fuel'!O$81/1000</f>
        <v>352920</v>
      </c>
      <c r="N88" s="255">
        <f>'[1]Jet Fuel'!P$81/1000</f>
        <v>360275</v>
      </c>
      <c r="O88" s="255">
        <f>'[1]Jet Fuel'!Q$81/1000</f>
        <v>366340</v>
      </c>
      <c r="P88" s="255">
        <f>'[1]Jet Fuel'!R$81/1000</f>
        <v>372980</v>
      </c>
      <c r="Q88" s="255">
        <f>'[1]Jet Fuel'!S$81/1000</f>
        <v>380570</v>
      </c>
      <c r="R88" s="255">
        <f>'[1]Jet Fuel'!T$81/1000</f>
        <v>388380</v>
      </c>
      <c r="S88" s="255">
        <f>'[1]Jet Fuel'!U$81/1000</f>
        <v>395980</v>
      </c>
      <c r="T88" s="255">
        <f>'[1]Jet Fuel'!V$81/1000</f>
        <v>403775</v>
      </c>
      <c r="U88" s="255">
        <f>'[1]Jet Fuel'!W$81/1000</f>
        <v>412075</v>
      </c>
      <c r="V88" s="255">
        <f>'[1]Jet Fuel'!X$81/1000</f>
        <v>420575</v>
      </c>
      <c r="W88" s="255">
        <f>'[1]Jet Fuel'!Y$81/1000</f>
        <v>429175</v>
      </c>
      <c r="X88" s="255">
        <f>'[1]Jet Fuel'!Z$81/1000</f>
        <v>437975</v>
      </c>
      <c r="Y88" s="255">
        <f>'[1]Jet Fuel'!AA$81/1000</f>
        <v>447170</v>
      </c>
      <c r="Z88" s="255">
        <f>'[1]Jet Fuel'!AB$81/1000</f>
        <v>456575</v>
      </c>
      <c r="AA88" s="255">
        <f>'[1]Jet Fuel'!AC$81/1000</f>
        <v>466170</v>
      </c>
      <c r="AB88" s="255">
        <f>'[1]Jet Fuel'!AD$81/1000</f>
        <v>476070</v>
      </c>
      <c r="AC88" s="255">
        <f>'[1]Jet Fuel'!AE$81/1000</f>
        <v>486270</v>
      </c>
      <c r="AD88" s="255">
        <f>'[1]Jet Fuel'!AF$81/1000</f>
        <v>496670</v>
      </c>
      <c r="AE88" s="255">
        <f>'[1]Jet Fuel'!AG$81/1000</f>
        <v>507370</v>
      </c>
      <c r="AF88" s="255">
        <f>'[1]Jet Fuel'!AH$81/1000</f>
        <v>518365</v>
      </c>
    </row>
    <row r="89" spans="1:37">
      <c r="A89" s="43" t="s">
        <v>61</v>
      </c>
      <c r="C89" s="48" t="e">
        <f>#REF!+#REF!-#REF!</f>
        <v>#REF!</v>
      </c>
      <c r="D89" s="48" t="e">
        <f>#REF!+#REF!-#REF!</f>
        <v>#REF!</v>
      </c>
      <c r="E89" s="49" t="e">
        <f>#REF!+#REF!-#REF!</f>
        <v>#REF!</v>
      </c>
      <c r="F89" s="49" t="e">
        <f>#REF!+#REF!-#REF!</f>
        <v>#REF!</v>
      </c>
      <c r="G89" s="49" t="e">
        <f>#REF!+#REF!-#REF!</f>
        <v>#REF!</v>
      </c>
      <c r="H89" s="49" t="e">
        <f>#REF!+#REF!-#REF!</f>
        <v>#REF!</v>
      </c>
      <c r="I89" s="49" t="e">
        <f>#REF!+#REF!-#REF!</f>
        <v>#REF!</v>
      </c>
      <c r="J89" s="49" t="e">
        <f>#REF!+#REF!-#REF!</f>
        <v>#REF!</v>
      </c>
      <c r="K89" s="49" t="e">
        <f>#REF!+#REF!-#REF!</f>
        <v>#REF!</v>
      </c>
      <c r="L89" s="49" t="e">
        <f>#REF!+#REF!-#REF!</f>
        <v>#REF!</v>
      </c>
      <c r="M89" s="49" t="e">
        <f>#REF!+#REF!-#REF!</f>
        <v>#REF!</v>
      </c>
      <c r="N89" s="49" t="e">
        <f>#REF!+#REF!-#REF!</f>
        <v>#REF!</v>
      </c>
      <c r="O89" s="49" t="e">
        <f>#REF!+#REF!-#REF!</f>
        <v>#REF!</v>
      </c>
      <c r="P89" s="49" t="e">
        <f>#REF!+#REF!-#REF!</f>
        <v>#REF!</v>
      </c>
      <c r="Q89" s="49" t="e">
        <f>#REF!+#REF!-#REF!</f>
        <v>#REF!</v>
      </c>
      <c r="R89" s="49" t="e">
        <f>#REF!+#REF!-#REF!</f>
        <v>#REF!</v>
      </c>
      <c r="S89" s="49" t="e">
        <f>#REF!+#REF!-#REF!</f>
        <v>#REF!</v>
      </c>
      <c r="T89" s="49" t="e">
        <f>#REF!+#REF!-#REF!</f>
        <v>#REF!</v>
      </c>
      <c r="U89" s="49" t="e">
        <f>#REF!+#REF!-#REF!</f>
        <v>#REF!</v>
      </c>
      <c r="V89" s="49" t="e">
        <f>#REF!+#REF!-#REF!</f>
        <v>#REF!</v>
      </c>
      <c r="W89" s="49" t="e">
        <f>#REF!+#REF!-#REF!</f>
        <v>#REF!</v>
      </c>
      <c r="X89" s="49" t="e">
        <f>#REF!+#REF!-#REF!</f>
        <v>#REF!</v>
      </c>
      <c r="Y89" s="49" t="e">
        <f>#REF!+#REF!-#REF!</f>
        <v>#REF!</v>
      </c>
      <c r="Z89" s="49" t="e">
        <f>#REF!+#REF!-#REF!</f>
        <v>#REF!</v>
      </c>
      <c r="AA89" s="49" t="e">
        <f>#REF!+#REF!-#REF!</f>
        <v>#REF!</v>
      </c>
      <c r="AB89" s="49" t="e">
        <f>#REF!+#REF!-#REF!</f>
        <v>#REF!</v>
      </c>
      <c r="AC89" s="49" t="e">
        <f>#REF!+#REF!-#REF!</f>
        <v>#REF!</v>
      </c>
      <c r="AD89" s="49" t="e">
        <f>#REF!+#REF!-#REF!</f>
        <v>#REF!</v>
      </c>
      <c r="AE89" s="49" t="e">
        <f>#REF!+#REF!-#REF!</f>
        <v>#REF!</v>
      </c>
      <c r="AF89" s="49" t="e">
        <f>#REF!+#REF!-#REF!</f>
        <v>#REF!</v>
      </c>
    </row>
    <row r="90" spans="1:37">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row>
    <row r="91" spans="1:37" ht="15.75" thickBot="1">
      <c r="A91" s="57" t="s">
        <v>459</v>
      </c>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row>
    <row r="92" spans="1:37" ht="15.75" thickBot="1">
      <c r="A92" s="58" t="str">
        <f>A22</f>
        <v>(mil gal/yr)</v>
      </c>
      <c r="B92" s="59" t="str">
        <f>B22</f>
        <v>&lt; 2021</v>
      </c>
      <c r="C92" s="59">
        <f t="shared" ref="C92:AF92" si="35">C22</f>
        <v>2021</v>
      </c>
      <c r="D92" s="59">
        <f t="shared" si="35"/>
        <v>2022</v>
      </c>
      <c r="E92" s="59">
        <f t="shared" si="35"/>
        <v>2023</v>
      </c>
      <c r="F92" s="59">
        <f t="shared" si="35"/>
        <v>2024</v>
      </c>
      <c r="G92" s="59">
        <f t="shared" si="35"/>
        <v>2025</v>
      </c>
      <c r="H92" s="59">
        <f t="shared" si="35"/>
        <v>2026</v>
      </c>
      <c r="I92" s="59">
        <f t="shared" si="35"/>
        <v>2027</v>
      </c>
      <c r="J92" s="59">
        <f t="shared" si="35"/>
        <v>2028</v>
      </c>
      <c r="K92" s="59">
        <f t="shared" si="35"/>
        <v>2029</v>
      </c>
      <c r="L92" s="59">
        <f t="shared" si="35"/>
        <v>2030</v>
      </c>
      <c r="M92" s="59">
        <f t="shared" si="35"/>
        <v>2031</v>
      </c>
      <c r="N92" s="59">
        <f t="shared" si="35"/>
        <v>2032</v>
      </c>
      <c r="O92" s="59">
        <f t="shared" si="35"/>
        <v>2033</v>
      </c>
      <c r="P92" s="59">
        <f t="shared" si="35"/>
        <v>2034</v>
      </c>
      <c r="Q92" s="59">
        <f t="shared" si="35"/>
        <v>2035</v>
      </c>
      <c r="R92" s="59">
        <f t="shared" si="35"/>
        <v>2036</v>
      </c>
      <c r="S92" s="59">
        <f t="shared" si="35"/>
        <v>2037</v>
      </c>
      <c r="T92" s="59">
        <f t="shared" si="35"/>
        <v>2038</v>
      </c>
      <c r="U92" s="59">
        <f t="shared" si="35"/>
        <v>2039</v>
      </c>
      <c r="V92" s="59">
        <f t="shared" si="35"/>
        <v>2040</v>
      </c>
      <c r="W92" s="59">
        <f t="shared" si="35"/>
        <v>2041</v>
      </c>
      <c r="X92" s="59">
        <f t="shared" si="35"/>
        <v>2042</v>
      </c>
      <c r="Y92" s="59">
        <f t="shared" si="35"/>
        <v>2043</v>
      </c>
      <c r="Z92" s="59">
        <f t="shared" si="35"/>
        <v>2044</v>
      </c>
      <c r="AA92" s="59">
        <f t="shared" si="35"/>
        <v>2045</v>
      </c>
      <c r="AB92" s="59">
        <f t="shared" si="35"/>
        <v>2046</v>
      </c>
      <c r="AC92" s="59">
        <f t="shared" si="35"/>
        <v>2047</v>
      </c>
      <c r="AD92" s="59">
        <f t="shared" si="35"/>
        <v>2048</v>
      </c>
      <c r="AE92" s="59">
        <f t="shared" si="35"/>
        <v>2049</v>
      </c>
      <c r="AF92" s="59">
        <f t="shared" si="35"/>
        <v>2050</v>
      </c>
      <c r="AG92" s="59">
        <v>2050</v>
      </c>
      <c r="AH92" s="56"/>
      <c r="AI92" s="60" t="s">
        <v>63</v>
      </c>
      <c r="AJ92" s="61"/>
      <c r="AK92" s="61"/>
    </row>
    <row r="93" spans="1:37">
      <c r="A93" s="393" t="s">
        <v>64</v>
      </c>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135"/>
      <c r="AH93" s="56"/>
      <c r="AI93" s="62" t="s">
        <v>65</v>
      </c>
      <c r="AJ93" s="63"/>
      <c r="AK93" s="63"/>
    </row>
    <row r="94" spans="1:37">
      <c r="A94" s="64" t="s">
        <v>66</v>
      </c>
      <c r="B94" s="65"/>
      <c r="C94" s="65"/>
      <c r="D94" s="65"/>
      <c r="E94" s="65"/>
      <c r="F94" s="65"/>
      <c r="G94" s="65"/>
      <c r="H94" s="65"/>
      <c r="I94" s="65"/>
      <c r="J94" s="65"/>
      <c r="K94" s="65"/>
      <c r="L94" s="66">
        <v>3000</v>
      </c>
      <c r="M94" s="65"/>
      <c r="N94" s="65"/>
      <c r="O94" s="65"/>
      <c r="P94" s="65"/>
      <c r="Q94" s="65"/>
      <c r="R94" s="65"/>
      <c r="S94" s="65"/>
      <c r="T94" s="65"/>
      <c r="U94" s="65"/>
      <c r="V94" s="65"/>
      <c r="W94" s="65"/>
      <c r="X94" s="65"/>
      <c r="Y94" s="65"/>
      <c r="Z94" s="65"/>
      <c r="AA94" s="65"/>
      <c r="AB94" s="65"/>
      <c r="AC94" s="65"/>
      <c r="AD94" s="65"/>
      <c r="AE94" s="65"/>
      <c r="AF94" s="66">
        <v>35000</v>
      </c>
      <c r="AG94" s="66">
        <v>35000</v>
      </c>
      <c r="AH94" s="56"/>
      <c r="AI94" s="386" t="s">
        <v>67</v>
      </c>
      <c r="AJ94" s="386"/>
      <c r="AK94" s="386"/>
    </row>
    <row r="95" spans="1:37">
      <c r="A95" s="394" t="s">
        <v>68</v>
      </c>
      <c r="B95" s="394"/>
      <c r="C95" s="394"/>
      <c r="D95" s="394"/>
      <c r="E95" s="394"/>
      <c r="F95" s="394"/>
      <c r="G95" s="394"/>
      <c r="H95" s="394"/>
      <c r="I95" s="394"/>
      <c r="J95" s="394"/>
      <c r="K95" s="394"/>
      <c r="L95" s="394"/>
      <c r="M95" s="394"/>
      <c r="N95" s="394"/>
      <c r="O95" s="394"/>
      <c r="P95" s="394"/>
      <c r="Q95" s="394"/>
      <c r="R95" s="394"/>
      <c r="S95" s="394"/>
      <c r="T95" s="394"/>
      <c r="U95" s="394"/>
      <c r="V95" s="394"/>
      <c r="W95" s="394"/>
      <c r="X95" s="394"/>
      <c r="Y95" s="394"/>
      <c r="Z95" s="394"/>
      <c r="AA95" s="394"/>
      <c r="AB95" s="394"/>
      <c r="AC95" s="394"/>
      <c r="AD95" s="394"/>
      <c r="AE95" s="394"/>
      <c r="AF95" s="394"/>
      <c r="AG95" s="136"/>
      <c r="AH95" s="56"/>
      <c r="AI95" s="386"/>
      <c r="AJ95" s="386"/>
      <c r="AK95" s="386"/>
    </row>
    <row r="96" spans="1:37" ht="18" customHeight="1">
      <c r="A96" s="64" t="s">
        <v>69</v>
      </c>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56"/>
      <c r="AI96" s="62" t="s">
        <v>70</v>
      </c>
      <c r="AJ96" s="67"/>
      <c r="AK96" s="67"/>
    </row>
    <row r="97" spans="1:37" ht="15" customHeight="1">
      <c r="A97" s="64" t="s">
        <v>71</v>
      </c>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56"/>
      <c r="AH97" s="56"/>
      <c r="AI97" s="386" t="s">
        <v>72</v>
      </c>
      <c r="AJ97" s="386"/>
      <c r="AK97" s="386"/>
    </row>
    <row r="98" spans="1:37">
      <c r="A98" s="64" t="s">
        <v>73</v>
      </c>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56"/>
      <c r="AH98" s="56"/>
      <c r="AI98" s="386"/>
      <c r="AJ98" s="386"/>
      <c r="AK98" s="386"/>
    </row>
    <row r="99" spans="1:37">
      <c r="A99" s="387" t="s">
        <v>74</v>
      </c>
      <c r="B99" s="387"/>
      <c r="C99" s="387"/>
      <c r="D99" s="387"/>
      <c r="E99" s="387"/>
      <c r="F99" s="387"/>
      <c r="G99" s="387"/>
      <c r="H99" s="387"/>
      <c r="I99" s="387"/>
      <c r="J99" s="387"/>
      <c r="K99" s="387"/>
      <c r="L99" s="387"/>
      <c r="M99" s="387"/>
      <c r="N99" s="387"/>
      <c r="O99" s="387"/>
      <c r="P99" s="387"/>
      <c r="Q99" s="387"/>
      <c r="R99" s="387"/>
      <c r="S99" s="387"/>
      <c r="T99" s="387"/>
      <c r="U99" s="387"/>
      <c r="V99" s="387"/>
      <c r="W99" s="387"/>
      <c r="X99" s="387"/>
      <c r="Y99" s="387"/>
      <c r="Z99" s="387"/>
      <c r="AA99" s="387"/>
      <c r="AB99" s="387"/>
      <c r="AC99" s="387"/>
      <c r="AD99" s="387"/>
      <c r="AE99" s="387"/>
      <c r="AF99" s="387"/>
      <c r="AG99" s="56"/>
      <c r="AH99" s="56"/>
      <c r="AI99" s="386"/>
      <c r="AJ99" s="386"/>
      <c r="AK99" s="386"/>
    </row>
    <row r="100" spans="1:37">
      <c r="A100" s="64" t="s">
        <v>75</v>
      </c>
      <c r="B100" s="65"/>
      <c r="C100" s="65"/>
      <c r="D100" s="65"/>
      <c r="E100" s="65"/>
      <c r="F100" s="65"/>
      <c r="G100" s="65"/>
      <c r="H100" s="65"/>
      <c r="I100" s="65"/>
      <c r="J100" s="65"/>
      <c r="K100" s="65"/>
      <c r="L100" s="68">
        <f>MROUND(1000/3.78541,5)</f>
        <v>265</v>
      </c>
      <c r="M100" s="65"/>
      <c r="N100" s="65"/>
      <c r="O100" s="65"/>
      <c r="P100" s="65"/>
      <c r="Q100" s="65"/>
      <c r="R100" s="65"/>
      <c r="S100" s="65"/>
      <c r="T100" s="65"/>
      <c r="U100" s="65"/>
      <c r="V100" s="65"/>
      <c r="W100" s="65"/>
      <c r="X100" s="65"/>
      <c r="Y100" s="65"/>
      <c r="Z100" s="65"/>
      <c r="AA100" s="65"/>
      <c r="AB100" s="65"/>
      <c r="AC100" s="65"/>
      <c r="AD100" s="65"/>
      <c r="AE100" s="65"/>
      <c r="AF100" s="68">
        <f>MROUND(8000/3.78541,5)</f>
        <v>2115</v>
      </c>
      <c r="AG100" s="56"/>
      <c r="AH100" s="56"/>
      <c r="AI100" s="67"/>
      <c r="AJ100" s="67"/>
      <c r="AK100" s="67"/>
    </row>
    <row r="101" spans="1:37">
      <c r="A101" s="388" t="s">
        <v>76</v>
      </c>
      <c r="B101" s="388"/>
      <c r="C101" s="388"/>
      <c r="D101" s="388"/>
      <c r="E101" s="388"/>
      <c r="F101" s="388"/>
      <c r="G101" s="388"/>
      <c r="H101" s="388"/>
      <c r="I101" s="388"/>
      <c r="J101" s="388"/>
      <c r="K101" s="388"/>
      <c r="L101" s="388"/>
      <c r="M101" s="388"/>
      <c r="N101" s="388"/>
      <c r="O101" s="388"/>
      <c r="P101" s="388"/>
      <c r="Q101" s="388"/>
      <c r="R101" s="388"/>
      <c r="S101" s="388"/>
      <c r="T101" s="388"/>
      <c r="U101" s="388"/>
      <c r="V101" s="388"/>
      <c r="W101" s="388"/>
      <c r="X101" s="388"/>
      <c r="Y101" s="388"/>
      <c r="Z101" s="388"/>
      <c r="AA101" s="388"/>
      <c r="AB101" s="388"/>
      <c r="AC101" s="388"/>
      <c r="AD101" s="388"/>
      <c r="AE101" s="388"/>
      <c r="AF101" s="388"/>
      <c r="AG101" s="56"/>
      <c r="AH101" s="56"/>
      <c r="AI101" s="67"/>
      <c r="AJ101" s="67"/>
      <c r="AK101" s="67"/>
    </row>
    <row r="102" spans="1:37">
      <c r="A102" s="64" t="s">
        <v>77</v>
      </c>
      <c r="B102" s="65"/>
      <c r="C102" s="65"/>
      <c r="D102" s="65"/>
      <c r="E102" s="65"/>
      <c r="F102" s="65"/>
      <c r="G102" s="65"/>
      <c r="H102" s="65"/>
      <c r="I102" s="65"/>
      <c r="J102" s="65"/>
      <c r="K102" s="65"/>
      <c r="L102" s="68"/>
      <c r="M102" s="65"/>
      <c r="N102" s="65"/>
      <c r="O102" s="65"/>
      <c r="P102" s="65"/>
      <c r="Q102" s="65"/>
      <c r="R102" s="65"/>
      <c r="S102" s="65"/>
      <c r="T102" s="65"/>
      <c r="U102" s="65"/>
      <c r="V102" s="65"/>
      <c r="W102" s="65"/>
      <c r="X102" s="65"/>
      <c r="Y102" s="65"/>
      <c r="Z102" s="65"/>
      <c r="AA102" s="65"/>
      <c r="AB102" s="65"/>
      <c r="AC102" s="65"/>
      <c r="AD102" s="65"/>
      <c r="AE102" s="65"/>
      <c r="AF102" s="65"/>
      <c r="AG102" s="56"/>
      <c r="AH102" s="56"/>
      <c r="AI102" s="67"/>
      <c r="AJ102" s="67"/>
      <c r="AK102" s="67"/>
    </row>
    <row r="103" spans="1:37">
      <c r="A103" s="388" t="s">
        <v>78</v>
      </c>
      <c r="B103" s="388"/>
      <c r="C103" s="388"/>
      <c r="D103" s="388"/>
      <c r="E103" s="388"/>
      <c r="F103" s="388"/>
      <c r="G103" s="388"/>
      <c r="H103" s="388"/>
      <c r="I103" s="388"/>
      <c r="J103" s="388"/>
      <c r="K103" s="388"/>
      <c r="L103" s="388"/>
      <c r="M103" s="388"/>
      <c r="N103" s="388"/>
      <c r="O103" s="388"/>
      <c r="P103" s="388"/>
      <c r="Q103" s="388"/>
      <c r="R103" s="388"/>
      <c r="S103" s="388"/>
      <c r="T103" s="388"/>
      <c r="U103" s="388"/>
      <c r="V103" s="388"/>
      <c r="W103" s="388"/>
      <c r="X103" s="388"/>
      <c r="Y103" s="388"/>
      <c r="Z103" s="388"/>
      <c r="AA103" s="388"/>
      <c r="AB103" s="388"/>
      <c r="AC103" s="388"/>
      <c r="AD103" s="388"/>
      <c r="AE103" s="388"/>
      <c r="AF103" s="388"/>
      <c r="AG103" s="56"/>
      <c r="AH103" s="56"/>
      <c r="AI103" s="67"/>
      <c r="AJ103" s="67"/>
      <c r="AK103" s="67"/>
    </row>
    <row r="104" spans="1:37">
      <c r="A104" s="64" t="s">
        <v>66</v>
      </c>
      <c r="B104" s="65"/>
      <c r="C104" s="65"/>
      <c r="D104" s="65"/>
      <c r="E104" s="65"/>
      <c r="F104" s="65"/>
      <c r="G104" s="65"/>
      <c r="H104" s="65"/>
      <c r="I104" s="65"/>
      <c r="J104" s="65"/>
      <c r="K104" s="65"/>
      <c r="L104" s="68"/>
      <c r="M104" s="65"/>
      <c r="N104" s="65"/>
      <c r="O104" s="65"/>
      <c r="P104" s="65"/>
      <c r="Q104" s="65"/>
      <c r="R104" s="65"/>
      <c r="S104" s="65"/>
      <c r="T104" s="65"/>
      <c r="U104" s="65"/>
      <c r="V104" s="65"/>
      <c r="W104" s="65"/>
      <c r="X104" s="65"/>
      <c r="Y104" s="65"/>
      <c r="Z104" s="65"/>
      <c r="AA104" s="65"/>
      <c r="AB104" s="65"/>
      <c r="AC104" s="65"/>
      <c r="AD104" s="65"/>
      <c r="AE104" s="65"/>
      <c r="AF104" s="65"/>
      <c r="AG104" s="56"/>
      <c r="AH104" s="56"/>
      <c r="AI104" s="67"/>
      <c r="AJ104" s="67"/>
      <c r="AK104" s="67"/>
    </row>
    <row r="105" spans="1:37" ht="15.75" thickBot="1">
      <c r="A105" s="69" t="s">
        <v>79</v>
      </c>
      <c r="B105" s="70">
        <f>SUM(B100,B96:B98,B94)</f>
        <v>0</v>
      </c>
      <c r="C105" s="70">
        <f t="shared" ref="C105:AF105" si="36">SUM(C100,C96:C98,C94)</f>
        <v>0</v>
      </c>
      <c r="D105" s="70">
        <f t="shared" si="36"/>
        <v>0</v>
      </c>
      <c r="E105" s="70">
        <f t="shared" si="36"/>
        <v>0</v>
      </c>
      <c r="F105" s="70">
        <f t="shared" si="36"/>
        <v>0</v>
      </c>
      <c r="G105" s="70">
        <f t="shared" si="36"/>
        <v>0</v>
      </c>
      <c r="H105" s="70">
        <f t="shared" si="36"/>
        <v>0</v>
      </c>
      <c r="I105" s="70">
        <f t="shared" si="36"/>
        <v>0</v>
      </c>
      <c r="J105" s="70">
        <f t="shared" si="36"/>
        <v>0</v>
      </c>
      <c r="K105" s="70">
        <f t="shared" si="36"/>
        <v>0</v>
      </c>
      <c r="L105" s="70">
        <f t="shared" si="36"/>
        <v>3265</v>
      </c>
      <c r="M105" s="70">
        <f t="shared" si="36"/>
        <v>0</v>
      </c>
      <c r="N105" s="70">
        <f t="shared" si="36"/>
        <v>0</v>
      </c>
      <c r="O105" s="70">
        <f t="shared" si="36"/>
        <v>0</v>
      </c>
      <c r="P105" s="70">
        <f t="shared" si="36"/>
        <v>0</v>
      </c>
      <c r="Q105" s="70">
        <f t="shared" si="36"/>
        <v>0</v>
      </c>
      <c r="R105" s="70"/>
      <c r="S105" s="70"/>
      <c r="T105" s="70"/>
      <c r="U105" s="70"/>
      <c r="V105" s="70"/>
      <c r="W105" s="70"/>
      <c r="X105" s="70"/>
      <c r="Y105" s="70"/>
      <c r="Z105" s="70"/>
      <c r="AA105" s="70"/>
      <c r="AB105" s="70"/>
      <c r="AC105" s="70"/>
      <c r="AD105" s="70"/>
      <c r="AE105" s="70"/>
      <c r="AF105" s="70">
        <f t="shared" si="36"/>
        <v>37115</v>
      </c>
      <c r="AG105" s="56"/>
      <c r="AH105" s="56"/>
      <c r="AI105" s="67"/>
      <c r="AJ105" s="67"/>
      <c r="AK105" s="67"/>
    </row>
    <row r="106" spans="1:37">
      <c r="A106" s="71" t="s">
        <v>80</v>
      </c>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56"/>
      <c r="AH106" s="56"/>
      <c r="AI106" s="56"/>
      <c r="AJ106" s="56"/>
      <c r="AK106" s="56"/>
    </row>
    <row r="107" spans="1:37">
      <c r="A107" s="73" t="s">
        <v>81</v>
      </c>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row>
    <row r="108" spans="1:37">
      <c r="A108" s="73" t="s">
        <v>82</v>
      </c>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row>
    <row r="109" spans="1:37">
      <c r="A109" s="73" t="s">
        <v>83</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row>
    <row r="112" spans="1:37">
      <c r="A112" s="74" t="s">
        <v>84</v>
      </c>
    </row>
    <row r="114" spans="1:1">
      <c r="A114" s="20" t="s">
        <v>85</v>
      </c>
    </row>
    <row r="115" spans="1:1">
      <c r="A115" s="20" t="s">
        <v>86</v>
      </c>
    </row>
    <row r="116" spans="1:1">
      <c r="A116" s="20" t="s">
        <v>87</v>
      </c>
    </row>
    <row r="117" spans="1:1">
      <c r="A117" s="20" t="s">
        <v>88</v>
      </c>
    </row>
    <row r="118" spans="1:1">
      <c r="A118" s="20" t="s">
        <v>89</v>
      </c>
    </row>
    <row r="119" spans="1:1">
      <c r="A119" s="20" t="s">
        <v>90</v>
      </c>
    </row>
  </sheetData>
  <mergeCells count="10">
    <mergeCell ref="AI97:AK99"/>
    <mergeCell ref="A99:AF99"/>
    <mergeCell ref="A101:AF101"/>
    <mergeCell ref="A103:AF103"/>
    <mergeCell ref="AI42:AI49"/>
    <mergeCell ref="AH69:AI70"/>
    <mergeCell ref="AJ69:AJ70"/>
    <mergeCell ref="A93:AF93"/>
    <mergeCell ref="AI94:AK95"/>
    <mergeCell ref="A95:AF9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1CFBE-93AC-46F3-A41E-7D78C32C60D1}">
  <dimension ref="A1:X17"/>
  <sheetViews>
    <sheetView zoomScaleNormal="85" workbookViewId="0">
      <pane xSplit="1" ySplit="2" topLeftCell="E3" activePane="bottomRight" state="frozen"/>
      <selection activeCell="Z25" sqref="Z25"/>
      <selection pane="topRight" activeCell="Z25" sqref="Z25"/>
      <selection pane="bottomLeft" activeCell="Z25" sqref="Z25"/>
      <selection pane="bottomRight" activeCell="Z25" sqref="Z25"/>
    </sheetView>
  </sheetViews>
  <sheetFormatPr defaultColWidth="9.140625" defaultRowHeight="15.75"/>
  <cols>
    <col min="1" max="1" width="29.28515625" style="130" customWidth="1"/>
    <col min="2" max="2" width="21.7109375" style="130" bestFit="1" customWidth="1"/>
    <col min="3" max="3" width="10.7109375" style="130" customWidth="1"/>
    <col min="4" max="4" width="30.7109375" style="130" customWidth="1"/>
    <col min="5" max="5" width="44" style="131" customWidth="1"/>
    <col min="6" max="7" width="14.42578125" style="130" customWidth="1"/>
    <col min="8" max="8" width="22.42578125" style="130" customWidth="1"/>
    <col min="9" max="9" width="10" style="130" customWidth="1"/>
    <col min="10" max="10" width="15.140625" style="130" customWidth="1"/>
    <col min="11" max="12" width="15.140625" style="91" customWidth="1"/>
    <col min="13" max="20" width="11" style="91" customWidth="1"/>
    <col min="21" max="21" width="15.28515625" style="91" customWidth="1"/>
    <col min="22" max="22" width="11.28515625" style="91" bestFit="1" customWidth="1"/>
    <col min="23" max="23" width="9.140625" style="91"/>
    <col min="24" max="24" width="19" style="91" customWidth="1"/>
    <col min="25" max="16384" width="9.140625" style="91"/>
  </cols>
  <sheetData>
    <row r="1" spans="1:24" s="77" customFormat="1">
      <c r="A1" s="76"/>
      <c r="B1" s="395" t="s">
        <v>91</v>
      </c>
      <c r="C1" s="395"/>
      <c r="D1" s="395" t="s">
        <v>92</v>
      </c>
      <c r="E1" s="395"/>
      <c r="F1" s="76"/>
      <c r="G1" s="76"/>
      <c r="H1" s="395" t="s">
        <v>94</v>
      </c>
      <c r="I1" s="395"/>
      <c r="J1" s="76"/>
    </row>
    <row r="2" spans="1:24" s="79" customFormat="1" ht="75">
      <c r="A2" s="79" t="s">
        <v>95</v>
      </c>
      <c r="B2" s="79" t="s">
        <v>96</v>
      </c>
      <c r="C2" s="79" t="s">
        <v>97</v>
      </c>
      <c r="D2" s="79" t="s">
        <v>98</v>
      </c>
      <c r="E2" s="79" t="s">
        <v>99</v>
      </c>
      <c r="F2" s="79" t="s">
        <v>100</v>
      </c>
      <c r="G2" s="137" t="s">
        <v>101</v>
      </c>
      <c r="H2" s="79" t="s">
        <v>102</v>
      </c>
      <c r="I2" s="137" t="s">
        <v>103</v>
      </c>
      <c r="J2" s="79" t="s">
        <v>104</v>
      </c>
      <c r="K2" s="137" t="s">
        <v>105</v>
      </c>
      <c r="L2" s="79" t="s">
        <v>106</v>
      </c>
      <c r="M2" s="137" t="s">
        <v>107</v>
      </c>
      <c r="N2" s="137" t="s">
        <v>108</v>
      </c>
      <c r="O2" s="137" t="s">
        <v>109</v>
      </c>
      <c r="P2" s="137" t="s">
        <v>110</v>
      </c>
      <c r="Q2" s="137" t="s">
        <v>111</v>
      </c>
      <c r="R2" s="137" t="s">
        <v>112</v>
      </c>
      <c r="S2" s="137" t="s">
        <v>113</v>
      </c>
      <c r="T2" s="137" t="s">
        <v>114</v>
      </c>
      <c r="U2" s="79" t="s">
        <v>115</v>
      </c>
      <c r="V2" s="79" t="s">
        <v>116</v>
      </c>
      <c r="W2" s="79" t="s">
        <v>460</v>
      </c>
      <c r="X2" s="79" t="s">
        <v>118</v>
      </c>
    </row>
    <row r="3" spans="1:24" ht="45">
      <c r="A3" s="81" t="s">
        <v>461</v>
      </c>
      <c r="B3" s="81" t="s">
        <v>462</v>
      </c>
      <c r="C3" s="81" t="s">
        <v>463</v>
      </c>
      <c r="D3" s="121" t="s">
        <v>464</v>
      </c>
      <c r="E3" s="138" t="s">
        <v>465</v>
      </c>
      <c r="F3" s="139">
        <v>2027</v>
      </c>
      <c r="G3" s="140"/>
      <c r="H3" s="139" t="s">
        <v>466</v>
      </c>
      <c r="I3" s="141">
        <v>0.75</v>
      </c>
      <c r="J3" s="142">
        <v>164</v>
      </c>
      <c r="K3" s="143"/>
      <c r="L3" s="144">
        <v>472000</v>
      </c>
      <c r="M3" s="145">
        <f>$J3/2</f>
        <v>82</v>
      </c>
      <c r="N3" s="145">
        <f>$J3/2</f>
        <v>82</v>
      </c>
      <c r="O3" s="145">
        <f>$K3/2</f>
        <v>0</v>
      </c>
      <c r="P3" s="145">
        <f>$K3/2</f>
        <v>0</v>
      </c>
      <c r="Q3" s="145">
        <f>M3*$I3</f>
        <v>61.5</v>
      </c>
      <c r="R3" s="145">
        <f t="shared" ref="R3:T15" si="0">N3*$I3</f>
        <v>61.5</v>
      </c>
      <c r="S3" s="145">
        <f t="shared" si="0"/>
        <v>0</v>
      </c>
      <c r="T3" s="145">
        <f t="shared" si="0"/>
        <v>0</v>
      </c>
      <c r="U3" s="139" t="s">
        <v>5</v>
      </c>
      <c r="V3" s="89" t="s">
        <v>26</v>
      </c>
      <c r="W3" s="146"/>
    </row>
    <row r="4" spans="1:24" ht="54">
      <c r="A4" s="81" t="s">
        <v>467</v>
      </c>
      <c r="B4" s="81" t="s">
        <v>468</v>
      </c>
      <c r="C4" s="81" t="s">
        <v>463</v>
      </c>
      <c r="D4" s="121" t="s">
        <v>469</v>
      </c>
      <c r="E4" s="138" t="s">
        <v>470</v>
      </c>
      <c r="F4" s="139">
        <v>2026</v>
      </c>
      <c r="G4" s="140"/>
      <c r="H4" s="139" t="s">
        <v>133</v>
      </c>
      <c r="I4" s="141">
        <v>0.75</v>
      </c>
      <c r="J4" s="142">
        <v>132</v>
      </c>
      <c r="K4" s="143"/>
      <c r="L4" s="144">
        <v>400000</v>
      </c>
      <c r="M4" s="145">
        <f t="shared" ref="M4:N13" si="1">$J4/2</f>
        <v>66</v>
      </c>
      <c r="N4" s="145">
        <f t="shared" si="1"/>
        <v>66</v>
      </c>
      <c r="O4" s="145">
        <f t="shared" ref="O4:P15" si="2">$K4/2</f>
        <v>0</v>
      </c>
      <c r="P4" s="145">
        <f t="shared" si="2"/>
        <v>0</v>
      </c>
      <c r="Q4" s="145">
        <f t="shared" ref="Q4:Q15" si="3">M4*$I4</f>
        <v>49.5</v>
      </c>
      <c r="R4" s="145">
        <f t="shared" si="0"/>
        <v>49.5</v>
      </c>
      <c r="S4" s="145">
        <f t="shared" si="0"/>
        <v>0</v>
      </c>
      <c r="T4" s="145">
        <f t="shared" si="0"/>
        <v>0</v>
      </c>
      <c r="U4" s="139" t="s">
        <v>5</v>
      </c>
      <c r="V4" s="89" t="s">
        <v>26</v>
      </c>
      <c r="W4" s="146"/>
    </row>
    <row r="5" spans="1:24" ht="67.5">
      <c r="A5" s="81" t="s">
        <v>471</v>
      </c>
      <c r="B5" s="81" t="s">
        <v>472</v>
      </c>
      <c r="C5" s="81" t="s">
        <v>463</v>
      </c>
      <c r="D5" s="121" t="s">
        <v>473</v>
      </c>
      <c r="E5" s="138" t="s">
        <v>474</v>
      </c>
      <c r="F5" s="139">
        <v>2029</v>
      </c>
      <c r="G5" s="140"/>
      <c r="H5" s="139" t="s">
        <v>188</v>
      </c>
      <c r="I5" s="141">
        <v>0.55000000000000004</v>
      </c>
      <c r="J5" s="142">
        <v>91</v>
      </c>
      <c r="K5" s="143"/>
      <c r="L5" s="144">
        <v>265000</v>
      </c>
      <c r="M5" s="145">
        <f t="shared" si="1"/>
        <v>45.5</v>
      </c>
      <c r="N5" s="145">
        <f t="shared" si="1"/>
        <v>45.5</v>
      </c>
      <c r="O5" s="145">
        <f t="shared" si="2"/>
        <v>0</v>
      </c>
      <c r="P5" s="145">
        <f t="shared" si="2"/>
        <v>0</v>
      </c>
      <c r="Q5" s="145">
        <f t="shared" si="3"/>
        <v>25.025000000000002</v>
      </c>
      <c r="R5" s="145">
        <f t="shared" si="0"/>
        <v>25.025000000000002</v>
      </c>
      <c r="S5" s="145">
        <f t="shared" si="0"/>
        <v>0</v>
      </c>
      <c r="T5" s="145">
        <f t="shared" si="0"/>
        <v>0</v>
      </c>
      <c r="U5" s="139" t="s">
        <v>5</v>
      </c>
      <c r="V5" s="89" t="s">
        <v>26</v>
      </c>
      <c r="W5" s="146"/>
    </row>
    <row r="6" spans="1:24" ht="67.5">
      <c r="A6" s="81" t="s">
        <v>475</v>
      </c>
      <c r="B6" s="81" t="s">
        <v>476</v>
      </c>
      <c r="C6" s="81" t="s">
        <v>463</v>
      </c>
      <c r="D6" s="121" t="s">
        <v>477</v>
      </c>
      <c r="E6" s="138" t="s">
        <v>478</v>
      </c>
      <c r="F6" s="139">
        <v>2025</v>
      </c>
      <c r="G6" s="140"/>
      <c r="H6" s="139" t="s">
        <v>188</v>
      </c>
      <c r="I6" s="141">
        <v>0.75</v>
      </c>
      <c r="J6" s="142">
        <v>7.1999999999999995E-2</v>
      </c>
      <c r="K6" s="143"/>
      <c r="L6" s="147">
        <v>219</v>
      </c>
      <c r="M6" s="145">
        <v>0</v>
      </c>
      <c r="N6" s="145">
        <f>$J6</f>
        <v>7.1999999999999995E-2</v>
      </c>
      <c r="O6" s="145">
        <f t="shared" si="2"/>
        <v>0</v>
      </c>
      <c r="P6" s="145">
        <f t="shared" si="2"/>
        <v>0</v>
      </c>
      <c r="Q6" s="145">
        <f t="shared" si="3"/>
        <v>0</v>
      </c>
      <c r="R6" s="145">
        <f t="shared" si="0"/>
        <v>5.3999999999999992E-2</v>
      </c>
      <c r="S6" s="145">
        <f t="shared" si="0"/>
        <v>0</v>
      </c>
      <c r="T6" s="145">
        <f t="shared" si="0"/>
        <v>0</v>
      </c>
      <c r="U6" s="139" t="s">
        <v>7</v>
      </c>
      <c r="V6" s="89" t="s">
        <v>28</v>
      </c>
      <c r="W6" s="146"/>
    </row>
    <row r="7" spans="1:24" ht="67.5">
      <c r="A7" s="81" t="s">
        <v>479</v>
      </c>
      <c r="B7" s="81" t="s">
        <v>480</v>
      </c>
      <c r="C7" s="81" t="s">
        <v>463</v>
      </c>
      <c r="D7" s="121" t="s">
        <v>481</v>
      </c>
      <c r="E7" s="138" t="s">
        <v>482</v>
      </c>
      <c r="F7" s="139">
        <v>2028</v>
      </c>
      <c r="G7" s="140"/>
      <c r="H7" s="139" t="s">
        <v>188</v>
      </c>
      <c r="I7" s="141">
        <v>0.55000000000000004</v>
      </c>
      <c r="J7" s="142">
        <f>16000*42*365/1000000</f>
        <v>245.28</v>
      </c>
      <c r="K7" s="143"/>
      <c r="L7" s="144">
        <v>741860</v>
      </c>
      <c r="M7" s="145">
        <f t="shared" si="1"/>
        <v>122.64</v>
      </c>
      <c r="N7" s="145">
        <f t="shared" si="1"/>
        <v>122.64</v>
      </c>
      <c r="O7" s="145">
        <f t="shared" si="2"/>
        <v>0</v>
      </c>
      <c r="P7" s="145">
        <f t="shared" si="2"/>
        <v>0</v>
      </c>
      <c r="Q7" s="145">
        <f t="shared" si="3"/>
        <v>67.452000000000012</v>
      </c>
      <c r="R7" s="145">
        <f t="shared" si="0"/>
        <v>67.452000000000012</v>
      </c>
      <c r="S7" s="145">
        <f t="shared" si="0"/>
        <v>0</v>
      </c>
      <c r="T7" s="145">
        <f t="shared" si="0"/>
        <v>0</v>
      </c>
      <c r="U7" s="139" t="s">
        <v>5</v>
      </c>
      <c r="V7" s="89" t="s">
        <v>26</v>
      </c>
      <c r="W7" s="146"/>
    </row>
    <row r="8" spans="1:24" ht="33.75">
      <c r="A8" s="81" t="s">
        <v>483</v>
      </c>
      <c r="B8" s="81" t="s">
        <v>484</v>
      </c>
      <c r="C8" s="81" t="s">
        <v>485</v>
      </c>
      <c r="D8" s="121" t="s">
        <v>486</v>
      </c>
      <c r="E8" s="139" t="s">
        <v>487</v>
      </c>
      <c r="F8" s="148">
        <v>2031</v>
      </c>
      <c r="G8" s="140"/>
      <c r="H8" s="148" t="s">
        <v>488</v>
      </c>
      <c r="I8" s="141">
        <v>0.55000000000000004</v>
      </c>
      <c r="J8" s="149">
        <f>L8*347/1000000</f>
        <v>1.2144999999999999</v>
      </c>
      <c r="K8" s="143"/>
      <c r="L8" s="144">
        <v>3500</v>
      </c>
      <c r="M8" s="145">
        <v>0</v>
      </c>
      <c r="N8" s="145">
        <f>$J8</f>
        <v>1.2144999999999999</v>
      </c>
      <c r="O8" s="145">
        <f t="shared" si="2"/>
        <v>0</v>
      </c>
      <c r="P8" s="145">
        <f t="shared" si="2"/>
        <v>0</v>
      </c>
      <c r="Q8" s="145">
        <f t="shared" si="3"/>
        <v>0</v>
      </c>
      <c r="R8" s="145">
        <f t="shared" si="0"/>
        <v>0.66797499999999999</v>
      </c>
      <c r="S8" s="145">
        <f t="shared" si="0"/>
        <v>0</v>
      </c>
      <c r="T8" s="145">
        <f t="shared" si="0"/>
        <v>0</v>
      </c>
      <c r="U8" s="139" t="s">
        <v>396</v>
      </c>
      <c r="V8" s="89" t="s">
        <v>29</v>
      </c>
      <c r="W8" s="146"/>
    </row>
    <row r="9" spans="1:24" ht="33.75">
      <c r="A9" s="81" t="s">
        <v>489</v>
      </c>
      <c r="B9" s="81" t="s">
        <v>490</v>
      </c>
      <c r="C9" s="81" t="s">
        <v>491</v>
      </c>
      <c r="D9" s="121" t="s">
        <v>492</v>
      </c>
      <c r="E9" s="139" t="s">
        <v>493</v>
      </c>
      <c r="F9" s="139">
        <v>2027</v>
      </c>
      <c r="G9" s="140"/>
      <c r="H9" s="139" t="s">
        <v>494</v>
      </c>
      <c r="I9" s="141">
        <v>0.6</v>
      </c>
      <c r="J9" s="142">
        <v>50</v>
      </c>
      <c r="K9" s="143"/>
      <c r="L9" s="144">
        <v>144000</v>
      </c>
      <c r="M9" s="145">
        <v>0</v>
      </c>
      <c r="N9" s="145">
        <f>$J9</f>
        <v>50</v>
      </c>
      <c r="O9" s="145">
        <f t="shared" si="2"/>
        <v>0</v>
      </c>
      <c r="P9" s="145">
        <f t="shared" si="2"/>
        <v>0</v>
      </c>
      <c r="Q9" s="145">
        <f t="shared" si="3"/>
        <v>0</v>
      </c>
      <c r="R9" s="145">
        <f t="shared" si="0"/>
        <v>30</v>
      </c>
      <c r="S9" s="145">
        <f t="shared" si="0"/>
        <v>0</v>
      </c>
      <c r="T9" s="145">
        <f t="shared" si="0"/>
        <v>0</v>
      </c>
      <c r="U9" s="139" t="s">
        <v>5</v>
      </c>
      <c r="V9" s="89" t="s">
        <v>26</v>
      </c>
      <c r="W9" s="146"/>
    </row>
    <row r="10" spans="1:24" ht="33.75">
      <c r="A10" s="81" t="s">
        <v>495</v>
      </c>
      <c r="B10" s="81" t="s">
        <v>496</v>
      </c>
      <c r="C10" s="81" t="s">
        <v>491</v>
      </c>
      <c r="D10" s="121" t="s">
        <v>497</v>
      </c>
      <c r="E10" s="139" t="s">
        <v>498</v>
      </c>
      <c r="F10" s="139">
        <v>2030</v>
      </c>
      <c r="G10" s="140"/>
      <c r="H10" s="139" t="s">
        <v>188</v>
      </c>
      <c r="I10" s="141">
        <v>0.4</v>
      </c>
      <c r="J10" s="142">
        <f>6000*42*365/1000000</f>
        <v>91.98</v>
      </c>
      <c r="K10" s="143"/>
      <c r="L10" s="144">
        <v>265000</v>
      </c>
      <c r="M10" s="145">
        <v>0</v>
      </c>
      <c r="N10" s="145">
        <f>J10</f>
        <v>91.98</v>
      </c>
      <c r="O10" s="145">
        <f t="shared" si="2"/>
        <v>0</v>
      </c>
      <c r="P10" s="145">
        <f t="shared" si="2"/>
        <v>0</v>
      </c>
      <c r="Q10" s="145">
        <f t="shared" si="3"/>
        <v>0</v>
      </c>
      <c r="R10" s="145">
        <f t="shared" si="0"/>
        <v>36.792000000000002</v>
      </c>
      <c r="S10" s="145">
        <f t="shared" si="0"/>
        <v>0</v>
      </c>
      <c r="T10" s="145">
        <f t="shared" si="0"/>
        <v>0</v>
      </c>
      <c r="U10" s="139" t="s">
        <v>5</v>
      </c>
      <c r="V10" s="89" t="s">
        <v>26</v>
      </c>
      <c r="W10" s="146"/>
    </row>
    <row r="11" spans="1:24" ht="54">
      <c r="A11" s="81" t="s">
        <v>499</v>
      </c>
      <c r="B11" s="81" t="s">
        <v>500</v>
      </c>
      <c r="C11" s="81" t="s">
        <v>491</v>
      </c>
      <c r="D11" s="121" t="s">
        <v>501</v>
      </c>
      <c r="E11" s="138" t="s">
        <v>502</v>
      </c>
      <c r="F11" s="139">
        <v>2028</v>
      </c>
      <c r="G11" s="140"/>
      <c r="H11" s="139" t="s">
        <v>188</v>
      </c>
      <c r="I11" s="141">
        <v>0.6</v>
      </c>
      <c r="J11" s="142">
        <f>450*42*365/1000000</f>
        <v>6.8985000000000003</v>
      </c>
      <c r="K11" s="143"/>
      <c r="L11" s="144">
        <v>20000</v>
      </c>
      <c r="M11" s="145">
        <v>0</v>
      </c>
      <c r="N11" s="145">
        <f>$J11</f>
        <v>6.8985000000000003</v>
      </c>
      <c r="O11" s="145">
        <f t="shared" si="2"/>
        <v>0</v>
      </c>
      <c r="P11" s="145">
        <f t="shared" si="2"/>
        <v>0</v>
      </c>
      <c r="Q11" s="145">
        <f t="shared" si="3"/>
        <v>0</v>
      </c>
      <c r="R11" s="145">
        <f t="shared" si="0"/>
        <v>4.1391</v>
      </c>
      <c r="S11" s="145">
        <f t="shared" si="0"/>
        <v>0</v>
      </c>
      <c r="T11" s="145">
        <f t="shared" si="0"/>
        <v>0</v>
      </c>
      <c r="U11" s="139" t="s">
        <v>503</v>
      </c>
      <c r="V11" s="89" t="s">
        <v>26</v>
      </c>
      <c r="W11" s="146"/>
    </row>
    <row r="12" spans="1:24" ht="101.25">
      <c r="A12" s="81" t="s">
        <v>504</v>
      </c>
      <c r="B12" s="81" t="s">
        <v>505</v>
      </c>
      <c r="C12" s="81" t="s">
        <v>506</v>
      </c>
      <c r="D12" s="121" t="s">
        <v>507</v>
      </c>
      <c r="E12" s="138" t="s">
        <v>508</v>
      </c>
      <c r="F12" s="139">
        <v>2025</v>
      </c>
      <c r="G12" s="140"/>
      <c r="H12" s="139" t="s">
        <v>133</v>
      </c>
      <c r="I12" s="141">
        <v>0.8</v>
      </c>
      <c r="J12" s="142">
        <v>294</v>
      </c>
      <c r="K12" s="143"/>
      <c r="L12" s="144">
        <v>890000</v>
      </c>
      <c r="M12" s="145">
        <f t="shared" si="1"/>
        <v>147</v>
      </c>
      <c r="N12" s="145">
        <f t="shared" si="1"/>
        <v>147</v>
      </c>
      <c r="O12" s="145">
        <f t="shared" si="2"/>
        <v>0</v>
      </c>
      <c r="P12" s="145">
        <f t="shared" si="2"/>
        <v>0</v>
      </c>
      <c r="Q12" s="145">
        <f t="shared" si="3"/>
        <v>117.60000000000001</v>
      </c>
      <c r="R12" s="145">
        <f t="shared" si="0"/>
        <v>117.60000000000001</v>
      </c>
      <c r="S12" s="145">
        <f t="shared" si="0"/>
        <v>0</v>
      </c>
      <c r="T12" s="145">
        <f t="shared" si="0"/>
        <v>0</v>
      </c>
      <c r="U12" s="139" t="s">
        <v>5</v>
      </c>
      <c r="V12" s="89" t="s">
        <v>26</v>
      </c>
      <c r="W12" s="146"/>
    </row>
    <row r="13" spans="1:24" ht="40.5">
      <c r="A13" s="81" t="s">
        <v>509</v>
      </c>
      <c r="B13" s="81"/>
      <c r="C13" s="81" t="s">
        <v>510</v>
      </c>
      <c r="D13" s="121" t="s">
        <v>511</v>
      </c>
      <c r="E13" s="138" t="s">
        <v>512</v>
      </c>
      <c r="F13" s="139">
        <v>2030</v>
      </c>
      <c r="G13" s="140"/>
      <c r="H13" s="139" t="s">
        <v>513</v>
      </c>
      <c r="I13" s="141">
        <v>0.55000000000000004</v>
      </c>
      <c r="J13" s="142">
        <f>L13*347/1000000</f>
        <v>34.700000000000003</v>
      </c>
      <c r="K13" s="143"/>
      <c r="L13" s="144">
        <v>100000</v>
      </c>
      <c r="M13" s="145">
        <f t="shared" si="1"/>
        <v>17.350000000000001</v>
      </c>
      <c r="N13" s="145">
        <f t="shared" si="1"/>
        <v>17.350000000000001</v>
      </c>
      <c r="O13" s="145">
        <f t="shared" si="2"/>
        <v>0</v>
      </c>
      <c r="P13" s="145">
        <f t="shared" si="2"/>
        <v>0</v>
      </c>
      <c r="Q13" s="145">
        <f t="shared" si="3"/>
        <v>9.5425000000000022</v>
      </c>
      <c r="R13" s="145">
        <f t="shared" si="0"/>
        <v>9.5425000000000022</v>
      </c>
      <c r="S13" s="145">
        <f t="shared" si="0"/>
        <v>0</v>
      </c>
      <c r="T13" s="145">
        <f t="shared" si="0"/>
        <v>0</v>
      </c>
      <c r="U13" s="139" t="s">
        <v>5</v>
      </c>
      <c r="V13" s="89" t="s">
        <v>26</v>
      </c>
      <c r="W13" s="146"/>
    </row>
    <row r="14" spans="1:24" ht="67.5">
      <c r="A14" s="81" t="s">
        <v>514</v>
      </c>
      <c r="B14" s="81" t="s">
        <v>515</v>
      </c>
      <c r="C14" s="81" t="s">
        <v>516</v>
      </c>
      <c r="D14" s="121" t="s">
        <v>517</v>
      </c>
      <c r="E14" s="138" t="s">
        <v>518</v>
      </c>
      <c r="F14" s="139">
        <v>2030</v>
      </c>
      <c r="G14" s="140"/>
      <c r="H14" s="139" t="s">
        <v>513</v>
      </c>
      <c r="I14" s="141">
        <v>0.3</v>
      </c>
      <c r="J14" s="142">
        <f>L14*347/1000000</f>
        <v>34.700000000000003</v>
      </c>
      <c r="K14" s="143">
        <f>500000*347/1000000</f>
        <v>173.5</v>
      </c>
      <c r="L14" s="144">
        <v>100000</v>
      </c>
      <c r="M14" s="145">
        <f>J14/2</f>
        <v>17.350000000000001</v>
      </c>
      <c r="N14" s="145">
        <f>$J14</f>
        <v>34.700000000000003</v>
      </c>
      <c r="O14" s="145">
        <f>K14/2</f>
        <v>86.75</v>
      </c>
      <c r="P14" s="145">
        <f>$K14</f>
        <v>173.5</v>
      </c>
      <c r="Q14" s="145">
        <f t="shared" si="3"/>
        <v>5.2050000000000001</v>
      </c>
      <c r="R14" s="145">
        <f t="shared" si="0"/>
        <v>10.41</v>
      </c>
      <c r="S14" s="145">
        <f t="shared" si="0"/>
        <v>26.024999999999999</v>
      </c>
      <c r="T14" s="145">
        <f t="shared" si="0"/>
        <v>52.05</v>
      </c>
      <c r="U14" s="139" t="s">
        <v>396</v>
      </c>
      <c r="V14" s="89" t="s">
        <v>29</v>
      </c>
      <c r="W14" s="146"/>
    </row>
    <row r="15" spans="1:24" ht="40.5">
      <c r="A15" s="81" t="s">
        <v>519</v>
      </c>
      <c r="B15" s="81" t="s">
        <v>520</v>
      </c>
      <c r="C15" s="81" t="s">
        <v>516</v>
      </c>
      <c r="D15" s="121" t="s">
        <v>521</v>
      </c>
      <c r="E15" s="138" t="s">
        <v>522</v>
      </c>
      <c r="F15" s="139">
        <v>2030</v>
      </c>
      <c r="G15" s="140"/>
      <c r="H15" s="139" t="s">
        <v>513</v>
      </c>
      <c r="I15" s="141">
        <v>0.3</v>
      </c>
      <c r="J15" s="142">
        <f>L15*347/1000000</f>
        <v>52.05</v>
      </c>
      <c r="K15" s="143"/>
      <c r="L15" s="142">
        <v>150000</v>
      </c>
      <c r="M15" s="145">
        <v>0</v>
      </c>
      <c r="N15" s="145">
        <f>$J15</f>
        <v>52.05</v>
      </c>
      <c r="O15" s="145">
        <f t="shared" si="2"/>
        <v>0</v>
      </c>
      <c r="P15" s="145">
        <f t="shared" si="2"/>
        <v>0</v>
      </c>
      <c r="Q15" s="145">
        <f t="shared" si="3"/>
        <v>0</v>
      </c>
      <c r="R15" s="145">
        <f t="shared" si="0"/>
        <v>15.614999999999998</v>
      </c>
      <c r="S15" s="145">
        <f t="shared" si="0"/>
        <v>0</v>
      </c>
      <c r="T15" s="145">
        <f t="shared" si="0"/>
        <v>0</v>
      </c>
      <c r="U15" s="139" t="s">
        <v>6</v>
      </c>
      <c r="V15" s="89" t="s">
        <v>27</v>
      </c>
      <c r="W15" s="146"/>
    </row>
    <row r="16" spans="1:24" s="129" customFormat="1" ht="24">
      <c r="A16" s="125" t="s">
        <v>450</v>
      </c>
      <c r="B16" s="126"/>
      <c r="C16" s="126"/>
      <c r="D16" s="126"/>
      <c r="E16" s="127"/>
      <c r="F16" s="128"/>
      <c r="G16" s="128"/>
      <c r="H16" s="128"/>
      <c r="I16" s="126"/>
      <c r="J16" s="126"/>
      <c r="K16" s="126"/>
      <c r="L16" s="126"/>
      <c r="M16" s="126"/>
      <c r="N16" s="126"/>
      <c r="O16" s="126"/>
      <c r="P16" s="126"/>
      <c r="Q16" s="126"/>
      <c r="R16" s="126"/>
      <c r="S16" s="126"/>
      <c r="T16" s="126"/>
      <c r="U16" s="126"/>
      <c r="W16" s="127"/>
      <c r="X16" s="127"/>
    </row>
    <row r="17" spans="4:4">
      <c r="D17" s="139"/>
    </row>
  </sheetData>
  <mergeCells count="3">
    <mergeCell ref="B1:C1"/>
    <mergeCell ref="D1:E1"/>
    <mergeCell ref="H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831B-DF17-40E6-951C-CE03A261DEEC}">
  <dimension ref="A1:AL119"/>
  <sheetViews>
    <sheetView zoomScale="145" zoomScaleNormal="145" workbookViewId="0">
      <pane xSplit="1" ySplit="2" topLeftCell="B77" activePane="bottomRight" state="frozen"/>
      <selection activeCell="Z25" sqref="Z25"/>
      <selection pane="topRight" activeCell="Z25" sqref="Z25"/>
      <selection pane="bottomLeft" activeCell="Z25" sqref="Z25"/>
      <selection pane="bottomRight" activeCell="C82" sqref="C82:AF89"/>
    </sheetView>
  </sheetViews>
  <sheetFormatPr defaultColWidth="9.140625" defaultRowHeight="15"/>
  <cols>
    <col min="1" max="1" width="23.140625" style="2" customWidth="1"/>
    <col min="2" max="16" width="8.85546875" style="2" customWidth="1"/>
    <col min="17" max="16384" width="9.140625" style="2"/>
  </cols>
  <sheetData>
    <row r="1" spans="1:33" ht="24" thickBot="1">
      <c r="A1" s="1" t="s">
        <v>523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50"/>
    </row>
    <row r="2" spans="1:33" ht="15" customHeight="1" thickBot="1">
      <c r="A2" s="3" t="s">
        <v>3</v>
      </c>
      <c r="B2" s="4" t="s">
        <v>4</v>
      </c>
      <c r="C2" s="5">
        <v>2021</v>
      </c>
      <c r="D2" s="5">
        <v>2022</v>
      </c>
      <c r="E2" s="5">
        <v>2023</v>
      </c>
      <c r="F2" s="5">
        <v>2024</v>
      </c>
      <c r="G2" s="5">
        <v>2025</v>
      </c>
      <c r="H2" s="5">
        <v>2026</v>
      </c>
      <c r="I2" s="5">
        <v>2027</v>
      </c>
      <c r="J2" s="5">
        <v>2028</v>
      </c>
      <c r="K2" s="5">
        <v>2029</v>
      </c>
      <c r="L2" s="5">
        <v>2030</v>
      </c>
      <c r="M2" s="5">
        <v>2031</v>
      </c>
      <c r="N2" s="5">
        <v>2032</v>
      </c>
      <c r="O2" s="5">
        <v>2033</v>
      </c>
      <c r="P2" s="5">
        <v>2034</v>
      </c>
      <c r="Q2" s="5">
        <v>2035</v>
      </c>
      <c r="R2" s="5">
        <v>2036</v>
      </c>
      <c r="S2" s="5">
        <v>2037</v>
      </c>
      <c r="T2" s="5">
        <v>2038</v>
      </c>
      <c r="U2" s="5">
        <v>2039</v>
      </c>
      <c r="V2" s="5">
        <v>2040</v>
      </c>
      <c r="W2" s="5">
        <v>2041</v>
      </c>
      <c r="X2" s="5">
        <v>2042</v>
      </c>
      <c r="Y2" s="5">
        <v>2043</v>
      </c>
      <c r="Z2" s="5">
        <v>2044</v>
      </c>
      <c r="AA2" s="5">
        <v>2045</v>
      </c>
      <c r="AB2" s="5">
        <v>2046</v>
      </c>
      <c r="AC2" s="5">
        <v>2047</v>
      </c>
      <c r="AD2" s="5">
        <v>2048</v>
      </c>
      <c r="AE2" s="5">
        <v>2049</v>
      </c>
      <c r="AF2" s="5">
        <v>2050</v>
      </c>
      <c r="AG2" s="151"/>
    </row>
    <row r="3" spans="1:33" ht="15" customHeight="1">
      <c r="A3" s="6" t="s">
        <v>5</v>
      </c>
      <c r="B3" s="7">
        <f>SUMIFS(SAm!$R$3:$R$79,SAm!$F$3:$F$79,"&lt;"&amp;'SAm Capacity Data'!C$2,SAm!$U$3:$U$79,'SAm Capacity Data'!$A3)+SUMIFS(SAm!$T$3:$T$79,SAm!$F$3:$F$79,"&lt;"&amp;'SAm Capacity Data'!C$2,SAm!$U$3:$U$79,'SAm Capacity Data'!$A3)</f>
        <v>0</v>
      </c>
      <c r="C3" s="133">
        <f>SUMIFS(SAm!$R$3:$R$79,SAm!$F$3:$F$79,'SAm Capacity Data'!C$2,SAm!$U$3:$U$79,'SAm Capacity Data'!$A3)+SUMIFS(SAm!$T$3:$T$79,SAm!$F$3:$F$79,'SAm Capacity Data'!C$22,SAm!$U$3:$U$79,'SAm Capacity Data'!$A3)</f>
        <v>0</v>
      </c>
      <c r="D3" s="133">
        <f>SUMIFS(SAm!$R$3:$R$79,SAm!$F$3:$F$79,'SAm Capacity Data'!D$2,SAm!$U$3:$U$79,'SAm Capacity Data'!$A3)+SUMIFS(SAm!$T$3:$T$79,SAm!$F$3:$F$79,'SAm Capacity Data'!D$22,SAm!$U$3:$U$79,'SAm Capacity Data'!$A3)</f>
        <v>0</v>
      </c>
      <c r="E3" s="133">
        <f>SUMIFS(SAm!$R$3:$R$79,SAm!$F$3:$F$79,'SAm Capacity Data'!E$2,SAm!$U$3:$U$79,'SAm Capacity Data'!$A3)+SUMIFS(SAm!$T$3:$T$79,SAm!$F$3:$F$79,'SAm Capacity Data'!E$22,SAm!$U$3:$U$79,'SAm Capacity Data'!$A3)</f>
        <v>0</v>
      </c>
      <c r="F3" s="269">
        <f>SUMIFS(SAm!$R$3:$R$79,SAm!$F$3:$F$79,'SAm Capacity Data'!F$2,SAm!$U$3:$U$79,'SAm Capacity Data'!$A3)+SUMIFS(SAm!$T$3:$T$79,SAm!$F$3:$F$79,'SAm Capacity Data'!F$22,SAm!$U$3:$U$79,'SAm Capacity Data'!$A3)</f>
        <v>0</v>
      </c>
      <c r="G3" s="269">
        <f>SUMIFS(SAm!$R$3:$R$79,SAm!$F$3:$F$79,'SAm Capacity Data'!G$2,SAm!$U$3:$U$79,'SAm Capacity Data'!$A3)+SUMIFS(SAm!$T$3:$T$79,SAm!$F$3:$F$79,'SAm Capacity Data'!G$22,SAm!$U$3:$U$79,'SAm Capacity Data'!$A3)</f>
        <v>117.60000000000001</v>
      </c>
      <c r="H3" s="269">
        <f>SUMIFS(SAm!$R$3:$R$79,SAm!$F$3:$F$79,'SAm Capacity Data'!H$2,SAm!$U$3:$U$79,'SAm Capacity Data'!$A3)+SUMIFS(SAm!$T$3:$T$79,SAm!$F$3:$F$79,'SAm Capacity Data'!H$22,SAm!$U$3:$U$79,'SAm Capacity Data'!$A3)</f>
        <v>49.5</v>
      </c>
      <c r="I3" s="269">
        <f>SUMIFS(SAm!$R$3:$R$79,SAm!$F$3:$F$79,'SAm Capacity Data'!I$2,SAm!$U$3:$U$79,'SAm Capacity Data'!$A3)+SUMIFS(SAm!$T$3:$T$79,SAm!$F$3:$F$79,'SAm Capacity Data'!I$22,SAm!$U$3:$U$79,'SAm Capacity Data'!$A3)</f>
        <v>91.5</v>
      </c>
      <c r="J3" s="269">
        <f>SUMIFS(SAm!$R$3:$R$79,SAm!$F$3:$F$79,'SAm Capacity Data'!J$2,SAm!$U$3:$U$79,'SAm Capacity Data'!$A3)+SUMIFS(SAm!$T$3:$T$79,SAm!$F$3:$F$79,'SAm Capacity Data'!J$22,SAm!$U$3:$U$79,'SAm Capacity Data'!$A3)</f>
        <v>67.452000000000012</v>
      </c>
      <c r="K3" s="269">
        <f>SUMIFS(SAm!$R$3:$R$79,SAm!$F$3:$F$79,'SAm Capacity Data'!K$2,SAm!$U$3:$U$79,'SAm Capacity Data'!$A3)+SUMIFS(SAm!$T$3:$T$79,SAm!$F$3:$F$79,'SAm Capacity Data'!K$22,SAm!$U$3:$U$79,'SAm Capacity Data'!$A3)</f>
        <v>25.025000000000002</v>
      </c>
      <c r="L3" s="269">
        <f>SUMIFS(SAm!$R$3:$R$79,SAm!$F$3:$F$79,'SAm Capacity Data'!L$2,SAm!$U$3:$U$79,'SAm Capacity Data'!$A3)+SUMIFS(SAm!$T$3:$T$79,SAm!$F$3:$F$79,'SAm Capacity Data'!L$22,SAm!$U$3:$U$79,'SAm Capacity Data'!$A3)</f>
        <v>46.334500000000006</v>
      </c>
      <c r="M3" s="269">
        <f>SUMIFS(SAm!$R$3:$R$79,SAm!$F$3:$F$79,'SAm Capacity Data'!M$2,SAm!$U$3:$U$79,'SAm Capacity Data'!$A3)+SUMIFS(SAm!$T$3:$T$79,SAm!$F$3:$F$79,'SAm Capacity Data'!M$22,SAm!$U$3:$U$79,'SAm Capacity Data'!$A3)</f>
        <v>0</v>
      </c>
      <c r="N3" s="269">
        <f>SUMIFS(SAm!$R$3:$R$79,SAm!$F$3:$F$79,'SAm Capacity Data'!N$2,SAm!$U$3:$U$79,'SAm Capacity Data'!$A3)+SUMIFS(SAm!$T$3:$T$79,SAm!$F$3:$F$79,'SAm Capacity Data'!N$22,SAm!$U$3:$U$79,'SAm Capacity Data'!$A3)</f>
        <v>0</v>
      </c>
      <c r="O3" s="269">
        <f>SUMIFS(SAm!$R$3:$R$79,SAm!$F$3:$F$79,'SAm Capacity Data'!O$2,SAm!$U$3:$U$79,'SAm Capacity Data'!$A3)+SUMIFS(SAm!$T$3:$T$79,SAm!$F$3:$F$79,'SAm Capacity Data'!O$22,SAm!$U$3:$U$79,'SAm Capacity Data'!$A3)</f>
        <v>0</v>
      </c>
      <c r="P3" s="269">
        <f>SUMIFS(SAm!$R$3:$R$79,SAm!$F$3:$F$79,'SAm Capacity Data'!P$2,SAm!$U$3:$U$79,'SAm Capacity Data'!$A3)+SUMIFS(SAm!$T$3:$T$79,SAm!$F$3:$F$79,'SAm Capacity Data'!P$22,SAm!$U$3:$U$79,'SAm Capacity Data'!$A3)</f>
        <v>0</v>
      </c>
      <c r="Q3" s="269">
        <f>SUMIFS(SAm!$R$3:$R$79,SAm!$F$3:$F$79,'SAm Capacity Data'!Q$2,SAm!$U$3:$U$79,'SAm Capacity Data'!$A3)+SUMIFS(SAm!$T$3:$T$79,SAm!$F$3:$F$79,'SAm Capacity Data'!Q$22,SAm!$U$3:$U$79,'SAm Capacity Data'!$A3)</f>
        <v>0</v>
      </c>
      <c r="R3" s="269">
        <f>SUMIFS(SAm!$R$3:$R$79,SAm!$F$3:$F$79,'SAm Capacity Data'!R$2,SAm!$U$3:$U$79,'SAm Capacity Data'!$A3)+SUMIFS(SAm!$T$3:$T$79,SAm!$F$3:$F$79,'SAm Capacity Data'!R$22,SAm!$U$3:$U$79,'SAm Capacity Data'!$A3)</f>
        <v>0</v>
      </c>
      <c r="S3" s="269">
        <f>SUMIFS(SAm!$R$3:$R$79,SAm!$F$3:$F$79,'SAm Capacity Data'!S$2,SAm!$U$3:$U$79,'SAm Capacity Data'!$A3)+SUMIFS(SAm!$T$3:$T$79,SAm!$F$3:$F$79,'SAm Capacity Data'!S$22,SAm!$U$3:$U$79,'SAm Capacity Data'!$A3)</f>
        <v>0</v>
      </c>
      <c r="T3" s="269">
        <f>SUMIFS(SAm!$R$3:$R$79,SAm!$F$3:$F$79,'SAm Capacity Data'!T$2,SAm!$U$3:$U$79,'SAm Capacity Data'!$A3)+SUMIFS(SAm!$T$3:$T$79,SAm!$F$3:$F$79,'SAm Capacity Data'!T$22,SAm!$U$3:$U$79,'SAm Capacity Data'!$A3)</f>
        <v>0</v>
      </c>
      <c r="U3" s="269">
        <f>SUMIFS(SAm!$R$3:$R$79,SAm!$F$3:$F$79,'SAm Capacity Data'!U$2,SAm!$U$3:$U$79,'SAm Capacity Data'!$A3)+SUMIFS(SAm!$T$3:$T$79,SAm!$F$3:$F$79,'SAm Capacity Data'!U$22,SAm!$U$3:$U$79,'SAm Capacity Data'!$A3)</f>
        <v>0</v>
      </c>
      <c r="V3" s="269">
        <f>SUMIFS(SAm!$R$3:$R$79,SAm!$F$3:$F$79,'SAm Capacity Data'!V$2,SAm!$U$3:$U$79,'SAm Capacity Data'!$A3)+SUMIFS(SAm!$T$3:$T$79,SAm!$F$3:$F$79,'SAm Capacity Data'!V$22,SAm!$U$3:$U$79,'SAm Capacity Data'!$A3)</f>
        <v>0</v>
      </c>
      <c r="W3" s="269">
        <f>SUMIFS(SAm!$R$3:$R$79,SAm!$F$3:$F$79,'SAm Capacity Data'!W$2,SAm!$U$3:$U$79,'SAm Capacity Data'!$A3)+SUMIFS(SAm!$T$3:$T$79,SAm!$F$3:$F$79,'SAm Capacity Data'!W$22,SAm!$U$3:$U$79,'SAm Capacity Data'!$A3)</f>
        <v>0</v>
      </c>
      <c r="X3" s="269">
        <f>SUMIFS(SAm!$R$3:$R$79,SAm!$F$3:$F$79,'SAm Capacity Data'!X$2,SAm!$U$3:$U$79,'SAm Capacity Data'!$A3)+SUMIFS(SAm!$T$3:$T$79,SAm!$F$3:$F$79,'SAm Capacity Data'!X$22,SAm!$U$3:$U$79,'SAm Capacity Data'!$A3)</f>
        <v>0</v>
      </c>
      <c r="Y3" s="269">
        <f>SUMIFS(SAm!$R$3:$R$79,SAm!$F$3:$F$79,'SAm Capacity Data'!Y$2,SAm!$U$3:$U$79,'SAm Capacity Data'!$A3)+SUMIFS(SAm!$T$3:$T$79,SAm!$F$3:$F$79,'SAm Capacity Data'!Y$22,SAm!$U$3:$U$79,'SAm Capacity Data'!$A3)</f>
        <v>0</v>
      </c>
      <c r="Z3" s="269">
        <f>SUMIFS(SAm!$R$3:$R$79,SAm!$F$3:$F$79,'SAm Capacity Data'!Z$2,SAm!$U$3:$U$79,'SAm Capacity Data'!$A3)+SUMIFS(SAm!$T$3:$T$79,SAm!$F$3:$F$79,'SAm Capacity Data'!Z$22,SAm!$U$3:$U$79,'SAm Capacity Data'!$A3)</f>
        <v>0</v>
      </c>
      <c r="AA3" s="269">
        <f>SUMIFS(SAm!$R$3:$R$79,SAm!$F$3:$F$79,'SAm Capacity Data'!AA$2,SAm!$U$3:$U$79,'SAm Capacity Data'!$A3)+SUMIFS(SAm!$T$3:$T$79,SAm!$F$3:$F$79,'SAm Capacity Data'!AA$22,SAm!$U$3:$U$79,'SAm Capacity Data'!$A3)</f>
        <v>0</v>
      </c>
      <c r="AB3" s="269">
        <f>SUMIFS(SAm!$R$3:$R$79,SAm!$F$3:$F$79,'SAm Capacity Data'!AB$2,SAm!$U$3:$U$79,'SAm Capacity Data'!$A3)+SUMIFS(SAm!$T$3:$T$79,SAm!$F$3:$F$79,'SAm Capacity Data'!AB$22,SAm!$U$3:$U$79,'SAm Capacity Data'!$A3)</f>
        <v>0</v>
      </c>
      <c r="AC3" s="269">
        <f>SUMIFS(SAm!$R$3:$R$79,SAm!$F$3:$F$79,'SAm Capacity Data'!AC$2,SAm!$U$3:$U$79,'SAm Capacity Data'!$A3)+SUMIFS(SAm!$T$3:$T$79,SAm!$F$3:$F$79,'SAm Capacity Data'!AC$22,SAm!$U$3:$U$79,'SAm Capacity Data'!$A3)</f>
        <v>0</v>
      </c>
      <c r="AD3" s="269">
        <f>SUMIFS(SAm!$R$3:$R$79,SAm!$F$3:$F$79,'SAm Capacity Data'!AD$2,SAm!$U$3:$U$79,'SAm Capacity Data'!$A3)+SUMIFS(SAm!$T$3:$T$79,SAm!$F$3:$F$79,'SAm Capacity Data'!AD$22,SAm!$U$3:$U$79,'SAm Capacity Data'!$A3)</f>
        <v>0</v>
      </c>
      <c r="AE3" s="269">
        <f>SUMIFS(SAm!$R$3:$R$79,SAm!$F$3:$F$79,'SAm Capacity Data'!AE$2,SAm!$U$3:$U$79,'SAm Capacity Data'!$A3)+SUMIFS(SAm!$T$3:$T$79,SAm!$F$3:$F$79,'SAm Capacity Data'!AE$22,SAm!$U$3:$U$79,'SAm Capacity Data'!$A3)</f>
        <v>0</v>
      </c>
      <c r="AF3" s="269">
        <f>SUMIFS(SAm!$R$3:$R$79,SAm!$F$3:$F$79,'SAm Capacity Data'!AF$2,SAm!$U$3:$U$79,'SAm Capacity Data'!$A3)+SUMIFS(SAm!$T$3:$T$79,SAm!$F$3:$F$79,'SAm Capacity Data'!AF$22,SAm!$U$3:$U$79,'SAm Capacity Data'!$A3)</f>
        <v>0</v>
      </c>
      <c r="AG3" s="8"/>
    </row>
    <row r="4" spans="1:33" ht="15" customHeight="1">
      <c r="A4" s="9" t="s">
        <v>6</v>
      </c>
      <c r="B4" s="10">
        <f>SUMIFS(SAm!$R$3:$R$79,SAm!$F$3:$F$79,"&lt;"&amp;'SAm Capacity Data'!C$2,SAm!$U$3:$U$79,'SAm Capacity Data'!$A4)+SUMIFS(SAm!$T$3:$T$79,SAm!$F$3:$F$79,"&lt;"&amp;'SAm Capacity Data'!C$2,SAm!$U$3:$U$79,'SAm Capacity Data'!$A4)</f>
        <v>0</v>
      </c>
      <c r="C4" s="10">
        <f>SUMIFS(SAm!$R$3:$R$79,SAm!$F$3:$F$79,'SAm Capacity Data'!C$2,SAm!$U$3:$U$79,'SAm Capacity Data'!$A4)+SUMIFS(SAm!$T$3:$T$79,SAm!$F$3:$F$79,'SAm Capacity Data'!C$22,SAm!$U$3:$U$79,'SAm Capacity Data'!$A4)</f>
        <v>0</v>
      </c>
      <c r="D4" s="10">
        <f>SUMIFS(SAm!$R$3:$R$79,SAm!$F$3:$F$79,'SAm Capacity Data'!D$2,SAm!$U$3:$U$79,'SAm Capacity Data'!$A4)+SUMIFS(SAm!$T$3:$T$79,SAm!$F$3:$F$79,'SAm Capacity Data'!D$22,SAm!$U$3:$U$79,'SAm Capacity Data'!$A4)</f>
        <v>0</v>
      </c>
      <c r="E4" s="10">
        <f>SUMIFS(SAm!$R$3:$R$79,SAm!$F$3:$F$79,'SAm Capacity Data'!E$2,SAm!$U$3:$U$79,'SAm Capacity Data'!$A4)+SUMIFS(SAm!$T$3:$T$79,SAm!$F$3:$F$79,'SAm Capacity Data'!E$22,SAm!$U$3:$U$79,'SAm Capacity Data'!$A4)</f>
        <v>0</v>
      </c>
      <c r="F4" s="267">
        <f>SUMIFS(SAm!$R$3:$R$79,SAm!$F$3:$F$79,'SAm Capacity Data'!F$2,SAm!$U$3:$U$79,'SAm Capacity Data'!$A4)+SUMIFS(SAm!$T$3:$T$79,SAm!$F$3:$F$79,'SAm Capacity Data'!F$22,SAm!$U$3:$U$79,'SAm Capacity Data'!$A4)</f>
        <v>0</v>
      </c>
      <c r="G4" s="267">
        <f>SUMIFS(SAm!$R$3:$R$79,SAm!$F$3:$F$79,'SAm Capacity Data'!G$2,SAm!$U$3:$U$79,'SAm Capacity Data'!$A4)+SUMIFS(SAm!$T$3:$T$79,SAm!$F$3:$F$79,'SAm Capacity Data'!G$22,SAm!$U$3:$U$79,'SAm Capacity Data'!$A4)</f>
        <v>0</v>
      </c>
      <c r="H4" s="267">
        <f>SUMIFS(SAm!$R$3:$R$79,SAm!$F$3:$F$79,'SAm Capacity Data'!H$2,SAm!$U$3:$U$79,'SAm Capacity Data'!$A4)+SUMIFS(SAm!$T$3:$T$79,SAm!$F$3:$F$79,'SAm Capacity Data'!H$22,SAm!$U$3:$U$79,'SAm Capacity Data'!$A4)</f>
        <v>0</v>
      </c>
      <c r="I4" s="267">
        <f>SUMIFS(SAm!$R$3:$R$79,SAm!$F$3:$F$79,'SAm Capacity Data'!I$2,SAm!$U$3:$U$79,'SAm Capacity Data'!$A4)+SUMIFS(SAm!$T$3:$T$79,SAm!$F$3:$F$79,'SAm Capacity Data'!I$22,SAm!$U$3:$U$79,'SAm Capacity Data'!$A4)</f>
        <v>0</v>
      </c>
      <c r="J4" s="267">
        <f>SUMIFS(SAm!$R$3:$R$79,SAm!$F$3:$F$79,'SAm Capacity Data'!J$2,SAm!$U$3:$U$79,'SAm Capacity Data'!$A4)+SUMIFS(SAm!$T$3:$T$79,SAm!$F$3:$F$79,'SAm Capacity Data'!J$22,SAm!$U$3:$U$79,'SAm Capacity Data'!$A4)</f>
        <v>0</v>
      </c>
      <c r="K4" s="267">
        <f>SUMIFS(SAm!$R$3:$R$79,SAm!$F$3:$F$79,'SAm Capacity Data'!K$2,SAm!$U$3:$U$79,'SAm Capacity Data'!$A4)+SUMIFS(SAm!$T$3:$T$79,SAm!$F$3:$F$79,'SAm Capacity Data'!K$22,SAm!$U$3:$U$79,'SAm Capacity Data'!$A4)</f>
        <v>0</v>
      </c>
      <c r="L4" s="267">
        <f>SUMIFS(SAm!$R$3:$R$79,SAm!$F$3:$F$79,'SAm Capacity Data'!L$2,SAm!$U$3:$U$79,'SAm Capacity Data'!$A4)+SUMIFS(SAm!$T$3:$T$79,SAm!$F$3:$F$79,'SAm Capacity Data'!L$22,SAm!$U$3:$U$79,'SAm Capacity Data'!$A4)</f>
        <v>15.614999999999998</v>
      </c>
      <c r="M4" s="267">
        <f>SUMIFS(SAm!$R$3:$R$79,SAm!$F$3:$F$79,'SAm Capacity Data'!M$2,SAm!$U$3:$U$79,'SAm Capacity Data'!$A4)+SUMIFS(SAm!$T$3:$T$79,SAm!$F$3:$F$79,'SAm Capacity Data'!M$22,SAm!$U$3:$U$79,'SAm Capacity Data'!$A4)</f>
        <v>0</v>
      </c>
      <c r="N4" s="267">
        <f>SUMIFS(SAm!$R$3:$R$79,SAm!$F$3:$F$79,'SAm Capacity Data'!N$2,SAm!$U$3:$U$79,'SAm Capacity Data'!$A4)+SUMIFS(SAm!$T$3:$T$79,SAm!$F$3:$F$79,'SAm Capacity Data'!N$22,SAm!$U$3:$U$79,'SAm Capacity Data'!$A4)</f>
        <v>0</v>
      </c>
      <c r="O4" s="267">
        <f>SUMIFS(SAm!$R$3:$R$79,SAm!$F$3:$F$79,'SAm Capacity Data'!O$2,SAm!$U$3:$U$79,'SAm Capacity Data'!$A4)+SUMIFS(SAm!$T$3:$T$79,SAm!$F$3:$F$79,'SAm Capacity Data'!O$22,SAm!$U$3:$U$79,'SAm Capacity Data'!$A4)</f>
        <v>0</v>
      </c>
      <c r="P4" s="267">
        <f>SUMIFS(SAm!$R$3:$R$79,SAm!$F$3:$F$79,'SAm Capacity Data'!P$2,SAm!$U$3:$U$79,'SAm Capacity Data'!$A4)+SUMIFS(SAm!$T$3:$T$79,SAm!$F$3:$F$79,'SAm Capacity Data'!P$22,SAm!$U$3:$U$79,'SAm Capacity Data'!$A4)</f>
        <v>0</v>
      </c>
      <c r="Q4" s="267">
        <f>SUMIFS(SAm!$R$3:$R$79,SAm!$F$3:$F$79,'SAm Capacity Data'!Q$2,SAm!$U$3:$U$79,'SAm Capacity Data'!$A4)+SUMIFS(SAm!$T$3:$T$79,SAm!$F$3:$F$79,'SAm Capacity Data'!Q$22,SAm!$U$3:$U$79,'SAm Capacity Data'!$A4)</f>
        <v>0</v>
      </c>
      <c r="R4" s="267">
        <f>SUMIFS(SAm!$R$3:$R$79,SAm!$F$3:$F$79,'SAm Capacity Data'!R$2,SAm!$U$3:$U$79,'SAm Capacity Data'!$A4)+SUMIFS(SAm!$T$3:$T$79,SAm!$F$3:$F$79,'SAm Capacity Data'!R$22,SAm!$U$3:$U$79,'SAm Capacity Data'!$A4)</f>
        <v>0</v>
      </c>
      <c r="S4" s="267">
        <f>SUMIFS(SAm!$R$3:$R$79,SAm!$F$3:$F$79,'SAm Capacity Data'!S$2,SAm!$U$3:$U$79,'SAm Capacity Data'!$A4)+SUMIFS(SAm!$T$3:$T$79,SAm!$F$3:$F$79,'SAm Capacity Data'!S$22,SAm!$U$3:$U$79,'SAm Capacity Data'!$A4)</f>
        <v>0</v>
      </c>
      <c r="T4" s="267">
        <f>SUMIFS(SAm!$R$3:$R$79,SAm!$F$3:$F$79,'SAm Capacity Data'!T$2,SAm!$U$3:$U$79,'SAm Capacity Data'!$A4)+SUMIFS(SAm!$T$3:$T$79,SAm!$F$3:$F$79,'SAm Capacity Data'!T$22,SAm!$U$3:$U$79,'SAm Capacity Data'!$A4)</f>
        <v>0</v>
      </c>
      <c r="U4" s="267">
        <f>SUMIFS(SAm!$R$3:$R$79,SAm!$F$3:$F$79,'SAm Capacity Data'!U$2,SAm!$U$3:$U$79,'SAm Capacity Data'!$A4)+SUMIFS(SAm!$T$3:$T$79,SAm!$F$3:$F$79,'SAm Capacity Data'!U$22,SAm!$U$3:$U$79,'SAm Capacity Data'!$A4)</f>
        <v>0</v>
      </c>
      <c r="V4" s="267">
        <f>SUMIFS(SAm!$R$3:$R$79,SAm!$F$3:$F$79,'SAm Capacity Data'!V$2,SAm!$U$3:$U$79,'SAm Capacity Data'!$A4)+SUMIFS(SAm!$T$3:$T$79,SAm!$F$3:$F$79,'SAm Capacity Data'!V$22,SAm!$U$3:$U$79,'SAm Capacity Data'!$A4)</f>
        <v>0</v>
      </c>
      <c r="W4" s="267">
        <f>SUMIFS(SAm!$R$3:$R$79,SAm!$F$3:$F$79,'SAm Capacity Data'!W$2,SAm!$U$3:$U$79,'SAm Capacity Data'!$A4)+SUMIFS(SAm!$T$3:$T$79,SAm!$F$3:$F$79,'SAm Capacity Data'!W$22,SAm!$U$3:$U$79,'SAm Capacity Data'!$A4)</f>
        <v>0</v>
      </c>
      <c r="X4" s="267">
        <f>SUMIFS(SAm!$R$3:$R$79,SAm!$F$3:$F$79,'SAm Capacity Data'!X$2,SAm!$U$3:$U$79,'SAm Capacity Data'!$A4)+SUMIFS(SAm!$T$3:$T$79,SAm!$F$3:$F$79,'SAm Capacity Data'!X$22,SAm!$U$3:$U$79,'SAm Capacity Data'!$A4)</f>
        <v>0</v>
      </c>
      <c r="Y4" s="267">
        <f>SUMIFS(SAm!$R$3:$R$79,SAm!$F$3:$F$79,'SAm Capacity Data'!Y$2,SAm!$U$3:$U$79,'SAm Capacity Data'!$A4)+SUMIFS(SAm!$T$3:$T$79,SAm!$F$3:$F$79,'SAm Capacity Data'!Y$22,SAm!$U$3:$U$79,'SAm Capacity Data'!$A4)</f>
        <v>0</v>
      </c>
      <c r="Z4" s="267">
        <f>SUMIFS(SAm!$R$3:$R$79,SAm!$F$3:$F$79,'SAm Capacity Data'!Z$2,SAm!$U$3:$U$79,'SAm Capacity Data'!$A4)+SUMIFS(SAm!$T$3:$T$79,SAm!$F$3:$F$79,'SAm Capacity Data'!Z$22,SAm!$U$3:$U$79,'SAm Capacity Data'!$A4)</f>
        <v>0</v>
      </c>
      <c r="AA4" s="267">
        <f>SUMIFS(SAm!$R$3:$R$79,SAm!$F$3:$F$79,'SAm Capacity Data'!AA$2,SAm!$U$3:$U$79,'SAm Capacity Data'!$A4)+SUMIFS(SAm!$T$3:$T$79,SAm!$F$3:$F$79,'SAm Capacity Data'!AA$22,SAm!$U$3:$U$79,'SAm Capacity Data'!$A4)</f>
        <v>0</v>
      </c>
      <c r="AB4" s="267">
        <f>SUMIFS(SAm!$R$3:$R$79,SAm!$F$3:$F$79,'SAm Capacity Data'!AB$2,SAm!$U$3:$U$79,'SAm Capacity Data'!$A4)+SUMIFS(SAm!$T$3:$T$79,SAm!$F$3:$F$79,'SAm Capacity Data'!AB$22,SAm!$U$3:$U$79,'SAm Capacity Data'!$A4)</f>
        <v>0</v>
      </c>
      <c r="AC4" s="267">
        <f>SUMIFS(SAm!$R$3:$R$79,SAm!$F$3:$F$79,'SAm Capacity Data'!AC$2,SAm!$U$3:$U$79,'SAm Capacity Data'!$A4)+SUMIFS(SAm!$T$3:$T$79,SAm!$F$3:$F$79,'SAm Capacity Data'!AC$22,SAm!$U$3:$U$79,'SAm Capacity Data'!$A4)</f>
        <v>0</v>
      </c>
      <c r="AD4" s="267">
        <f>SUMIFS(SAm!$R$3:$R$79,SAm!$F$3:$F$79,'SAm Capacity Data'!AD$2,SAm!$U$3:$U$79,'SAm Capacity Data'!$A4)+SUMIFS(SAm!$T$3:$T$79,SAm!$F$3:$F$79,'SAm Capacity Data'!AD$22,SAm!$U$3:$U$79,'SAm Capacity Data'!$A4)</f>
        <v>0</v>
      </c>
      <c r="AE4" s="267">
        <f>SUMIFS(SAm!$R$3:$R$79,SAm!$F$3:$F$79,'SAm Capacity Data'!AE$2,SAm!$U$3:$U$79,'SAm Capacity Data'!$A4)+SUMIFS(SAm!$T$3:$T$79,SAm!$F$3:$F$79,'SAm Capacity Data'!AE$22,SAm!$U$3:$U$79,'SAm Capacity Data'!$A4)</f>
        <v>0</v>
      </c>
      <c r="AF4" s="267">
        <f>SUMIFS(SAm!$R$3:$R$79,SAm!$F$3:$F$79,'SAm Capacity Data'!AF$2,SAm!$U$3:$U$79,'SAm Capacity Data'!$A4)+SUMIFS(SAm!$T$3:$T$79,SAm!$F$3:$F$79,'SAm Capacity Data'!AF$22,SAm!$U$3:$U$79,'SAm Capacity Data'!$A4)</f>
        <v>0</v>
      </c>
      <c r="AG4" s="8"/>
    </row>
    <row r="5" spans="1:33" ht="15" customHeight="1">
      <c r="A5" s="9" t="s">
        <v>7</v>
      </c>
      <c r="B5" s="10">
        <f>SUMIFS(SAm!$R$3:$R$79,SAm!$F$3:$F$79,"&lt;"&amp;'SAm Capacity Data'!C$2,SAm!$U$3:$U$79,'SAm Capacity Data'!$A5)+SUMIFS(SAm!$T$3:$T$79,SAm!$F$3:$F$79,"&lt;"&amp;'SAm Capacity Data'!C$2,SAm!$U$3:$U$79,'SAm Capacity Data'!$A5)</f>
        <v>0</v>
      </c>
      <c r="C5" s="10">
        <f>SUMIFS(SAm!$R$3:$R$79,SAm!$F$3:$F$79,'SAm Capacity Data'!C$2,SAm!$U$3:$U$79,'SAm Capacity Data'!$A5)+SUMIFS(SAm!$T$3:$T$79,SAm!$F$3:$F$79,'SAm Capacity Data'!C$22,SAm!$U$3:$U$79,'SAm Capacity Data'!$A5)</f>
        <v>0</v>
      </c>
      <c r="D5" s="10">
        <f>SUMIFS(SAm!$R$3:$R$79,SAm!$F$3:$F$79,'SAm Capacity Data'!D$2,SAm!$U$3:$U$79,'SAm Capacity Data'!$A5)+SUMIFS(SAm!$T$3:$T$79,SAm!$F$3:$F$79,'SAm Capacity Data'!D$22,SAm!$U$3:$U$79,'SAm Capacity Data'!$A5)</f>
        <v>0</v>
      </c>
      <c r="E5" s="10">
        <f>SUMIFS(SAm!$R$3:$R$79,SAm!$F$3:$F$79,'SAm Capacity Data'!E$2,SAm!$U$3:$U$79,'SAm Capacity Data'!$A5)+SUMIFS(SAm!$T$3:$T$79,SAm!$F$3:$F$79,'SAm Capacity Data'!E$22,SAm!$U$3:$U$79,'SAm Capacity Data'!$A5)</f>
        <v>0</v>
      </c>
      <c r="F5" s="267">
        <f>SUMIFS(SAm!$R$3:$R$79,SAm!$F$3:$F$79,'SAm Capacity Data'!F$2,SAm!$U$3:$U$79,'SAm Capacity Data'!$A5)+SUMIFS(SAm!$T$3:$T$79,SAm!$F$3:$F$79,'SAm Capacity Data'!F$22,SAm!$U$3:$U$79,'SAm Capacity Data'!$A5)</f>
        <v>0</v>
      </c>
      <c r="G5" s="267">
        <f>SUMIFS(SAm!$R$3:$R$79,SAm!$F$3:$F$79,'SAm Capacity Data'!G$2,SAm!$U$3:$U$79,'SAm Capacity Data'!$A5)+SUMIFS(SAm!$T$3:$T$79,SAm!$F$3:$F$79,'SAm Capacity Data'!G$22,SAm!$U$3:$U$79,'SAm Capacity Data'!$A5)</f>
        <v>5.3999999999999992E-2</v>
      </c>
      <c r="H5" s="267">
        <f>SUMIFS(SAm!$R$3:$R$79,SAm!$F$3:$F$79,'SAm Capacity Data'!H$2,SAm!$U$3:$U$79,'SAm Capacity Data'!$A5)+SUMIFS(SAm!$T$3:$T$79,SAm!$F$3:$F$79,'SAm Capacity Data'!H$22,SAm!$U$3:$U$79,'SAm Capacity Data'!$A5)</f>
        <v>0</v>
      </c>
      <c r="I5" s="267">
        <f>SUMIFS(SAm!$R$3:$R$79,SAm!$F$3:$F$79,'SAm Capacity Data'!I$2,SAm!$U$3:$U$79,'SAm Capacity Data'!$A5)+SUMIFS(SAm!$T$3:$T$79,SAm!$F$3:$F$79,'SAm Capacity Data'!I$22,SAm!$U$3:$U$79,'SAm Capacity Data'!$A5)</f>
        <v>0</v>
      </c>
      <c r="J5" s="267">
        <f>SUMIFS(SAm!$R$3:$R$79,SAm!$F$3:$F$79,'SAm Capacity Data'!J$2,SAm!$U$3:$U$79,'SAm Capacity Data'!$A5)+SUMIFS(SAm!$T$3:$T$79,SAm!$F$3:$F$79,'SAm Capacity Data'!J$22,SAm!$U$3:$U$79,'SAm Capacity Data'!$A5)</f>
        <v>0</v>
      </c>
      <c r="K5" s="267">
        <f>SUMIFS(SAm!$R$3:$R$79,SAm!$F$3:$F$79,'SAm Capacity Data'!K$2,SAm!$U$3:$U$79,'SAm Capacity Data'!$A5)+SUMIFS(SAm!$T$3:$T$79,SAm!$F$3:$F$79,'SAm Capacity Data'!K$22,SAm!$U$3:$U$79,'SAm Capacity Data'!$A5)</f>
        <v>0</v>
      </c>
      <c r="L5" s="267">
        <f>SUMIFS(SAm!$R$3:$R$79,SAm!$F$3:$F$79,'SAm Capacity Data'!L$2,SAm!$U$3:$U$79,'SAm Capacity Data'!$A5)+SUMIFS(SAm!$T$3:$T$79,SAm!$F$3:$F$79,'SAm Capacity Data'!L$22,SAm!$U$3:$U$79,'SAm Capacity Data'!$A5)</f>
        <v>0</v>
      </c>
      <c r="M5" s="267">
        <f>SUMIFS(SAm!$R$3:$R$79,SAm!$F$3:$F$79,'SAm Capacity Data'!M$2,SAm!$U$3:$U$79,'SAm Capacity Data'!$A5)+SUMIFS(SAm!$T$3:$T$79,SAm!$F$3:$F$79,'SAm Capacity Data'!M$22,SAm!$U$3:$U$79,'SAm Capacity Data'!$A5)</f>
        <v>0</v>
      </c>
      <c r="N5" s="267">
        <f>SUMIFS(SAm!$R$3:$R$79,SAm!$F$3:$F$79,'SAm Capacity Data'!N$2,SAm!$U$3:$U$79,'SAm Capacity Data'!$A5)+SUMIFS(SAm!$T$3:$T$79,SAm!$F$3:$F$79,'SAm Capacity Data'!N$22,SAm!$U$3:$U$79,'SAm Capacity Data'!$A5)</f>
        <v>0</v>
      </c>
      <c r="O5" s="267">
        <f>SUMIFS(SAm!$R$3:$R$79,SAm!$F$3:$F$79,'SAm Capacity Data'!O$2,SAm!$U$3:$U$79,'SAm Capacity Data'!$A5)+SUMIFS(SAm!$T$3:$T$79,SAm!$F$3:$F$79,'SAm Capacity Data'!O$22,SAm!$U$3:$U$79,'SAm Capacity Data'!$A5)</f>
        <v>0</v>
      </c>
      <c r="P5" s="267">
        <f>SUMIFS(SAm!$R$3:$R$79,SAm!$F$3:$F$79,'SAm Capacity Data'!P$2,SAm!$U$3:$U$79,'SAm Capacity Data'!$A5)+SUMIFS(SAm!$T$3:$T$79,SAm!$F$3:$F$79,'SAm Capacity Data'!P$22,SAm!$U$3:$U$79,'SAm Capacity Data'!$A5)</f>
        <v>0</v>
      </c>
      <c r="Q5" s="267">
        <f>SUMIFS(SAm!$R$3:$R$79,SAm!$F$3:$F$79,'SAm Capacity Data'!Q$2,SAm!$U$3:$U$79,'SAm Capacity Data'!$A5)+SUMIFS(SAm!$T$3:$T$79,SAm!$F$3:$F$79,'SAm Capacity Data'!Q$22,SAm!$U$3:$U$79,'SAm Capacity Data'!$A5)</f>
        <v>0</v>
      </c>
      <c r="R5" s="267">
        <f>SUMIFS(SAm!$R$3:$R$79,SAm!$F$3:$F$79,'SAm Capacity Data'!R$2,SAm!$U$3:$U$79,'SAm Capacity Data'!$A5)+SUMIFS(SAm!$T$3:$T$79,SAm!$F$3:$F$79,'SAm Capacity Data'!R$22,SAm!$U$3:$U$79,'SAm Capacity Data'!$A5)</f>
        <v>0</v>
      </c>
      <c r="S5" s="267">
        <f>SUMIFS(SAm!$R$3:$R$79,SAm!$F$3:$F$79,'SAm Capacity Data'!S$2,SAm!$U$3:$U$79,'SAm Capacity Data'!$A5)+SUMIFS(SAm!$T$3:$T$79,SAm!$F$3:$F$79,'SAm Capacity Data'!S$22,SAm!$U$3:$U$79,'SAm Capacity Data'!$A5)</f>
        <v>0</v>
      </c>
      <c r="T5" s="267">
        <f>SUMIFS(SAm!$R$3:$R$79,SAm!$F$3:$F$79,'SAm Capacity Data'!T$2,SAm!$U$3:$U$79,'SAm Capacity Data'!$A5)+SUMIFS(SAm!$T$3:$T$79,SAm!$F$3:$F$79,'SAm Capacity Data'!T$22,SAm!$U$3:$U$79,'SAm Capacity Data'!$A5)</f>
        <v>0</v>
      </c>
      <c r="U5" s="267">
        <f>SUMIFS(SAm!$R$3:$R$79,SAm!$F$3:$F$79,'SAm Capacity Data'!U$2,SAm!$U$3:$U$79,'SAm Capacity Data'!$A5)+SUMIFS(SAm!$T$3:$T$79,SAm!$F$3:$F$79,'SAm Capacity Data'!U$22,SAm!$U$3:$U$79,'SAm Capacity Data'!$A5)</f>
        <v>0</v>
      </c>
      <c r="V5" s="267">
        <f>SUMIFS(SAm!$R$3:$R$79,SAm!$F$3:$F$79,'SAm Capacity Data'!V$2,SAm!$U$3:$U$79,'SAm Capacity Data'!$A5)+SUMIFS(SAm!$T$3:$T$79,SAm!$F$3:$F$79,'SAm Capacity Data'!V$22,SAm!$U$3:$U$79,'SAm Capacity Data'!$A5)</f>
        <v>0</v>
      </c>
      <c r="W5" s="267">
        <f>SUMIFS(SAm!$R$3:$R$79,SAm!$F$3:$F$79,'SAm Capacity Data'!W$2,SAm!$U$3:$U$79,'SAm Capacity Data'!$A5)+SUMIFS(SAm!$T$3:$T$79,SAm!$F$3:$F$79,'SAm Capacity Data'!W$22,SAm!$U$3:$U$79,'SAm Capacity Data'!$A5)</f>
        <v>0</v>
      </c>
      <c r="X5" s="267">
        <f>SUMIFS(SAm!$R$3:$R$79,SAm!$F$3:$F$79,'SAm Capacity Data'!X$2,SAm!$U$3:$U$79,'SAm Capacity Data'!$A5)+SUMIFS(SAm!$T$3:$T$79,SAm!$F$3:$F$79,'SAm Capacity Data'!X$22,SAm!$U$3:$U$79,'SAm Capacity Data'!$A5)</f>
        <v>0</v>
      </c>
      <c r="Y5" s="267">
        <f>SUMIFS(SAm!$R$3:$R$79,SAm!$F$3:$F$79,'SAm Capacity Data'!Y$2,SAm!$U$3:$U$79,'SAm Capacity Data'!$A5)+SUMIFS(SAm!$T$3:$T$79,SAm!$F$3:$F$79,'SAm Capacity Data'!Y$22,SAm!$U$3:$U$79,'SAm Capacity Data'!$A5)</f>
        <v>0</v>
      </c>
      <c r="Z5" s="267">
        <f>SUMIFS(SAm!$R$3:$R$79,SAm!$F$3:$F$79,'SAm Capacity Data'!Z$2,SAm!$U$3:$U$79,'SAm Capacity Data'!$A5)+SUMIFS(SAm!$T$3:$T$79,SAm!$F$3:$F$79,'SAm Capacity Data'!Z$22,SAm!$U$3:$U$79,'SAm Capacity Data'!$A5)</f>
        <v>0</v>
      </c>
      <c r="AA5" s="267">
        <f>SUMIFS(SAm!$R$3:$R$79,SAm!$F$3:$F$79,'SAm Capacity Data'!AA$2,SAm!$U$3:$U$79,'SAm Capacity Data'!$A5)+SUMIFS(SAm!$T$3:$T$79,SAm!$F$3:$F$79,'SAm Capacity Data'!AA$22,SAm!$U$3:$U$79,'SAm Capacity Data'!$A5)</f>
        <v>0</v>
      </c>
      <c r="AB5" s="267">
        <f>SUMIFS(SAm!$R$3:$R$79,SAm!$F$3:$F$79,'SAm Capacity Data'!AB$2,SAm!$U$3:$U$79,'SAm Capacity Data'!$A5)+SUMIFS(SAm!$T$3:$T$79,SAm!$F$3:$F$79,'SAm Capacity Data'!AB$22,SAm!$U$3:$U$79,'SAm Capacity Data'!$A5)</f>
        <v>0</v>
      </c>
      <c r="AC5" s="267">
        <f>SUMIFS(SAm!$R$3:$R$79,SAm!$F$3:$F$79,'SAm Capacity Data'!AC$2,SAm!$U$3:$U$79,'SAm Capacity Data'!$A5)+SUMIFS(SAm!$T$3:$T$79,SAm!$F$3:$F$79,'SAm Capacity Data'!AC$22,SAm!$U$3:$U$79,'SAm Capacity Data'!$A5)</f>
        <v>0</v>
      </c>
      <c r="AD5" s="267">
        <f>SUMIFS(SAm!$R$3:$R$79,SAm!$F$3:$F$79,'SAm Capacity Data'!AD$2,SAm!$U$3:$U$79,'SAm Capacity Data'!$A5)+SUMIFS(SAm!$T$3:$T$79,SAm!$F$3:$F$79,'SAm Capacity Data'!AD$22,SAm!$U$3:$U$79,'SAm Capacity Data'!$A5)</f>
        <v>0</v>
      </c>
      <c r="AE5" s="267">
        <f>SUMIFS(SAm!$R$3:$R$79,SAm!$F$3:$F$79,'SAm Capacity Data'!AE$2,SAm!$U$3:$U$79,'SAm Capacity Data'!$A5)+SUMIFS(SAm!$T$3:$T$79,SAm!$F$3:$F$79,'SAm Capacity Data'!AE$22,SAm!$U$3:$U$79,'SAm Capacity Data'!$A5)</f>
        <v>0</v>
      </c>
      <c r="AF5" s="267">
        <f>SUMIFS(SAm!$R$3:$R$79,SAm!$F$3:$F$79,'SAm Capacity Data'!AF$2,SAm!$U$3:$U$79,'SAm Capacity Data'!$A5)+SUMIFS(SAm!$T$3:$T$79,SAm!$F$3:$F$79,'SAm Capacity Data'!AF$22,SAm!$U$3:$U$79,'SAm Capacity Data'!$A5)</f>
        <v>0</v>
      </c>
      <c r="AG5" s="8"/>
    </row>
    <row r="6" spans="1:33" ht="15" customHeight="1">
      <c r="A6" s="9" t="s">
        <v>8</v>
      </c>
      <c r="B6" s="10">
        <f>SUMIFS(SAm!$R$3:$R$79,SAm!$F$3:$F$79,"&lt;"&amp;'SAm Capacity Data'!C$2,SAm!$U$3:$U$79,'SAm Capacity Data'!$A6)+SUMIFS(SAm!$T$3:$T$79,SAm!$F$3:$F$79,"&lt;"&amp;'SAm Capacity Data'!C$2,SAm!$U$3:$U$79,'SAm Capacity Data'!$A6)</f>
        <v>0</v>
      </c>
      <c r="C6" s="10">
        <f>SUMIFS(SAm!$R$3:$R$79,SAm!$F$3:$F$79,'SAm Capacity Data'!C$2,SAm!$U$3:$U$79,'SAm Capacity Data'!$A6)+SUMIFS(SAm!$T$3:$T$79,SAm!$F$3:$F$79,'SAm Capacity Data'!C$22,SAm!$U$3:$U$79,'SAm Capacity Data'!$A6)</f>
        <v>0</v>
      </c>
      <c r="D6" s="10">
        <f>SUMIFS(SAm!$R$3:$R$79,SAm!$F$3:$F$79,'SAm Capacity Data'!D$2,SAm!$U$3:$U$79,'SAm Capacity Data'!$A6)+SUMIFS(SAm!$T$3:$T$79,SAm!$F$3:$F$79,'SAm Capacity Data'!D$22,SAm!$U$3:$U$79,'SAm Capacity Data'!$A6)</f>
        <v>0</v>
      </c>
      <c r="E6" s="10">
        <f>SUMIFS(SAm!$R$3:$R$79,SAm!$F$3:$F$79,'SAm Capacity Data'!E$2,SAm!$U$3:$U$79,'SAm Capacity Data'!$A6)+SUMIFS(SAm!$T$3:$T$79,SAm!$F$3:$F$79,'SAm Capacity Data'!E$22,SAm!$U$3:$U$79,'SAm Capacity Data'!$A6)</f>
        <v>0</v>
      </c>
      <c r="F6" s="267">
        <f>SUMIFS(SAm!$R$3:$R$79,SAm!$F$3:$F$79,'SAm Capacity Data'!F$2,SAm!$U$3:$U$79,'SAm Capacity Data'!$A6)+SUMIFS(SAm!$T$3:$T$79,SAm!$F$3:$F$79,'SAm Capacity Data'!F$22,SAm!$U$3:$U$79,'SAm Capacity Data'!$A6)</f>
        <v>0</v>
      </c>
      <c r="G6" s="267">
        <f>SUMIFS(SAm!$R$3:$R$79,SAm!$F$3:$F$79,'SAm Capacity Data'!G$2,SAm!$U$3:$U$79,'SAm Capacity Data'!$A6)+SUMIFS(SAm!$T$3:$T$79,SAm!$F$3:$F$79,'SAm Capacity Data'!G$22,SAm!$U$3:$U$79,'SAm Capacity Data'!$A6)</f>
        <v>0</v>
      </c>
      <c r="H6" s="267">
        <f>SUMIFS(SAm!$R$3:$R$79,SAm!$F$3:$F$79,'SAm Capacity Data'!H$2,SAm!$U$3:$U$79,'SAm Capacity Data'!$A6)+SUMIFS(SAm!$T$3:$T$79,SAm!$F$3:$F$79,'SAm Capacity Data'!H$22,SAm!$U$3:$U$79,'SAm Capacity Data'!$A6)</f>
        <v>0</v>
      </c>
      <c r="I6" s="267">
        <f>SUMIFS(SAm!$R$3:$R$79,SAm!$F$3:$F$79,'SAm Capacity Data'!I$2,SAm!$U$3:$U$79,'SAm Capacity Data'!$A6)+SUMIFS(SAm!$T$3:$T$79,SAm!$F$3:$F$79,'SAm Capacity Data'!I$22,SAm!$U$3:$U$79,'SAm Capacity Data'!$A6)</f>
        <v>0</v>
      </c>
      <c r="J6" s="267">
        <f>SUMIFS(SAm!$R$3:$R$79,SAm!$F$3:$F$79,'SAm Capacity Data'!J$2,SAm!$U$3:$U$79,'SAm Capacity Data'!$A6)+SUMIFS(SAm!$T$3:$T$79,SAm!$F$3:$F$79,'SAm Capacity Data'!J$22,SAm!$U$3:$U$79,'SAm Capacity Data'!$A6)</f>
        <v>0</v>
      </c>
      <c r="K6" s="267">
        <f>SUMIFS(SAm!$R$3:$R$79,SAm!$F$3:$F$79,'SAm Capacity Data'!K$2,SAm!$U$3:$U$79,'SAm Capacity Data'!$A6)+SUMIFS(SAm!$T$3:$T$79,SAm!$F$3:$F$79,'SAm Capacity Data'!K$22,SAm!$U$3:$U$79,'SAm Capacity Data'!$A6)</f>
        <v>0</v>
      </c>
      <c r="L6" s="267">
        <f>SUMIFS(SAm!$R$3:$R$79,SAm!$F$3:$F$79,'SAm Capacity Data'!L$2,SAm!$U$3:$U$79,'SAm Capacity Data'!$A6)+SUMIFS(SAm!$T$3:$T$79,SAm!$F$3:$F$79,'SAm Capacity Data'!L$22,SAm!$U$3:$U$79,'SAm Capacity Data'!$A6)</f>
        <v>62.459999999999994</v>
      </c>
      <c r="M6" s="267">
        <f>SUMIFS(SAm!$R$3:$R$79,SAm!$F$3:$F$79,'SAm Capacity Data'!M$2,SAm!$U$3:$U$79,'SAm Capacity Data'!$A6)+SUMIFS(SAm!$T$3:$T$79,SAm!$F$3:$F$79,'SAm Capacity Data'!M$22,SAm!$U$3:$U$79,'SAm Capacity Data'!$A6)</f>
        <v>0.66797499999999999</v>
      </c>
      <c r="N6" s="267">
        <f>SUMIFS(SAm!$R$3:$R$79,SAm!$F$3:$F$79,'SAm Capacity Data'!N$2,SAm!$U$3:$U$79,'SAm Capacity Data'!$A6)+SUMIFS(SAm!$T$3:$T$79,SAm!$F$3:$F$79,'SAm Capacity Data'!N$22,SAm!$U$3:$U$79,'SAm Capacity Data'!$A6)</f>
        <v>0</v>
      </c>
      <c r="O6" s="267">
        <f>SUMIFS(SAm!$R$3:$R$79,SAm!$F$3:$F$79,'SAm Capacity Data'!O$2,SAm!$U$3:$U$79,'SAm Capacity Data'!$A6)+SUMIFS(SAm!$T$3:$T$79,SAm!$F$3:$F$79,'SAm Capacity Data'!O$22,SAm!$U$3:$U$79,'SAm Capacity Data'!$A6)</f>
        <v>0</v>
      </c>
      <c r="P6" s="267">
        <f>SUMIFS(SAm!$R$3:$R$79,SAm!$F$3:$F$79,'SAm Capacity Data'!P$2,SAm!$U$3:$U$79,'SAm Capacity Data'!$A6)+SUMIFS(SAm!$T$3:$T$79,SAm!$F$3:$F$79,'SAm Capacity Data'!P$22,SAm!$U$3:$U$79,'SAm Capacity Data'!$A6)</f>
        <v>0</v>
      </c>
      <c r="Q6" s="267">
        <f>SUMIFS(SAm!$R$3:$R$79,SAm!$F$3:$F$79,'SAm Capacity Data'!Q$2,SAm!$U$3:$U$79,'SAm Capacity Data'!$A6)+SUMIFS(SAm!$T$3:$T$79,SAm!$F$3:$F$79,'SAm Capacity Data'!Q$22,SAm!$U$3:$U$79,'SAm Capacity Data'!$A6)</f>
        <v>0</v>
      </c>
      <c r="R6" s="267">
        <f>SUMIFS(SAm!$R$3:$R$79,SAm!$F$3:$F$79,'SAm Capacity Data'!R$2,SAm!$U$3:$U$79,'SAm Capacity Data'!$A6)+SUMIFS(SAm!$T$3:$T$79,SAm!$F$3:$F$79,'SAm Capacity Data'!R$22,SAm!$U$3:$U$79,'SAm Capacity Data'!$A6)</f>
        <v>0</v>
      </c>
      <c r="S6" s="267">
        <f>SUMIFS(SAm!$R$3:$R$79,SAm!$F$3:$F$79,'SAm Capacity Data'!S$2,SAm!$U$3:$U$79,'SAm Capacity Data'!$A6)+SUMIFS(SAm!$T$3:$T$79,SAm!$F$3:$F$79,'SAm Capacity Data'!S$22,SAm!$U$3:$U$79,'SAm Capacity Data'!$A6)</f>
        <v>0</v>
      </c>
      <c r="T6" s="267">
        <f>SUMIFS(SAm!$R$3:$R$79,SAm!$F$3:$F$79,'SAm Capacity Data'!T$2,SAm!$U$3:$U$79,'SAm Capacity Data'!$A6)+SUMIFS(SAm!$T$3:$T$79,SAm!$F$3:$F$79,'SAm Capacity Data'!T$22,SAm!$U$3:$U$79,'SAm Capacity Data'!$A6)</f>
        <v>0</v>
      </c>
      <c r="U6" s="267">
        <f>SUMIFS(SAm!$R$3:$R$79,SAm!$F$3:$F$79,'SAm Capacity Data'!U$2,SAm!$U$3:$U$79,'SAm Capacity Data'!$A6)+SUMIFS(SAm!$T$3:$T$79,SAm!$F$3:$F$79,'SAm Capacity Data'!U$22,SAm!$U$3:$U$79,'SAm Capacity Data'!$A6)</f>
        <v>0</v>
      </c>
      <c r="V6" s="267">
        <f>SUMIFS(SAm!$R$3:$R$79,SAm!$F$3:$F$79,'SAm Capacity Data'!V$2,SAm!$U$3:$U$79,'SAm Capacity Data'!$A6)+SUMIFS(SAm!$T$3:$T$79,SAm!$F$3:$F$79,'SAm Capacity Data'!V$22,SAm!$U$3:$U$79,'SAm Capacity Data'!$A6)</f>
        <v>0</v>
      </c>
      <c r="W6" s="267">
        <f>SUMIFS(SAm!$R$3:$R$79,SAm!$F$3:$F$79,'SAm Capacity Data'!W$2,SAm!$U$3:$U$79,'SAm Capacity Data'!$A6)+SUMIFS(SAm!$T$3:$T$79,SAm!$F$3:$F$79,'SAm Capacity Data'!W$22,SAm!$U$3:$U$79,'SAm Capacity Data'!$A6)</f>
        <v>0</v>
      </c>
      <c r="X6" s="267">
        <f>SUMIFS(SAm!$R$3:$R$79,SAm!$F$3:$F$79,'SAm Capacity Data'!X$2,SAm!$U$3:$U$79,'SAm Capacity Data'!$A6)+SUMIFS(SAm!$T$3:$T$79,SAm!$F$3:$F$79,'SAm Capacity Data'!X$22,SAm!$U$3:$U$79,'SAm Capacity Data'!$A6)</f>
        <v>0</v>
      </c>
      <c r="Y6" s="267">
        <f>SUMIFS(SAm!$R$3:$R$79,SAm!$F$3:$F$79,'SAm Capacity Data'!Y$2,SAm!$U$3:$U$79,'SAm Capacity Data'!$A6)+SUMIFS(SAm!$T$3:$T$79,SAm!$F$3:$F$79,'SAm Capacity Data'!Y$22,SAm!$U$3:$U$79,'SAm Capacity Data'!$A6)</f>
        <v>0</v>
      </c>
      <c r="Z6" s="267">
        <f>SUMIFS(SAm!$R$3:$R$79,SAm!$F$3:$F$79,'SAm Capacity Data'!Z$2,SAm!$U$3:$U$79,'SAm Capacity Data'!$A6)+SUMIFS(SAm!$T$3:$T$79,SAm!$F$3:$F$79,'SAm Capacity Data'!Z$22,SAm!$U$3:$U$79,'SAm Capacity Data'!$A6)</f>
        <v>0</v>
      </c>
      <c r="AA6" s="267">
        <f>SUMIFS(SAm!$R$3:$R$79,SAm!$F$3:$F$79,'SAm Capacity Data'!AA$2,SAm!$U$3:$U$79,'SAm Capacity Data'!$A6)+SUMIFS(SAm!$T$3:$T$79,SAm!$F$3:$F$79,'SAm Capacity Data'!AA$22,SAm!$U$3:$U$79,'SAm Capacity Data'!$A6)</f>
        <v>0</v>
      </c>
      <c r="AB6" s="267">
        <f>SUMIFS(SAm!$R$3:$R$79,SAm!$F$3:$F$79,'SAm Capacity Data'!AB$2,SAm!$U$3:$U$79,'SAm Capacity Data'!$A6)+SUMIFS(SAm!$T$3:$T$79,SAm!$F$3:$F$79,'SAm Capacity Data'!AB$22,SAm!$U$3:$U$79,'SAm Capacity Data'!$A6)</f>
        <v>0</v>
      </c>
      <c r="AC6" s="267">
        <f>SUMIFS(SAm!$R$3:$R$79,SAm!$F$3:$F$79,'SAm Capacity Data'!AC$2,SAm!$U$3:$U$79,'SAm Capacity Data'!$A6)+SUMIFS(SAm!$T$3:$T$79,SAm!$F$3:$F$79,'SAm Capacity Data'!AC$22,SAm!$U$3:$U$79,'SAm Capacity Data'!$A6)</f>
        <v>0</v>
      </c>
      <c r="AD6" s="267">
        <f>SUMIFS(SAm!$R$3:$R$79,SAm!$F$3:$F$79,'SAm Capacity Data'!AD$2,SAm!$U$3:$U$79,'SAm Capacity Data'!$A6)+SUMIFS(SAm!$T$3:$T$79,SAm!$F$3:$F$79,'SAm Capacity Data'!AD$22,SAm!$U$3:$U$79,'SAm Capacity Data'!$A6)</f>
        <v>0</v>
      </c>
      <c r="AE6" s="267">
        <f>SUMIFS(SAm!$R$3:$R$79,SAm!$F$3:$F$79,'SAm Capacity Data'!AE$2,SAm!$U$3:$U$79,'SAm Capacity Data'!$A6)+SUMIFS(SAm!$T$3:$T$79,SAm!$F$3:$F$79,'SAm Capacity Data'!AE$22,SAm!$U$3:$U$79,'SAm Capacity Data'!$A6)</f>
        <v>0</v>
      </c>
      <c r="AF6" s="267">
        <f>SUMIFS(SAm!$R$3:$R$79,SAm!$F$3:$F$79,'SAm Capacity Data'!AF$2,SAm!$U$3:$U$79,'SAm Capacity Data'!$A6)+SUMIFS(SAm!$T$3:$T$79,SAm!$F$3:$F$79,'SAm Capacity Data'!AF$22,SAm!$U$3:$U$79,'SAm Capacity Data'!$A6)</f>
        <v>0</v>
      </c>
      <c r="AG6" s="8"/>
    </row>
    <row r="7" spans="1:33" ht="15" customHeight="1">
      <c r="A7" s="9" t="s">
        <v>9</v>
      </c>
      <c r="B7" s="10">
        <f>SUMIFS(SAm!$R$3:$R$79,SAm!$F$3:$F$79,"&lt;"&amp;'SAm Capacity Data'!C$2,SAm!$U$3:$U$79,'SAm Capacity Data'!$A7)+SUMIFS(SAm!$T$3:$T$79,SAm!$F$3:$F$79,"&lt;"&amp;'SAm Capacity Data'!C$2,SAm!$U$3:$U$79,'SAm Capacity Data'!$A7)</f>
        <v>0</v>
      </c>
      <c r="C7" s="10">
        <f>SUMIFS(SAm!$R$3:$R$79,SAm!$F$3:$F$79,'SAm Capacity Data'!C$2,SAm!$U$3:$U$79,'SAm Capacity Data'!$A7)+SUMIFS(SAm!$T$3:$T$79,SAm!$F$3:$F$79,'SAm Capacity Data'!C$22,SAm!$U$3:$U$79,'SAm Capacity Data'!$A7)</f>
        <v>0</v>
      </c>
      <c r="D7" s="10">
        <f>SUMIFS(SAm!$R$3:$R$79,SAm!$F$3:$F$79,'SAm Capacity Data'!D$2,SAm!$U$3:$U$79,'SAm Capacity Data'!$A7)+SUMIFS(SAm!$T$3:$T$79,SAm!$F$3:$F$79,'SAm Capacity Data'!D$22,SAm!$U$3:$U$79,'SAm Capacity Data'!$A7)</f>
        <v>0</v>
      </c>
      <c r="E7" s="10">
        <f>SUMIFS(SAm!$R$3:$R$79,SAm!$F$3:$F$79,'SAm Capacity Data'!E$2,SAm!$U$3:$U$79,'SAm Capacity Data'!$A7)+SUMIFS(SAm!$T$3:$T$79,SAm!$F$3:$F$79,'SAm Capacity Data'!E$22,SAm!$U$3:$U$79,'SAm Capacity Data'!$A7)</f>
        <v>0</v>
      </c>
      <c r="F7" s="267">
        <f>SUMIFS(SAm!$R$3:$R$79,SAm!$F$3:$F$79,'SAm Capacity Data'!F$2,SAm!$U$3:$U$79,'SAm Capacity Data'!$A7)+SUMIFS(SAm!$T$3:$T$79,SAm!$F$3:$F$79,'SAm Capacity Data'!F$22,SAm!$U$3:$U$79,'SAm Capacity Data'!$A7)</f>
        <v>0</v>
      </c>
      <c r="G7" s="267">
        <f>SUMIFS(SAm!$R$3:$R$79,SAm!$F$3:$F$79,'SAm Capacity Data'!G$2,SAm!$U$3:$U$79,'SAm Capacity Data'!$A7)+SUMIFS(SAm!$T$3:$T$79,SAm!$F$3:$F$79,'SAm Capacity Data'!G$22,SAm!$U$3:$U$79,'SAm Capacity Data'!$A7)</f>
        <v>0</v>
      </c>
      <c r="H7" s="267">
        <f>SUMIFS(SAm!$R$3:$R$79,SAm!$F$3:$F$79,'SAm Capacity Data'!H$2,SAm!$U$3:$U$79,'SAm Capacity Data'!$A7)+SUMIFS(SAm!$T$3:$T$79,SAm!$F$3:$F$79,'SAm Capacity Data'!H$22,SAm!$U$3:$U$79,'SAm Capacity Data'!$A7)</f>
        <v>0</v>
      </c>
      <c r="I7" s="267">
        <f>SUMIFS(SAm!$R$3:$R$79,SAm!$F$3:$F$79,'SAm Capacity Data'!I$2,SAm!$U$3:$U$79,'SAm Capacity Data'!$A7)+SUMIFS(SAm!$T$3:$T$79,SAm!$F$3:$F$79,'SAm Capacity Data'!I$22,SAm!$U$3:$U$79,'SAm Capacity Data'!$A7)</f>
        <v>0</v>
      </c>
      <c r="J7" s="267">
        <f>SUMIFS(SAm!$R$3:$R$79,SAm!$F$3:$F$79,'SAm Capacity Data'!J$2,SAm!$U$3:$U$79,'SAm Capacity Data'!$A7)+SUMIFS(SAm!$T$3:$T$79,SAm!$F$3:$F$79,'SAm Capacity Data'!J$22,SAm!$U$3:$U$79,'SAm Capacity Data'!$A7)</f>
        <v>0</v>
      </c>
      <c r="K7" s="267">
        <f>SUMIFS(SAm!$R$3:$R$79,SAm!$F$3:$F$79,'SAm Capacity Data'!K$2,SAm!$U$3:$U$79,'SAm Capacity Data'!$A7)+SUMIFS(SAm!$T$3:$T$79,SAm!$F$3:$F$79,'SAm Capacity Data'!K$22,SAm!$U$3:$U$79,'SAm Capacity Data'!$A7)</f>
        <v>0</v>
      </c>
      <c r="L7" s="267">
        <f>SUMIFS(SAm!$R$3:$R$79,SAm!$F$3:$F$79,'SAm Capacity Data'!L$2,SAm!$U$3:$U$79,'SAm Capacity Data'!$A7)+SUMIFS(SAm!$T$3:$T$79,SAm!$F$3:$F$79,'SAm Capacity Data'!L$22,SAm!$U$3:$U$79,'SAm Capacity Data'!$A7)</f>
        <v>0</v>
      </c>
      <c r="M7" s="267">
        <f>SUMIFS(SAm!$R$3:$R$79,SAm!$F$3:$F$79,'SAm Capacity Data'!M$2,SAm!$U$3:$U$79,'SAm Capacity Data'!$A7)+SUMIFS(SAm!$T$3:$T$79,SAm!$F$3:$F$79,'SAm Capacity Data'!M$22,SAm!$U$3:$U$79,'SAm Capacity Data'!$A7)</f>
        <v>0</v>
      </c>
      <c r="N7" s="267">
        <f>SUMIFS(SAm!$R$3:$R$79,SAm!$F$3:$F$79,'SAm Capacity Data'!N$2,SAm!$U$3:$U$79,'SAm Capacity Data'!$A7)+SUMIFS(SAm!$T$3:$T$79,SAm!$F$3:$F$79,'SAm Capacity Data'!N$22,SAm!$U$3:$U$79,'SAm Capacity Data'!$A7)</f>
        <v>0</v>
      </c>
      <c r="O7" s="267">
        <f>SUMIFS(SAm!$R$3:$R$79,SAm!$F$3:$F$79,'SAm Capacity Data'!O$2,SAm!$U$3:$U$79,'SAm Capacity Data'!$A7)+SUMIFS(SAm!$T$3:$T$79,SAm!$F$3:$F$79,'SAm Capacity Data'!O$22,SAm!$U$3:$U$79,'SAm Capacity Data'!$A7)</f>
        <v>0</v>
      </c>
      <c r="P7" s="267">
        <f>SUMIFS(SAm!$R$3:$R$79,SAm!$F$3:$F$79,'SAm Capacity Data'!P$2,SAm!$U$3:$U$79,'SAm Capacity Data'!$A7)+SUMIFS(SAm!$T$3:$T$79,SAm!$F$3:$F$79,'SAm Capacity Data'!P$22,SAm!$U$3:$U$79,'SAm Capacity Data'!$A7)</f>
        <v>0</v>
      </c>
      <c r="Q7" s="267">
        <f>SUMIFS(SAm!$R$3:$R$79,SAm!$F$3:$F$79,'SAm Capacity Data'!Q$2,SAm!$U$3:$U$79,'SAm Capacity Data'!$A7)+SUMIFS(SAm!$T$3:$T$79,SAm!$F$3:$F$79,'SAm Capacity Data'!Q$22,SAm!$U$3:$U$79,'SAm Capacity Data'!$A7)</f>
        <v>0</v>
      </c>
      <c r="R7" s="267">
        <f>SUMIFS(SAm!$R$3:$R$79,SAm!$F$3:$F$79,'SAm Capacity Data'!R$2,SAm!$U$3:$U$79,'SAm Capacity Data'!$A7)+SUMIFS(SAm!$T$3:$T$79,SAm!$F$3:$F$79,'SAm Capacity Data'!R$22,SAm!$U$3:$U$79,'SAm Capacity Data'!$A7)</f>
        <v>0</v>
      </c>
      <c r="S7" s="267">
        <f>SUMIFS(SAm!$R$3:$R$79,SAm!$F$3:$F$79,'SAm Capacity Data'!S$2,SAm!$U$3:$U$79,'SAm Capacity Data'!$A7)+SUMIFS(SAm!$T$3:$T$79,SAm!$F$3:$F$79,'SAm Capacity Data'!S$22,SAm!$U$3:$U$79,'SAm Capacity Data'!$A7)</f>
        <v>0</v>
      </c>
      <c r="T7" s="267">
        <f>SUMIFS(SAm!$R$3:$R$79,SAm!$F$3:$F$79,'SAm Capacity Data'!T$2,SAm!$U$3:$U$79,'SAm Capacity Data'!$A7)+SUMIFS(SAm!$T$3:$T$79,SAm!$F$3:$F$79,'SAm Capacity Data'!T$22,SAm!$U$3:$U$79,'SAm Capacity Data'!$A7)</f>
        <v>0</v>
      </c>
      <c r="U7" s="267">
        <f>SUMIFS(SAm!$R$3:$R$79,SAm!$F$3:$F$79,'SAm Capacity Data'!U$2,SAm!$U$3:$U$79,'SAm Capacity Data'!$A7)+SUMIFS(SAm!$T$3:$T$79,SAm!$F$3:$F$79,'SAm Capacity Data'!U$22,SAm!$U$3:$U$79,'SAm Capacity Data'!$A7)</f>
        <v>0</v>
      </c>
      <c r="V7" s="267">
        <f>SUMIFS(SAm!$R$3:$R$79,SAm!$F$3:$F$79,'SAm Capacity Data'!V$2,SAm!$U$3:$U$79,'SAm Capacity Data'!$A7)+SUMIFS(SAm!$T$3:$T$79,SAm!$F$3:$F$79,'SAm Capacity Data'!V$22,SAm!$U$3:$U$79,'SAm Capacity Data'!$A7)</f>
        <v>0</v>
      </c>
      <c r="W7" s="267">
        <f>SUMIFS(SAm!$R$3:$R$79,SAm!$F$3:$F$79,'SAm Capacity Data'!W$2,SAm!$U$3:$U$79,'SAm Capacity Data'!$A7)+SUMIFS(SAm!$T$3:$T$79,SAm!$F$3:$F$79,'SAm Capacity Data'!W$22,SAm!$U$3:$U$79,'SAm Capacity Data'!$A7)</f>
        <v>0</v>
      </c>
      <c r="X7" s="267">
        <f>SUMIFS(SAm!$R$3:$R$79,SAm!$F$3:$F$79,'SAm Capacity Data'!X$2,SAm!$U$3:$U$79,'SAm Capacity Data'!$A7)+SUMIFS(SAm!$T$3:$T$79,SAm!$F$3:$F$79,'SAm Capacity Data'!X$22,SAm!$U$3:$U$79,'SAm Capacity Data'!$A7)</f>
        <v>0</v>
      </c>
      <c r="Y7" s="267">
        <f>SUMIFS(SAm!$R$3:$R$79,SAm!$F$3:$F$79,'SAm Capacity Data'!Y$2,SAm!$U$3:$U$79,'SAm Capacity Data'!$A7)+SUMIFS(SAm!$T$3:$T$79,SAm!$F$3:$F$79,'SAm Capacity Data'!Y$22,SAm!$U$3:$U$79,'SAm Capacity Data'!$A7)</f>
        <v>0</v>
      </c>
      <c r="Z7" s="267">
        <f>SUMIFS(SAm!$R$3:$R$79,SAm!$F$3:$F$79,'SAm Capacity Data'!Z$2,SAm!$U$3:$U$79,'SAm Capacity Data'!$A7)+SUMIFS(SAm!$T$3:$T$79,SAm!$F$3:$F$79,'SAm Capacity Data'!Z$22,SAm!$U$3:$U$79,'SAm Capacity Data'!$A7)</f>
        <v>0</v>
      </c>
      <c r="AA7" s="267">
        <f>SUMIFS(SAm!$R$3:$R$79,SAm!$F$3:$F$79,'SAm Capacity Data'!AA$2,SAm!$U$3:$U$79,'SAm Capacity Data'!$A7)+SUMIFS(SAm!$T$3:$T$79,SAm!$F$3:$F$79,'SAm Capacity Data'!AA$22,SAm!$U$3:$U$79,'SAm Capacity Data'!$A7)</f>
        <v>0</v>
      </c>
      <c r="AB7" s="267">
        <f>SUMIFS(SAm!$R$3:$R$79,SAm!$F$3:$F$79,'SAm Capacity Data'!AB$2,SAm!$U$3:$U$79,'SAm Capacity Data'!$A7)+SUMIFS(SAm!$T$3:$T$79,SAm!$F$3:$F$79,'SAm Capacity Data'!AB$22,SAm!$U$3:$U$79,'SAm Capacity Data'!$A7)</f>
        <v>0</v>
      </c>
      <c r="AC7" s="267">
        <f>SUMIFS(SAm!$R$3:$R$79,SAm!$F$3:$F$79,'SAm Capacity Data'!AC$2,SAm!$U$3:$U$79,'SAm Capacity Data'!$A7)+SUMIFS(SAm!$T$3:$T$79,SAm!$F$3:$F$79,'SAm Capacity Data'!AC$22,SAm!$U$3:$U$79,'SAm Capacity Data'!$A7)</f>
        <v>0</v>
      </c>
      <c r="AD7" s="267">
        <f>SUMIFS(SAm!$R$3:$R$79,SAm!$F$3:$F$79,'SAm Capacity Data'!AD$2,SAm!$U$3:$U$79,'SAm Capacity Data'!$A7)+SUMIFS(SAm!$T$3:$T$79,SAm!$F$3:$F$79,'SAm Capacity Data'!AD$22,SAm!$U$3:$U$79,'SAm Capacity Data'!$A7)</f>
        <v>0</v>
      </c>
      <c r="AE7" s="267">
        <f>SUMIFS(SAm!$R$3:$R$79,SAm!$F$3:$F$79,'SAm Capacity Data'!AE$2,SAm!$U$3:$U$79,'SAm Capacity Data'!$A7)+SUMIFS(SAm!$T$3:$T$79,SAm!$F$3:$F$79,'SAm Capacity Data'!AE$22,SAm!$U$3:$U$79,'SAm Capacity Data'!$A7)</f>
        <v>0</v>
      </c>
      <c r="AF7" s="267">
        <f>SUMIFS(SAm!$R$3:$R$79,SAm!$F$3:$F$79,'SAm Capacity Data'!AF$2,SAm!$U$3:$U$79,'SAm Capacity Data'!$A7)+SUMIFS(SAm!$T$3:$T$79,SAm!$F$3:$F$79,'SAm Capacity Data'!AF$22,SAm!$U$3:$U$79,'SAm Capacity Data'!$A7)</f>
        <v>0</v>
      </c>
      <c r="AG7" s="8"/>
    </row>
    <row r="8" spans="1:33" ht="15" customHeight="1">
      <c r="A8" s="9" t="s">
        <v>10</v>
      </c>
      <c r="B8" s="10">
        <f>SUMIFS(SAm!$R$3:$R$79,SAm!$F$3:$F$79,"&lt;"&amp;'SAm Capacity Data'!C$2,SAm!$U$3:$U$79,'SAm Capacity Data'!$A8)+SUMIFS(SAm!$T$3:$T$79,SAm!$F$3:$F$79,"&lt;"&amp;'SAm Capacity Data'!C$2,SAm!$U$3:$U$79,'SAm Capacity Data'!$A8)</f>
        <v>0</v>
      </c>
      <c r="C8" s="10">
        <f>SUMIFS(SAm!$R$3:$R$79,SAm!$F$3:$F$79,'SAm Capacity Data'!C$2,SAm!$U$3:$U$79,'SAm Capacity Data'!$A8)+SUMIFS(SAm!$T$3:$T$79,SAm!$F$3:$F$79,'SAm Capacity Data'!C$22,SAm!$U$3:$U$79,'SAm Capacity Data'!$A8)</f>
        <v>0</v>
      </c>
      <c r="D8" s="10">
        <f>SUMIFS(SAm!$R$3:$R$79,SAm!$F$3:$F$79,'SAm Capacity Data'!D$2,SAm!$U$3:$U$79,'SAm Capacity Data'!$A8)+SUMIFS(SAm!$T$3:$T$79,SAm!$F$3:$F$79,'SAm Capacity Data'!D$22,SAm!$U$3:$U$79,'SAm Capacity Data'!$A8)</f>
        <v>0</v>
      </c>
      <c r="E8" s="10">
        <f>SUMIFS(SAm!$R$3:$R$79,SAm!$F$3:$F$79,'SAm Capacity Data'!E$2,SAm!$U$3:$U$79,'SAm Capacity Data'!$A8)+SUMIFS(SAm!$T$3:$T$79,SAm!$F$3:$F$79,'SAm Capacity Data'!E$22,SAm!$U$3:$U$79,'SAm Capacity Data'!$A8)</f>
        <v>0</v>
      </c>
      <c r="F8" s="267">
        <f>SUMIFS(SAm!$R$3:$R$79,SAm!$F$3:$F$79,'SAm Capacity Data'!F$2,SAm!$U$3:$U$79,'SAm Capacity Data'!$A8)+SUMIFS(SAm!$T$3:$T$79,SAm!$F$3:$F$79,'SAm Capacity Data'!F$22,SAm!$U$3:$U$79,'SAm Capacity Data'!$A8)</f>
        <v>0</v>
      </c>
      <c r="G8" s="267">
        <f>SUMIFS(SAm!$R$3:$R$79,SAm!$F$3:$F$79,'SAm Capacity Data'!G$2,SAm!$U$3:$U$79,'SAm Capacity Data'!$A8)+SUMIFS(SAm!$T$3:$T$79,SAm!$F$3:$F$79,'SAm Capacity Data'!G$22,SAm!$U$3:$U$79,'SAm Capacity Data'!$A8)</f>
        <v>0</v>
      </c>
      <c r="H8" s="267">
        <f>SUMIFS(SAm!$R$3:$R$79,SAm!$F$3:$F$79,'SAm Capacity Data'!H$2,SAm!$U$3:$U$79,'SAm Capacity Data'!$A8)+SUMIFS(SAm!$T$3:$T$79,SAm!$F$3:$F$79,'SAm Capacity Data'!H$22,SAm!$U$3:$U$79,'SAm Capacity Data'!$A8)</f>
        <v>0</v>
      </c>
      <c r="I8" s="267">
        <f>SUMIFS(SAm!$R$3:$R$79,SAm!$F$3:$F$79,'SAm Capacity Data'!I$2,SAm!$U$3:$U$79,'SAm Capacity Data'!$A8)+SUMIFS(SAm!$T$3:$T$79,SAm!$F$3:$F$79,'SAm Capacity Data'!I$22,SAm!$U$3:$U$79,'SAm Capacity Data'!$A8)</f>
        <v>0</v>
      </c>
      <c r="J8" s="267">
        <f>SUMIFS(SAm!$R$3:$R$79,SAm!$F$3:$F$79,'SAm Capacity Data'!J$2,SAm!$U$3:$U$79,'SAm Capacity Data'!$A8)+SUMIFS(SAm!$T$3:$T$79,SAm!$F$3:$F$79,'SAm Capacity Data'!J$22,SAm!$U$3:$U$79,'SAm Capacity Data'!$A8)</f>
        <v>4.1391</v>
      </c>
      <c r="K8" s="267">
        <f>SUMIFS(SAm!$R$3:$R$79,SAm!$F$3:$F$79,'SAm Capacity Data'!K$2,SAm!$U$3:$U$79,'SAm Capacity Data'!$A8)+SUMIFS(SAm!$T$3:$T$79,SAm!$F$3:$F$79,'SAm Capacity Data'!K$22,SAm!$U$3:$U$79,'SAm Capacity Data'!$A8)</f>
        <v>0</v>
      </c>
      <c r="L8" s="267">
        <f>SUMIFS(SAm!$R$3:$R$79,SAm!$F$3:$F$79,'SAm Capacity Data'!L$2,SAm!$U$3:$U$79,'SAm Capacity Data'!$A8)+SUMIFS(SAm!$T$3:$T$79,SAm!$F$3:$F$79,'SAm Capacity Data'!L$22,SAm!$U$3:$U$79,'SAm Capacity Data'!$A8)</f>
        <v>0</v>
      </c>
      <c r="M8" s="267">
        <f>SUMIFS(SAm!$R$3:$R$79,SAm!$F$3:$F$79,'SAm Capacity Data'!M$2,SAm!$U$3:$U$79,'SAm Capacity Data'!$A8)+SUMIFS(SAm!$T$3:$T$79,SAm!$F$3:$F$79,'SAm Capacity Data'!M$22,SAm!$U$3:$U$79,'SAm Capacity Data'!$A8)</f>
        <v>0</v>
      </c>
      <c r="N8" s="267">
        <f>SUMIFS(SAm!$R$3:$R$79,SAm!$F$3:$F$79,'SAm Capacity Data'!N$2,SAm!$U$3:$U$79,'SAm Capacity Data'!$A8)+SUMIFS(SAm!$T$3:$T$79,SAm!$F$3:$F$79,'SAm Capacity Data'!N$22,SAm!$U$3:$U$79,'SAm Capacity Data'!$A8)</f>
        <v>0</v>
      </c>
      <c r="O8" s="267">
        <f>SUMIFS(SAm!$R$3:$R$79,SAm!$F$3:$F$79,'SAm Capacity Data'!O$2,SAm!$U$3:$U$79,'SAm Capacity Data'!$A8)+SUMIFS(SAm!$T$3:$T$79,SAm!$F$3:$F$79,'SAm Capacity Data'!O$22,SAm!$U$3:$U$79,'SAm Capacity Data'!$A8)</f>
        <v>0</v>
      </c>
      <c r="P8" s="267">
        <f>SUMIFS(SAm!$R$3:$R$79,SAm!$F$3:$F$79,'SAm Capacity Data'!P$2,SAm!$U$3:$U$79,'SAm Capacity Data'!$A8)+SUMIFS(SAm!$T$3:$T$79,SAm!$F$3:$F$79,'SAm Capacity Data'!P$22,SAm!$U$3:$U$79,'SAm Capacity Data'!$A8)</f>
        <v>0</v>
      </c>
      <c r="Q8" s="267">
        <f>SUMIFS(SAm!$R$3:$R$79,SAm!$F$3:$F$79,'SAm Capacity Data'!Q$2,SAm!$U$3:$U$79,'SAm Capacity Data'!$A8)+SUMIFS(SAm!$T$3:$T$79,SAm!$F$3:$F$79,'SAm Capacity Data'!Q$22,SAm!$U$3:$U$79,'SAm Capacity Data'!$A8)</f>
        <v>0</v>
      </c>
      <c r="R8" s="267">
        <f>SUMIFS(SAm!$R$3:$R$79,SAm!$F$3:$F$79,'SAm Capacity Data'!R$2,SAm!$U$3:$U$79,'SAm Capacity Data'!$A8)+SUMIFS(SAm!$T$3:$T$79,SAm!$F$3:$F$79,'SAm Capacity Data'!R$22,SAm!$U$3:$U$79,'SAm Capacity Data'!$A8)</f>
        <v>0</v>
      </c>
      <c r="S8" s="267">
        <f>SUMIFS(SAm!$R$3:$R$79,SAm!$F$3:$F$79,'SAm Capacity Data'!S$2,SAm!$U$3:$U$79,'SAm Capacity Data'!$A8)+SUMIFS(SAm!$T$3:$T$79,SAm!$F$3:$F$79,'SAm Capacity Data'!S$22,SAm!$U$3:$U$79,'SAm Capacity Data'!$A8)</f>
        <v>0</v>
      </c>
      <c r="T8" s="267">
        <f>SUMIFS(SAm!$R$3:$R$79,SAm!$F$3:$F$79,'SAm Capacity Data'!T$2,SAm!$U$3:$U$79,'SAm Capacity Data'!$A8)+SUMIFS(SAm!$T$3:$T$79,SAm!$F$3:$F$79,'SAm Capacity Data'!T$22,SAm!$U$3:$U$79,'SAm Capacity Data'!$A8)</f>
        <v>0</v>
      </c>
      <c r="U8" s="267">
        <f>SUMIFS(SAm!$R$3:$R$79,SAm!$F$3:$F$79,'SAm Capacity Data'!U$2,SAm!$U$3:$U$79,'SAm Capacity Data'!$A8)+SUMIFS(SAm!$T$3:$T$79,SAm!$F$3:$F$79,'SAm Capacity Data'!U$22,SAm!$U$3:$U$79,'SAm Capacity Data'!$A8)</f>
        <v>0</v>
      </c>
      <c r="V8" s="267">
        <f>SUMIFS(SAm!$R$3:$R$79,SAm!$F$3:$F$79,'SAm Capacity Data'!V$2,SAm!$U$3:$U$79,'SAm Capacity Data'!$A8)+SUMIFS(SAm!$T$3:$T$79,SAm!$F$3:$F$79,'SAm Capacity Data'!V$22,SAm!$U$3:$U$79,'SAm Capacity Data'!$A8)</f>
        <v>0</v>
      </c>
      <c r="W8" s="267">
        <f>SUMIFS(SAm!$R$3:$R$79,SAm!$F$3:$F$79,'SAm Capacity Data'!W$2,SAm!$U$3:$U$79,'SAm Capacity Data'!$A8)+SUMIFS(SAm!$T$3:$T$79,SAm!$F$3:$F$79,'SAm Capacity Data'!W$22,SAm!$U$3:$U$79,'SAm Capacity Data'!$A8)</f>
        <v>0</v>
      </c>
      <c r="X8" s="267">
        <f>SUMIFS(SAm!$R$3:$R$79,SAm!$F$3:$F$79,'SAm Capacity Data'!X$2,SAm!$U$3:$U$79,'SAm Capacity Data'!$A8)+SUMIFS(SAm!$T$3:$T$79,SAm!$F$3:$F$79,'SAm Capacity Data'!X$22,SAm!$U$3:$U$79,'SAm Capacity Data'!$A8)</f>
        <v>0</v>
      </c>
      <c r="Y8" s="267">
        <f>SUMIFS(SAm!$R$3:$R$79,SAm!$F$3:$F$79,'SAm Capacity Data'!Y$2,SAm!$U$3:$U$79,'SAm Capacity Data'!$A8)+SUMIFS(SAm!$T$3:$T$79,SAm!$F$3:$F$79,'SAm Capacity Data'!Y$22,SAm!$U$3:$U$79,'SAm Capacity Data'!$A8)</f>
        <v>0</v>
      </c>
      <c r="Z8" s="267">
        <f>SUMIFS(SAm!$R$3:$R$79,SAm!$F$3:$F$79,'SAm Capacity Data'!Z$2,SAm!$U$3:$U$79,'SAm Capacity Data'!$A8)+SUMIFS(SAm!$T$3:$T$79,SAm!$F$3:$F$79,'SAm Capacity Data'!Z$22,SAm!$U$3:$U$79,'SAm Capacity Data'!$A8)</f>
        <v>0</v>
      </c>
      <c r="AA8" s="267">
        <f>SUMIFS(SAm!$R$3:$R$79,SAm!$F$3:$F$79,'SAm Capacity Data'!AA$2,SAm!$U$3:$U$79,'SAm Capacity Data'!$A8)+SUMIFS(SAm!$T$3:$T$79,SAm!$F$3:$F$79,'SAm Capacity Data'!AA$22,SAm!$U$3:$U$79,'SAm Capacity Data'!$A8)</f>
        <v>0</v>
      </c>
      <c r="AB8" s="267">
        <f>SUMIFS(SAm!$R$3:$R$79,SAm!$F$3:$F$79,'SAm Capacity Data'!AB$2,SAm!$U$3:$U$79,'SAm Capacity Data'!$A8)+SUMIFS(SAm!$T$3:$T$79,SAm!$F$3:$F$79,'SAm Capacity Data'!AB$22,SAm!$U$3:$U$79,'SAm Capacity Data'!$A8)</f>
        <v>0</v>
      </c>
      <c r="AC8" s="267">
        <f>SUMIFS(SAm!$R$3:$R$79,SAm!$F$3:$F$79,'SAm Capacity Data'!AC$2,SAm!$U$3:$U$79,'SAm Capacity Data'!$A8)+SUMIFS(SAm!$T$3:$T$79,SAm!$F$3:$F$79,'SAm Capacity Data'!AC$22,SAm!$U$3:$U$79,'SAm Capacity Data'!$A8)</f>
        <v>0</v>
      </c>
      <c r="AD8" s="267">
        <f>SUMIFS(SAm!$R$3:$R$79,SAm!$F$3:$F$79,'SAm Capacity Data'!AD$2,SAm!$U$3:$U$79,'SAm Capacity Data'!$A8)+SUMIFS(SAm!$T$3:$T$79,SAm!$F$3:$F$79,'SAm Capacity Data'!AD$22,SAm!$U$3:$U$79,'SAm Capacity Data'!$A8)</f>
        <v>0</v>
      </c>
      <c r="AE8" s="267">
        <f>SUMIFS(SAm!$R$3:$R$79,SAm!$F$3:$F$79,'SAm Capacity Data'!AE$2,SAm!$U$3:$U$79,'SAm Capacity Data'!$A8)+SUMIFS(SAm!$T$3:$T$79,SAm!$F$3:$F$79,'SAm Capacity Data'!AE$22,SAm!$U$3:$U$79,'SAm Capacity Data'!$A8)</f>
        <v>0</v>
      </c>
      <c r="AF8" s="267">
        <f>SUMIFS(SAm!$R$3:$R$79,SAm!$F$3:$F$79,'SAm Capacity Data'!AF$2,SAm!$U$3:$U$79,'SAm Capacity Data'!$A8)+SUMIFS(SAm!$T$3:$T$79,SAm!$F$3:$F$79,'SAm Capacity Data'!AF$22,SAm!$U$3:$U$79,'SAm Capacity Data'!$A8)</f>
        <v>0</v>
      </c>
      <c r="AG8" s="8"/>
    </row>
    <row r="9" spans="1:33" ht="15" customHeight="1" thickBot="1">
      <c r="A9" s="11" t="s">
        <v>11</v>
      </c>
      <c r="B9" s="12">
        <f>SUM(B3:B8)</f>
        <v>0</v>
      </c>
      <c r="C9" s="12">
        <f>SUM(C3:C8)</f>
        <v>0</v>
      </c>
      <c r="D9" s="12">
        <f t="shared" ref="D9:AF9" si="0">SUM(D3:D8)</f>
        <v>0</v>
      </c>
      <c r="E9" s="12">
        <f t="shared" si="0"/>
        <v>0</v>
      </c>
      <c r="F9" s="268">
        <f t="shared" si="0"/>
        <v>0</v>
      </c>
      <c r="G9" s="268">
        <f t="shared" si="0"/>
        <v>117.65400000000001</v>
      </c>
      <c r="H9" s="268">
        <f t="shared" si="0"/>
        <v>49.5</v>
      </c>
      <c r="I9" s="268">
        <f t="shared" si="0"/>
        <v>91.5</v>
      </c>
      <c r="J9" s="268">
        <f t="shared" si="0"/>
        <v>71.591100000000012</v>
      </c>
      <c r="K9" s="268">
        <f t="shared" si="0"/>
        <v>25.025000000000002</v>
      </c>
      <c r="L9" s="268">
        <f t="shared" si="0"/>
        <v>124.40949999999999</v>
      </c>
      <c r="M9" s="268">
        <f t="shared" si="0"/>
        <v>0.66797499999999999</v>
      </c>
      <c r="N9" s="268">
        <f t="shared" si="0"/>
        <v>0</v>
      </c>
      <c r="O9" s="268">
        <f t="shared" si="0"/>
        <v>0</v>
      </c>
      <c r="P9" s="268">
        <f t="shared" si="0"/>
        <v>0</v>
      </c>
      <c r="Q9" s="268">
        <f t="shared" si="0"/>
        <v>0</v>
      </c>
      <c r="R9" s="268">
        <f t="shared" si="0"/>
        <v>0</v>
      </c>
      <c r="S9" s="268">
        <f t="shared" si="0"/>
        <v>0</v>
      </c>
      <c r="T9" s="268">
        <f t="shared" si="0"/>
        <v>0</v>
      </c>
      <c r="U9" s="268">
        <f t="shared" si="0"/>
        <v>0</v>
      </c>
      <c r="V9" s="268">
        <f t="shared" si="0"/>
        <v>0</v>
      </c>
      <c r="W9" s="268">
        <f t="shared" si="0"/>
        <v>0</v>
      </c>
      <c r="X9" s="268">
        <f t="shared" si="0"/>
        <v>0</v>
      </c>
      <c r="Y9" s="268">
        <f t="shared" si="0"/>
        <v>0</v>
      </c>
      <c r="Z9" s="268">
        <f t="shared" si="0"/>
        <v>0</v>
      </c>
      <c r="AA9" s="268">
        <f t="shared" si="0"/>
        <v>0</v>
      </c>
      <c r="AB9" s="268">
        <f t="shared" si="0"/>
        <v>0</v>
      </c>
      <c r="AC9" s="268">
        <f t="shared" si="0"/>
        <v>0</v>
      </c>
      <c r="AD9" s="268">
        <f t="shared" si="0"/>
        <v>0</v>
      </c>
      <c r="AE9" s="268">
        <f t="shared" si="0"/>
        <v>0</v>
      </c>
      <c r="AF9" s="268">
        <f t="shared" si="0"/>
        <v>0</v>
      </c>
      <c r="AG9" s="152"/>
    </row>
    <row r="10" spans="1:33" ht="15" customHeight="1">
      <c r="A10" s="14"/>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5" customHeight="1" thickBot="1">
      <c r="A11" s="16" t="s">
        <v>524</v>
      </c>
      <c r="B11" s="15"/>
      <c r="C11" s="15"/>
      <c r="D11" s="15"/>
      <c r="E11" s="15"/>
      <c r="F11" s="15"/>
      <c r="G11" s="15"/>
      <c r="H11" s="15"/>
      <c r="I11" s="15"/>
      <c r="J11" s="15"/>
      <c r="K11" s="15"/>
      <c r="L11" s="15"/>
      <c r="M11" s="15"/>
      <c r="N11" s="15"/>
      <c r="O11" s="15"/>
      <c r="P11" s="15"/>
    </row>
    <row r="12" spans="1:33" ht="15" customHeight="1" thickBot="1">
      <c r="A12" s="17" t="s">
        <v>3</v>
      </c>
      <c r="B12" s="18" t="str">
        <f t="shared" ref="B12:B18" si="1">B2</f>
        <v>&lt; 2021</v>
      </c>
      <c r="C12" s="18">
        <f t="shared" ref="C12:AF12" si="2">C2</f>
        <v>2021</v>
      </c>
      <c r="D12" s="18">
        <f t="shared" si="2"/>
        <v>2022</v>
      </c>
      <c r="E12" s="18">
        <f t="shared" si="2"/>
        <v>2023</v>
      </c>
      <c r="F12" s="18">
        <f t="shared" si="2"/>
        <v>2024</v>
      </c>
      <c r="G12" s="18">
        <f t="shared" si="2"/>
        <v>2025</v>
      </c>
      <c r="H12" s="18">
        <f t="shared" si="2"/>
        <v>2026</v>
      </c>
      <c r="I12" s="18">
        <f t="shared" si="2"/>
        <v>2027</v>
      </c>
      <c r="J12" s="18">
        <f t="shared" si="2"/>
        <v>2028</v>
      </c>
      <c r="K12" s="18">
        <f t="shared" si="2"/>
        <v>2029</v>
      </c>
      <c r="L12" s="18">
        <f t="shared" si="2"/>
        <v>2030</v>
      </c>
      <c r="M12" s="18">
        <f t="shared" si="2"/>
        <v>2031</v>
      </c>
      <c r="N12" s="18">
        <f t="shared" si="2"/>
        <v>2032</v>
      </c>
      <c r="O12" s="18">
        <f t="shared" si="2"/>
        <v>2033</v>
      </c>
      <c r="P12" s="18">
        <f t="shared" si="2"/>
        <v>2034</v>
      </c>
      <c r="Q12" s="18">
        <f t="shared" si="2"/>
        <v>2035</v>
      </c>
      <c r="R12" s="18">
        <f t="shared" si="2"/>
        <v>2036</v>
      </c>
      <c r="S12" s="18">
        <f t="shared" si="2"/>
        <v>2037</v>
      </c>
      <c r="T12" s="18">
        <f t="shared" si="2"/>
        <v>2038</v>
      </c>
      <c r="U12" s="18">
        <f t="shared" si="2"/>
        <v>2039</v>
      </c>
      <c r="V12" s="18">
        <f t="shared" si="2"/>
        <v>2040</v>
      </c>
      <c r="W12" s="18">
        <f t="shared" si="2"/>
        <v>2041</v>
      </c>
      <c r="X12" s="18">
        <f t="shared" si="2"/>
        <v>2042</v>
      </c>
      <c r="Y12" s="18">
        <f t="shared" si="2"/>
        <v>2043</v>
      </c>
      <c r="Z12" s="18">
        <f t="shared" si="2"/>
        <v>2044</v>
      </c>
      <c r="AA12" s="18">
        <f t="shared" si="2"/>
        <v>2045</v>
      </c>
      <c r="AB12" s="18">
        <f t="shared" si="2"/>
        <v>2046</v>
      </c>
      <c r="AC12" s="18">
        <f t="shared" si="2"/>
        <v>2047</v>
      </c>
      <c r="AD12" s="18">
        <f t="shared" si="2"/>
        <v>2048</v>
      </c>
      <c r="AE12" s="18">
        <f t="shared" si="2"/>
        <v>2049</v>
      </c>
      <c r="AF12" s="18">
        <f t="shared" si="2"/>
        <v>2050</v>
      </c>
      <c r="AG12" s="153"/>
    </row>
    <row r="13" spans="1:33" ht="15" customHeight="1">
      <c r="A13" s="19" t="s">
        <v>5</v>
      </c>
      <c r="B13" s="10">
        <f t="shared" si="1"/>
        <v>0</v>
      </c>
      <c r="C13" s="10">
        <f>B13+C3</f>
        <v>0</v>
      </c>
      <c r="D13" s="10">
        <f t="shared" ref="D13:AF18" si="3">C13+D3</f>
        <v>0</v>
      </c>
      <c r="E13" s="10">
        <f t="shared" si="3"/>
        <v>0</v>
      </c>
      <c r="F13" s="267">
        <f t="shared" si="3"/>
        <v>0</v>
      </c>
      <c r="G13" s="267">
        <f t="shared" si="3"/>
        <v>117.60000000000001</v>
      </c>
      <c r="H13" s="267">
        <f t="shared" si="3"/>
        <v>167.10000000000002</v>
      </c>
      <c r="I13" s="267">
        <f t="shared" si="3"/>
        <v>258.60000000000002</v>
      </c>
      <c r="J13" s="267">
        <f t="shared" si="3"/>
        <v>326.05200000000002</v>
      </c>
      <c r="K13" s="267">
        <f t="shared" si="3"/>
        <v>351.077</v>
      </c>
      <c r="L13" s="267">
        <f t="shared" si="3"/>
        <v>397.41149999999999</v>
      </c>
      <c r="M13" s="267">
        <f t="shared" si="3"/>
        <v>397.41149999999999</v>
      </c>
      <c r="N13" s="267">
        <f t="shared" si="3"/>
        <v>397.41149999999999</v>
      </c>
      <c r="O13" s="267">
        <f t="shared" si="3"/>
        <v>397.41149999999999</v>
      </c>
      <c r="P13" s="267">
        <f t="shared" si="3"/>
        <v>397.41149999999999</v>
      </c>
      <c r="Q13" s="267">
        <f t="shared" si="3"/>
        <v>397.41149999999999</v>
      </c>
      <c r="R13" s="267">
        <f t="shared" si="3"/>
        <v>397.41149999999999</v>
      </c>
      <c r="S13" s="267">
        <f t="shared" si="3"/>
        <v>397.41149999999999</v>
      </c>
      <c r="T13" s="267">
        <f t="shared" si="3"/>
        <v>397.41149999999999</v>
      </c>
      <c r="U13" s="267">
        <f t="shared" si="3"/>
        <v>397.41149999999999</v>
      </c>
      <c r="V13" s="267">
        <f t="shared" si="3"/>
        <v>397.41149999999999</v>
      </c>
      <c r="W13" s="267">
        <f t="shared" si="3"/>
        <v>397.41149999999999</v>
      </c>
      <c r="X13" s="267">
        <f t="shared" si="3"/>
        <v>397.41149999999999</v>
      </c>
      <c r="Y13" s="267">
        <f t="shared" si="3"/>
        <v>397.41149999999999</v>
      </c>
      <c r="Z13" s="267">
        <f t="shared" si="3"/>
        <v>397.41149999999999</v>
      </c>
      <c r="AA13" s="267">
        <f t="shared" si="3"/>
        <v>397.41149999999999</v>
      </c>
      <c r="AB13" s="267">
        <f t="shared" si="3"/>
        <v>397.41149999999999</v>
      </c>
      <c r="AC13" s="267">
        <f t="shared" si="3"/>
        <v>397.41149999999999</v>
      </c>
      <c r="AD13" s="267">
        <f t="shared" si="3"/>
        <v>397.41149999999999</v>
      </c>
      <c r="AE13" s="267">
        <f t="shared" si="3"/>
        <v>397.41149999999999</v>
      </c>
      <c r="AF13" s="267">
        <f t="shared" si="3"/>
        <v>397.41149999999999</v>
      </c>
      <c r="AG13" s="8"/>
    </row>
    <row r="14" spans="1:33" ht="15" customHeight="1">
      <c r="A14" s="20" t="s">
        <v>6</v>
      </c>
      <c r="B14" s="10">
        <f t="shared" si="1"/>
        <v>0</v>
      </c>
      <c r="C14" s="10">
        <f>B14+C4</f>
        <v>0</v>
      </c>
      <c r="D14" s="10">
        <f t="shared" si="3"/>
        <v>0</v>
      </c>
      <c r="E14" s="10">
        <f t="shared" si="3"/>
        <v>0</v>
      </c>
      <c r="F14" s="267">
        <f t="shared" si="3"/>
        <v>0</v>
      </c>
      <c r="G14" s="267">
        <f t="shared" si="3"/>
        <v>0</v>
      </c>
      <c r="H14" s="267">
        <f t="shared" si="3"/>
        <v>0</v>
      </c>
      <c r="I14" s="267">
        <f t="shared" si="3"/>
        <v>0</v>
      </c>
      <c r="J14" s="267">
        <f t="shared" si="3"/>
        <v>0</v>
      </c>
      <c r="K14" s="267">
        <f t="shared" si="3"/>
        <v>0</v>
      </c>
      <c r="L14" s="267">
        <f t="shared" si="3"/>
        <v>15.614999999999998</v>
      </c>
      <c r="M14" s="267">
        <f t="shared" si="3"/>
        <v>15.614999999999998</v>
      </c>
      <c r="N14" s="267">
        <f t="shared" si="3"/>
        <v>15.614999999999998</v>
      </c>
      <c r="O14" s="267">
        <f t="shared" si="3"/>
        <v>15.614999999999998</v>
      </c>
      <c r="P14" s="267">
        <f t="shared" si="3"/>
        <v>15.614999999999998</v>
      </c>
      <c r="Q14" s="267">
        <f t="shared" si="3"/>
        <v>15.614999999999998</v>
      </c>
      <c r="R14" s="267">
        <f t="shared" si="3"/>
        <v>15.614999999999998</v>
      </c>
      <c r="S14" s="267">
        <f t="shared" si="3"/>
        <v>15.614999999999998</v>
      </c>
      <c r="T14" s="267">
        <f t="shared" si="3"/>
        <v>15.614999999999998</v>
      </c>
      <c r="U14" s="267">
        <f t="shared" si="3"/>
        <v>15.614999999999998</v>
      </c>
      <c r="V14" s="267">
        <f t="shared" si="3"/>
        <v>15.614999999999998</v>
      </c>
      <c r="W14" s="267">
        <f t="shared" si="3"/>
        <v>15.614999999999998</v>
      </c>
      <c r="X14" s="267">
        <f t="shared" si="3"/>
        <v>15.614999999999998</v>
      </c>
      <c r="Y14" s="267">
        <f t="shared" si="3"/>
        <v>15.614999999999998</v>
      </c>
      <c r="Z14" s="267">
        <f t="shared" si="3"/>
        <v>15.614999999999998</v>
      </c>
      <c r="AA14" s="267">
        <f t="shared" si="3"/>
        <v>15.614999999999998</v>
      </c>
      <c r="AB14" s="267">
        <f t="shared" si="3"/>
        <v>15.614999999999998</v>
      </c>
      <c r="AC14" s="267">
        <f t="shared" si="3"/>
        <v>15.614999999999998</v>
      </c>
      <c r="AD14" s="267">
        <f t="shared" si="3"/>
        <v>15.614999999999998</v>
      </c>
      <c r="AE14" s="267">
        <f t="shared" si="3"/>
        <v>15.614999999999998</v>
      </c>
      <c r="AF14" s="267">
        <f t="shared" si="3"/>
        <v>15.614999999999998</v>
      </c>
      <c r="AG14" s="8"/>
    </row>
    <row r="15" spans="1:33" ht="15" customHeight="1">
      <c r="A15" s="20" t="s">
        <v>7</v>
      </c>
      <c r="B15" s="10">
        <f t="shared" si="1"/>
        <v>0</v>
      </c>
      <c r="C15" s="10">
        <f t="shared" ref="C15:P18" si="4">B15+C5</f>
        <v>0</v>
      </c>
      <c r="D15" s="10">
        <f t="shared" si="4"/>
        <v>0</v>
      </c>
      <c r="E15" s="10">
        <f t="shared" si="4"/>
        <v>0</v>
      </c>
      <c r="F15" s="267">
        <f t="shared" si="4"/>
        <v>0</v>
      </c>
      <c r="G15" s="267">
        <f t="shared" si="4"/>
        <v>5.3999999999999992E-2</v>
      </c>
      <c r="H15" s="267">
        <f t="shared" si="4"/>
        <v>5.3999999999999992E-2</v>
      </c>
      <c r="I15" s="267">
        <f t="shared" si="4"/>
        <v>5.3999999999999992E-2</v>
      </c>
      <c r="J15" s="267">
        <f t="shared" si="4"/>
        <v>5.3999999999999992E-2</v>
      </c>
      <c r="K15" s="267">
        <f t="shared" si="4"/>
        <v>5.3999999999999992E-2</v>
      </c>
      <c r="L15" s="267">
        <f t="shared" si="4"/>
        <v>5.3999999999999992E-2</v>
      </c>
      <c r="M15" s="267">
        <f t="shared" si="4"/>
        <v>5.3999999999999992E-2</v>
      </c>
      <c r="N15" s="267">
        <f t="shared" si="4"/>
        <v>5.3999999999999992E-2</v>
      </c>
      <c r="O15" s="267">
        <f t="shared" si="4"/>
        <v>5.3999999999999992E-2</v>
      </c>
      <c r="P15" s="267">
        <f t="shared" si="4"/>
        <v>5.3999999999999992E-2</v>
      </c>
      <c r="Q15" s="267">
        <f t="shared" si="3"/>
        <v>5.3999999999999992E-2</v>
      </c>
      <c r="R15" s="267">
        <f t="shared" si="3"/>
        <v>5.3999999999999992E-2</v>
      </c>
      <c r="S15" s="267">
        <f t="shared" si="3"/>
        <v>5.3999999999999992E-2</v>
      </c>
      <c r="T15" s="267">
        <f t="shared" si="3"/>
        <v>5.3999999999999992E-2</v>
      </c>
      <c r="U15" s="267">
        <f t="shared" si="3"/>
        <v>5.3999999999999992E-2</v>
      </c>
      <c r="V15" s="267">
        <f t="shared" si="3"/>
        <v>5.3999999999999992E-2</v>
      </c>
      <c r="W15" s="267">
        <f t="shared" si="3"/>
        <v>5.3999999999999992E-2</v>
      </c>
      <c r="X15" s="267">
        <f t="shared" si="3"/>
        <v>5.3999999999999992E-2</v>
      </c>
      <c r="Y15" s="267">
        <f t="shared" si="3"/>
        <v>5.3999999999999992E-2</v>
      </c>
      <c r="Z15" s="267">
        <f t="shared" si="3"/>
        <v>5.3999999999999992E-2</v>
      </c>
      <c r="AA15" s="267">
        <f t="shared" si="3"/>
        <v>5.3999999999999992E-2</v>
      </c>
      <c r="AB15" s="267">
        <f t="shared" si="3"/>
        <v>5.3999999999999992E-2</v>
      </c>
      <c r="AC15" s="267">
        <f t="shared" si="3"/>
        <v>5.3999999999999992E-2</v>
      </c>
      <c r="AD15" s="267">
        <f t="shared" si="3"/>
        <v>5.3999999999999992E-2</v>
      </c>
      <c r="AE15" s="267">
        <f t="shared" si="3"/>
        <v>5.3999999999999992E-2</v>
      </c>
      <c r="AF15" s="267">
        <f t="shared" si="3"/>
        <v>5.3999999999999992E-2</v>
      </c>
      <c r="AG15" s="8"/>
    </row>
    <row r="16" spans="1:33" ht="15" customHeight="1">
      <c r="A16" s="20" t="s">
        <v>8</v>
      </c>
      <c r="B16" s="10">
        <f t="shared" si="1"/>
        <v>0</v>
      </c>
      <c r="C16" s="10">
        <f t="shared" si="4"/>
        <v>0</v>
      </c>
      <c r="D16" s="10">
        <f t="shared" si="4"/>
        <v>0</v>
      </c>
      <c r="E16" s="10">
        <f t="shared" si="4"/>
        <v>0</v>
      </c>
      <c r="F16" s="267">
        <f t="shared" si="4"/>
        <v>0</v>
      </c>
      <c r="G16" s="267">
        <f t="shared" si="4"/>
        <v>0</v>
      </c>
      <c r="H16" s="267">
        <f t="shared" si="4"/>
        <v>0</v>
      </c>
      <c r="I16" s="267">
        <f t="shared" si="4"/>
        <v>0</v>
      </c>
      <c r="J16" s="267">
        <f t="shared" si="4"/>
        <v>0</v>
      </c>
      <c r="K16" s="267">
        <f t="shared" si="4"/>
        <v>0</v>
      </c>
      <c r="L16" s="267">
        <f t="shared" si="4"/>
        <v>62.459999999999994</v>
      </c>
      <c r="M16" s="267">
        <f t="shared" si="4"/>
        <v>63.127974999999992</v>
      </c>
      <c r="N16" s="267">
        <f t="shared" si="4"/>
        <v>63.127974999999992</v>
      </c>
      <c r="O16" s="267">
        <f t="shared" si="4"/>
        <v>63.127974999999992</v>
      </c>
      <c r="P16" s="267">
        <f t="shared" si="4"/>
        <v>63.127974999999992</v>
      </c>
      <c r="Q16" s="267">
        <f t="shared" si="3"/>
        <v>63.127974999999992</v>
      </c>
      <c r="R16" s="267">
        <f t="shared" si="3"/>
        <v>63.127974999999992</v>
      </c>
      <c r="S16" s="267">
        <f t="shared" si="3"/>
        <v>63.127974999999992</v>
      </c>
      <c r="T16" s="267">
        <f t="shared" si="3"/>
        <v>63.127974999999992</v>
      </c>
      <c r="U16" s="267">
        <f t="shared" si="3"/>
        <v>63.127974999999992</v>
      </c>
      <c r="V16" s="267">
        <f t="shared" si="3"/>
        <v>63.127974999999992</v>
      </c>
      <c r="W16" s="267">
        <f t="shared" si="3"/>
        <v>63.127974999999992</v>
      </c>
      <c r="X16" s="267">
        <f t="shared" si="3"/>
        <v>63.127974999999992</v>
      </c>
      <c r="Y16" s="267">
        <f t="shared" si="3"/>
        <v>63.127974999999992</v>
      </c>
      <c r="Z16" s="267">
        <f t="shared" si="3"/>
        <v>63.127974999999992</v>
      </c>
      <c r="AA16" s="267">
        <f t="shared" si="3"/>
        <v>63.127974999999992</v>
      </c>
      <c r="AB16" s="267">
        <f t="shared" si="3"/>
        <v>63.127974999999992</v>
      </c>
      <c r="AC16" s="267">
        <f t="shared" si="3"/>
        <v>63.127974999999992</v>
      </c>
      <c r="AD16" s="267">
        <f t="shared" si="3"/>
        <v>63.127974999999992</v>
      </c>
      <c r="AE16" s="267">
        <f t="shared" si="3"/>
        <v>63.127974999999992</v>
      </c>
      <c r="AF16" s="267">
        <f t="shared" si="3"/>
        <v>63.127974999999992</v>
      </c>
      <c r="AG16" s="8"/>
    </row>
    <row r="17" spans="1:33" ht="15" customHeight="1">
      <c r="A17" s="20" t="s">
        <v>9</v>
      </c>
      <c r="B17" s="10">
        <f t="shared" si="1"/>
        <v>0</v>
      </c>
      <c r="C17" s="10">
        <f t="shared" si="4"/>
        <v>0</v>
      </c>
      <c r="D17" s="10">
        <f t="shared" si="4"/>
        <v>0</v>
      </c>
      <c r="E17" s="10">
        <f t="shared" si="4"/>
        <v>0</v>
      </c>
      <c r="F17" s="267">
        <f t="shared" si="4"/>
        <v>0</v>
      </c>
      <c r="G17" s="267">
        <f t="shared" si="4"/>
        <v>0</v>
      </c>
      <c r="H17" s="267">
        <f t="shared" si="4"/>
        <v>0</v>
      </c>
      <c r="I17" s="267">
        <f t="shared" si="4"/>
        <v>0</v>
      </c>
      <c r="J17" s="267">
        <f t="shared" si="4"/>
        <v>0</v>
      </c>
      <c r="K17" s="267">
        <f t="shared" si="4"/>
        <v>0</v>
      </c>
      <c r="L17" s="267">
        <f t="shared" si="4"/>
        <v>0</v>
      </c>
      <c r="M17" s="267">
        <f t="shared" si="4"/>
        <v>0</v>
      </c>
      <c r="N17" s="267">
        <f t="shared" si="4"/>
        <v>0</v>
      </c>
      <c r="O17" s="267">
        <f t="shared" si="4"/>
        <v>0</v>
      </c>
      <c r="P17" s="267">
        <f t="shared" si="4"/>
        <v>0</v>
      </c>
      <c r="Q17" s="267">
        <f t="shared" si="3"/>
        <v>0</v>
      </c>
      <c r="R17" s="267">
        <f t="shared" si="3"/>
        <v>0</v>
      </c>
      <c r="S17" s="267">
        <f t="shared" si="3"/>
        <v>0</v>
      </c>
      <c r="T17" s="267">
        <f t="shared" si="3"/>
        <v>0</v>
      </c>
      <c r="U17" s="267">
        <f t="shared" si="3"/>
        <v>0</v>
      </c>
      <c r="V17" s="267">
        <f t="shared" si="3"/>
        <v>0</v>
      </c>
      <c r="W17" s="267">
        <f t="shared" si="3"/>
        <v>0</v>
      </c>
      <c r="X17" s="267">
        <f t="shared" si="3"/>
        <v>0</v>
      </c>
      <c r="Y17" s="267">
        <f t="shared" si="3"/>
        <v>0</v>
      </c>
      <c r="Z17" s="267">
        <f t="shared" si="3"/>
        <v>0</v>
      </c>
      <c r="AA17" s="267">
        <f t="shared" si="3"/>
        <v>0</v>
      </c>
      <c r="AB17" s="267">
        <f t="shared" si="3"/>
        <v>0</v>
      </c>
      <c r="AC17" s="267">
        <f t="shared" si="3"/>
        <v>0</v>
      </c>
      <c r="AD17" s="267">
        <f t="shared" si="3"/>
        <v>0</v>
      </c>
      <c r="AE17" s="267">
        <f t="shared" si="3"/>
        <v>0</v>
      </c>
      <c r="AF17" s="267">
        <f t="shared" si="3"/>
        <v>0</v>
      </c>
      <c r="AG17" s="8"/>
    </row>
    <row r="18" spans="1:33" ht="15" customHeight="1">
      <c r="A18" s="20" t="s">
        <v>10</v>
      </c>
      <c r="B18" s="10">
        <f t="shared" si="1"/>
        <v>0</v>
      </c>
      <c r="C18" s="10">
        <f t="shared" si="4"/>
        <v>0</v>
      </c>
      <c r="D18" s="10">
        <f t="shared" si="4"/>
        <v>0</v>
      </c>
      <c r="E18" s="10">
        <f t="shared" si="4"/>
        <v>0</v>
      </c>
      <c r="F18" s="267">
        <f t="shared" si="4"/>
        <v>0</v>
      </c>
      <c r="G18" s="267">
        <f t="shared" si="4"/>
        <v>0</v>
      </c>
      <c r="H18" s="267">
        <f t="shared" si="4"/>
        <v>0</v>
      </c>
      <c r="I18" s="267">
        <f t="shared" si="4"/>
        <v>0</v>
      </c>
      <c r="J18" s="267">
        <f t="shared" si="4"/>
        <v>4.1391</v>
      </c>
      <c r="K18" s="267">
        <f t="shared" si="4"/>
        <v>4.1391</v>
      </c>
      <c r="L18" s="267">
        <f t="shared" si="4"/>
        <v>4.1391</v>
      </c>
      <c r="M18" s="267">
        <f t="shared" si="4"/>
        <v>4.1391</v>
      </c>
      <c r="N18" s="267">
        <f t="shared" si="4"/>
        <v>4.1391</v>
      </c>
      <c r="O18" s="267">
        <f t="shared" si="4"/>
        <v>4.1391</v>
      </c>
      <c r="P18" s="267">
        <f t="shared" si="4"/>
        <v>4.1391</v>
      </c>
      <c r="Q18" s="267">
        <f t="shared" si="3"/>
        <v>4.1391</v>
      </c>
      <c r="R18" s="267">
        <f t="shared" si="3"/>
        <v>4.1391</v>
      </c>
      <c r="S18" s="267">
        <f t="shared" si="3"/>
        <v>4.1391</v>
      </c>
      <c r="T18" s="267">
        <f t="shared" si="3"/>
        <v>4.1391</v>
      </c>
      <c r="U18" s="267">
        <f t="shared" si="3"/>
        <v>4.1391</v>
      </c>
      <c r="V18" s="267">
        <f t="shared" si="3"/>
        <v>4.1391</v>
      </c>
      <c r="W18" s="267">
        <f t="shared" si="3"/>
        <v>4.1391</v>
      </c>
      <c r="X18" s="267">
        <f t="shared" si="3"/>
        <v>4.1391</v>
      </c>
      <c r="Y18" s="267">
        <f t="shared" si="3"/>
        <v>4.1391</v>
      </c>
      <c r="Z18" s="267">
        <f t="shared" si="3"/>
        <v>4.1391</v>
      </c>
      <c r="AA18" s="267">
        <f t="shared" si="3"/>
        <v>4.1391</v>
      </c>
      <c r="AB18" s="267">
        <f t="shared" si="3"/>
        <v>4.1391</v>
      </c>
      <c r="AC18" s="267">
        <f t="shared" si="3"/>
        <v>4.1391</v>
      </c>
      <c r="AD18" s="267">
        <f t="shared" si="3"/>
        <v>4.1391</v>
      </c>
      <c r="AE18" s="267">
        <f t="shared" si="3"/>
        <v>4.1391</v>
      </c>
      <c r="AF18" s="267">
        <f t="shared" si="3"/>
        <v>4.1391</v>
      </c>
      <c r="AG18" s="8"/>
    </row>
    <row r="19" spans="1:33" ht="15" customHeight="1" thickBot="1">
      <c r="A19" s="21" t="s">
        <v>11</v>
      </c>
      <c r="B19" s="12">
        <f>SUM(B13:B18)</f>
        <v>0</v>
      </c>
      <c r="C19" s="12">
        <f t="shared" ref="C19:AF19" si="5">SUM(C13:C18)</f>
        <v>0</v>
      </c>
      <c r="D19" s="12">
        <f t="shared" si="5"/>
        <v>0</v>
      </c>
      <c r="E19" s="12">
        <f t="shared" si="5"/>
        <v>0</v>
      </c>
      <c r="F19" s="268">
        <f t="shared" si="5"/>
        <v>0</v>
      </c>
      <c r="G19" s="268">
        <f t="shared" si="5"/>
        <v>117.65400000000001</v>
      </c>
      <c r="H19" s="268">
        <f t="shared" si="5"/>
        <v>167.15400000000002</v>
      </c>
      <c r="I19" s="268">
        <f t="shared" si="5"/>
        <v>258.654</v>
      </c>
      <c r="J19" s="268">
        <f t="shared" si="5"/>
        <v>330.24509999999998</v>
      </c>
      <c r="K19" s="268">
        <f t="shared" si="5"/>
        <v>355.27009999999996</v>
      </c>
      <c r="L19" s="268">
        <f t="shared" si="5"/>
        <v>479.67959999999994</v>
      </c>
      <c r="M19" s="268">
        <f t="shared" si="5"/>
        <v>480.34757499999995</v>
      </c>
      <c r="N19" s="268">
        <f t="shared" si="5"/>
        <v>480.34757499999995</v>
      </c>
      <c r="O19" s="268">
        <f t="shared" si="5"/>
        <v>480.34757499999995</v>
      </c>
      <c r="P19" s="268">
        <f t="shared" si="5"/>
        <v>480.34757499999995</v>
      </c>
      <c r="Q19" s="268">
        <f t="shared" si="5"/>
        <v>480.34757499999995</v>
      </c>
      <c r="R19" s="268">
        <f t="shared" si="5"/>
        <v>480.34757499999995</v>
      </c>
      <c r="S19" s="268">
        <f t="shared" si="5"/>
        <v>480.34757499999995</v>
      </c>
      <c r="T19" s="268">
        <f t="shared" si="5"/>
        <v>480.34757499999995</v>
      </c>
      <c r="U19" s="268">
        <f t="shared" si="5"/>
        <v>480.34757499999995</v>
      </c>
      <c r="V19" s="268">
        <f t="shared" si="5"/>
        <v>480.34757499999995</v>
      </c>
      <c r="W19" s="268">
        <f t="shared" si="5"/>
        <v>480.34757499999995</v>
      </c>
      <c r="X19" s="268">
        <f t="shared" si="5"/>
        <v>480.34757499999995</v>
      </c>
      <c r="Y19" s="268">
        <f t="shared" si="5"/>
        <v>480.34757499999995</v>
      </c>
      <c r="Z19" s="268">
        <f t="shared" si="5"/>
        <v>480.34757499999995</v>
      </c>
      <c r="AA19" s="268">
        <f t="shared" si="5"/>
        <v>480.34757499999995</v>
      </c>
      <c r="AB19" s="268">
        <f t="shared" si="5"/>
        <v>480.34757499999995</v>
      </c>
      <c r="AC19" s="268">
        <f t="shared" si="5"/>
        <v>480.34757499999995</v>
      </c>
      <c r="AD19" s="268">
        <f t="shared" si="5"/>
        <v>480.34757499999995</v>
      </c>
      <c r="AE19" s="268">
        <f t="shared" si="5"/>
        <v>480.34757499999995</v>
      </c>
      <c r="AF19" s="268">
        <f t="shared" si="5"/>
        <v>480.34757499999995</v>
      </c>
      <c r="AG19" s="152"/>
    </row>
    <row r="20" spans="1:33" ht="1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47"/>
    </row>
    <row r="21" spans="1:33" ht="15" customHeight="1" thickBot="1">
      <c r="A21" s="16" t="s">
        <v>525</v>
      </c>
      <c r="B21" s="15"/>
      <c r="C21" s="15"/>
      <c r="D21" s="15"/>
      <c r="E21" s="15"/>
      <c r="F21" s="15"/>
      <c r="G21" s="15"/>
      <c r="H21" s="15"/>
      <c r="I21" s="15"/>
      <c r="J21" s="15"/>
      <c r="K21" s="15"/>
      <c r="L21" s="15"/>
      <c r="M21" s="15"/>
      <c r="N21" s="15"/>
      <c r="O21" s="15"/>
      <c r="P21" s="15"/>
    </row>
    <row r="22" spans="1:33" ht="15.75" thickBot="1">
      <c r="A22" s="17" t="s">
        <v>3</v>
      </c>
      <c r="B22" s="18" t="str">
        <f>B2</f>
        <v>&lt; 2021</v>
      </c>
      <c r="C22" s="18">
        <f t="shared" ref="C22:AF22" si="6">C2</f>
        <v>2021</v>
      </c>
      <c r="D22" s="18">
        <f t="shared" si="6"/>
        <v>2022</v>
      </c>
      <c r="E22" s="18">
        <f t="shared" si="6"/>
        <v>2023</v>
      </c>
      <c r="F22" s="18">
        <f t="shared" si="6"/>
        <v>2024</v>
      </c>
      <c r="G22" s="18">
        <f t="shared" si="6"/>
        <v>2025</v>
      </c>
      <c r="H22" s="18">
        <f t="shared" si="6"/>
        <v>2026</v>
      </c>
      <c r="I22" s="18">
        <f t="shared" si="6"/>
        <v>2027</v>
      </c>
      <c r="J22" s="18">
        <f t="shared" si="6"/>
        <v>2028</v>
      </c>
      <c r="K22" s="18">
        <f t="shared" si="6"/>
        <v>2029</v>
      </c>
      <c r="L22" s="18">
        <f t="shared" si="6"/>
        <v>2030</v>
      </c>
      <c r="M22" s="18">
        <f t="shared" si="6"/>
        <v>2031</v>
      </c>
      <c r="N22" s="18">
        <f t="shared" si="6"/>
        <v>2032</v>
      </c>
      <c r="O22" s="18">
        <f t="shared" si="6"/>
        <v>2033</v>
      </c>
      <c r="P22" s="18">
        <f t="shared" si="6"/>
        <v>2034</v>
      </c>
      <c r="Q22" s="18">
        <f t="shared" si="6"/>
        <v>2035</v>
      </c>
      <c r="R22" s="18">
        <f t="shared" si="6"/>
        <v>2036</v>
      </c>
      <c r="S22" s="18">
        <f t="shared" si="6"/>
        <v>2037</v>
      </c>
      <c r="T22" s="18">
        <f t="shared" si="6"/>
        <v>2038</v>
      </c>
      <c r="U22" s="18">
        <f t="shared" si="6"/>
        <v>2039</v>
      </c>
      <c r="V22" s="18">
        <f t="shared" si="6"/>
        <v>2040</v>
      </c>
      <c r="W22" s="18">
        <f t="shared" si="6"/>
        <v>2041</v>
      </c>
      <c r="X22" s="18">
        <f t="shared" si="6"/>
        <v>2042</v>
      </c>
      <c r="Y22" s="18">
        <f t="shared" si="6"/>
        <v>2043</v>
      </c>
      <c r="Z22" s="18">
        <f t="shared" si="6"/>
        <v>2044</v>
      </c>
      <c r="AA22" s="18">
        <f t="shared" si="6"/>
        <v>2045</v>
      </c>
      <c r="AB22" s="18">
        <f t="shared" si="6"/>
        <v>2046</v>
      </c>
      <c r="AC22" s="18">
        <f t="shared" si="6"/>
        <v>2047</v>
      </c>
      <c r="AD22" s="18">
        <f t="shared" si="6"/>
        <v>2048</v>
      </c>
      <c r="AE22" s="18">
        <f t="shared" si="6"/>
        <v>2049</v>
      </c>
      <c r="AF22" s="18">
        <f t="shared" si="6"/>
        <v>2050</v>
      </c>
      <c r="AG22" s="153"/>
    </row>
    <row r="23" spans="1:33">
      <c r="A23" s="19" t="s">
        <v>5</v>
      </c>
      <c r="B23" s="7">
        <f>SUMIFS(SAm!$N$3:$N$79,SAm!$F$3:$F$79,"&lt;"&amp;'SAm Capacity Data'!C$22,SAm!$U$3:$U$79,'SAm Capacity Data'!$A23)+SUMIFS(SAm!$P$3:$P$79,SAm!$F$3:$F$79,"&lt;"&amp;'SAm Capacity Data'!C$22,SAm!$U$3:$U$79,'SAm Capacity Data'!$A23)</f>
        <v>0</v>
      </c>
      <c r="C23" s="7">
        <f>SUMIFS(SAm!$N$3:$N$79,SAm!$F$3:$F$79,'SAm Capacity Data'!C$22,SAm!$U$3:$U$79,'SAm Capacity Data'!$A23)+SUMIFS(SAm!$P$3:$P$79,SAm!$F$3:$F$79,'SAm Capacity Data'!C$22,SAm!$U$3:$U$79,'SAm Capacity Data'!$A23)</f>
        <v>0</v>
      </c>
      <c r="D23" s="7">
        <f>SUMIFS(SAm!$N$3:$N$79,SAm!$F$3:$F$79,'SAm Capacity Data'!D$22,SAm!$U$3:$U$79,'SAm Capacity Data'!$A23)+SUMIFS(SAm!$P$3:$P$79,SAm!$F$3:$F$79,'SAm Capacity Data'!D$22,SAm!$U$3:$U$79,'SAm Capacity Data'!$A23)</f>
        <v>0</v>
      </c>
      <c r="E23" s="7">
        <f>SUMIFS(SAm!$N$3:$N$79,SAm!$F$3:$F$79,'SAm Capacity Data'!E$22,SAm!$U$3:$U$79,'SAm Capacity Data'!$A23)+SUMIFS(SAm!$P$3:$P$79,SAm!$F$3:$F$79,'SAm Capacity Data'!E$22,SAm!$U$3:$U$79,'SAm Capacity Data'!$A23)</f>
        <v>0</v>
      </c>
      <c r="F23" s="263">
        <f>SUMIFS(SAm!$N$3:$N$79,SAm!$F$3:$F$79,'SAm Capacity Data'!F$22,SAm!$U$3:$U$79,'SAm Capacity Data'!$A23)+SUMIFS(SAm!$P$3:$P$79,SAm!$F$3:$F$79,'SAm Capacity Data'!F$22,SAm!$U$3:$U$79,'SAm Capacity Data'!$A23)</f>
        <v>0</v>
      </c>
      <c r="G23" s="263">
        <f>SUMIFS(SAm!$N$3:$N$79,SAm!$F$3:$F$79,'SAm Capacity Data'!G$22,SAm!$U$3:$U$79,'SAm Capacity Data'!$A23)+SUMIFS(SAm!$P$3:$P$79,SAm!$F$3:$F$79,'SAm Capacity Data'!G$22,SAm!$U$3:$U$79,'SAm Capacity Data'!$A23)</f>
        <v>147</v>
      </c>
      <c r="H23" s="263">
        <f>SUMIFS(SAm!$N$3:$N$79,SAm!$F$3:$F$79,'SAm Capacity Data'!H$22,SAm!$U$3:$U$79,'SAm Capacity Data'!$A23)+SUMIFS(SAm!$P$3:$P$79,SAm!$F$3:$F$79,'SAm Capacity Data'!H$22,SAm!$U$3:$U$79,'SAm Capacity Data'!$A23)</f>
        <v>66</v>
      </c>
      <c r="I23" s="263">
        <f>SUMIFS(SAm!$N$3:$N$79,SAm!$F$3:$F$79,'SAm Capacity Data'!I$22,SAm!$U$3:$U$79,'SAm Capacity Data'!$A23)+SUMIFS(SAm!$P$3:$P$79,SAm!$F$3:$F$79,'SAm Capacity Data'!I$22,SAm!$U$3:$U$79,'SAm Capacity Data'!$A23)</f>
        <v>132</v>
      </c>
      <c r="J23" s="263">
        <f>SUMIFS(SAm!$N$3:$N$79,SAm!$F$3:$F$79,'SAm Capacity Data'!J$22,SAm!$U$3:$U$79,'SAm Capacity Data'!$A23)+SUMIFS(SAm!$P$3:$P$79,SAm!$F$3:$F$79,'SAm Capacity Data'!J$22,SAm!$U$3:$U$79,'SAm Capacity Data'!$A23)</f>
        <v>122.64</v>
      </c>
      <c r="K23" s="263">
        <f>SUMIFS(SAm!$N$3:$N$79,SAm!$F$3:$F$79,'SAm Capacity Data'!K$22,SAm!$U$3:$U$79,'SAm Capacity Data'!$A23)+SUMIFS(SAm!$P$3:$P$79,SAm!$F$3:$F$79,'SAm Capacity Data'!K$22,SAm!$U$3:$U$79,'SAm Capacity Data'!$A23)</f>
        <v>45.5</v>
      </c>
      <c r="L23" s="263">
        <f>SUMIFS(SAm!$N$3:$N$79,SAm!$F$3:$F$79,'SAm Capacity Data'!L$22,SAm!$U$3:$U$79,'SAm Capacity Data'!$A23)+SUMIFS(SAm!$P$3:$P$79,SAm!$F$3:$F$79,'SAm Capacity Data'!L$22,SAm!$U$3:$U$79,'SAm Capacity Data'!$A23)</f>
        <v>109.33000000000001</v>
      </c>
      <c r="M23" s="263">
        <f>SUMIFS(SAm!$N$3:$N$79,SAm!$F$3:$F$79,'SAm Capacity Data'!M$22,SAm!$U$3:$U$79,'SAm Capacity Data'!$A23)+SUMIFS(SAm!$P$3:$P$79,SAm!$F$3:$F$79,'SAm Capacity Data'!M$22,SAm!$U$3:$U$79,'SAm Capacity Data'!$A23)</f>
        <v>0</v>
      </c>
      <c r="N23" s="263">
        <f>SUMIFS(SAm!$N$3:$N$79,SAm!$F$3:$F$79,'SAm Capacity Data'!N$22,SAm!$U$3:$U$79,'SAm Capacity Data'!$A23)+SUMIFS(SAm!$P$3:$P$79,SAm!$F$3:$F$79,'SAm Capacity Data'!N$22,SAm!$U$3:$U$79,'SAm Capacity Data'!$A23)</f>
        <v>0</v>
      </c>
      <c r="O23" s="263">
        <f>SUMIFS(SAm!$N$3:$N$79,SAm!$F$3:$F$79,'SAm Capacity Data'!O$22,SAm!$U$3:$U$79,'SAm Capacity Data'!$A23)+SUMIFS(SAm!$P$3:$P$79,SAm!$F$3:$F$79,'SAm Capacity Data'!O$22,SAm!$U$3:$U$79,'SAm Capacity Data'!$A23)</f>
        <v>0</v>
      </c>
      <c r="P23" s="263">
        <f>SUMIFS(SAm!$N$3:$N$79,SAm!$F$3:$F$79,'SAm Capacity Data'!P$22,SAm!$U$3:$U$79,'SAm Capacity Data'!$A23)+SUMIFS(SAm!$P$3:$P$79,SAm!$F$3:$F$79,'SAm Capacity Data'!P$22,SAm!$U$3:$U$79,'SAm Capacity Data'!$A23)</f>
        <v>0</v>
      </c>
      <c r="Q23" s="263">
        <f>SUMIFS(SAm!$N$3:$N$79,SAm!$F$3:$F$79,'SAm Capacity Data'!Q$22,SAm!$U$3:$U$79,'SAm Capacity Data'!$A23)+SUMIFS(SAm!$P$3:$P$79,SAm!$F$3:$F$79,'SAm Capacity Data'!Q$22,SAm!$U$3:$U$79,'SAm Capacity Data'!$A23)</f>
        <v>0</v>
      </c>
      <c r="R23" s="263">
        <f>SUMIFS(SAm!$N$3:$N$79,SAm!$F$3:$F$79,'SAm Capacity Data'!R$22,SAm!$U$3:$U$79,'SAm Capacity Data'!$A23)+SUMIFS(SAm!$P$3:$P$79,SAm!$F$3:$F$79,'SAm Capacity Data'!R$22,SAm!$U$3:$U$79,'SAm Capacity Data'!$A23)</f>
        <v>0</v>
      </c>
      <c r="S23" s="263">
        <f>SUMIFS(SAm!$N$3:$N$79,SAm!$F$3:$F$79,'SAm Capacity Data'!S$22,SAm!$U$3:$U$79,'SAm Capacity Data'!$A23)+SUMIFS(SAm!$P$3:$P$79,SAm!$F$3:$F$79,'SAm Capacity Data'!S$22,SAm!$U$3:$U$79,'SAm Capacity Data'!$A23)</f>
        <v>0</v>
      </c>
      <c r="T23" s="263">
        <f>SUMIFS(SAm!$N$3:$N$79,SAm!$F$3:$F$79,'SAm Capacity Data'!T$22,SAm!$U$3:$U$79,'SAm Capacity Data'!$A23)+SUMIFS(SAm!$P$3:$P$79,SAm!$F$3:$F$79,'SAm Capacity Data'!T$22,SAm!$U$3:$U$79,'SAm Capacity Data'!$A23)</f>
        <v>0</v>
      </c>
      <c r="U23" s="263">
        <f>SUMIFS(SAm!$N$3:$N$79,SAm!$F$3:$F$79,'SAm Capacity Data'!U$22,SAm!$U$3:$U$79,'SAm Capacity Data'!$A23)+SUMIFS(SAm!$P$3:$P$79,SAm!$F$3:$F$79,'SAm Capacity Data'!U$22,SAm!$U$3:$U$79,'SAm Capacity Data'!$A23)</f>
        <v>0</v>
      </c>
      <c r="V23" s="263">
        <f>SUMIFS(SAm!$N$3:$N$79,SAm!$F$3:$F$79,'SAm Capacity Data'!V$22,SAm!$U$3:$U$79,'SAm Capacity Data'!$A23)+SUMIFS(SAm!$P$3:$P$79,SAm!$F$3:$F$79,'SAm Capacity Data'!V$22,SAm!$U$3:$U$79,'SAm Capacity Data'!$A23)</f>
        <v>0</v>
      </c>
      <c r="W23" s="263">
        <f>SUMIFS(SAm!$N$3:$N$79,SAm!$F$3:$F$79,'SAm Capacity Data'!W$22,SAm!$U$3:$U$79,'SAm Capacity Data'!$A23)+SUMIFS(SAm!$P$3:$P$79,SAm!$F$3:$F$79,'SAm Capacity Data'!W$22,SAm!$U$3:$U$79,'SAm Capacity Data'!$A23)</f>
        <v>0</v>
      </c>
      <c r="X23" s="263">
        <f>SUMIFS(SAm!$N$3:$N$79,SAm!$F$3:$F$79,'SAm Capacity Data'!X$22,SAm!$U$3:$U$79,'SAm Capacity Data'!$A23)+SUMIFS(SAm!$P$3:$P$79,SAm!$F$3:$F$79,'SAm Capacity Data'!X$22,SAm!$U$3:$U$79,'SAm Capacity Data'!$A23)</f>
        <v>0</v>
      </c>
      <c r="Y23" s="263">
        <f>SUMIFS(SAm!$N$3:$N$79,SAm!$F$3:$F$79,'SAm Capacity Data'!Y$22,SAm!$U$3:$U$79,'SAm Capacity Data'!$A23)+SUMIFS(SAm!$P$3:$P$79,SAm!$F$3:$F$79,'SAm Capacity Data'!Y$22,SAm!$U$3:$U$79,'SAm Capacity Data'!$A23)</f>
        <v>0</v>
      </c>
      <c r="Z23" s="263">
        <f>SUMIFS(SAm!$N$3:$N$79,SAm!$F$3:$F$79,'SAm Capacity Data'!Z$22,SAm!$U$3:$U$79,'SAm Capacity Data'!$A23)+SUMIFS(SAm!$P$3:$P$79,SAm!$F$3:$F$79,'SAm Capacity Data'!Z$22,SAm!$U$3:$U$79,'SAm Capacity Data'!$A23)</f>
        <v>0</v>
      </c>
      <c r="AA23" s="263">
        <f>SUMIFS(SAm!$N$3:$N$79,SAm!$F$3:$F$79,'SAm Capacity Data'!AA$22,SAm!$U$3:$U$79,'SAm Capacity Data'!$A23)+SUMIFS(SAm!$P$3:$P$79,SAm!$F$3:$F$79,'SAm Capacity Data'!AA$22,SAm!$U$3:$U$79,'SAm Capacity Data'!$A23)</f>
        <v>0</v>
      </c>
      <c r="AB23" s="263">
        <f>SUMIFS(SAm!$N$3:$N$79,SAm!$F$3:$F$79,'SAm Capacity Data'!AB$22,SAm!$U$3:$U$79,'SAm Capacity Data'!$A23)+SUMIFS(SAm!$P$3:$P$79,SAm!$F$3:$F$79,'SAm Capacity Data'!AB$22,SAm!$U$3:$U$79,'SAm Capacity Data'!$A23)</f>
        <v>0</v>
      </c>
      <c r="AC23" s="263">
        <f>SUMIFS(SAm!$N$3:$N$79,SAm!$F$3:$F$79,'SAm Capacity Data'!AC$22,SAm!$U$3:$U$79,'SAm Capacity Data'!$A23)+SUMIFS(SAm!$P$3:$P$79,SAm!$F$3:$F$79,'SAm Capacity Data'!AC$22,SAm!$U$3:$U$79,'SAm Capacity Data'!$A23)</f>
        <v>0</v>
      </c>
      <c r="AD23" s="263">
        <f>SUMIFS(SAm!$N$3:$N$79,SAm!$F$3:$F$79,'SAm Capacity Data'!AD$22,SAm!$U$3:$U$79,'SAm Capacity Data'!$A23)+SUMIFS(SAm!$P$3:$P$79,SAm!$F$3:$F$79,'SAm Capacity Data'!AD$22,SAm!$U$3:$U$79,'SAm Capacity Data'!$A23)</f>
        <v>0</v>
      </c>
      <c r="AE23" s="263">
        <f>SUMIFS(SAm!$N$3:$N$79,SAm!$F$3:$F$79,'SAm Capacity Data'!AE$22,SAm!$U$3:$U$79,'SAm Capacity Data'!$A23)+SUMIFS(SAm!$P$3:$P$79,SAm!$F$3:$F$79,'SAm Capacity Data'!AE$22,SAm!$U$3:$U$79,'SAm Capacity Data'!$A23)</f>
        <v>0</v>
      </c>
      <c r="AF23" s="263">
        <f>SUMIFS(SAm!$N$3:$N$79,SAm!$F$3:$F$79,'SAm Capacity Data'!AF$22,SAm!$U$3:$U$79,'SAm Capacity Data'!$A23)+SUMIFS(SAm!$P$3:$P$79,SAm!$F$3:$F$79,'SAm Capacity Data'!AF$22,SAm!$U$3:$U$79,'SAm Capacity Data'!$A23)</f>
        <v>0</v>
      </c>
      <c r="AG23" s="23"/>
    </row>
    <row r="24" spans="1:33">
      <c r="A24" s="20" t="s">
        <v>6</v>
      </c>
      <c r="B24" s="22">
        <f>SUMIFS(SAm!$N$3:$N$79,SAm!$F$3:$F$79,"&lt;"&amp;'SAm Capacity Data'!C$22,SAm!$U$3:$U$79,'SAm Capacity Data'!$A24)+SUMIFS(SAm!$P$3:$P$79,SAm!$F$3:$F$79,"&lt;"&amp;'SAm Capacity Data'!C$22,SAm!$U$3:$U$79,'SAm Capacity Data'!$A24)</f>
        <v>0</v>
      </c>
      <c r="C24" s="22">
        <f>SUMIFS(SAm!$N$3:$N$79,SAm!$F$3:$F$79,'SAm Capacity Data'!C$22,SAm!$U$3:$U$79,'SAm Capacity Data'!$A24)+SUMIFS(SAm!$P$3:$P$79,SAm!$F$3:$F$79,'SAm Capacity Data'!C$22,SAm!$U$3:$U$79,'SAm Capacity Data'!$A24)</f>
        <v>0</v>
      </c>
      <c r="D24" s="22">
        <f>SUMIFS(SAm!$N$3:$N$79,SAm!$F$3:$F$79,'SAm Capacity Data'!D$22,SAm!$U$3:$U$79,'SAm Capacity Data'!$A24)+SUMIFS(SAm!$P$3:$P$79,SAm!$F$3:$F$79,'SAm Capacity Data'!D$22,SAm!$U$3:$U$79,'SAm Capacity Data'!$A24)</f>
        <v>0</v>
      </c>
      <c r="E24" s="22">
        <f>SUMIFS(SAm!$N$3:$N$79,SAm!$F$3:$F$79,'SAm Capacity Data'!E$22,SAm!$U$3:$U$79,'SAm Capacity Data'!$A24)+SUMIFS(SAm!$P$3:$P$79,SAm!$F$3:$F$79,'SAm Capacity Data'!E$22,SAm!$U$3:$U$79,'SAm Capacity Data'!$A24)</f>
        <v>0</v>
      </c>
      <c r="F24" s="261">
        <f>SUMIFS(SAm!$N$3:$N$79,SAm!$F$3:$F$79,'SAm Capacity Data'!F$22,SAm!$U$3:$U$79,'SAm Capacity Data'!$A24)+SUMIFS(SAm!$P$3:$P$79,SAm!$F$3:$F$79,'SAm Capacity Data'!F$22,SAm!$U$3:$U$79,'SAm Capacity Data'!$A24)</f>
        <v>0</v>
      </c>
      <c r="G24" s="261">
        <f>SUMIFS(SAm!$N$3:$N$79,SAm!$F$3:$F$79,'SAm Capacity Data'!G$22,SAm!$U$3:$U$79,'SAm Capacity Data'!$A24)+SUMIFS(SAm!$P$3:$P$79,SAm!$F$3:$F$79,'SAm Capacity Data'!G$22,SAm!$U$3:$U$79,'SAm Capacity Data'!$A24)</f>
        <v>0</v>
      </c>
      <c r="H24" s="261">
        <f>SUMIFS(SAm!$N$3:$N$79,SAm!$F$3:$F$79,'SAm Capacity Data'!H$22,SAm!$U$3:$U$79,'SAm Capacity Data'!$A24)+SUMIFS(SAm!$P$3:$P$79,SAm!$F$3:$F$79,'SAm Capacity Data'!H$22,SAm!$U$3:$U$79,'SAm Capacity Data'!$A24)</f>
        <v>0</v>
      </c>
      <c r="I24" s="261">
        <f>SUMIFS(SAm!$N$3:$N$79,SAm!$F$3:$F$79,'SAm Capacity Data'!I$22,SAm!$U$3:$U$79,'SAm Capacity Data'!$A24)+SUMIFS(SAm!$P$3:$P$79,SAm!$F$3:$F$79,'SAm Capacity Data'!I$22,SAm!$U$3:$U$79,'SAm Capacity Data'!$A24)</f>
        <v>0</v>
      </c>
      <c r="J24" s="261">
        <f>SUMIFS(SAm!$N$3:$N$79,SAm!$F$3:$F$79,'SAm Capacity Data'!J$22,SAm!$U$3:$U$79,'SAm Capacity Data'!$A24)+SUMIFS(SAm!$P$3:$P$79,SAm!$F$3:$F$79,'SAm Capacity Data'!J$22,SAm!$U$3:$U$79,'SAm Capacity Data'!$A24)</f>
        <v>0</v>
      </c>
      <c r="K24" s="261">
        <f>SUMIFS(SAm!$N$3:$N$79,SAm!$F$3:$F$79,'SAm Capacity Data'!K$22,SAm!$U$3:$U$79,'SAm Capacity Data'!$A24)+SUMIFS(SAm!$P$3:$P$79,SAm!$F$3:$F$79,'SAm Capacity Data'!K$22,SAm!$U$3:$U$79,'SAm Capacity Data'!$A24)</f>
        <v>0</v>
      </c>
      <c r="L24" s="261">
        <f>SUMIFS(SAm!$N$3:$N$79,SAm!$F$3:$F$79,'SAm Capacity Data'!L$22,SAm!$U$3:$U$79,'SAm Capacity Data'!$A24)+SUMIFS(SAm!$P$3:$P$79,SAm!$F$3:$F$79,'SAm Capacity Data'!L$22,SAm!$U$3:$U$79,'SAm Capacity Data'!$A24)</f>
        <v>52.05</v>
      </c>
      <c r="M24" s="261">
        <f>SUMIFS(SAm!$N$3:$N$79,SAm!$F$3:$F$79,'SAm Capacity Data'!M$22,SAm!$U$3:$U$79,'SAm Capacity Data'!$A24)+SUMIFS(SAm!$P$3:$P$79,SAm!$F$3:$F$79,'SAm Capacity Data'!M$22,SAm!$U$3:$U$79,'SAm Capacity Data'!$A24)</f>
        <v>0</v>
      </c>
      <c r="N24" s="261">
        <f>SUMIFS(SAm!$N$3:$N$79,SAm!$F$3:$F$79,'SAm Capacity Data'!N$22,SAm!$U$3:$U$79,'SAm Capacity Data'!$A24)+SUMIFS(SAm!$P$3:$P$79,SAm!$F$3:$F$79,'SAm Capacity Data'!N$22,SAm!$U$3:$U$79,'SAm Capacity Data'!$A24)</f>
        <v>0</v>
      </c>
      <c r="O24" s="261">
        <f>SUMIFS(SAm!$N$3:$N$79,SAm!$F$3:$F$79,'SAm Capacity Data'!O$22,SAm!$U$3:$U$79,'SAm Capacity Data'!$A24)+SUMIFS(SAm!$P$3:$P$79,SAm!$F$3:$F$79,'SAm Capacity Data'!O$22,SAm!$U$3:$U$79,'SAm Capacity Data'!$A24)</f>
        <v>0</v>
      </c>
      <c r="P24" s="261">
        <f>SUMIFS(SAm!$N$3:$N$79,SAm!$F$3:$F$79,'SAm Capacity Data'!P$22,SAm!$U$3:$U$79,'SAm Capacity Data'!$A24)+SUMIFS(SAm!$P$3:$P$79,SAm!$F$3:$F$79,'SAm Capacity Data'!P$22,SAm!$U$3:$U$79,'SAm Capacity Data'!$A24)</f>
        <v>0</v>
      </c>
      <c r="Q24" s="261">
        <f>SUMIFS(SAm!$N$3:$N$79,SAm!$F$3:$F$79,'SAm Capacity Data'!Q$22,SAm!$U$3:$U$79,'SAm Capacity Data'!$A24)+SUMIFS(SAm!$P$3:$P$79,SAm!$F$3:$F$79,'SAm Capacity Data'!Q$22,SAm!$U$3:$U$79,'SAm Capacity Data'!$A24)</f>
        <v>0</v>
      </c>
      <c r="R24" s="261">
        <f>SUMIFS(SAm!$N$3:$N$79,SAm!$F$3:$F$79,'SAm Capacity Data'!R$22,SAm!$U$3:$U$79,'SAm Capacity Data'!$A24)+SUMIFS(SAm!$P$3:$P$79,SAm!$F$3:$F$79,'SAm Capacity Data'!R$22,SAm!$U$3:$U$79,'SAm Capacity Data'!$A24)</f>
        <v>0</v>
      </c>
      <c r="S24" s="261">
        <f>SUMIFS(SAm!$N$3:$N$79,SAm!$F$3:$F$79,'SAm Capacity Data'!S$22,SAm!$U$3:$U$79,'SAm Capacity Data'!$A24)+SUMIFS(SAm!$P$3:$P$79,SAm!$F$3:$F$79,'SAm Capacity Data'!S$22,SAm!$U$3:$U$79,'SAm Capacity Data'!$A24)</f>
        <v>0</v>
      </c>
      <c r="T24" s="261">
        <f>SUMIFS(SAm!$N$3:$N$79,SAm!$F$3:$F$79,'SAm Capacity Data'!T$22,SAm!$U$3:$U$79,'SAm Capacity Data'!$A24)+SUMIFS(SAm!$P$3:$P$79,SAm!$F$3:$F$79,'SAm Capacity Data'!T$22,SAm!$U$3:$U$79,'SAm Capacity Data'!$A24)</f>
        <v>0</v>
      </c>
      <c r="U24" s="261">
        <f>SUMIFS(SAm!$N$3:$N$79,SAm!$F$3:$F$79,'SAm Capacity Data'!U$22,SAm!$U$3:$U$79,'SAm Capacity Data'!$A24)+SUMIFS(SAm!$P$3:$P$79,SAm!$F$3:$F$79,'SAm Capacity Data'!U$22,SAm!$U$3:$U$79,'SAm Capacity Data'!$A24)</f>
        <v>0</v>
      </c>
      <c r="V24" s="261">
        <f>SUMIFS(SAm!$N$3:$N$79,SAm!$F$3:$F$79,'SAm Capacity Data'!V$22,SAm!$U$3:$U$79,'SAm Capacity Data'!$A24)+SUMIFS(SAm!$P$3:$P$79,SAm!$F$3:$F$79,'SAm Capacity Data'!V$22,SAm!$U$3:$U$79,'SAm Capacity Data'!$A24)</f>
        <v>0</v>
      </c>
      <c r="W24" s="261">
        <f>SUMIFS(SAm!$N$3:$N$79,SAm!$F$3:$F$79,'SAm Capacity Data'!W$22,SAm!$U$3:$U$79,'SAm Capacity Data'!$A24)+SUMIFS(SAm!$P$3:$P$79,SAm!$F$3:$F$79,'SAm Capacity Data'!W$22,SAm!$U$3:$U$79,'SAm Capacity Data'!$A24)</f>
        <v>0</v>
      </c>
      <c r="X24" s="261">
        <f>SUMIFS(SAm!$N$3:$N$79,SAm!$F$3:$F$79,'SAm Capacity Data'!X$22,SAm!$U$3:$U$79,'SAm Capacity Data'!$A24)+SUMIFS(SAm!$P$3:$P$79,SAm!$F$3:$F$79,'SAm Capacity Data'!X$22,SAm!$U$3:$U$79,'SAm Capacity Data'!$A24)</f>
        <v>0</v>
      </c>
      <c r="Y24" s="261">
        <f>SUMIFS(SAm!$N$3:$N$79,SAm!$F$3:$F$79,'SAm Capacity Data'!Y$22,SAm!$U$3:$U$79,'SAm Capacity Data'!$A24)+SUMIFS(SAm!$P$3:$P$79,SAm!$F$3:$F$79,'SAm Capacity Data'!Y$22,SAm!$U$3:$U$79,'SAm Capacity Data'!$A24)</f>
        <v>0</v>
      </c>
      <c r="Z24" s="261">
        <f>SUMIFS(SAm!$N$3:$N$79,SAm!$F$3:$F$79,'SAm Capacity Data'!Z$22,SAm!$U$3:$U$79,'SAm Capacity Data'!$A24)+SUMIFS(SAm!$P$3:$P$79,SAm!$F$3:$F$79,'SAm Capacity Data'!Z$22,SAm!$U$3:$U$79,'SAm Capacity Data'!$A24)</f>
        <v>0</v>
      </c>
      <c r="AA24" s="261">
        <f>SUMIFS(SAm!$N$3:$N$79,SAm!$F$3:$F$79,'SAm Capacity Data'!AA$22,SAm!$U$3:$U$79,'SAm Capacity Data'!$A24)+SUMIFS(SAm!$P$3:$P$79,SAm!$F$3:$F$79,'SAm Capacity Data'!AA$22,SAm!$U$3:$U$79,'SAm Capacity Data'!$A24)</f>
        <v>0</v>
      </c>
      <c r="AB24" s="261">
        <f>SUMIFS(SAm!$N$3:$N$79,SAm!$F$3:$F$79,'SAm Capacity Data'!AB$22,SAm!$U$3:$U$79,'SAm Capacity Data'!$A24)+SUMIFS(SAm!$P$3:$P$79,SAm!$F$3:$F$79,'SAm Capacity Data'!AB$22,SAm!$U$3:$U$79,'SAm Capacity Data'!$A24)</f>
        <v>0</v>
      </c>
      <c r="AC24" s="261">
        <f>SUMIFS(SAm!$N$3:$N$79,SAm!$F$3:$F$79,'SAm Capacity Data'!AC$22,SAm!$U$3:$U$79,'SAm Capacity Data'!$A24)+SUMIFS(SAm!$P$3:$P$79,SAm!$F$3:$F$79,'SAm Capacity Data'!AC$22,SAm!$U$3:$U$79,'SAm Capacity Data'!$A24)</f>
        <v>0</v>
      </c>
      <c r="AD24" s="261">
        <f>SUMIFS(SAm!$N$3:$N$79,SAm!$F$3:$F$79,'SAm Capacity Data'!AD$22,SAm!$U$3:$U$79,'SAm Capacity Data'!$A24)+SUMIFS(SAm!$P$3:$P$79,SAm!$F$3:$F$79,'SAm Capacity Data'!AD$22,SAm!$U$3:$U$79,'SAm Capacity Data'!$A24)</f>
        <v>0</v>
      </c>
      <c r="AE24" s="261">
        <f>SUMIFS(SAm!$N$3:$N$79,SAm!$F$3:$F$79,'SAm Capacity Data'!AE$22,SAm!$U$3:$U$79,'SAm Capacity Data'!$A24)+SUMIFS(SAm!$P$3:$P$79,SAm!$F$3:$F$79,'SAm Capacity Data'!AE$22,SAm!$U$3:$U$79,'SAm Capacity Data'!$A24)</f>
        <v>0</v>
      </c>
      <c r="AF24" s="261">
        <f>SUMIFS(SAm!$N$3:$N$79,SAm!$F$3:$F$79,'SAm Capacity Data'!AF$22,SAm!$U$3:$U$79,'SAm Capacity Data'!$A24)+SUMIFS(SAm!$P$3:$P$79,SAm!$F$3:$F$79,'SAm Capacity Data'!AF$22,SAm!$U$3:$U$79,'SAm Capacity Data'!$A24)</f>
        <v>0</v>
      </c>
      <c r="AG24" s="23"/>
    </row>
    <row r="25" spans="1:33">
      <c r="A25" s="20" t="s">
        <v>7</v>
      </c>
      <c r="B25" s="22">
        <f>SUMIFS(SAm!$N$3:$N$79,SAm!$F$3:$F$79,"&lt;"&amp;'SAm Capacity Data'!C$22,SAm!$U$3:$U$79,'SAm Capacity Data'!$A25)+SUMIFS(SAm!$P$3:$P$79,SAm!$F$3:$F$79,"&lt;"&amp;'SAm Capacity Data'!C$22,SAm!$U$3:$U$79,'SAm Capacity Data'!$A25)</f>
        <v>0</v>
      </c>
      <c r="C25" s="22">
        <f>SUMIFS(SAm!$N$3:$N$79,SAm!$F$3:$F$79,'SAm Capacity Data'!C$22,SAm!$U$3:$U$79,'SAm Capacity Data'!$A25)+SUMIFS(SAm!$P$3:$P$79,SAm!$F$3:$F$79,'SAm Capacity Data'!C$22,SAm!$U$3:$U$79,'SAm Capacity Data'!$A25)</f>
        <v>0</v>
      </c>
      <c r="D25" s="22">
        <f>SUMIFS(SAm!$N$3:$N$79,SAm!$F$3:$F$79,'SAm Capacity Data'!D$22,SAm!$U$3:$U$79,'SAm Capacity Data'!$A25)+SUMIFS(SAm!$P$3:$P$79,SAm!$F$3:$F$79,'SAm Capacity Data'!D$22,SAm!$U$3:$U$79,'SAm Capacity Data'!$A25)</f>
        <v>0</v>
      </c>
      <c r="E25" s="22">
        <f>SUMIFS(SAm!$N$3:$N$79,SAm!$F$3:$F$79,'SAm Capacity Data'!E$22,SAm!$U$3:$U$79,'SAm Capacity Data'!$A25)+SUMIFS(SAm!$P$3:$P$79,SAm!$F$3:$F$79,'SAm Capacity Data'!E$22,SAm!$U$3:$U$79,'SAm Capacity Data'!$A25)</f>
        <v>0</v>
      </c>
      <c r="F25" s="261">
        <f>SUMIFS(SAm!$N$3:$N$79,SAm!$F$3:$F$79,'SAm Capacity Data'!F$22,SAm!$U$3:$U$79,'SAm Capacity Data'!$A25)+SUMIFS(SAm!$P$3:$P$79,SAm!$F$3:$F$79,'SAm Capacity Data'!F$22,SAm!$U$3:$U$79,'SAm Capacity Data'!$A25)</f>
        <v>0</v>
      </c>
      <c r="G25" s="261">
        <f>SUMIFS(SAm!$N$3:$N$79,SAm!$F$3:$F$79,'SAm Capacity Data'!G$22,SAm!$U$3:$U$79,'SAm Capacity Data'!$A25)+SUMIFS(SAm!$P$3:$P$79,SAm!$F$3:$F$79,'SAm Capacity Data'!G$22,SAm!$U$3:$U$79,'SAm Capacity Data'!$A25)</f>
        <v>7.1999999999999995E-2</v>
      </c>
      <c r="H25" s="261">
        <f>SUMIFS(SAm!$N$3:$N$79,SAm!$F$3:$F$79,'SAm Capacity Data'!H$22,SAm!$U$3:$U$79,'SAm Capacity Data'!$A25)+SUMIFS(SAm!$P$3:$P$79,SAm!$F$3:$F$79,'SAm Capacity Data'!H$22,SAm!$U$3:$U$79,'SAm Capacity Data'!$A25)</f>
        <v>0</v>
      </c>
      <c r="I25" s="261">
        <f>SUMIFS(SAm!$N$3:$N$79,SAm!$F$3:$F$79,'SAm Capacity Data'!I$22,SAm!$U$3:$U$79,'SAm Capacity Data'!$A25)+SUMIFS(SAm!$P$3:$P$79,SAm!$F$3:$F$79,'SAm Capacity Data'!I$22,SAm!$U$3:$U$79,'SAm Capacity Data'!$A25)</f>
        <v>0</v>
      </c>
      <c r="J25" s="261">
        <f>SUMIFS(SAm!$N$3:$N$79,SAm!$F$3:$F$79,'SAm Capacity Data'!J$22,SAm!$U$3:$U$79,'SAm Capacity Data'!$A25)+SUMIFS(SAm!$P$3:$P$79,SAm!$F$3:$F$79,'SAm Capacity Data'!J$22,SAm!$U$3:$U$79,'SAm Capacity Data'!$A25)</f>
        <v>0</v>
      </c>
      <c r="K25" s="261">
        <f>SUMIFS(SAm!$N$3:$N$79,SAm!$F$3:$F$79,'SAm Capacity Data'!K$22,SAm!$U$3:$U$79,'SAm Capacity Data'!$A25)+SUMIFS(SAm!$P$3:$P$79,SAm!$F$3:$F$79,'SAm Capacity Data'!K$22,SAm!$U$3:$U$79,'SAm Capacity Data'!$A25)</f>
        <v>0</v>
      </c>
      <c r="L25" s="261">
        <f>SUMIFS(SAm!$N$3:$N$79,SAm!$F$3:$F$79,'SAm Capacity Data'!L$22,SAm!$U$3:$U$79,'SAm Capacity Data'!$A25)+SUMIFS(SAm!$P$3:$P$79,SAm!$F$3:$F$79,'SAm Capacity Data'!L$22,SAm!$U$3:$U$79,'SAm Capacity Data'!$A25)</f>
        <v>0</v>
      </c>
      <c r="M25" s="261">
        <f>SUMIFS(SAm!$N$3:$N$79,SAm!$F$3:$F$79,'SAm Capacity Data'!M$22,SAm!$U$3:$U$79,'SAm Capacity Data'!$A25)+SUMIFS(SAm!$P$3:$P$79,SAm!$F$3:$F$79,'SAm Capacity Data'!M$22,SAm!$U$3:$U$79,'SAm Capacity Data'!$A25)</f>
        <v>0</v>
      </c>
      <c r="N25" s="261">
        <f>SUMIFS(SAm!$N$3:$N$79,SAm!$F$3:$F$79,'SAm Capacity Data'!N$22,SAm!$U$3:$U$79,'SAm Capacity Data'!$A25)+SUMIFS(SAm!$P$3:$P$79,SAm!$F$3:$F$79,'SAm Capacity Data'!N$22,SAm!$U$3:$U$79,'SAm Capacity Data'!$A25)</f>
        <v>0</v>
      </c>
      <c r="O25" s="261">
        <f>SUMIFS(SAm!$N$3:$N$79,SAm!$F$3:$F$79,'SAm Capacity Data'!O$22,SAm!$U$3:$U$79,'SAm Capacity Data'!$A25)+SUMIFS(SAm!$P$3:$P$79,SAm!$F$3:$F$79,'SAm Capacity Data'!O$22,SAm!$U$3:$U$79,'SAm Capacity Data'!$A25)</f>
        <v>0</v>
      </c>
      <c r="P25" s="261">
        <f>SUMIFS(SAm!$N$3:$N$79,SAm!$F$3:$F$79,'SAm Capacity Data'!P$22,SAm!$U$3:$U$79,'SAm Capacity Data'!$A25)+SUMIFS(SAm!$P$3:$P$79,SAm!$F$3:$F$79,'SAm Capacity Data'!P$22,SAm!$U$3:$U$79,'SAm Capacity Data'!$A25)</f>
        <v>0</v>
      </c>
      <c r="Q25" s="261">
        <f>SUMIFS(SAm!$N$3:$N$79,SAm!$F$3:$F$79,'SAm Capacity Data'!Q$22,SAm!$U$3:$U$79,'SAm Capacity Data'!$A25)+SUMIFS(SAm!$P$3:$P$79,SAm!$F$3:$F$79,'SAm Capacity Data'!Q$22,SAm!$U$3:$U$79,'SAm Capacity Data'!$A25)</f>
        <v>0</v>
      </c>
      <c r="R25" s="261">
        <f>SUMIFS(SAm!$N$3:$N$79,SAm!$F$3:$F$79,'SAm Capacity Data'!R$22,SAm!$U$3:$U$79,'SAm Capacity Data'!$A25)+SUMIFS(SAm!$P$3:$P$79,SAm!$F$3:$F$79,'SAm Capacity Data'!R$22,SAm!$U$3:$U$79,'SAm Capacity Data'!$A25)</f>
        <v>0</v>
      </c>
      <c r="S25" s="261">
        <f>SUMIFS(SAm!$N$3:$N$79,SAm!$F$3:$F$79,'SAm Capacity Data'!S$22,SAm!$U$3:$U$79,'SAm Capacity Data'!$A25)+SUMIFS(SAm!$P$3:$P$79,SAm!$F$3:$F$79,'SAm Capacity Data'!S$22,SAm!$U$3:$U$79,'SAm Capacity Data'!$A25)</f>
        <v>0</v>
      </c>
      <c r="T25" s="261">
        <f>SUMIFS(SAm!$N$3:$N$79,SAm!$F$3:$F$79,'SAm Capacity Data'!T$22,SAm!$U$3:$U$79,'SAm Capacity Data'!$A25)+SUMIFS(SAm!$P$3:$P$79,SAm!$F$3:$F$79,'SAm Capacity Data'!T$22,SAm!$U$3:$U$79,'SAm Capacity Data'!$A25)</f>
        <v>0</v>
      </c>
      <c r="U25" s="261">
        <f>SUMIFS(SAm!$N$3:$N$79,SAm!$F$3:$F$79,'SAm Capacity Data'!U$22,SAm!$U$3:$U$79,'SAm Capacity Data'!$A25)+SUMIFS(SAm!$P$3:$P$79,SAm!$F$3:$F$79,'SAm Capacity Data'!U$22,SAm!$U$3:$U$79,'SAm Capacity Data'!$A25)</f>
        <v>0</v>
      </c>
      <c r="V25" s="261">
        <f>SUMIFS(SAm!$N$3:$N$79,SAm!$F$3:$F$79,'SAm Capacity Data'!V$22,SAm!$U$3:$U$79,'SAm Capacity Data'!$A25)+SUMIFS(SAm!$P$3:$P$79,SAm!$F$3:$F$79,'SAm Capacity Data'!V$22,SAm!$U$3:$U$79,'SAm Capacity Data'!$A25)</f>
        <v>0</v>
      </c>
      <c r="W25" s="261">
        <f>SUMIFS(SAm!$N$3:$N$79,SAm!$F$3:$F$79,'SAm Capacity Data'!W$22,SAm!$U$3:$U$79,'SAm Capacity Data'!$A25)+SUMIFS(SAm!$P$3:$P$79,SAm!$F$3:$F$79,'SAm Capacity Data'!W$22,SAm!$U$3:$U$79,'SAm Capacity Data'!$A25)</f>
        <v>0</v>
      </c>
      <c r="X25" s="261">
        <f>SUMIFS(SAm!$N$3:$N$79,SAm!$F$3:$F$79,'SAm Capacity Data'!X$22,SAm!$U$3:$U$79,'SAm Capacity Data'!$A25)+SUMIFS(SAm!$P$3:$P$79,SAm!$F$3:$F$79,'SAm Capacity Data'!X$22,SAm!$U$3:$U$79,'SAm Capacity Data'!$A25)</f>
        <v>0</v>
      </c>
      <c r="Y25" s="261">
        <f>SUMIFS(SAm!$N$3:$N$79,SAm!$F$3:$F$79,'SAm Capacity Data'!Y$22,SAm!$U$3:$U$79,'SAm Capacity Data'!$A25)+SUMIFS(SAm!$P$3:$P$79,SAm!$F$3:$F$79,'SAm Capacity Data'!Y$22,SAm!$U$3:$U$79,'SAm Capacity Data'!$A25)</f>
        <v>0</v>
      </c>
      <c r="Z25" s="261">
        <f>SUMIFS(SAm!$N$3:$N$79,SAm!$F$3:$F$79,'SAm Capacity Data'!Z$22,SAm!$U$3:$U$79,'SAm Capacity Data'!$A25)+SUMIFS(SAm!$P$3:$P$79,SAm!$F$3:$F$79,'SAm Capacity Data'!Z$22,SAm!$U$3:$U$79,'SAm Capacity Data'!$A25)</f>
        <v>0</v>
      </c>
      <c r="AA25" s="261">
        <f>SUMIFS(SAm!$N$3:$N$79,SAm!$F$3:$F$79,'SAm Capacity Data'!AA$22,SAm!$U$3:$U$79,'SAm Capacity Data'!$A25)+SUMIFS(SAm!$P$3:$P$79,SAm!$F$3:$F$79,'SAm Capacity Data'!AA$22,SAm!$U$3:$U$79,'SAm Capacity Data'!$A25)</f>
        <v>0</v>
      </c>
      <c r="AB25" s="261">
        <f>SUMIFS(SAm!$N$3:$N$79,SAm!$F$3:$F$79,'SAm Capacity Data'!AB$22,SAm!$U$3:$U$79,'SAm Capacity Data'!$A25)+SUMIFS(SAm!$P$3:$P$79,SAm!$F$3:$F$79,'SAm Capacity Data'!AB$22,SAm!$U$3:$U$79,'SAm Capacity Data'!$A25)</f>
        <v>0</v>
      </c>
      <c r="AC25" s="261">
        <f>SUMIFS(SAm!$N$3:$N$79,SAm!$F$3:$F$79,'SAm Capacity Data'!AC$22,SAm!$U$3:$U$79,'SAm Capacity Data'!$A25)+SUMIFS(SAm!$P$3:$P$79,SAm!$F$3:$F$79,'SAm Capacity Data'!AC$22,SAm!$U$3:$U$79,'SAm Capacity Data'!$A25)</f>
        <v>0</v>
      </c>
      <c r="AD25" s="261">
        <f>SUMIFS(SAm!$N$3:$N$79,SAm!$F$3:$F$79,'SAm Capacity Data'!AD$22,SAm!$U$3:$U$79,'SAm Capacity Data'!$A25)+SUMIFS(SAm!$P$3:$P$79,SAm!$F$3:$F$79,'SAm Capacity Data'!AD$22,SAm!$U$3:$U$79,'SAm Capacity Data'!$A25)</f>
        <v>0</v>
      </c>
      <c r="AE25" s="261">
        <f>SUMIFS(SAm!$N$3:$N$79,SAm!$F$3:$F$79,'SAm Capacity Data'!AE$22,SAm!$U$3:$U$79,'SAm Capacity Data'!$A25)+SUMIFS(SAm!$P$3:$P$79,SAm!$F$3:$F$79,'SAm Capacity Data'!AE$22,SAm!$U$3:$U$79,'SAm Capacity Data'!$A25)</f>
        <v>0</v>
      </c>
      <c r="AF25" s="261">
        <f>SUMIFS(SAm!$N$3:$N$79,SAm!$F$3:$F$79,'SAm Capacity Data'!AF$22,SAm!$U$3:$U$79,'SAm Capacity Data'!$A25)+SUMIFS(SAm!$P$3:$P$79,SAm!$F$3:$F$79,'SAm Capacity Data'!AF$22,SAm!$U$3:$U$79,'SAm Capacity Data'!$A25)</f>
        <v>0</v>
      </c>
      <c r="AG25" s="23"/>
    </row>
    <row r="26" spans="1:33">
      <c r="A26" s="20" t="s">
        <v>8</v>
      </c>
      <c r="B26" s="22">
        <f>SUMIFS(SAm!$N$3:$N$79,SAm!$F$3:$F$79,"&lt;"&amp;'SAm Capacity Data'!C$22,SAm!$U$3:$U$79,'SAm Capacity Data'!$A26)+SUMIFS(SAm!$P$3:$P$79,SAm!$F$3:$F$79,"&lt;"&amp;'SAm Capacity Data'!C$22,SAm!$U$3:$U$79,'SAm Capacity Data'!$A26)</f>
        <v>0</v>
      </c>
      <c r="C26" s="22">
        <f>SUMIFS(SAm!$N$3:$N$79,SAm!$F$3:$F$79,'SAm Capacity Data'!C$22,SAm!$U$3:$U$79,'SAm Capacity Data'!$A26)+SUMIFS(SAm!$P$3:$P$79,SAm!$F$3:$F$79,'SAm Capacity Data'!C$22,SAm!$U$3:$U$79,'SAm Capacity Data'!$A26)</f>
        <v>0</v>
      </c>
      <c r="D26" s="22">
        <f>SUMIFS(SAm!$N$3:$N$79,SAm!$F$3:$F$79,'SAm Capacity Data'!D$22,SAm!$U$3:$U$79,'SAm Capacity Data'!$A26)+SUMIFS(SAm!$P$3:$P$79,SAm!$F$3:$F$79,'SAm Capacity Data'!D$22,SAm!$U$3:$U$79,'SAm Capacity Data'!$A26)</f>
        <v>0</v>
      </c>
      <c r="E26" s="22">
        <f>SUMIFS(SAm!$N$3:$N$79,SAm!$F$3:$F$79,'SAm Capacity Data'!E$22,SAm!$U$3:$U$79,'SAm Capacity Data'!$A26)+SUMIFS(SAm!$P$3:$P$79,SAm!$F$3:$F$79,'SAm Capacity Data'!E$22,SAm!$U$3:$U$79,'SAm Capacity Data'!$A26)</f>
        <v>0</v>
      </c>
      <c r="F26" s="261">
        <f>SUMIFS(SAm!$N$3:$N$79,SAm!$F$3:$F$79,'SAm Capacity Data'!F$22,SAm!$U$3:$U$79,'SAm Capacity Data'!$A26)+SUMIFS(SAm!$P$3:$P$79,SAm!$F$3:$F$79,'SAm Capacity Data'!F$22,SAm!$U$3:$U$79,'SAm Capacity Data'!$A26)</f>
        <v>0</v>
      </c>
      <c r="G26" s="261">
        <f>SUMIFS(SAm!$N$3:$N$79,SAm!$F$3:$F$79,'SAm Capacity Data'!G$22,SAm!$U$3:$U$79,'SAm Capacity Data'!$A26)+SUMIFS(SAm!$P$3:$P$79,SAm!$F$3:$F$79,'SAm Capacity Data'!G$22,SAm!$U$3:$U$79,'SAm Capacity Data'!$A26)</f>
        <v>0</v>
      </c>
      <c r="H26" s="261">
        <f>SUMIFS(SAm!$N$3:$N$79,SAm!$F$3:$F$79,'SAm Capacity Data'!H$22,SAm!$U$3:$U$79,'SAm Capacity Data'!$A26)+SUMIFS(SAm!$P$3:$P$79,SAm!$F$3:$F$79,'SAm Capacity Data'!H$22,SAm!$U$3:$U$79,'SAm Capacity Data'!$A26)</f>
        <v>0</v>
      </c>
      <c r="I26" s="261">
        <f>SUMIFS(SAm!$N$3:$N$79,SAm!$F$3:$F$79,'SAm Capacity Data'!I$22,SAm!$U$3:$U$79,'SAm Capacity Data'!$A26)+SUMIFS(SAm!$P$3:$P$79,SAm!$F$3:$F$79,'SAm Capacity Data'!I$22,SAm!$U$3:$U$79,'SAm Capacity Data'!$A26)</f>
        <v>0</v>
      </c>
      <c r="J26" s="261">
        <f>SUMIFS(SAm!$N$3:$N$79,SAm!$F$3:$F$79,'SAm Capacity Data'!J$22,SAm!$U$3:$U$79,'SAm Capacity Data'!$A26)+SUMIFS(SAm!$P$3:$P$79,SAm!$F$3:$F$79,'SAm Capacity Data'!J$22,SAm!$U$3:$U$79,'SAm Capacity Data'!$A26)</f>
        <v>0</v>
      </c>
      <c r="K26" s="261">
        <f>SUMIFS(SAm!$N$3:$N$79,SAm!$F$3:$F$79,'SAm Capacity Data'!K$22,SAm!$U$3:$U$79,'SAm Capacity Data'!$A26)+SUMIFS(SAm!$P$3:$P$79,SAm!$F$3:$F$79,'SAm Capacity Data'!K$22,SAm!$U$3:$U$79,'SAm Capacity Data'!$A26)</f>
        <v>0</v>
      </c>
      <c r="L26" s="261">
        <f>SUMIFS(SAm!$N$3:$N$79,SAm!$F$3:$F$79,'SAm Capacity Data'!L$22,SAm!$U$3:$U$79,'SAm Capacity Data'!$A26)+SUMIFS(SAm!$P$3:$P$79,SAm!$F$3:$F$79,'SAm Capacity Data'!L$22,SAm!$U$3:$U$79,'SAm Capacity Data'!$A26)</f>
        <v>208.2</v>
      </c>
      <c r="M26" s="261">
        <f>SUMIFS(SAm!$N$3:$N$79,SAm!$F$3:$F$79,'SAm Capacity Data'!M$22,SAm!$U$3:$U$79,'SAm Capacity Data'!$A26)+SUMIFS(SAm!$P$3:$P$79,SAm!$F$3:$F$79,'SAm Capacity Data'!M$22,SAm!$U$3:$U$79,'SAm Capacity Data'!$A26)</f>
        <v>1.2144999999999999</v>
      </c>
      <c r="N26" s="261">
        <f>SUMIFS(SAm!$N$3:$N$79,SAm!$F$3:$F$79,'SAm Capacity Data'!N$22,SAm!$U$3:$U$79,'SAm Capacity Data'!$A26)+SUMIFS(SAm!$P$3:$P$79,SAm!$F$3:$F$79,'SAm Capacity Data'!N$22,SAm!$U$3:$U$79,'SAm Capacity Data'!$A26)</f>
        <v>0</v>
      </c>
      <c r="O26" s="261">
        <f>SUMIFS(SAm!$N$3:$N$79,SAm!$F$3:$F$79,'SAm Capacity Data'!O$22,SAm!$U$3:$U$79,'SAm Capacity Data'!$A26)+SUMIFS(SAm!$P$3:$P$79,SAm!$F$3:$F$79,'SAm Capacity Data'!O$22,SAm!$U$3:$U$79,'SAm Capacity Data'!$A26)</f>
        <v>0</v>
      </c>
      <c r="P26" s="261">
        <f>SUMIFS(SAm!$N$3:$N$79,SAm!$F$3:$F$79,'SAm Capacity Data'!P$22,SAm!$U$3:$U$79,'SAm Capacity Data'!$A26)+SUMIFS(SAm!$P$3:$P$79,SAm!$F$3:$F$79,'SAm Capacity Data'!P$22,SAm!$U$3:$U$79,'SAm Capacity Data'!$A26)</f>
        <v>0</v>
      </c>
      <c r="Q26" s="261">
        <f>SUMIFS(SAm!$N$3:$N$79,SAm!$F$3:$F$79,'SAm Capacity Data'!Q$22,SAm!$U$3:$U$79,'SAm Capacity Data'!$A26)+SUMIFS(SAm!$P$3:$P$79,SAm!$F$3:$F$79,'SAm Capacity Data'!Q$22,SAm!$U$3:$U$79,'SAm Capacity Data'!$A26)</f>
        <v>0</v>
      </c>
      <c r="R26" s="261">
        <f>SUMIFS(SAm!$N$3:$N$79,SAm!$F$3:$F$79,'SAm Capacity Data'!R$22,SAm!$U$3:$U$79,'SAm Capacity Data'!$A26)+SUMIFS(SAm!$P$3:$P$79,SAm!$F$3:$F$79,'SAm Capacity Data'!R$22,SAm!$U$3:$U$79,'SAm Capacity Data'!$A26)</f>
        <v>0</v>
      </c>
      <c r="S26" s="261">
        <f>SUMIFS(SAm!$N$3:$N$79,SAm!$F$3:$F$79,'SAm Capacity Data'!S$22,SAm!$U$3:$U$79,'SAm Capacity Data'!$A26)+SUMIFS(SAm!$P$3:$P$79,SAm!$F$3:$F$79,'SAm Capacity Data'!S$22,SAm!$U$3:$U$79,'SAm Capacity Data'!$A26)</f>
        <v>0</v>
      </c>
      <c r="T26" s="261">
        <f>SUMIFS(SAm!$N$3:$N$79,SAm!$F$3:$F$79,'SAm Capacity Data'!T$22,SAm!$U$3:$U$79,'SAm Capacity Data'!$A26)+SUMIFS(SAm!$P$3:$P$79,SAm!$F$3:$F$79,'SAm Capacity Data'!T$22,SAm!$U$3:$U$79,'SAm Capacity Data'!$A26)</f>
        <v>0</v>
      </c>
      <c r="U26" s="261">
        <f>SUMIFS(SAm!$N$3:$N$79,SAm!$F$3:$F$79,'SAm Capacity Data'!U$22,SAm!$U$3:$U$79,'SAm Capacity Data'!$A26)+SUMIFS(SAm!$P$3:$P$79,SAm!$F$3:$F$79,'SAm Capacity Data'!U$22,SAm!$U$3:$U$79,'SAm Capacity Data'!$A26)</f>
        <v>0</v>
      </c>
      <c r="V26" s="261">
        <f>SUMIFS(SAm!$N$3:$N$79,SAm!$F$3:$F$79,'SAm Capacity Data'!V$22,SAm!$U$3:$U$79,'SAm Capacity Data'!$A26)+SUMIFS(SAm!$P$3:$P$79,SAm!$F$3:$F$79,'SAm Capacity Data'!V$22,SAm!$U$3:$U$79,'SAm Capacity Data'!$A26)</f>
        <v>0</v>
      </c>
      <c r="W26" s="261">
        <f>SUMIFS(SAm!$N$3:$N$79,SAm!$F$3:$F$79,'SAm Capacity Data'!W$22,SAm!$U$3:$U$79,'SAm Capacity Data'!$A26)+SUMIFS(SAm!$P$3:$P$79,SAm!$F$3:$F$79,'SAm Capacity Data'!W$22,SAm!$U$3:$U$79,'SAm Capacity Data'!$A26)</f>
        <v>0</v>
      </c>
      <c r="X26" s="261">
        <f>SUMIFS(SAm!$N$3:$N$79,SAm!$F$3:$F$79,'SAm Capacity Data'!X$22,SAm!$U$3:$U$79,'SAm Capacity Data'!$A26)+SUMIFS(SAm!$P$3:$P$79,SAm!$F$3:$F$79,'SAm Capacity Data'!X$22,SAm!$U$3:$U$79,'SAm Capacity Data'!$A26)</f>
        <v>0</v>
      </c>
      <c r="Y26" s="261">
        <f>SUMIFS(SAm!$N$3:$N$79,SAm!$F$3:$F$79,'SAm Capacity Data'!Y$22,SAm!$U$3:$U$79,'SAm Capacity Data'!$A26)+SUMIFS(SAm!$P$3:$P$79,SAm!$F$3:$F$79,'SAm Capacity Data'!Y$22,SAm!$U$3:$U$79,'SAm Capacity Data'!$A26)</f>
        <v>0</v>
      </c>
      <c r="Z26" s="261">
        <f>SUMIFS(SAm!$N$3:$N$79,SAm!$F$3:$F$79,'SAm Capacity Data'!Z$22,SAm!$U$3:$U$79,'SAm Capacity Data'!$A26)+SUMIFS(SAm!$P$3:$P$79,SAm!$F$3:$F$79,'SAm Capacity Data'!Z$22,SAm!$U$3:$U$79,'SAm Capacity Data'!$A26)</f>
        <v>0</v>
      </c>
      <c r="AA26" s="261">
        <f>SUMIFS(SAm!$N$3:$N$79,SAm!$F$3:$F$79,'SAm Capacity Data'!AA$22,SAm!$U$3:$U$79,'SAm Capacity Data'!$A26)+SUMIFS(SAm!$P$3:$P$79,SAm!$F$3:$F$79,'SAm Capacity Data'!AA$22,SAm!$U$3:$U$79,'SAm Capacity Data'!$A26)</f>
        <v>0</v>
      </c>
      <c r="AB26" s="261">
        <f>SUMIFS(SAm!$N$3:$N$79,SAm!$F$3:$F$79,'SAm Capacity Data'!AB$22,SAm!$U$3:$U$79,'SAm Capacity Data'!$A26)+SUMIFS(SAm!$P$3:$P$79,SAm!$F$3:$F$79,'SAm Capacity Data'!AB$22,SAm!$U$3:$U$79,'SAm Capacity Data'!$A26)</f>
        <v>0</v>
      </c>
      <c r="AC26" s="261">
        <f>SUMIFS(SAm!$N$3:$N$79,SAm!$F$3:$F$79,'SAm Capacity Data'!AC$22,SAm!$U$3:$U$79,'SAm Capacity Data'!$A26)+SUMIFS(SAm!$P$3:$P$79,SAm!$F$3:$F$79,'SAm Capacity Data'!AC$22,SAm!$U$3:$U$79,'SAm Capacity Data'!$A26)</f>
        <v>0</v>
      </c>
      <c r="AD26" s="261">
        <f>SUMIFS(SAm!$N$3:$N$79,SAm!$F$3:$F$79,'SAm Capacity Data'!AD$22,SAm!$U$3:$U$79,'SAm Capacity Data'!$A26)+SUMIFS(SAm!$P$3:$P$79,SAm!$F$3:$F$79,'SAm Capacity Data'!AD$22,SAm!$U$3:$U$79,'SAm Capacity Data'!$A26)</f>
        <v>0</v>
      </c>
      <c r="AE26" s="261">
        <f>SUMIFS(SAm!$N$3:$N$79,SAm!$F$3:$F$79,'SAm Capacity Data'!AE$22,SAm!$U$3:$U$79,'SAm Capacity Data'!$A26)+SUMIFS(SAm!$P$3:$P$79,SAm!$F$3:$F$79,'SAm Capacity Data'!AE$22,SAm!$U$3:$U$79,'SAm Capacity Data'!$A26)</f>
        <v>0</v>
      </c>
      <c r="AF26" s="261">
        <f>SUMIFS(SAm!$N$3:$N$79,SAm!$F$3:$F$79,'SAm Capacity Data'!AF$22,SAm!$U$3:$U$79,'SAm Capacity Data'!$A26)+SUMIFS(SAm!$P$3:$P$79,SAm!$F$3:$F$79,'SAm Capacity Data'!AF$22,SAm!$U$3:$U$79,'SAm Capacity Data'!$A26)</f>
        <v>0</v>
      </c>
      <c r="AG26" s="23"/>
    </row>
    <row r="27" spans="1:33">
      <c r="A27" s="20" t="s">
        <v>9</v>
      </c>
      <c r="B27" s="22">
        <f>SUMIFS(SAm!$N$3:$N$79,SAm!$F$3:$F$79,"&lt;"&amp;'SAm Capacity Data'!C$22,SAm!$U$3:$U$79,'SAm Capacity Data'!$A27)+SUMIFS(SAm!$P$3:$P$79,SAm!$F$3:$F$79,"&lt;"&amp;'SAm Capacity Data'!C$22,SAm!$U$3:$U$79,'SAm Capacity Data'!$A27)</f>
        <v>0</v>
      </c>
      <c r="C27" s="22">
        <f>SUMIFS(SAm!$N$3:$N$79,SAm!$F$3:$F$79,'SAm Capacity Data'!C$22,SAm!$U$3:$U$79,'SAm Capacity Data'!$A27)+SUMIFS(SAm!$P$3:$P$79,SAm!$F$3:$F$79,'SAm Capacity Data'!C$22,SAm!$U$3:$U$79,'SAm Capacity Data'!$A27)</f>
        <v>0</v>
      </c>
      <c r="D27" s="22">
        <f>SUMIFS(SAm!$N$3:$N$79,SAm!$F$3:$F$79,'SAm Capacity Data'!D$22,SAm!$U$3:$U$79,'SAm Capacity Data'!$A27)+SUMIFS(SAm!$P$3:$P$79,SAm!$F$3:$F$79,'SAm Capacity Data'!D$22,SAm!$U$3:$U$79,'SAm Capacity Data'!$A27)</f>
        <v>0</v>
      </c>
      <c r="E27" s="22">
        <f>SUMIFS(SAm!$N$3:$N$79,SAm!$F$3:$F$79,'SAm Capacity Data'!E$22,SAm!$U$3:$U$79,'SAm Capacity Data'!$A27)+SUMIFS(SAm!$P$3:$P$79,SAm!$F$3:$F$79,'SAm Capacity Data'!E$22,SAm!$U$3:$U$79,'SAm Capacity Data'!$A27)</f>
        <v>0</v>
      </c>
      <c r="F27" s="261">
        <f>SUMIFS(SAm!$N$3:$N$79,SAm!$F$3:$F$79,'SAm Capacity Data'!F$22,SAm!$U$3:$U$79,'SAm Capacity Data'!$A27)+SUMIFS(SAm!$P$3:$P$79,SAm!$F$3:$F$79,'SAm Capacity Data'!F$22,SAm!$U$3:$U$79,'SAm Capacity Data'!$A27)</f>
        <v>0</v>
      </c>
      <c r="G27" s="261">
        <f>SUMIFS(SAm!$N$3:$N$79,SAm!$F$3:$F$79,'SAm Capacity Data'!G$22,SAm!$U$3:$U$79,'SAm Capacity Data'!$A27)+SUMIFS(SAm!$P$3:$P$79,SAm!$F$3:$F$79,'SAm Capacity Data'!G$22,SAm!$U$3:$U$79,'SAm Capacity Data'!$A27)</f>
        <v>0</v>
      </c>
      <c r="H27" s="261">
        <f>SUMIFS(SAm!$N$3:$N$79,SAm!$F$3:$F$79,'SAm Capacity Data'!H$22,SAm!$U$3:$U$79,'SAm Capacity Data'!$A27)+SUMIFS(SAm!$P$3:$P$79,SAm!$F$3:$F$79,'SAm Capacity Data'!H$22,SAm!$U$3:$U$79,'SAm Capacity Data'!$A27)</f>
        <v>0</v>
      </c>
      <c r="I27" s="261">
        <f>SUMIFS(SAm!$N$3:$N$79,SAm!$F$3:$F$79,'SAm Capacity Data'!I$22,SAm!$U$3:$U$79,'SAm Capacity Data'!$A27)+SUMIFS(SAm!$P$3:$P$79,SAm!$F$3:$F$79,'SAm Capacity Data'!I$22,SAm!$U$3:$U$79,'SAm Capacity Data'!$A27)</f>
        <v>0</v>
      </c>
      <c r="J27" s="261">
        <f>SUMIFS(SAm!$N$3:$N$79,SAm!$F$3:$F$79,'SAm Capacity Data'!J$22,SAm!$U$3:$U$79,'SAm Capacity Data'!$A27)+SUMIFS(SAm!$P$3:$P$79,SAm!$F$3:$F$79,'SAm Capacity Data'!J$22,SAm!$U$3:$U$79,'SAm Capacity Data'!$A27)</f>
        <v>0</v>
      </c>
      <c r="K27" s="261">
        <f>SUMIFS(SAm!$N$3:$N$79,SAm!$F$3:$F$79,'SAm Capacity Data'!K$22,SAm!$U$3:$U$79,'SAm Capacity Data'!$A27)+SUMIFS(SAm!$P$3:$P$79,SAm!$F$3:$F$79,'SAm Capacity Data'!K$22,SAm!$U$3:$U$79,'SAm Capacity Data'!$A27)</f>
        <v>0</v>
      </c>
      <c r="L27" s="261">
        <f>SUMIFS(SAm!$N$3:$N$79,SAm!$F$3:$F$79,'SAm Capacity Data'!L$22,SAm!$U$3:$U$79,'SAm Capacity Data'!$A27)+SUMIFS(SAm!$P$3:$P$79,SAm!$F$3:$F$79,'SAm Capacity Data'!L$22,SAm!$U$3:$U$79,'SAm Capacity Data'!$A27)</f>
        <v>0</v>
      </c>
      <c r="M27" s="261">
        <f>SUMIFS(SAm!$N$3:$N$79,SAm!$F$3:$F$79,'SAm Capacity Data'!M$22,SAm!$U$3:$U$79,'SAm Capacity Data'!$A27)+SUMIFS(SAm!$P$3:$P$79,SAm!$F$3:$F$79,'SAm Capacity Data'!M$22,SAm!$U$3:$U$79,'SAm Capacity Data'!$A27)</f>
        <v>0</v>
      </c>
      <c r="N27" s="261">
        <f>SUMIFS(SAm!$N$3:$N$79,SAm!$F$3:$F$79,'SAm Capacity Data'!N$22,SAm!$U$3:$U$79,'SAm Capacity Data'!$A27)+SUMIFS(SAm!$P$3:$P$79,SAm!$F$3:$F$79,'SAm Capacity Data'!N$22,SAm!$U$3:$U$79,'SAm Capacity Data'!$A27)</f>
        <v>0</v>
      </c>
      <c r="O27" s="261">
        <f>SUMIFS(SAm!$N$3:$N$79,SAm!$F$3:$F$79,'SAm Capacity Data'!O$22,SAm!$U$3:$U$79,'SAm Capacity Data'!$A27)+SUMIFS(SAm!$P$3:$P$79,SAm!$F$3:$F$79,'SAm Capacity Data'!O$22,SAm!$U$3:$U$79,'SAm Capacity Data'!$A27)</f>
        <v>0</v>
      </c>
      <c r="P27" s="261">
        <f>SUMIFS(SAm!$N$3:$N$79,SAm!$F$3:$F$79,'SAm Capacity Data'!P$22,SAm!$U$3:$U$79,'SAm Capacity Data'!$A27)+SUMIFS(SAm!$P$3:$P$79,SAm!$F$3:$F$79,'SAm Capacity Data'!P$22,SAm!$U$3:$U$79,'SAm Capacity Data'!$A27)</f>
        <v>0</v>
      </c>
      <c r="Q27" s="261">
        <f>SUMIFS(SAm!$N$3:$N$79,SAm!$F$3:$F$79,'SAm Capacity Data'!Q$22,SAm!$U$3:$U$79,'SAm Capacity Data'!$A27)+SUMIFS(SAm!$P$3:$P$79,SAm!$F$3:$F$79,'SAm Capacity Data'!Q$22,SAm!$U$3:$U$79,'SAm Capacity Data'!$A27)</f>
        <v>0</v>
      </c>
      <c r="R27" s="261">
        <f>SUMIFS(SAm!$N$3:$N$79,SAm!$F$3:$F$79,'SAm Capacity Data'!R$22,SAm!$U$3:$U$79,'SAm Capacity Data'!$A27)+SUMIFS(SAm!$P$3:$P$79,SAm!$F$3:$F$79,'SAm Capacity Data'!R$22,SAm!$U$3:$U$79,'SAm Capacity Data'!$A27)</f>
        <v>0</v>
      </c>
      <c r="S27" s="261">
        <f>SUMIFS(SAm!$N$3:$N$79,SAm!$F$3:$F$79,'SAm Capacity Data'!S$22,SAm!$U$3:$U$79,'SAm Capacity Data'!$A27)+SUMIFS(SAm!$P$3:$P$79,SAm!$F$3:$F$79,'SAm Capacity Data'!S$22,SAm!$U$3:$U$79,'SAm Capacity Data'!$A27)</f>
        <v>0</v>
      </c>
      <c r="T27" s="261">
        <f>SUMIFS(SAm!$N$3:$N$79,SAm!$F$3:$F$79,'SAm Capacity Data'!T$22,SAm!$U$3:$U$79,'SAm Capacity Data'!$A27)+SUMIFS(SAm!$P$3:$P$79,SAm!$F$3:$F$79,'SAm Capacity Data'!T$22,SAm!$U$3:$U$79,'SAm Capacity Data'!$A27)</f>
        <v>0</v>
      </c>
      <c r="U27" s="261">
        <f>SUMIFS(SAm!$N$3:$N$79,SAm!$F$3:$F$79,'SAm Capacity Data'!U$22,SAm!$U$3:$U$79,'SAm Capacity Data'!$A27)+SUMIFS(SAm!$P$3:$P$79,SAm!$F$3:$F$79,'SAm Capacity Data'!U$22,SAm!$U$3:$U$79,'SAm Capacity Data'!$A27)</f>
        <v>0</v>
      </c>
      <c r="V27" s="261">
        <f>SUMIFS(SAm!$N$3:$N$79,SAm!$F$3:$F$79,'SAm Capacity Data'!V$22,SAm!$U$3:$U$79,'SAm Capacity Data'!$A27)+SUMIFS(SAm!$P$3:$P$79,SAm!$F$3:$F$79,'SAm Capacity Data'!V$22,SAm!$U$3:$U$79,'SAm Capacity Data'!$A27)</f>
        <v>0</v>
      </c>
      <c r="W27" s="261">
        <f>SUMIFS(SAm!$N$3:$N$79,SAm!$F$3:$F$79,'SAm Capacity Data'!W$22,SAm!$U$3:$U$79,'SAm Capacity Data'!$A27)+SUMIFS(SAm!$P$3:$P$79,SAm!$F$3:$F$79,'SAm Capacity Data'!W$22,SAm!$U$3:$U$79,'SAm Capacity Data'!$A27)</f>
        <v>0</v>
      </c>
      <c r="X27" s="261">
        <f>SUMIFS(SAm!$N$3:$N$79,SAm!$F$3:$F$79,'SAm Capacity Data'!X$22,SAm!$U$3:$U$79,'SAm Capacity Data'!$A27)+SUMIFS(SAm!$P$3:$P$79,SAm!$F$3:$F$79,'SAm Capacity Data'!X$22,SAm!$U$3:$U$79,'SAm Capacity Data'!$A27)</f>
        <v>0</v>
      </c>
      <c r="Y27" s="261">
        <f>SUMIFS(SAm!$N$3:$N$79,SAm!$F$3:$F$79,'SAm Capacity Data'!Y$22,SAm!$U$3:$U$79,'SAm Capacity Data'!$A27)+SUMIFS(SAm!$P$3:$P$79,SAm!$F$3:$F$79,'SAm Capacity Data'!Y$22,SAm!$U$3:$U$79,'SAm Capacity Data'!$A27)</f>
        <v>0</v>
      </c>
      <c r="Z27" s="261">
        <f>SUMIFS(SAm!$N$3:$N$79,SAm!$F$3:$F$79,'SAm Capacity Data'!Z$22,SAm!$U$3:$U$79,'SAm Capacity Data'!$A27)+SUMIFS(SAm!$P$3:$P$79,SAm!$F$3:$F$79,'SAm Capacity Data'!Z$22,SAm!$U$3:$U$79,'SAm Capacity Data'!$A27)</f>
        <v>0</v>
      </c>
      <c r="AA27" s="261">
        <f>SUMIFS(SAm!$N$3:$N$79,SAm!$F$3:$F$79,'SAm Capacity Data'!AA$22,SAm!$U$3:$U$79,'SAm Capacity Data'!$A27)+SUMIFS(SAm!$P$3:$P$79,SAm!$F$3:$F$79,'SAm Capacity Data'!AA$22,SAm!$U$3:$U$79,'SAm Capacity Data'!$A27)</f>
        <v>0</v>
      </c>
      <c r="AB27" s="261">
        <f>SUMIFS(SAm!$N$3:$N$79,SAm!$F$3:$F$79,'SAm Capacity Data'!AB$22,SAm!$U$3:$U$79,'SAm Capacity Data'!$A27)+SUMIFS(SAm!$P$3:$P$79,SAm!$F$3:$F$79,'SAm Capacity Data'!AB$22,SAm!$U$3:$U$79,'SAm Capacity Data'!$A27)</f>
        <v>0</v>
      </c>
      <c r="AC27" s="261">
        <f>SUMIFS(SAm!$N$3:$N$79,SAm!$F$3:$F$79,'SAm Capacity Data'!AC$22,SAm!$U$3:$U$79,'SAm Capacity Data'!$A27)+SUMIFS(SAm!$P$3:$P$79,SAm!$F$3:$F$79,'SAm Capacity Data'!AC$22,SAm!$U$3:$U$79,'SAm Capacity Data'!$A27)</f>
        <v>0</v>
      </c>
      <c r="AD27" s="261">
        <f>SUMIFS(SAm!$N$3:$N$79,SAm!$F$3:$F$79,'SAm Capacity Data'!AD$22,SAm!$U$3:$U$79,'SAm Capacity Data'!$A27)+SUMIFS(SAm!$P$3:$P$79,SAm!$F$3:$F$79,'SAm Capacity Data'!AD$22,SAm!$U$3:$U$79,'SAm Capacity Data'!$A27)</f>
        <v>0</v>
      </c>
      <c r="AE27" s="261">
        <f>SUMIFS(SAm!$N$3:$N$79,SAm!$F$3:$F$79,'SAm Capacity Data'!AE$22,SAm!$U$3:$U$79,'SAm Capacity Data'!$A27)+SUMIFS(SAm!$P$3:$P$79,SAm!$F$3:$F$79,'SAm Capacity Data'!AE$22,SAm!$U$3:$U$79,'SAm Capacity Data'!$A27)</f>
        <v>0</v>
      </c>
      <c r="AF27" s="261">
        <f>SUMIFS(SAm!$N$3:$N$79,SAm!$F$3:$F$79,'SAm Capacity Data'!AF$22,SAm!$U$3:$U$79,'SAm Capacity Data'!$A27)+SUMIFS(SAm!$P$3:$P$79,SAm!$F$3:$F$79,'SAm Capacity Data'!AF$22,SAm!$U$3:$U$79,'SAm Capacity Data'!$A27)</f>
        <v>0</v>
      </c>
      <c r="AG27" s="23"/>
    </row>
    <row r="28" spans="1:33">
      <c r="A28" s="20" t="s">
        <v>10</v>
      </c>
      <c r="B28" s="22">
        <f>SUMIFS(SAm!$N$3:$N$79,SAm!$F$3:$F$79,"&lt;"&amp;'SAm Capacity Data'!C$22,SAm!$U$3:$U$79,'SAm Capacity Data'!$A28)+SUMIFS(SAm!$P$3:$P$79,SAm!$F$3:$F$79,"&lt;"&amp;'SAm Capacity Data'!C$22,SAm!$U$3:$U$79,'SAm Capacity Data'!$A28)</f>
        <v>0</v>
      </c>
      <c r="C28" s="22">
        <f>SUMIFS(SAm!$N$3:$N$79,SAm!$F$3:$F$79,'SAm Capacity Data'!C$22,SAm!$U$3:$U$79,'SAm Capacity Data'!$A28)+SUMIFS(SAm!$P$3:$P$79,SAm!$F$3:$F$79,'SAm Capacity Data'!C$22,SAm!$U$3:$U$79,'SAm Capacity Data'!$A28)</f>
        <v>0</v>
      </c>
      <c r="D28" s="22">
        <f>SUMIFS(SAm!$N$3:$N$79,SAm!$F$3:$F$79,'SAm Capacity Data'!D$22,SAm!$U$3:$U$79,'SAm Capacity Data'!$A28)+SUMIFS(SAm!$P$3:$P$79,SAm!$F$3:$F$79,'SAm Capacity Data'!D$22,SAm!$U$3:$U$79,'SAm Capacity Data'!$A28)</f>
        <v>0</v>
      </c>
      <c r="E28" s="22">
        <f>SUMIFS(SAm!$N$3:$N$79,SAm!$F$3:$F$79,'SAm Capacity Data'!E$22,SAm!$U$3:$U$79,'SAm Capacity Data'!$A28)+SUMIFS(SAm!$P$3:$P$79,SAm!$F$3:$F$79,'SAm Capacity Data'!E$22,SAm!$U$3:$U$79,'SAm Capacity Data'!$A28)</f>
        <v>0</v>
      </c>
      <c r="F28" s="261">
        <f>SUMIFS(SAm!$N$3:$N$79,SAm!$F$3:$F$79,'SAm Capacity Data'!F$22,SAm!$U$3:$U$79,'SAm Capacity Data'!$A28)+SUMIFS(SAm!$P$3:$P$79,SAm!$F$3:$F$79,'SAm Capacity Data'!F$22,SAm!$U$3:$U$79,'SAm Capacity Data'!$A28)</f>
        <v>0</v>
      </c>
      <c r="G28" s="261">
        <f>SUMIFS(SAm!$N$3:$N$79,SAm!$F$3:$F$79,'SAm Capacity Data'!G$22,SAm!$U$3:$U$79,'SAm Capacity Data'!$A28)+SUMIFS(SAm!$P$3:$P$79,SAm!$F$3:$F$79,'SAm Capacity Data'!G$22,SAm!$U$3:$U$79,'SAm Capacity Data'!$A28)</f>
        <v>0</v>
      </c>
      <c r="H28" s="261">
        <f>SUMIFS(SAm!$N$3:$N$79,SAm!$F$3:$F$79,'SAm Capacity Data'!H$22,SAm!$U$3:$U$79,'SAm Capacity Data'!$A28)+SUMIFS(SAm!$P$3:$P$79,SAm!$F$3:$F$79,'SAm Capacity Data'!H$22,SAm!$U$3:$U$79,'SAm Capacity Data'!$A28)</f>
        <v>0</v>
      </c>
      <c r="I28" s="261">
        <f>SUMIFS(SAm!$N$3:$N$79,SAm!$F$3:$F$79,'SAm Capacity Data'!I$22,SAm!$U$3:$U$79,'SAm Capacity Data'!$A28)+SUMIFS(SAm!$P$3:$P$79,SAm!$F$3:$F$79,'SAm Capacity Data'!I$22,SAm!$U$3:$U$79,'SAm Capacity Data'!$A28)</f>
        <v>0</v>
      </c>
      <c r="J28" s="261">
        <f>SUMIFS(SAm!$N$3:$N$79,SAm!$F$3:$F$79,'SAm Capacity Data'!J$22,SAm!$U$3:$U$79,'SAm Capacity Data'!$A28)+SUMIFS(SAm!$P$3:$P$79,SAm!$F$3:$F$79,'SAm Capacity Data'!J$22,SAm!$U$3:$U$79,'SAm Capacity Data'!$A28)</f>
        <v>6.8985000000000003</v>
      </c>
      <c r="K28" s="261">
        <f>SUMIFS(SAm!$N$3:$N$79,SAm!$F$3:$F$79,'SAm Capacity Data'!K$22,SAm!$U$3:$U$79,'SAm Capacity Data'!$A28)+SUMIFS(SAm!$P$3:$P$79,SAm!$F$3:$F$79,'SAm Capacity Data'!K$22,SAm!$U$3:$U$79,'SAm Capacity Data'!$A28)</f>
        <v>0</v>
      </c>
      <c r="L28" s="261">
        <f>SUMIFS(SAm!$N$3:$N$79,SAm!$F$3:$F$79,'SAm Capacity Data'!L$22,SAm!$U$3:$U$79,'SAm Capacity Data'!$A28)+SUMIFS(SAm!$P$3:$P$79,SAm!$F$3:$F$79,'SAm Capacity Data'!L$22,SAm!$U$3:$U$79,'SAm Capacity Data'!$A28)</f>
        <v>0</v>
      </c>
      <c r="M28" s="261">
        <f>SUMIFS(SAm!$N$3:$N$79,SAm!$F$3:$F$79,'SAm Capacity Data'!M$22,SAm!$U$3:$U$79,'SAm Capacity Data'!$A28)+SUMIFS(SAm!$P$3:$P$79,SAm!$F$3:$F$79,'SAm Capacity Data'!M$22,SAm!$U$3:$U$79,'SAm Capacity Data'!$A28)</f>
        <v>0</v>
      </c>
      <c r="N28" s="261">
        <f>SUMIFS(SAm!$N$3:$N$79,SAm!$F$3:$F$79,'SAm Capacity Data'!N$22,SAm!$U$3:$U$79,'SAm Capacity Data'!$A28)+SUMIFS(SAm!$P$3:$P$79,SAm!$F$3:$F$79,'SAm Capacity Data'!N$22,SAm!$U$3:$U$79,'SAm Capacity Data'!$A28)</f>
        <v>0</v>
      </c>
      <c r="O28" s="261">
        <f>SUMIFS(SAm!$N$3:$N$79,SAm!$F$3:$F$79,'SAm Capacity Data'!O$22,SAm!$U$3:$U$79,'SAm Capacity Data'!$A28)+SUMIFS(SAm!$P$3:$P$79,SAm!$F$3:$F$79,'SAm Capacity Data'!O$22,SAm!$U$3:$U$79,'SAm Capacity Data'!$A28)</f>
        <v>0</v>
      </c>
      <c r="P28" s="261">
        <f>SUMIFS(SAm!$N$3:$N$79,SAm!$F$3:$F$79,'SAm Capacity Data'!P$22,SAm!$U$3:$U$79,'SAm Capacity Data'!$A28)+SUMIFS(SAm!$P$3:$P$79,SAm!$F$3:$F$79,'SAm Capacity Data'!P$22,SAm!$U$3:$U$79,'SAm Capacity Data'!$A28)</f>
        <v>0</v>
      </c>
      <c r="Q28" s="261">
        <f>SUMIFS(SAm!$N$3:$N$79,SAm!$F$3:$F$79,'SAm Capacity Data'!Q$22,SAm!$U$3:$U$79,'SAm Capacity Data'!$A28)+SUMIFS(SAm!$P$3:$P$79,SAm!$F$3:$F$79,'SAm Capacity Data'!Q$22,SAm!$U$3:$U$79,'SAm Capacity Data'!$A28)</f>
        <v>0</v>
      </c>
      <c r="R28" s="261">
        <f>SUMIFS(SAm!$N$3:$N$79,SAm!$F$3:$F$79,'SAm Capacity Data'!R$22,SAm!$U$3:$U$79,'SAm Capacity Data'!$A28)+SUMIFS(SAm!$P$3:$P$79,SAm!$F$3:$F$79,'SAm Capacity Data'!R$22,SAm!$U$3:$U$79,'SAm Capacity Data'!$A28)</f>
        <v>0</v>
      </c>
      <c r="S28" s="261">
        <f>SUMIFS(SAm!$N$3:$N$79,SAm!$F$3:$F$79,'SAm Capacity Data'!S$22,SAm!$U$3:$U$79,'SAm Capacity Data'!$A28)+SUMIFS(SAm!$P$3:$P$79,SAm!$F$3:$F$79,'SAm Capacity Data'!S$22,SAm!$U$3:$U$79,'SAm Capacity Data'!$A28)</f>
        <v>0</v>
      </c>
      <c r="T28" s="261">
        <f>SUMIFS(SAm!$N$3:$N$79,SAm!$F$3:$F$79,'SAm Capacity Data'!T$22,SAm!$U$3:$U$79,'SAm Capacity Data'!$A28)+SUMIFS(SAm!$P$3:$P$79,SAm!$F$3:$F$79,'SAm Capacity Data'!T$22,SAm!$U$3:$U$79,'SAm Capacity Data'!$A28)</f>
        <v>0</v>
      </c>
      <c r="U28" s="261">
        <f>SUMIFS(SAm!$N$3:$N$79,SAm!$F$3:$F$79,'SAm Capacity Data'!U$22,SAm!$U$3:$U$79,'SAm Capacity Data'!$A28)+SUMIFS(SAm!$P$3:$P$79,SAm!$F$3:$F$79,'SAm Capacity Data'!U$22,SAm!$U$3:$U$79,'SAm Capacity Data'!$A28)</f>
        <v>0</v>
      </c>
      <c r="V28" s="261">
        <f>SUMIFS(SAm!$N$3:$N$79,SAm!$F$3:$F$79,'SAm Capacity Data'!V$22,SAm!$U$3:$U$79,'SAm Capacity Data'!$A28)+SUMIFS(SAm!$P$3:$P$79,SAm!$F$3:$F$79,'SAm Capacity Data'!V$22,SAm!$U$3:$U$79,'SAm Capacity Data'!$A28)</f>
        <v>0</v>
      </c>
      <c r="W28" s="261">
        <f>SUMIFS(SAm!$N$3:$N$79,SAm!$F$3:$F$79,'SAm Capacity Data'!W$22,SAm!$U$3:$U$79,'SAm Capacity Data'!$A28)+SUMIFS(SAm!$P$3:$P$79,SAm!$F$3:$F$79,'SAm Capacity Data'!W$22,SAm!$U$3:$U$79,'SAm Capacity Data'!$A28)</f>
        <v>0</v>
      </c>
      <c r="X28" s="261">
        <f>SUMIFS(SAm!$N$3:$N$79,SAm!$F$3:$F$79,'SAm Capacity Data'!X$22,SAm!$U$3:$U$79,'SAm Capacity Data'!$A28)+SUMIFS(SAm!$P$3:$P$79,SAm!$F$3:$F$79,'SAm Capacity Data'!X$22,SAm!$U$3:$U$79,'SAm Capacity Data'!$A28)</f>
        <v>0</v>
      </c>
      <c r="Y28" s="261">
        <f>SUMIFS(SAm!$N$3:$N$79,SAm!$F$3:$F$79,'SAm Capacity Data'!Y$22,SAm!$U$3:$U$79,'SAm Capacity Data'!$A28)+SUMIFS(SAm!$P$3:$P$79,SAm!$F$3:$F$79,'SAm Capacity Data'!Y$22,SAm!$U$3:$U$79,'SAm Capacity Data'!$A28)</f>
        <v>0</v>
      </c>
      <c r="Z28" s="261">
        <f>SUMIFS(SAm!$N$3:$N$79,SAm!$F$3:$F$79,'SAm Capacity Data'!Z$22,SAm!$U$3:$U$79,'SAm Capacity Data'!$A28)+SUMIFS(SAm!$P$3:$P$79,SAm!$F$3:$F$79,'SAm Capacity Data'!Z$22,SAm!$U$3:$U$79,'SAm Capacity Data'!$A28)</f>
        <v>0</v>
      </c>
      <c r="AA28" s="261">
        <f>SUMIFS(SAm!$N$3:$N$79,SAm!$F$3:$F$79,'SAm Capacity Data'!AA$22,SAm!$U$3:$U$79,'SAm Capacity Data'!$A28)+SUMIFS(SAm!$P$3:$P$79,SAm!$F$3:$F$79,'SAm Capacity Data'!AA$22,SAm!$U$3:$U$79,'SAm Capacity Data'!$A28)</f>
        <v>0</v>
      </c>
      <c r="AB28" s="261">
        <f>SUMIFS(SAm!$N$3:$N$79,SAm!$F$3:$F$79,'SAm Capacity Data'!AB$22,SAm!$U$3:$U$79,'SAm Capacity Data'!$A28)+SUMIFS(SAm!$P$3:$P$79,SAm!$F$3:$F$79,'SAm Capacity Data'!AB$22,SAm!$U$3:$U$79,'SAm Capacity Data'!$A28)</f>
        <v>0</v>
      </c>
      <c r="AC28" s="261">
        <f>SUMIFS(SAm!$N$3:$N$79,SAm!$F$3:$F$79,'SAm Capacity Data'!AC$22,SAm!$U$3:$U$79,'SAm Capacity Data'!$A28)+SUMIFS(SAm!$P$3:$P$79,SAm!$F$3:$F$79,'SAm Capacity Data'!AC$22,SAm!$U$3:$U$79,'SAm Capacity Data'!$A28)</f>
        <v>0</v>
      </c>
      <c r="AD28" s="261">
        <f>SUMIFS(SAm!$N$3:$N$79,SAm!$F$3:$F$79,'SAm Capacity Data'!AD$22,SAm!$U$3:$U$79,'SAm Capacity Data'!$A28)+SUMIFS(SAm!$P$3:$P$79,SAm!$F$3:$F$79,'SAm Capacity Data'!AD$22,SAm!$U$3:$U$79,'SAm Capacity Data'!$A28)</f>
        <v>0</v>
      </c>
      <c r="AE28" s="261">
        <f>SUMIFS(SAm!$N$3:$N$79,SAm!$F$3:$F$79,'SAm Capacity Data'!AE$22,SAm!$U$3:$U$79,'SAm Capacity Data'!$A28)+SUMIFS(SAm!$P$3:$P$79,SAm!$F$3:$F$79,'SAm Capacity Data'!AE$22,SAm!$U$3:$U$79,'SAm Capacity Data'!$A28)</f>
        <v>0</v>
      </c>
      <c r="AF28" s="261">
        <f>SUMIFS(SAm!$N$3:$N$79,SAm!$F$3:$F$79,'SAm Capacity Data'!AF$22,SAm!$U$3:$U$79,'SAm Capacity Data'!$A28)+SUMIFS(SAm!$P$3:$P$79,SAm!$F$3:$F$79,'SAm Capacity Data'!AF$22,SAm!$U$3:$U$79,'SAm Capacity Data'!$A28)</f>
        <v>0</v>
      </c>
      <c r="AG28" s="23"/>
    </row>
    <row r="29" spans="1:33" ht="15.75" thickBot="1">
      <c r="A29" s="21" t="s">
        <v>11</v>
      </c>
      <c r="B29" s="24">
        <f>SUM(B23:B28)</f>
        <v>0</v>
      </c>
      <c r="C29" s="24">
        <f>B29+SUM(C23:C28)</f>
        <v>0</v>
      </c>
      <c r="D29" s="24">
        <f>C29+SUM(D23:D28)</f>
        <v>0</v>
      </c>
      <c r="E29" s="24">
        <f t="shared" ref="E29:AF29" si="7">D29+SUM(E23:E28)</f>
        <v>0</v>
      </c>
      <c r="F29" s="266">
        <f t="shared" si="7"/>
        <v>0</v>
      </c>
      <c r="G29" s="266">
        <f t="shared" si="7"/>
        <v>147.072</v>
      </c>
      <c r="H29" s="266">
        <f t="shared" si="7"/>
        <v>213.072</v>
      </c>
      <c r="I29" s="266">
        <f t="shared" si="7"/>
        <v>345.072</v>
      </c>
      <c r="J29" s="266">
        <f t="shared" si="7"/>
        <v>474.6105</v>
      </c>
      <c r="K29" s="266">
        <f t="shared" si="7"/>
        <v>520.1105</v>
      </c>
      <c r="L29" s="266">
        <f t="shared" si="7"/>
        <v>889.69049999999993</v>
      </c>
      <c r="M29" s="266">
        <f t="shared" si="7"/>
        <v>890.90499999999997</v>
      </c>
      <c r="N29" s="266">
        <f t="shared" si="7"/>
        <v>890.90499999999997</v>
      </c>
      <c r="O29" s="266">
        <f t="shared" si="7"/>
        <v>890.90499999999997</v>
      </c>
      <c r="P29" s="266">
        <f t="shared" si="7"/>
        <v>890.90499999999997</v>
      </c>
      <c r="Q29" s="266">
        <f t="shared" si="7"/>
        <v>890.90499999999997</v>
      </c>
      <c r="R29" s="266">
        <f t="shared" si="7"/>
        <v>890.90499999999997</v>
      </c>
      <c r="S29" s="266">
        <f t="shared" si="7"/>
        <v>890.90499999999997</v>
      </c>
      <c r="T29" s="266">
        <f t="shared" si="7"/>
        <v>890.90499999999997</v>
      </c>
      <c r="U29" s="266">
        <f t="shared" si="7"/>
        <v>890.90499999999997</v>
      </c>
      <c r="V29" s="266">
        <f t="shared" si="7"/>
        <v>890.90499999999997</v>
      </c>
      <c r="W29" s="266">
        <f t="shared" si="7"/>
        <v>890.90499999999997</v>
      </c>
      <c r="X29" s="266">
        <f t="shared" si="7"/>
        <v>890.90499999999997</v>
      </c>
      <c r="Y29" s="266">
        <f t="shared" si="7"/>
        <v>890.90499999999997</v>
      </c>
      <c r="Z29" s="266">
        <f t="shared" si="7"/>
        <v>890.90499999999997</v>
      </c>
      <c r="AA29" s="266">
        <f t="shared" si="7"/>
        <v>890.90499999999997</v>
      </c>
      <c r="AB29" s="266">
        <f t="shared" si="7"/>
        <v>890.90499999999997</v>
      </c>
      <c r="AC29" s="266">
        <f t="shared" si="7"/>
        <v>890.90499999999997</v>
      </c>
      <c r="AD29" s="266">
        <f t="shared" si="7"/>
        <v>890.90499999999997</v>
      </c>
      <c r="AE29" s="266">
        <f t="shared" si="7"/>
        <v>890.90499999999997</v>
      </c>
      <c r="AF29" s="266">
        <f t="shared" si="7"/>
        <v>890.90499999999997</v>
      </c>
      <c r="AG29" s="154"/>
    </row>
    <row r="30" spans="1:33">
      <c r="A30" s="14"/>
      <c r="B30" s="26" t="e">
        <f>B19/B29</f>
        <v>#DIV/0!</v>
      </c>
      <c r="C30" s="26" t="e">
        <f t="shared" ref="C30:AF30" si="8">C19/C29</f>
        <v>#DIV/0!</v>
      </c>
      <c r="D30" s="26" t="e">
        <f t="shared" si="8"/>
        <v>#DIV/0!</v>
      </c>
      <c r="E30" s="26" t="e">
        <f t="shared" si="8"/>
        <v>#DIV/0!</v>
      </c>
      <c r="F30" s="26" t="e">
        <f t="shared" si="8"/>
        <v>#DIV/0!</v>
      </c>
      <c r="G30" s="26">
        <f t="shared" si="8"/>
        <v>0.79997552219321155</v>
      </c>
      <c r="H30" s="26">
        <f t="shared" si="8"/>
        <v>0.78449538184275747</v>
      </c>
      <c r="I30" s="26">
        <f t="shared" si="8"/>
        <v>0.74956530810961186</v>
      </c>
      <c r="J30" s="26">
        <f t="shared" si="8"/>
        <v>0.69582341730745523</v>
      </c>
      <c r="K30" s="26">
        <f t="shared" si="8"/>
        <v>0.68306657912116742</v>
      </c>
      <c r="L30" s="26">
        <f t="shared" si="8"/>
        <v>0.53915333478327576</v>
      </c>
      <c r="M30" s="26">
        <f t="shared" si="8"/>
        <v>0.53916812118014823</v>
      </c>
      <c r="N30" s="26">
        <f t="shared" si="8"/>
        <v>0.53916812118014823</v>
      </c>
      <c r="O30" s="26">
        <f t="shared" si="8"/>
        <v>0.53916812118014823</v>
      </c>
      <c r="P30" s="26">
        <f t="shared" si="8"/>
        <v>0.53916812118014823</v>
      </c>
      <c r="Q30" s="26">
        <f t="shared" si="8"/>
        <v>0.53916812118014823</v>
      </c>
      <c r="R30" s="26">
        <f t="shared" si="8"/>
        <v>0.53916812118014823</v>
      </c>
      <c r="S30" s="26">
        <f t="shared" si="8"/>
        <v>0.53916812118014823</v>
      </c>
      <c r="T30" s="26">
        <f t="shared" si="8"/>
        <v>0.53916812118014823</v>
      </c>
      <c r="U30" s="26">
        <f t="shared" si="8"/>
        <v>0.53916812118014823</v>
      </c>
      <c r="V30" s="26">
        <f t="shared" si="8"/>
        <v>0.53916812118014823</v>
      </c>
      <c r="W30" s="26">
        <f t="shared" si="8"/>
        <v>0.53916812118014823</v>
      </c>
      <c r="X30" s="26">
        <f t="shared" si="8"/>
        <v>0.53916812118014823</v>
      </c>
      <c r="Y30" s="26">
        <f t="shared" si="8"/>
        <v>0.53916812118014823</v>
      </c>
      <c r="Z30" s="26">
        <f t="shared" si="8"/>
        <v>0.53916812118014823</v>
      </c>
      <c r="AA30" s="26">
        <f t="shared" si="8"/>
        <v>0.53916812118014823</v>
      </c>
      <c r="AB30" s="26">
        <f t="shared" si="8"/>
        <v>0.53916812118014823</v>
      </c>
      <c r="AC30" s="26">
        <f t="shared" si="8"/>
        <v>0.53916812118014823</v>
      </c>
      <c r="AD30" s="26">
        <f t="shared" si="8"/>
        <v>0.53916812118014823</v>
      </c>
      <c r="AE30" s="26">
        <f t="shared" si="8"/>
        <v>0.53916812118014823</v>
      </c>
      <c r="AF30" s="26">
        <f t="shared" si="8"/>
        <v>0.53916812118014823</v>
      </c>
    </row>
    <row r="31" spans="1:33" ht="15.75" thickBot="1">
      <c r="A31" s="16" t="s">
        <v>526</v>
      </c>
      <c r="C31" s="27"/>
      <c r="D31" s="27"/>
      <c r="E31" s="27"/>
      <c r="F31" s="27"/>
      <c r="G31" s="27"/>
      <c r="H31" s="27"/>
      <c r="I31" s="27"/>
      <c r="J31" s="27"/>
      <c r="K31" s="27"/>
      <c r="L31" s="27"/>
      <c r="M31" s="27"/>
      <c r="N31" s="27"/>
      <c r="O31" s="27"/>
      <c r="P31" s="27"/>
    </row>
    <row r="32" spans="1:33" ht="15.75" thickBot="1">
      <c r="A32" s="17" t="s">
        <v>3</v>
      </c>
      <c r="B32" s="28" t="str">
        <f>B22</f>
        <v>&lt; 2021</v>
      </c>
      <c r="C32" s="18">
        <f>C22</f>
        <v>2021</v>
      </c>
      <c r="D32" s="18">
        <f t="shared" ref="D32:AF32" si="9">D22</f>
        <v>2022</v>
      </c>
      <c r="E32" s="18">
        <f t="shared" si="9"/>
        <v>2023</v>
      </c>
      <c r="F32" s="18">
        <f t="shared" si="9"/>
        <v>2024</v>
      </c>
      <c r="G32" s="18">
        <f t="shared" si="9"/>
        <v>2025</v>
      </c>
      <c r="H32" s="18">
        <f t="shared" si="9"/>
        <v>2026</v>
      </c>
      <c r="I32" s="18">
        <f t="shared" si="9"/>
        <v>2027</v>
      </c>
      <c r="J32" s="18">
        <f t="shared" si="9"/>
        <v>2028</v>
      </c>
      <c r="K32" s="18">
        <f t="shared" si="9"/>
        <v>2029</v>
      </c>
      <c r="L32" s="18">
        <f t="shared" si="9"/>
        <v>2030</v>
      </c>
      <c r="M32" s="18">
        <f t="shared" si="9"/>
        <v>2031</v>
      </c>
      <c r="N32" s="18">
        <f t="shared" si="9"/>
        <v>2032</v>
      </c>
      <c r="O32" s="18">
        <f t="shared" si="9"/>
        <v>2033</v>
      </c>
      <c r="P32" s="18">
        <f t="shared" si="9"/>
        <v>2034</v>
      </c>
      <c r="Q32" s="18">
        <f t="shared" si="9"/>
        <v>2035</v>
      </c>
      <c r="R32" s="18">
        <f t="shared" si="9"/>
        <v>2036</v>
      </c>
      <c r="S32" s="18">
        <f t="shared" si="9"/>
        <v>2037</v>
      </c>
      <c r="T32" s="18">
        <f t="shared" si="9"/>
        <v>2038</v>
      </c>
      <c r="U32" s="18">
        <f t="shared" si="9"/>
        <v>2039</v>
      </c>
      <c r="V32" s="18">
        <f t="shared" si="9"/>
        <v>2040</v>
      </c>
      <c r="W32" s="18">
        <f t="shared" si="9"/>
        <v>2041</v>
      </c>
      <c r="X32" s="18">
        <f t="shared" si="9"/>
        <v>2042</v>
      </c>
      <c r="Y32" s="18">
        <f t="shared" si="9"/>
        <v>2043</v>
      </c>
      <c r="Z32" s="18">
        <f t="shared" si="9"/>
        <v>2044</v>
      </c>
      <c r="AA32" s="18">
        <f t="shared" si="9"/>
        <v>2045</v>
      </c>
      <c r="AB32" s="18">
        <f t="shared" si="9"/>
        <v>2046</v>
      </c>
      <c r="AC32" s="18">
        <f t="shared" si="9"/>
        <v>2047</v>
      </c>
      <c r="AD32" s="18">
        <f t="shared" si="9"/>
        <v>2048</v>
      </c>
      <c r="AE32" s="18">
        <f t="shared" si="9"/>
        <v>2049</v>
      </c>
      <c r="AF32" s="18">
        <f t="shared" si="9"/>
        <v>2050</v>
      </c>
      <c r="AG32" s="153"/>
    </row>
    <row r="33" spans="1:36">
      <c r="A33" s="20" t="s">
        <v>15</v>
      </c>
      <c r="B33" s="22">
        <f t="shared" ref="B33:B38" si="10">B23</f>
        <v>0</v>
      </c>
      <c r="C33" s="22">
        <f t="shared" ref="C33:AF38" si="11">B33+C23</f>
        <v>0</v>
      </c>
      <c r="D33" s="22">
        <f t="shared" si="11"/>
        <v>0</v>
      </c>
      <c r="E33" s="22">
        <f t="shared" si="11"/>
        <v>0</v>
      </c>
      <c r="F33" s="261">
        <f>E33+F23</f>
        <v>0</v>
      </c>
      <c r="G33" s="261">
        <f t="shared" si="11"/>
        <v>147</v>
      </c>
      <c r="H33" s="261">
        <f t="shared" si="11"/>
        <v>213</v>
      </c>
      <c r="I33" s="261">
        <f t="shared" si="11"/>
        <v>345</v>
      </c>
      <c r="J33" s="261">
        <f t="shared" si="11"/>
        <v>467.64</v>
      </c>
      <c r="K33" s="261">
        <f t="shared" si="11"/>
        <v>513.14</v>
      </c>
      <c r="L33" s="261">
        <f t="shared" si="11"/>
        <v>622.47</v>
      </c>
      <c r="M33" s="261">
        <f t="shared" si="11"/>
        <v>622.47</v>
      </c>
      <c r="N33" s="261">
        <f t="shared" si="11"/>
        <v>622.47</v>
      </c>
      <c r="O33" s="261">
        <f t="shared" si="11"/>
        <v>622.47</v>
      </c>
      <c r="P33" s="261">
        <f t="shared" si="11"/>
        <v>622.47</v>
      </c>
      <c r="Q33" s="261">
        <f t="shared" si="11"/>
        <v>622.47</v>
      </c>
      <c r="R33" s="261">
        <f t="shared" si="11"/>
        <v>622.47</v>
      </c>
      <c r="S33" s="261">
        <f t="shared" si="11"/>
        <v>622.47</v>
      </c>
      <c r="T33" s="261">
        <f t="shared" si="11"/>
        <v>622.47</v>
      </c>
      <c r="U33" s="261">
        <f t="shared" si="11"/>
        <v>622.47</v>
      </c>
      <c r="V33" s="261">
        <f t="shared" si="11"/>
        <v>622.47</v>
      </c>
      <c r="W33" s="261">
        <f t="shared" si="11"/>
        <v>622.47</v>
      </c>
      <c r="X33" s="261">
        <f t="shared" si="11"/>
        <v>622.47</v>
      </c>
      <c r="Y33" s="261">
        <f t="shared" si="11"/>
        <v>622.47</v>
      </c>
      <c r="Z33" s="261">
        <f t="shared" si="11"/>
        <v>622.47</v>
      </c>
      <c r="AA33" s="261">
        <f t="shared" si="11"/>
        <v>622.47</v>
      </c>
      <c r="AB33" s="261">
        <f t="shared" si="11"/>
        <v>622.47</v>
      </c>
      <c r="AC33" s="261">
        <f t="shared" si="11"/>
        <v>622.47</v>
      </c>
      <c r="AD33" s="261">
        <f t="shared" si="11"/>
        <v>622.47</v>
      </c>
      <c r="AE33" s="261">
        <f t="shared" si="11"/>
        <v>622.47</v>
      </c>
      <c r="AF33" s="261">
        <f t="shared" si="11"/>
        <v>622.47</v>
      </c>
      <c r="AG33" s="23"/>
      <c r="AH33" s="29">
        <f t="shared" ref="AH33:AH38" si="12">L33/$L$39</f>
        <v>0.69964779886938222</v>
      </c>
    </row>
    <row r="34" spans="1:36">
      <c r="A34" s="20" t="s">
        <v>16</v>
      </c>
      <c r="B34" s="22">
        <f t="shared" si="10"/>
        <v>0</v>
      </c>
      <c r="C34" s="22">
        <f t="shared" si="11"/>
        <v>0</v>
      </c>
      <c r="D34" s="22">
        <f t="shared" si="11"/>
        <v>0</v>
      </c>
      <c r="E34" s="22">
        <f t="shared" si="11"/>
        <v>0</v>
      </c>
      <c r="F34" s="261">
        <f t="shared" si="11"/>
        <v>0</v>
      </c>
      <c r="G34" s="261">
        <f t="shared" si="11"/>
        <v>0</v>
      </c>
      <c r="H34" s="261">
        <f t="shared" si="11"/>
        <v>0</v>
      </c>
      <c r="I34" s="261">
        <f t="shared" si="11"/>
        <v>0</v>
      </c>
      <c r="J34" s="261">
        <f t="shared" si="11"/>
        <v>0</v>
      </c>
      <c r="K34" s="261">
        <f t="shared" si="11"/>
        <v>0</v>
      </c>
      <c r="L34" s="261">
        <f t="shared" si="11"/>
        <v>52.05</v>
      </c>
      <c r="M34" s="261">
        <f t="shared" si="11"/>
        <v>52.05</v>
      </c>
      <c r="N34" s="261">
        <f t="shared" si="11"/>
        <v>52.05</v>
      </c>
      <c r="O34" s="261">
        <f t="shared" si="11"/>
        <v>52.05</v>
      </c>
      <c r="P34" s="261">
        <f t="shared" si="11"/>
        <v>52.05</v>
      </c>
      <c r="Q34" s="261">
        <f t="shared" si="11"/>
        <v>52.05</v>
      </c>
      <c r="R34" s="261">
        <f t="shared" si="11"/>
        <v>52.05</v>
      </c>
      <c r="S34" s="261">
        <f t="shared" si="11"/>
        <v>52.05</v>
      </c>
      <c r="T34" s="261">
        <f t="shared" si="11"/>
        <v>52.05</v>
      </c>
      <c r="U34" s="261">
        <f t="shared" si="11"/>
        <v>52.05</v>
      </c>
      <c r="V34" s="261">
        <f t="shared" si="11"/>
        <v>52.05</v>
      </c>
      <c r="W34" s="261">
        <f t="shared" si="11"/>
        <v>52.05</v>
      </c>
      <c r="X34" s="261">
        <f t="shared" si="11"/>
        <v>52.05</v>
      </c>
      <c r="Y34" s="261">
        <f t="shared" si="11"/>
        <v>52.05</v>
      </c>
      <c r="Z34" s="261">
        <f t="shared" si="11"/>
        <v>52.05</v>
      </c>
      <c r="AA34" s="261">
        <f t="shared" si="11"/>
        <v>52.05</v>
      </c>
      <c r="AB34" s="261">
        <f t="shared" si="11"/>
        <v>52.05</v>
      </c>
      <c r="AC34" s="261">
        <f t="shared" si="11"/>
        <v>52.05</v>
      </c>
      <c r="AD34" s="261">
        <f t="shared" si="11"/>
        <v>52.05</v>
      </c>
      <c r="AE34" s="261">
        <f t="shared" si="11"/>
        <v>52.05</v>
      </c>
      <c r="AF34" s="261">
        <f t="shared" si="11"/>
        <v>52.05</v>
      </c>
      <c r="AG34" s="23"/>
      <c r="AH34" s="29">
        <f t="shared" si="12"/>
        <v>5.8503490820684276E-2</v>
      </c>
    </row>
    <row r="35" spans="1:36">
      <c r="A35" s="20" t="s">
        <v>17</v>
      </c>
      <c r="B35" s="22">
        <f t="shared" si="10"/>
        <v>0</v>
      </c>
      <c r="C35" s="22">
        <f t="shared" si="11"/>
        <v>0</v>
      </c>
      <c r="D35" s="22">
        <f t="shared" si="11"/>
        <v>0</v>
      </c>
      <c r="E35" s="22">
        <f t="shared" si="11"/>
        <v>0</v>
      </c>
      <c r="F35" s="261">
        <f t="shared" si="11"/>
        <v>0</v>
      </c>
      <c r="G35" s="261">
        <f t="shared" si="11"/>
        <v>7.1999999999999995E-2</v>
      </c>
      <c r="H35" s="261">
        <f t="shared" si="11"/>
        <v>7.1999999999999995E-2</v>
      </c>
      <c r="I35" s="261">
        <f t="shared" si="11"/>
        <v>7.1999999999999995E-2</v>
      </c>
      <c r="J35" s="261">
        <f t="shared" si="11"/>
        <v>7.1999999999999995E-2</v>
      </c>
      <c r="K35" s="261">
        <f t="shared" si="11"/>
        <v>7.1999999999999995E-2</v>
      </c>
      <c r="L35" s="261">
        <f t="shared" si="11"/>
        <v>7.1999999999999995E-2</v>
      </c>
      <c r="M35" s="261">
        <f t="shared" si="11"/>
        <v>7.1999999999999995E-2</v>
      </c>
      <c r="N35" s="261">
        <f t="shared" si="11"/>
        <v>7.1999999999999995E-2</v>
      </c>
      <c r="O35" s="261">
        <f t="shared" si="11"/>
        <v>7.1999999999999995E-2</v>
      </c>
      <c r="P35" s="261">
        <f t="shared" si="11"/>
        <v>7.1999999999999995E-2</v>
      </c>
      <c r="Q35" s="261">
        <f t="shared" si="11"/>
        <v>7.1999999999999995E-2</v>
      </c>
      <c r="R35" s="261">
        <f t="shared" si="11"/>
        <v>7.1999999999999995E-2</v>
      </c>
      <c r="S35" s="261">
        <f t="shared" si="11"/>
        <v>7.1999999999999995E-2</v>
      </c>
      <c r="T35" s="261">
        <f t="shared" si="11"/>
        <v>7.1999999999999995E-2</v>
      </c>
      <c r="U35" s="261">
        <f t="shared" si="11"/>
        <v>7.1999999999999995E-2</v>
      </c>
      <c r="V35" s="261">
        <f t="shared" si="11"/>
        <v>7.1999999999999995E-2</v>
      </c>
      <c r="W35" s="261">
        <f t="shared" si="11"/>
        <v>7.1999999999999995E-2</v>
      </c>
      <c r="X35" s="261">
        <f t="shared" si="11"/>
        <v>7.1999999999999995E-2</v>
      </c>
      <c r="Y35" s="261">
        <f t="shared" si="11"/>
        <v>7.1999999999999995E-2</v>
      </c>
      <c r="Z35" s="261">
        <f t="shared" si="11"/>
        <v>7.1999999999999995E-2</v>
      </c>
      <c r="AA35" s="261">
        <f t="shared" si="11"/>
        <v>7.1999999999999995E-2</v>
      </c>
      <c r="AB35" s="261">
        <f t="shared" si="11"/>
        <v>7.1999999999999995E-2</v>
      </c>
      <c r="AC35" s="261">
        <f t="shared" si="11"/>
        <v>7.1999999999999995E-2</v>
      </c>
      <c r="AD35" s="261">
        <f t="shared" si="11"/>
        <v>7.1999999999999995E-2</v>
      </c>
      <c r="AE35" s="261">
        <f t="shared" si="11"/>
        <v>7.1999999999999995E-2</v>
      </c>
      <c r="AF35" s="261">
        <f t="shared" si="11"/>
        <v>7.1999999999999995E-2</v>
      </c>
      <c r="AG35" s="23"/>
      <c r="AH35" s="29">
        <f t="shared" si="12"/>
        <v>8.0927019002675646E-5</v>
      </c>
    </row>
    <row r="36" spans="1:36">
      <c r="A36" s="20" t="s">
        <v>18</v>
      </c>
      <c r="B36" s="22">
        <f t="shared" si="10"/>
        <v>0</v>
      </c>
      <c r="C36" s="22">
        <f>C26+B36</f>
        <v>0</v>
      </c>
      <c r="D36" s="22">
        <f t="shared" si="11"/>
        <v>0</v>
      </c>
      <c r="E36" s="22">
        <f t="shared" si="11"/>
        <v>0</v>
      </c>
      <c r="F36" s="261">
        <f t="shared" si="11"/>
        <v>0</v>
      </c>
      <c r="G36" s="261">
        <f t="shared" si="11"/>
        <v>0</v>
      </c>
      <c r="H36" s="261">
        <f t="shared" ref="H36:AF36" si="13">H26+G36</f>
        <v>0</v>
      </c>
      <c r="I36" s="261">
        <f t="shared" si="13"/>
        <v>0</v>
      </c>
      <c r="J36" s="261">
        <f t="shared" si="13"/>
        <v>0</v>
      </c>
      <c r="K36" s="261">
        <f t="shared" si="13"/>
        <v>0</v>
      </c>
      <c r="L36" s="261">
        <f t="shared" si="13"/>
        <v>208.2</v>
      </c>
      <c r="M36" s="261">
        <f t="shared" si="13"/>
        <v>209.41449999999998</v>
      </c>
      <c r="N36" s="261">
        <f t="shared" si="13"/>
        <v>209.41449999999998</v>
      </c>
      <c r="O36" s="261">
        <f t="shared" si="13"/>
        <v>209.41449999999998</v>
      </c>
      <c r="P36" s="261">
        <f t="shared" si="13"/>
        <v>209.41449999999998</v>
      </c>
      <c r="Q36" s="261">
        <f t="shared" si="13"/>
        <v>209.41449999999998</v>
      </c>
      <c r="R36" s="261">
        <f t="shared" si="13"/>
        <v>209.41449999999998</v>
      </c>
      <c r="S36" s="261">
        <f t="shared" si="13"/>
        <v>209.41449999999998</v>
      </c>
      <c r="T36" s="261">
        <f t="shared" si="13"/>
        <v>209.41449999999998</v>
      </c>
      <c r="U36" s="261">
        <f t="shared" si="13"/>
        <v>209.41449999999998</v>
      </c>
      <c r="V36" s="261">
        <f t="shared" si="13"/>
        <v>209.41449999999998</v>
      </c>
      <c r="W36" s="261">
        <f t="shared" si="13"/>
        <v>209.41449999999998</v>
      </c>
      <c r="X36" s="261">
        <f t="shared" si="13"/>
        <v>209.41449999999998</v>
      </c>
      <c r="Y36" s="261">
        <f t="shared" si="13"/>
        <v>209.41449999999998</v>
      </c>
      <c r="Z36" s="261">
        <f t="shared" si="13"/>
        <v>209.41449999999998</v>
      </c>
      <c r="AA36" s="261">
        <f t="shared" si="13"/>
        <v>209.41449999999998</v>
      </c>
      <c r="AB36" s="261">
        <f t="shared" si="13"/>
        <v>209.41449999999998</v>
      </c>
      <c r="AC36" s="261">
        <f t="shared" si="13"/>
        <v>209.41449999999998</v>
      </c>
      <c r="AD36" s="261">
        <f t="shared" si="13"/>
        <v>209.41449999999998</v>
      </c>
      <c r="AE36" s="261">
        <f t="shared" si="13"/>
        <v>209.41449999999998</v>
      </c>
      <c r="AF36" s="261">
        <f t="shared" si="13"/>
        <v>209.41449999999998</v>
      </c>
      <c r="AG36" s="23"/>
      <c r="AH36" s="29">
        <f t="shared" si="12"/>
        <v>0.2340139632827371</v>
      </c>
    </row>
    <row r="37" spans="1:36">
      <c r="A37" s="20" t="s">
        <v>19</v>
      </c>
      <c r="B37" s="22">
        <f t="shared" si="10"/>
        <v>0</v>
      </c>
      <c r="C37" s="22">
        <f>B37+C27</f>
        <v>0</v>
      </c>
      <c r="D37" s="22">
        <f>C37+D27</f>
        <v>0</v>
      </c>
      <c r="E37" s="22">
        <f t="shared" si="11"/>
        <v>0</v>
      </c>
      <c r="F37" s="261">
        <f t="shared" si="11"/>
        <v>0</v>
      </c>
      <c r="G37" s="261">
        <f t="shared" si="11"/>
        <v>0</v>
      </c>
      <c r="H37" s="261">
        <f t="shared" si="11"/>
        <v>0</v>
      </c>
      <c r="I37" s="261">
        <f t="shared" si="11"/>
        <v>0</v>
      </c>
      <c r="J37" s="261">
        <f t="shared" si="11"/>
        <v>0</v>
      </c>
      <c r="K37" s="261">
        <f t="shared" si="11"/>
        <v>0</v>
      </c>
      <c r="L37" s="261">
        <f t="shared" si="11"/>
        <v>0</v>
      </c>
      <c r="M37" s="261">
        <f t="shared" si="11"/>
        <v>0</v>
      </c>
      <c r="N37" s="261">
        <f t="shared" si="11"/>
        <v>0</v>
      </c>
      <c r="O37" s="261">
        <f t="shared" si="11"/>
        <v>0</v>
      </c>
      <c r="P37" s="261">
        <f t="shared" si="11"/>
        <v>0</v>
      </c>
      <c r="Q37" s="261">
        <f t="shared" si="11"/>
        <v>0</v>
      </c>
      <c r="R37" s="261">
        <f t="shared" si="11"/>
        <v>0</v>
      </c>
      <c r="S37" s="261">
        <f t="shared" si="11"/>
        <v>0</v>
      </c>
      <c r="T37" s="261">
        <f t="shared" si="11"/>
        <v>0</v>
      </c>
      <c r="U37" s="261">
        <f t="shared" si="11"/>
        <v>0</v>
      </c>
      <c r="V37" s="261">
        <f t="shared" si="11"/>
        <v>0</v>
      </c>
      <c r="W37" s="261">
        <f t="shared" si="11"/>
        <v>0</v>
      </c>
      <c r="X37" s="261">
        <f t="shared" si="11"/>
        <v>0</v>
      </c>
      <c r="Y37" s="261">
        <f t="shared" si="11"/>
        <v>0</v>
      </c>
      <c r="Z37" s="261">
        <f t="shared" si="11"/>
        <v>0</v>
      </c>
      <c r="AA37" s="261">
        <f t="shared" si="11"/>
        <v>0</v>
      </c>
      <c r="AB37" s="261">
        <f t="shared" si="11"/>
        <v>0</v>
      </c>
      <c r="AC37" s="261">
        <f t="shared" si="11"/>
        <v>0</v>
      </c>
      <c r="AD37" s="261">
        <f t="shared" si="11"/>
        <v>0</v>
      </c>
      <c r="AE37" s="261">
        <f t="shared" si="11"/>
        <v>0</v>
      </c>
      <c r="AF37" s="261">
        <f t="shared" si="11"/>
        <v>0</v>
      </c>
      <c r="AG37" s="23"/>
      <c r="AH37" s="29">
        <f t="shared" si="12"/>
        <v>0</v>
      </c>
    </row>
    <row r="38" spans="1:36">
      <c r="A38" s="20" t="s">
        <v>20</v>
      </c>
      <c r="B38" s="22">
        <f t="shared" si="10"/>
        <v>0</v>
      </c>
      <c r="C38" s="22">
        <f>B38+C28</f>
        <v>0</v>
      </c>
      <c r="D38" s="22">
        <f>C38+D28</f>
        <v>0</v>
      </c>
      <c r="E38" s="22">
        <f t="shared" si="11"/>
        <v>0</v>
      </c>
      <c r="F38" s="261">
        <f t="shared" si="11"/>
        <v>0</v>
      </c>
      <c r="G38" s="261">
        <f t="shared" si="11"/>
        <v>0</v>
      </c>
      <c r="H38" s="261">
        <f t="shared" si="11"/>
        <v>0</v>
      </c>
      <c r="I38" s="261">
        <f t="shared" si="11"/>
        <v>0</v>
      </c>
      <c r="J38" s="261">
        <f t="shared" si="11"/>
        <v>6.8985000000000003</v>
      </c>
      <c r="K38" s="261">
        <f t="shared" si="11"/>
        <v>6.8985000000000003</v>
      </c>
      <c r="L38" s="261">
        <f t="shared" si="11"/>
        <v>6.8985000000000003</v>
      </c>
      <c r="M38" s="261">
        <f t="shared" si="11"/>
        <v>6.8985000000000003</v>
      </c>
      <c r="N38" s="261">
        <f t="shared" si="11"/>
        <v>6.8985000000000003</v>
      </c>
      <c r="O38" s="261">
        <f t="shared" si="11"/>
        <v>6.8985000000000003</v>
      </c>
      <c r="P38" s="261">
        <f t="shared" si="11"/>
        <v>6.8985000000000003</v>
      </c>
      <c r="Q38" s="261">
        <f t="shared" si="11"/>
        <v>6.8985000000000003</v>
      </c>
      <c r="R38" s="261">
        <f t="shared" si="11"/>
        <v>6.8985000000000003</v>
      </c>
      <c r="S38" s="261">
        <f t="shared" si="11"/>
        <v>6.8985000000000003</v>
      </c>
      <c r="T38" s="261">
        <f t="shared" si="11"/>
        <v>6.8985000000000003</v>
      </c>
      <c r="U38" s="261">
        <f t="shared" si="11"/>
        <v>6.8985000000000003</v>
      </c>
      <c r="V38" s="261">
        <f t="shared" si="11"/>
        <v>6.8985000000000003</v>
      </c>
      <c r="W38" s="261">
        <f t="shared" si="11"/>
        <v>6.8985000000000003</v>
      </c>
      <c r="X38" s="261">
        <f t="shared" si="11"/>
        <v>6.8985000000000003</v>
      </c>
      <c r="Y38" s="261">
        <f t="shared" si="11"/>
        <v>6.8985000000000003</v>
      </c>
      <c r="Z38" s="261">
        <f t="shared" si="11"/>
        <v>6.8985000000000003</v>
      </c>
      <c r="AA38" s="261">
        <f t="shared" si="11"/>
        <v>6.8985000000000003</v>
      </c>
      <c r="AB38" s="261">
        <f t="shared" si="11"/>
        <v>6.8985000000000003</v>
      </c>
      <c r="AC38" s="261">
        <f t="shared" si="11"/>
        <v>6.8985000000000003</v>
      </c>
      <c r="AD38" s="261">
        <f t="shared" si="11"/>
        <v>6.8985000000000003</v>
      </c>
      <c r="AE38" s="261">
        <f t="shared" si="11"/>
        <v>6.8985000000000003</v>
      </c>
      <c r="AF38" s="261">
        <f t="shared" si="11"/>
        <v>6.8985000000000003</v>
      </c>
      <c r="AG38" s="23"/>
      <c r="AH38" s="29">
        <f t="shared" si="12"/>
        <v>7.7538200081938612E-3</v>
      </c>
    </row>
    <row r="39" spans="1:36" ht="15.75" thickBot="1">
      <c r="A39" s="32" t="s">
        <v>11</v>
      </c>
      <c r="B39" s="33">
        <f>SUM(B33:B38)</f>
        <v>0</v>
      </c>
      <c r="C39" s="33">
        <f>SUM(C33:C38)</f>
        <v>0</v>
      </c>
      <c r="D39" s="33">
        <f t="shared" ref="D39:AF39" si="14">SUM(D33:D38)</f>
        <v>0</v>
      </c>
      <c r="E39" s="33">
        <f t="shared" si="14"/>
        <v>0</v>
      </c>
      <c r="F39" s="265">
        <f t="shared" si="14"/>
        <v>0</v>
      </c>
      <c r="G39" s="265">
        <f t="shared" si="14"/>
        <v>147.072</v>
      </c>
      <c r="H39" s="265">
        <f t="shared" si="14"/>
        <v>213.072</v>
      </c>
      <c r="I39" s="265">
        <f t="shared" si="14"/>
        <v>345.072</v>
      </c>
      <c r="J39" s="265">
        <f t="shared" si="14"/>
        <v>474.6105</v>
      </c>
      <c r="K39" s="265">
        <f t="shared" si="14"/>
        <v>520.1105</v>
      </c>
      <c r="L39" s="265">
        <f t="shared" si="14"/>
        <v>889.69049999999993</v>
      </c>
      <c r="M39" s="265">
        <f t="shared" si="14"/>
        <v>890.90499999999997</v>
      </c>
      <c r="N39" s="265">
        <f t="shared" si="14"/>
        <v>890.90499999999997</v>
      </c>
      <c r="O39" s="265">
        <f t="shared" si="14"/>
        <v>890.90499999999997</v>
      </c>
      <c r="P39" s="265">
        <f t="shared" si="14"/>
        <v>890.90499999999997</v>
      </c>
      <c r="Q39" s="265">
        <f t="shared" si="14"/>
        <v>890.90499999999997</v>
      </c>
      <c r="R39" s="265">
        <f t="shared" si="14"/>
        <v>890.90499999999997</v>
      </c>
      <c r="S39" s="265">
        <f t="shared" si="14"/>
        <v>890.90499999999997</v>
      </c>
      <c r="T39" s="265">
        <f t="shared" si="14"/>
        <v>890.90499999999997</v>
      </c>
      <c r="U39" s="265">
        <f t="shared" si="14"/>
        <v>890.90499999999997</v>
      </c>
      <c r="V39" s="265">
        <f t="shared" si="14"/>
        <v>890.90499999999997</v>
      </c>
      <c r="W39" s="265">
        <f t="shared" si="14"/>
        <v>890.90499999999997</v>
      </c>
      <c r="X39" s="265">
        <f t="shared" si="14"/>
        <v>890.90499999999997</v>
      </c>
      <c r="Y39" s="265">
        <f t="shared" si="14"/>
        <v>890.90499999999997</v>
      </c>
      <c r="Z39" s="265">
        <f t="shared" si="14"/>
        <v>890.90499999999997</v>
      </c>
      <c r="AA39" s="265">
        <f t="shared" si="14"/>
        <v>890.90499999999997</v>
      </c>
      <c r="AB39" s="265">
        <f t="shared" si="14"/>
        <v>890.90499999999997</v>
      </c>
      <c r="AC39" s="265">
        <f t="shared" si="14"/>
        <v>890.90499999999997</v>
      </c>
      <c r="AD39" s="265">
        <f t="shared" si="14"/>
        <v>890.90499999999997</v>
      </c>
      <c r="AE39" s="265">
        <f t="shared" si="14"/>
        <v>890.90499999999997</v>
      </c>
      <c r="AF39" s="265">
        <f t="shared" si="14"/>
        <v>890.90499999999997</v>
      </c>
      <c r="AG39" s="23"/>
    </row>
    <row r="40" spans="1:36">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row>
    <row r="41" spans="1:36" ht="15.75" thickBot="1">
      <c r="A41" s="16" t="s">
        <v>21</v>
      </c>
    </row>
    <row r="42" spans="1:36" ht="15.75" customHeight="1" thickBot="1">
      <c r="A42" s="17"/>
      <c r="B42" s="28" t="str">
        <f>B22</f>
        <v>&lt; 2021</v>
      </c>
      <c r="C42" s="18">
        <f t="shared" ref="C42:AF42" si="15">C22</f>
        <v>2021</v>
      </c>
      <c r="D42" s="18">
        <f t="shared" si="15"/>
        <v>2022</v>
      </c>
      <c r="E42" s="18">
        <f t="shared" si="15"/>
        <v>2023</v>
      </c>
      <c r="F42" s="18">
        <f t="shared" si="15"/>
        <v>2024</v>
      </c>
      <c r="G42" s="18">
        <f t="shared" si="15"/>
        <v>2025</v>
      </c>
      <c r="H42" s="18">
        <f t="shared" si="15"/>
        <v>2026</v>
      </c>
      <c r="I42" s="18">
        <f t="shared" si="15"/>
        <v>2027</v>
      </c>
      <c r="J42" s="18">
        <f t="shared" si="15"/>
        <v>2028</v>
      </c>
      <c r="K42" s="18">
        <f t="shared" si="15"/>
        <v>2029</v>
      </c>
      <c r="L42" s="18">
        <f t="shared" si="15"/>
        <v>2030</v>
      </c>
      <c r="M42" s="18">
        <f t="shared" si="15"/>
        <v>2031</v>
      </c>
      <c r="N42" s="18">
        <f t="shared" si="15"/>
        <v>2032</v>
      </c>
      <c r="O42" s="18">
        <f t="shared" si="15"/>
        <v>2033</v>
      </c>
      <c r="P42" s="18">
        <f t="shared" si="15"/>
        <v>2034</v>
      </c>
      <c r="Q42" s="18">
        <f t="shared" si="15"/>
        <v>2035</v>
      </c>
      <c r="R42" s="18">
        <f t="shared" si="15"/>
        <v>2036</v>
      </c>
      <c r="S42" s="18">
        <f t="shared" si="15"/>
        <v>2037</v>
      </c>
      <c r="T42" s="18">
        <f t="shared" si="15"/>
        <v>2038</v>
      </c>
      <c r="U42" s="18">
        <f t="shared" si="15"/>
        <v>2039</v>
      </c>
      <c r="V42" s="18">
        <f t="shared" si="15"/>
        <v>2040</v>
      </c>
      <c r="W42" s="18">
        <f t="shared" si="15"/>
        <v>2041</v>
      </c>
      <c r="X42" s="18">
        <f t="shared" si="15"/>
        <v>2042</v>
      </c>
      <c r="Y42" s="18">
        <f t="shared" si="15"/>
        <v>2043</v>
      </c>
      <c r="Z42" s="18">
        <f t="shared" si="15"/>
        <v>2044</v>
      </c>
      <c r="AA42" s="18">
        <f t="shared" si="15"/>
        <v>2045</v>
      </c>
      <c r="AB42" s="18">
        <f t="shared" si="15"/>
        <v>2046</v>
      </c>
      <c r="AC42" s="18">
        <f t="shared" si="15"/>
        <v>2047</v>
      </c>
      <c r="AD42" s="18">
        <f t="shared" si="15"/>
        <v>2048</v>
      </c>
      <c r="AE42" s="18">
        <f t="shared" si="15"/>
        <v>2049</v>
      </c>
      <c r="AF42" s="18">
        <f t="shared" si="15"/>
        <v>2050</v>
      </c>
      <c r="AG42" s="153"/>
      <c r="AH42" s="35" t="s">
        <v>22</v>
      </c>
      <c r="AI42" s="35" t="s">
        <v>23</v>
      </c>
      <c r="AJ42" s="389" t="s">
        <v>456</v>
      </c>
    </row>
    <row r="43" spans="1:36">
      <c r="A43" s="19" t="s">
        <v>5</v>
      </c>
      <c r="B43" s="7">
        <f>COUNTIFS(NAm!$F$3:$F$82,"&lt;"&amp;'SAm Capacity Data'!C$22,NAm!$U$3:$U$82,$A43)</f>
        <v>1</v>
      </c>
      <c r="C43" s="22">
        <f>COUNTIFS(NAm!$F$3:$F$82,'SAm Capacity Data'!C$22,NAm!$U$3:$U$82,$A43)</f>
        <v>1</v>
      </c>
      <c r="D43" s="22">
        <f>COUNTIFS(NAm!$F$3:$F$82,'SAm Capacity Data'!D$22,NAm!$U$3:$U$82,$A43)</f>
        <v>2</v>
      </c>
      <c r="E43" s="22">
        <f>COUNTIFS(NAm!$F$3:$F$82,'SAm Capacity Data'!E$22,NAm!$U$3:$U$82,$A43)</f>
        <v>0</v>
      </c>
      <c r="F43" s="261">
        <f>COUNTIFS(NAm!$F$3:$F$82,'SAm Capacity Data'!F$22,NAm!$U$3:$U$82,$A43)</f>
        <v>5</v>
      </c>
      <c r="G43" s="261">
        <f>COUNTIFS(NAm!$F$3:$F$82,'SAm Capacity Data'!G$22,NAm!$U$3:$U$82,$A43)</f>
        <v>6</v>
      </c>
      <c r="H43" s="261">
        <f>COUNTIFS(NAm!$F$3:$F$82,'SAm Capacity Data'!H$22,NAm!$U$3:$U$82,$A43)</f>
        <v>4</v>
      </c>
      <c r="I43" s="261">
        <f>COUNTIFS(NAm!$F$3:$F$82,'SAm Capacity Data'!I$22,NAm!$U$3:$U$82,$A43)</f>
        <v>10</v>
      </c>
      <c r="J43" s="261">
        <f>COUNTIFS(NAm!$F$3:$F$82,'SAm Capacity Data'!J$22,NAm!$U$3:$U$82,$A43)</f>
        <v>2</v>
      </c>
      <c r="K43" s="261">
        <f>COUNTIFS(NAm!$F$3:$F$82,'SAm Capacity Data'!K$22,NAm!$U$3:$U$82,$A43)</f>
        <v>1</v>
      </c>
      <c r="L43" s="261">
        <f>COUNTIFS(NAm!$F$3:$F$82,'SAm Capacity Data'!L$22,NAm!$U$3:$U$82,$A43)</f>
        <v>1</v>
      </c>
      <c r="M43" s="261">
        <f>COUNTIFS(NAm!$F$3:$F$82,'SAm Capacity Data'!M$22,NAm!$U$3:$U$82,$A43)</f>
        <v>1</v>
      </c>
      <c r="N43" s="261">
        <f>COUNTIFS(NAm!$F$3:$F$82,'SAm Capacity Data'!N$22,NAm!$U$3:$U$82,$A43)</f>
        <v>0</v>
      </c>
      <c r="O43" s="261">
        <f>COUNTIFS(NAm!$F$3:$F$82,'SAm Capacity Data'!O$22,NAm!$U$3:$U$82,$A43)</f>
        <v>0</v>
      </c>
      <c r="P43" s="261">
        <f>COUNTIFS(NAm!$F$3:$F$82,'SAm Capacity Data'!P$22,NAm!$U$3:$U$82,$A43)</f>
        <v>0</v>
      </c>
      <c r="Q43" s="261">
        <f>COUNTIFS(NAm!$F$3:$F$82,'SAm Capacity Data'!Q$22,NAm!$U$3:$U$82,$A43)</f>
        <v>0</v>
      </c>
      <c r="R43" s="261">
        <f>COUNTIFS(NAm!$F$3:$F$82,'SAm Capacity Data'!R$22,NAm!$U$3:$U$82,$A43)</f>
        <v>0</v>
      </c>
      <c r="S43" s="261">
        <f>COUNTIFS(NAm!$F$3:$F$82,'SAm Capacity Data'!S$22,NAm!$U$3:$U$82,$A43)</f>
        <v>0</v>
      </c>
      <c r="T43" s="261">
        <f>COUNTIFS(NAm!$F$3:$F$82,'SAm Capacity Data'!T$22,NAm!$U$3:$U$82,$A43)</f>
        <v>0</v>
      </c>
      <c r="U43" s="261">
        <f>COUNTIFS(NAm!$F$3:$F$82,'SAm Capacity Data'!U$22,NAm!$U$3:$U$82,$A43)</f>
        <v>0</v>
      </c>
      <c r="V43" s="261">
        <f>COUNTIFS(NAm!$F$3:$F$82,'SAm Capacity Data'!V$22,NAm!$U$3:$U$82,$A43)</f>
        <v>0</v>
      </c>
      <c r="W43" s="261">
        <f>COUNTIFS(NAm!$F$3:$F$82,'SAm Capacity Data'!W$22,NAm!$U$3:$U$82,$A43)</f>
        <v>0</v>
      </c>
      <c r="X43" s="261">
        <f>COUNTIFS(NAm!$F$3:$F$82,'SAm Capacity Data'!X$22,NAm!$U$3:$U$82,$A43)</f>
        <v>0</v>
      </c>
      <c r="Y43" s="261">
        <f>COUNTIFS(NAm!$F$3:$F$82,'SAm Capacity Data'!Y$22,NAm!$U$3:$U$82,$A43)</f>
        <v>0</v>
      </c>
      <c r="Z43" s="261">
        <f>COUNTIFS(NAm!$F$3:$F$82,'SAm Capacity Data'!Z$22,NAm!$U$3:$U$82,$A43)</f>
        <v>0</v>
      </c>
      <c r="AA43" s="261">
        <f>COUNTIFS(NAm!$F$3:$F$82,'SAm Capacity Data'!AA$22,NAm!$U$3:$U$82,$A43)</f>
        <v>0</v>
      </c>
      <c r="AB43" s="261">
        <f>COUNTIFS(NAm!$F$3:$F$82,'SAm Capacity Data'!AB$22,NAm!$U$3:$U$82,$A43)</f>
        <v>0</v>
      </c>
      <c r="AC43" s="261">
        <f>COUNTIFS(NAm!$F$3:$F$82,'SAm Capacity Data'!AC$22,NAm!$U$3:$U$82,$A43)</f>
        <v>0</v>
      </c>
      <c r="AD43" s="261">
        <f>COUNTIFS(NAm!$F$3:$F$82,'SAm Capacity Data'!AD$22,NAm!$U$3:$U$82,$A43)</f>
        <v>0</v>
      </c>
      <c r="AE43" s="261">
        <f>COUNTIFS(NAm!$F$3:$F$82,'SAm Capacity Data'!AE$22,NAm!$U$3:$U$82,$A43)</f>
        <v>0</v>
      </c>
      <c r="AF43" s="261">
        <f>COUNTIFS(NAm!$F$3:$F$82,'SAm Capacity Data'!AF$22,NAm!$U$3:$U$82,$A43)</f>
        <v>0</v>
      </c>
      <c r="AG43" s="23"/>
      <c r="AH43" s="22">
        <f t="shared" ref="AH43:AH48" si="16">SUM(B43:P43)</f>
        <v>34</v>
      </c>
      <c r="AI43" s="22">
        <f>AH43-NAm!U87</f>
        <v>0</v>
      </c>
      <c r="AJ43" s="389"/>
    </row>
    <row r="44" spans="1:36">
      <c r="A44" s="20" t="s">
        <v>6</v>
      </c>
      <c r="B44" s="22">
        <f>COUNTIFS(NAm!$F$3:$F$82,"&lt;"&amp;'SAm Capacity Data'!C$22,NAm!$U$3:$U$82,$A44)</f>
        <v>2</v>
      </c>
      <c r="C44" s="22">
        <f>COUNTIFS(NAm!$F$3:$F$82,'SAm Capacity Data'!C$22,NAm!$U$3:$U$82,$A44)</f>
        <v>0</v>
      </c>
      <c r="D44" s="22">
        <f>COUNTIFS(NAm!$F$3:$F$82,'SAm Capacity Data'!D$22,NAm!$U$3:$U$82,$A44)</f>
        <v>0</v>
      </c>
      <c r="E44" s="22">
        <f>COUNTIFS(NAm!$F$3:$F$82,'SAm Capacity Data'!E$22,NAm!$U$3:$U$82,$A44)</f>
        <v>0</v>
      </c>
      <c r="F44" s="261">
        <f>COUNTIFS(NAm!$F$3:$F$82,'SAm Capacity Data'!F$22,NAm!$U$3:$U$82,$A44)</f>
        <v>1</v>
      </c>
      <c r="G44" s="261">
        <f>COUNTIFS(NAm!$F$3:$F$82,'SAm Capacity Data'!G$22,NAm!$U$3:$U$82,$A44)</f>
        <v>2</v>
      </c>
      <c r="H44" s="261">
        <f>COUNTIFS(NAm!$F$3:$F$82,'SAm Capacity Data'!H$22,NAm!$U$3:$U$82,$A44)</f>
        <v>2</v>
      </c>
      <c r="I44" s="261">
        <f>COUNTIFS(NAm!$F$3:$F$82,'SAm Capacity Data'!I$22,NAm!$U$3:$U$82,$A44)</f>
        <v>3</v>
      </c>
      <c r="J44" s="261">
        <f>COUNTIFS(NAm!$F$3:$F$82,'SAm Capacity Data'!J$22,NAm!$U$3:$U$82,$A44)</f>
        <v>2</v>
      </c>
      <c r="K44" s="261">
        <f>COUNTIFS(NAm!$F$3:$F$82,'SAm Capacity Data'!K$22,NAm!$U$3:$U$82,$A44)</f>
        <v>1</v>
      </c>
      <c r="L44" s="261">
        <f>COUNTIFS(NAm!$F$3:$F$82,'SAm Capacity Data'!L$22,NAm!$U$3:$U$82,$A44)</f>
        <v>0</v>
      </c>
      <c r="M44" s="261">
        <f>COUNTIFS(NAm!$F$3:$F$82,'SAm Capacity Data'!M$22,NAm!$U$3:$U$82,$A44)</f>
        <v>1</v>
      </c>
      <c r="N44" s="261">
        <f>COUNTIFS(NAm!$F$3:$F$82,'SAm Capacity Data'!N$22,NAm!$U$3:$U$82,$A44)</f>
        <v>0</v>
      </c>
      <c r="O44" s="261">
        <f>COUNTIFS(NAm!$F$3:$F$82,'SAm Capacity Data'!O$22,NAm!$U$3:$U$82,$A44)</f>
        <v>0</v>
      </c>
      <c r="P44" s="261">
        <f>COUNTIFS(NAm!$F$3:$F$82,'SAm Capacity Data'!P$22,NAm!$U$3:$U$82,$A44)</f>
        <v>0</v>
      </c>
      <c r="Q44" s="261">
        <f>COUNTIFS(NAm!$F$3:$F$82,'SAm Capacity Data'!Q$22,NAm!$U$3:$U$82,$A44)</f>
        <v>0</v>
      </c>
      <c r="R44" s="261">
        <f>COUNTIFS(NAm!$F$3:$F$82,'SAm Capacity Data'!R$22,NAm!$U$3:$U$82,$A44)</f>
        <v>0</v>
      </c>
      <c r="S44" s="261">
        <f>COUNTIFS(NAm!$F$3:$F$82,'SAm Capacity Data'!S$22,NAm!$U$3:$U$82,$A44)</f>
        <v>0</v>
      </c>
      <c r="T44" s="261">
        <f>COUNTIFS(NAm!$F$3:$F$82,'SAm Capacity Data'!T$22,NAm!$U$3:$U$82,$A44)</f>
        <v>0</v>
      </c>
      <c r="U44" s="261">
        <f>COUNTIFS(NAm!$F$3:$F$82,'SAm Capacity Data'!U$22,NAm!$U$3:$U$82,$A44)</f>
        <v>0</v>
      </c>
      <c r="V44" s="261">
        <f>COUNTIFS(NAm!$F$3:$F$82,'SAm Capacity Data'!V$22,NAm!$U$3:$U$82,$A44)</f>
        <v>0</v>
      </c>
      <c r="W44" s="261">
        <f>COUNTIFS(NAm!$F$3:$F$82,'SAm Capacity Data'!W$22,NAm!$U$3:$U$82,$A44)</f>
        <v>0</v>
      </c>
      <c r="X44" s="261">
        <f>COUNTIFS(NAm!$F$3:$F$82,'SAm Capacity Data'!X$22,NAm!$U$3:$U$82,$A44)</f>
        <v>0</v>
      </c>
      <c r="Y44" s="261">
        <f>COUNTIFS(NAm!$F$3:$F$82,'SAm Capacity Data'!Y$22,NAm!$U$3:$U$82,$A44)</f>
        <v>0</v>
      </c>
      <c r="Z44" s="261">
        <f>COUNTIFS(NAm!$F$3:$F$82,'SAm Capacity Data'!Z$22,NAm!$U$3:$U$82,$A44)</f>
        <v>0</v>
      </c>
      <c r="AA44" s="261">
        <f>COUNTIFS(NAm!$F$3:$F$82,'SAm Capacity Data'!AA$22,NAm!$U$3:$U$82,$A44)</f>
        <v>0</v>
      </c>
      <c r="AB44" s="261">
        <f>COUNTIFS(NAm!$F$3:$F$82,'SAm Capacity Data'!AB$22,NAm!$U$3:$U$82,$A44)</f>
        <v>0</v>
      </c>
      <c r="AC44" s="261">
        <f>COUNTIFS(NAm!$F$3:$F$82,'SAm Capacity Data'!AC$22,NAm!$U$3:$U$82,$A44)</f>
        <v>0</v>
      </c>
      <c r="AD44" s="261">
        <f>COUNTIFS(NAm!$F$3:$F$82,'SAm Capacity Data'!AD$22,NAm!$U$3:$U$82,$A44)</f>
        <v>0</v>
      </c>
      <c r="AE44" s="261">
        <f>COUNTIFS(NAm!$F$3:$F$82,'SAm Capacity Data'!AE$22,NAm!$U$3:$U$82,$A44)</f>
        <v>0</v>
      </c>
      <c r="AF44" s="261">
        <f>COUNTIFS(NAm!$F$3:$F$82,'SAm Capacity Data'!AF$22,NAm!$U$3:$U$82,$A44)</f>
        <v>0</v>
      </c>
      <c r="AG44" s="23"/>
      <c r="AH44" s="22">
        <f t="shared" si="16"/>
        <v>14</v>
      </c>
      <c r="AI44" s="22">
        <f>AH44-NAm!U88</f>
        <v>0</v>
      </c>
      <c r="AJ44" s="389"/>
    </row>
    <row r="45" spans="1:36">
      <c r="A45" s="20" t="s">
        <v>7</v>
      </c>
      <c r="B45" s="22">
        <f>COUNTIFS(NAm!$F$3:$F$82,"&lt;"&amp;'SAm Capacity Data'!C$22,NAm!$U$3:$U$82,$A45)</f>
        <v>0</v>
      </c>
      <c r="C45" s="22">
        <f>COUNTIFS(NAm!$F$3:$F$82,'SAm Capacity Data'!C$22,NAm!$U$3:$U$82,$A45)</f>
        <v>0</v>
      </c>
      <c r="D45" s="22">
        <f>COUNTIFS(NAm!$F$3:$F$82,'SAm Capacity Data'!D$22,NAm!$U$3:$U$82,$A45)</f>
        <v>0</v>
      </c>
      <c r="E45" s="22">
        <f>COUNTIFS(NAm!$F$3:$F$82,'SAm Capacity Data'!E$22,NAm!$U$3:$U$82,$A45)</f>
        <v>0</v>
      </c>
      <c r="F45" s="261">
        <f>COUNTIFS(NAm!$F$3:$F$82,'SAm Capacity Data'!F$22,NAm!$U$3:$U$82,$A45)</f>
        <v>0</v>
      </c>
      <c r="G45" s="261">
        <f>COUNTIFS(NAm!$F$3:$F$82,'SAm Capacity Data'!G$22,NAm!$U$3:$U$82,$A45)</f>
        <v>2</v>
      </c>
      <c r="H45" s="261">
        <f>COUNTIFS(NAm!$F$3:$F$82,'SAm Capacity Data'!H$22,NAm!$U$3:$U$82,$A45)</f>
        <v>0</v>
      </c>
      <c r="I45" s="261">
        <f>COUNTIFS(NAm!$F$3:$F$82,'SAm Capacity Data'!I$22,NAm!$U$3:$U$82,$A45)</f>
        <v>5</v>
      </c>
      <c r="J45" s="261">
        <f>COUNTIFS(NAm!$F$3:$F$82,'SAm Capacity Data'!J$22,NAm!$U$3:$U$82,$A45)</f>
        <v>2</v>
      </c>
      <c r="K45" s="261">
        <f>COUNTIFS(NAm!$F$3:$F$82,'SAm Capacity Data'!K$22,NAm!$U$3:$U$82,$A45)</f>
        <v>1</v>
      </c>
      <c r="L45" s="261">
        <f>COUNTIFS(NAm!$F$3:$F$82,'SAm Capacity Data'!L$22,NAm!$U$3:$U$82,$A45)</f>
        <v>1</v>
      </c>
      <c r="M45" s="261">
        <f>COUNTIFS(NAm!$F$3:$F$82,'SAm Capacity Data'!M$22,NAm!$U$3:$U$82,$A45)</f>
        <v>0</v>
      </c>
      <c r="N45" s="261">
        <f>COUNTIFS(NAm!$F$3:$F$82,'SAm Capacity Data'!N$22,NAm!$U$3:$U$82,$A45)</f>
        <v>0</v>
      </c>
      <c r="O45" s="261">
        <f>COUNTIFS(NAm!$F$3:$F$82,'SAm Capacity Data'!O$22,NAm!$U$3:$U$82,$A45)</f>
        <v>0</v>
      </c>
      <c r="P45" s="261">
        <f>COUNTIFS(NAm!$F$3:$F$82,'SAm Capacity Data'!P$22,NAm!$U$3:$U$82,$A45)</f>
        <v>0</v>
      </c>
      <c r="Q45" s="261">
        <f>COUNTIFS(NAm!$F$3:$F$82,'SAm Capacity Data'!Q$22,NAm!$U$3:$U$82,$A45)</f>
        <v>0</v>
      </c>
      <c r="R45" s="261">
        <f>COUNTIFS(NAm!$F$3:$F$82,'SAm Capacity Data'!R$22,NAm!$U$3:$U$82,$A45)</f>
        <v>0</v>
      </c>
      <c r="S45" s="261">
        <f>COUNTIFS(NAm!$F$3:$F$82,'SAm Capacity Data'!S$22,NAm!$U$3:$U$82,$A45)</f>
        <v>0</v>
      </c>
      <c r="T45" s="261">
        <f>COUNTIFS(NAm!$F$3:$F$82,'SAm Capacity Data'!T$22,NAm!$U$3:$U$82,$A45)</f>
        <v>0</v>
      </c>
      <c r="U45" s="261">
        <f>COUNTIFS(NAm!$F$3:$F$82,'SAm Capacity Data'!U$22,NAm!$U$3:$U$82,$A45)</f>
        <v>0</v>
      </c>
      <c r="V45" s="261">
        <f>COUNTIFS(NAm!$F$3:$F$82,'SAm Capacity Data'!V$22,NAm!$U$3:$U$82,$A45)</f>
        <v>0</v>
      </c>
      <c r="W45" s="261">
        <f>COUNTIFS(NAm!$F$3:$F$82,'SAm Capacity Data'!W$22,NAm!$U$3:$U$82,$A45)</f>
        <v>0</v>
      </c>
      <c r="X45" s="261">
        <f>COUNTIFS(NAm!$F$3:$F$82,'SAm Capacity Data'!X$22,NAm!$U$3:$U$82,$A45)</f>
        <v>0</v>
      </c>
      <c r="Y45" s="261">
        <f>COUNTIFS(NAm!$F$3:$F$82,'SAm Capacity Data'!Y$22,NAm!$U$3:$U$82,$A45)</f>
        <v>0</v>
      </c>
      <c r="Z45" s="261">
        <f>COUNTIFS(NAm!$F$3:$F$82,'SAm Capacity Data'!Z$22,NAm!$U$3:$U$82,$A45)</f>
        <v>0</v>
      </c>
      <c r="AA45" s="261">
        <f>COUNTIFS(NAm!$F$3:$F$82,'SAm Capacity Data'!AA$22,NAm!$U$3:$U$82,$A45)</f>
        <v>0</v>
      </c>
      <c r="AB45" s="261">
        <f>COUNTIFS(NAm!$F$3:$F$82,'SAm Capacity Data'!AB$22,NAm!$U$3:$U$82,$A45)</f>
        <v>0</v>
      </c>
      <c r="AC45" s="261">
        <f>COUNTIFS(NAm!$F$3:$F$82,'SAm Capacity Data'!AC$22,NAm!$U$3:$U$82,$A45)</f>
        <v>0</v>
      </c>
      <c r="AD45" s="261">
        <f>COUNTIFS(NAm!$F$3:$F$82,'SAm Capacity Data'!AD$22,NAm!$U$3:$U$82,$A45)</f>
        <v>0</v>
      </c>
      <c r="AE45" s="261">
        <f>COUNTIFS(NAm!$F$3:$F$82,'SAm Capacity Data'!AE$22,NAm!$U$3:$U$82,$A45)</f>
        <v>0</v>
      </c>
      <c r="AF45" s="261">
        <f>COUNTIFS(NAm!$F$3:$F$82,'SAm Capacity Data'!AF$22,NAm!$U$3:$U$82,$A45)</f>
        <v>0</v>
      </c>
      <c r="AG45" s="23"/>
      <c r="AH45" s="22">
        <f t="shared" si="16"/>
        <v>11</v>
      </c>
      <c r="AI45" s="22">
        <f>AH45-NAm!U89</f>
        <v>0</v>
      </c>
      <c r="AJ45" s="389"/>
    </row>
    <row r="46" spans="1:36">
      <c r="A46" s="20" t="s">
        <v>8</v>
      </c>
      <c r="B46" s="22">
        <f>COUNTIFS(NAm!$F$3:$F$82,"&lt;"&amp;'SAm Capacity Data'!C$22,NAm!$U$3:$U$82,$A46)</f>
        <v>0</v>
      </c>
      <c r="C46" s="22">
        <f>COUNTIFS(NAm!$F$3:$F$82,'SAm Capacity Data'!C$22,NAm!$U$3:$U$82,$A46)</f>
        <v>0</v>
      </c>
      <c r="D46" s="22">
        <f>COUNTIFS(NAm!$F$3:$F$82,'SAm Capacity Data'!D$22,NAm!$U$3:$U$82,$A46)</f>
        <v>1</v>
      </c>
      <c r="E46" s="22">
        <f>COUNTIFS(NAm!$F$3:$F$82,'SAm Capacity Data'!E$22,NAm!$U$3:$U$82,$A46)</f>
        <v>0</v>
      </c>
      <c r="F46" s="261">
        <f>COUNTIFS(NAm!$F$3:$F$82,'SAm Capacity Data'!F$22,NAm!$U$3:$U$82,$A46)</f>
        <v>1</v>
      </c>
      <c r="G46" s="261">
        <f>COUNTIFS(NAm!$F$3:$F$82,'SAm Capacity Data'!G$22,NAm!$U$3:$U$82,$A46)</f>
        <v>3</v>
      </c>
      <c r="H46" s="261">
        <f>COUNTIFS(NAm!$F$3:$F$82,'SAm Capacity Data'!H$22,NAm!$U$3:$U$82,$A46)</f>
        <v>2</v>
      </c>
      <c r="I46" s="261">
        <f>COUNTIFS(NAm!$F$3:$F$82,'SAm Capacity Data'!I$22,NAm!$U$3:$U$82,$A46)</f>
        <v>0</v>
      </c>
      <c r="J46" s="261">
        <f>COUNTIFS(NAm!$F$3:$F$82,'SAm Capacity Data'!J$22,NAm!$U$3:$U$82,$A46)</f>
        <v>2</v>
      </c>
      <c r="K46" s="261">
        <f>COUNTIFS(NAm!$F$3:$F$82,'SAm Capacity Data'!K$22,NAm!$U$3:$U$82,$A46)</f>
        <v>1</v>
      </c>
      <c r="L46" s="261">
        <f>COUNTIFS(NAm!$F$3:$F$82,'SAm Capacity Data'!L$22,NAm!$U$3:$U$82,$A46)</f>
        <v>1</v>
      </c>
      <c r="M46" s="261">
        <f>COUNTIFS(NAm!$F$3:$F$82,'SAm Capacity Data'!M$22,NAm!$U$3:$U$82,$A46)</f>
        <v>0</v>
      </c>
      <c r="N46" s="261">
        <f>COUNTIFS(NAm!$F$3:$F$82,'SAm Capacity Data'!N$22,NAm!$U$3:$U$82,$A46)</f>
        <v>0</v>
      </c>
      <c r="O46" s="261">
        <f>COUNTIFS(NAm!$F$3:$F$82,'SAm Capacity Data'!O$22,NAm!$U$3:$U$82,$A46)</f>
        <v>0</v>
      </c>
      <c r="P46" s="261">
        <f>COUNTIFS(NAm!$F$3:$F$82,'SAm Capacity Data'!P$22,NAm!$U$3:$U$82,$A46)</f>
        <v>0</v>
      </c>
      <c r="Q46" s="261">
        <f>COUNTIFS(NAm!$F$3:$F$82,'SAm Capacity Data'!Q$22,NAm!$U$3:$U$82,$A46)</f>
        <v>0</v>
      </c>
      <c r="R46" s="261">
        <f>COUNTIFS(NAm!$F$3:$F$82,'SAm Capacity Data'!R$22,NAm!$U$3:$U$82,$A46)</f>
        <v>0</v>
      </c>
      <c r="S46" s="261">
        <f>COUNTIFS(NAm!$F$3:$F$82,'SAm Capacity Data'!S$22,NAm!$U$3:$U$82,$A46)</f>
        <v>0</v>
      </c>
      <c r="T46" s="261">
        <f>COUNTIFS(NAm!$F$3:$F$82,'SAm Capacity Data'!T$22,NAm!$U$3:$U$82,$A46)</f>
        <v>0</v>
      </c>
      <c r="U46" s="261">
        <f>COUNTIFS(NAm!$F$3:$F$82,'SAm Capacity Data'!U$22,NAm!$U$3:$U$82,$A46)</f>
        <v>0</v>
      </c>
      <c r="V46" s="261">
        <f>COUNTIFS(NAm!$F$3:$F$82,'SAm Capacity Data'!V$22,NAm!$U$3:$U$82,$A46)</f>
        <v>0</v>
      </c>
      <c r="W46" s="261">
        <f>COUNTIFS(NAm!$F$3:$F$82,'SAm Capacity Data'!W$22,NAm!$U$3:$U$82,$A46)</f>
        <v>0</v>
      </c>
      <c r="X46" s="261">
        <f>COUNTIFS(NAm!$F$3:$F$82,'SAm Capacity Data'!X$22,NAm!$U$3:$U$82,$A46)</f>
        <v>0</v>
      </c>
      <c r="Y46" s="261">
        <f>COUNTIFS(NAm!$F$3:$F$82,'SAm Capacity Data'!Y$22,NAm!$U$3:$U$82,$A46)</f>
        <v>0</v>
      </c>
      <c r="Z46" s="261">
        <f>COUNTIFS(NAm!$F$3:$F$82,'SAm Capacity Data'!Z$22,NAm!$U$3:$U$82,$A46)</f>
        <v>0</v>
      </c>
      <c r="AA46" s="261">
        <f>COUNTIFS(NAm!$F$3:$F$82,'SAm Capacity Data'!AA$22,NAm!$U$3:$U$82,$A46)</f>
        <v>0</v>
      </c>
      <c r="AB46" s="261">
        <f>COUNTIFS(NAm!$F$3:$F$82,'SAm Capacity Data'!AB$22,NAm!$U$3:$U$82,$A46)</f>
        <v>0</v>
      </c>
      <c r="AC46" s="261">
        <f>COUNTIFS(NAm!$F$3:$F$82,'SAm Capacity Data'!AC$22,NAm!$U$3:$U$82,$A46)</f>
        <v>0</v>
      </c>
      <c r="AD46" s="261">
        <f>COUNTIFS(NAm!$F$3:$F$82,'SAm Capacity Data'!AD$22,NAm!$U$3:$U$82,$A46)</f>
        <v>0</v>
      </c>
      <c r="AE46" s="261">
        <f>COUNTIFS(NAm!$F$3:$F$82,'SAm Capacity Data'!AE$22,NAm!$U$3:$U$82,$A46)</f>
        <v>0</v>
      </c>
      <c r="AF46" s="261">
        <f>COUNTIFS(NAm!$F$3:$F$82,'SAm Capacity Data'!AF$22,NAm!$U$3:$U$82,$A46)</f>
        <v>0</v>
      </c>
      <c r="AG46" s="23"/>
      <c r="AH46" s="22">
        <f t="shared" si="16"/>
        <v>11</v>
      </c>
      <c r="AI46" s="22">
        <f>AH46-NAm!U90</f>
        <v>-1</v>
      </c>
      <c r="AJ46" s="389"/>
    </row>
    <row r="47" spans="1:36">
      <c r="A47" s="20" t="s">
        <v>9</v>
      </c>
      <c r="B47" s="22">
        <f>COUNTIFS(NAm!$F$3:$F$82,"&lt;"&amp;'SAm Capacity Data'!C$22,NAm!$U$3:$U$82,$A47)</f>
        <v>0</v>
      </c>
      <c r="C47" s="22">
        <f>COUNTIFS(NAm!$F$3:$F$82,'SAm Capacity Data'!C$22,NAm!$U$3:$U$82,$A47)</f>
        <v>0</v>
      </c>
      <c r="D47" s="22">
        <f>COUNTIFS(NAm!$F$3:$F$82,'SAm Capacity Data'!D$22,NAm!$U$3:$U$82,$A47)</f>
        <v>0</v>
      </c>
      <c r="E47" s="22">
        <f>COUNTIFS(NAm!$F$3:$F$82,'SAm Capacity Data'!E$22,NAm!$U$3:$U$82,$A47)</f>
        <v>0</v>
      </c>
      <c r="F47" s="261">
        <f>COUNTIFS(NAm!$F$3:$F$82,'SAm Capacity Data'!F$22,NAm!$U$3:$U$82,$A47)</f>
        <v>1</v>
      </c>
      <c r="G47" s="261">
        <f>COUNTIFS(NAm!$F$3:$F$82,'SAm Capacity Data'!G$22,NAm!$U$3:$U$82,$A47)</f>
        <v>1</v>
      </c>
      <c r="H47" s="261">
        <f>COUNTIFS(NAm!$F$3:$F$82,'SAm Capacity Data'!H$22,NAm!$U$3:$U$82,$A47)</f>
        <v>1</v>
      </c>
      <c r="I47" s="261">
        <f>COUNTIFS(NAm!$F$3:$F$82,'SAm Capacity Data'!I$22,NAm!$U$3:$U$82,$A47)</f>
        <v>0</v>
      </c>
      <c r="J47" s="261">
        <f>COUNTIFS(NAm!$F$3:$F$82,'SAm Capacity Data'!J$22,NAm!$U$3:$U$82,$A47)</f>
        <v>0</v>
      </c>
      <c r="K47" s="261">
        <f>COUNTIFS(NAm!$F$3:$F$82,'SAm Capacity Data'!K$22,NAm!$U$3:$U$82,$A47)</f>
        <v>0</v>
      </c>
      <c r="L47" s="261">
        <f>COUNTIFS(NAm!$F$3:$F$82,'SAm Capacity Data'!L$22,NAm!$U$3:$U$82,$A47)</f>
        <v>0</v>
      </c>
      <c r="M47" s="261">
        <f>COUNTIFS(NAm!$F$3:$F$82,'SAm Capacity Data'!M$22,NAm!$U$3:$U$82,$A47)</f>
        <v>0</v>
      </c>
      <c r="N47" s="261">
        <f>COUNTIFS(NAm!$F$3:$F$82,'SAm Capacity Data'!N$22,NAm!$U$3:$U$82,$A47)</f>
        <v>0</v>
      </c>
      <c r="O47" s="261">
        <f>COUNTIFS(NAm!$F$3:$F$82,'SAm Capacity Data'!O$22,NAm!$U$3:$U$82,$A47)</f>
        <v>0</v>
      </c>
      <c r="P47" s="261">
        <f>COUNTIFS(NAm!$F$3:$F$82,'SAm Capacity Data'!P$22,NAm!$U$3:$U$82,$A47)</f>
        <v>0</v>
      </c>
      <c r="Q47" s="261">
        <f>COUNTIFS(NAm!$F$3:$F$82,'SAm Capacity Data'!Q$22,NAm!$U$3:$U$82,$A47)</f>
        <v>0</v>
      </c>
      <c r="R47" s="261">
        <f>COUNTIFS(NAm!$F$3:$F$82,'SAm Capacity Data'!R$22,NAm!$U$3:$U$82,$A47)</f>
        <v>0</v>
      </c>
      <c r="S47" s="261">
        <f>COUNTIFS(NAm!$F$3:$F$82,'SAm Capacity Data'!S$22,NAm!$U$3:$U$82,$A47)</f>
        <v>0</v>
      </c>
      <c r="T47" s="261">
        <f>COUNTIFS(NAm!$F$3:$F$82,'SAm Capacity Data'!T$22,NAm!$U$3:$U$82,$A47)</f>
        <v>0</v>
      </c>
      <c r="U47" s="261">
        <f>COUNTIFS(NAm!$F$3:$F$82,'SAm Capacity Data'!U$22,NAm!$U$3:$U$82,$A47)</f>
        <v>0</v>
      </c>
      <c r="V47" s="261">
        <f>COUNTIFS(NAm!$F$3:$F$82,'SAm Capacity Data'!V$22,NAm!$U$3:$U$82,$A47)</f>
        <v>0</v>
      </c>
      <c r="W47" s="261">
        <f>COUNTIFS(NAm!$F$3:$F$82,'SAm Capacity Data'!W$22,NAm!$U$3:$U$82,$A47)</f>
        <v>0</v>
      </c>
      <c r="X47" s="261">
        <f>COUNTIFS(NAm!$F$3:$F$82,'SAm Capacity Data'!X$22,NAm!$U$3:$U$82,$A47)</f>
        <v>0</v>
      </c>
      <c r="Y47" s="261">
        <f>COUNTIFS(NAm!$F$3:$F$82,'SAm Capacity Data'!Y$22,NAm!$U$3:$U$82,$A47)</f>
        <v>0</v>
      </c>
      <c r="Z47" s="261">
        <f>COUNTIFS(NAm!$F$3:$F$82,'SAm Capacity Data'!Z$22,NAm!$U$3:$U$82,$A47)</f>
        <v>0</v>
      </c>
      <c r="AA47" s="261">
        <f>COUNTIFS(NAm!$F$3:$F$82,'SAm Capacity Data'!AA$22,NAm!$U$3:$U$82,$A47)</f>
        <v>0</v>
      </c>
      <c r="AB47" s="261">
        <f>COUNTIFS(NAm!$F$3:$F$82,'SAm Capacity Data'!AB$22,NAm!$U$3:$U$82,$A47)</f>
        <v>0</v>
      </c>
      <c r="AC47" s="261">
        <f>COUNTIFS(NAm!$F$3:$F$82,'SAm Capacity Data'!AC$22,NAm!$U$3:$U$82,$A47)</f>
        <v>0</v>
      </c>
      <c r="AD47" s="261">
        <f>COUNTIFS(NAm!$F$3:$F$82,'SAm Capacity Data'!AD$22,NAm!$U$3:$U$82,$A47)</f>
        <v>0</v>
      </c>
      <c r="AE47" s="261">
        <f>COUNTIFS(NAm!$F$3:$F$82,'SAm Capacity Data'!AE$22,NAm!$U$3:$U$82,$A47)</f>
        <v>0</v>
      </c>
      <c r="AF47" s="261">
        <f>COUNTIFS(NAm!$F$3:$F$82,'SAm Capacity Data'!AF$22,NAm!$U$3:$U$82,$A47)</f>
        <v>0</v>
      </c>
      <c r="AG47" s="23"/>
      <c r="AH47" s="22">
        <f t="shared" si="16"/>
        <v>3</v>
      </c>
      <c r="AI47" s="22">
        <f>AH47-NAm!U91</f>
        <v>0</v>
      </c>
      <c r="AJ47" s="389"/>
    </row>
    <row r="48" spans="1:36">
      <c r="A48" s="20" t="s">
        <v>10</v>
      </c>
      <c r="B48" s="22">
        <f>COUNTIFS(NAm!$F$3:$F$82,"&lt;"&amp;'SAm Capacity Data'!C$22,NAm!$U$3:$U$82,$A48)</f>
        <v>0</v>
      </c>
      <c r="C48" s="22">
        <f>COUNTIFS(NAm!$F$3:$F$82,'SAm Capacity Data'!C$22,NAm!$U$3:$U$82,$A48)</f>
        <v>1</v>
      </c>
      <c r="D48" s="22">
        <f>COUNTIFS(NAm!$F$3:$F$82,'SAm Capacity Data'!D$22,NAm!$U$3:$U$82,$A48)</f>
        <v>0</v>
      </c>
      <c r="E48" s="22">
        <f>COUNTIFS(NAm!$F$3:$F$82,'SAm Capacity Data'!E$22,NAm!$U$3:$U$82,$A48)</f>
        <v>0</v>
      </c>
      <c r="F48" s="261">
        <f>COUNTIFS(NAm!$F$3:$F$82,'SAm Capacity Data'!F$22,NAm!$U$3:$U$82,$A48)</f>
        <v>1</v>
      </c>
      <c r="G48" s="261">
        <f>COUNTIFS(NAm!$F$3:$F$82,'SAm Capacity Data'!G$22,NAm!$U$3:$U$82,$A48)</f>
        <v>2</v>
      </c>
      <c r="H48" s="261">
        <f>COUNTIFS(NAm!$F$3:$F$82,'SAm Capacity Data'!H$22,NAm!$U$3:$U$82,$A48)</f>
        <v>0</v>
      </c>
      <c r="I48" s="261">
        <f>COUNTIFS(NAm!$F$3:$F$82,'SAm Capacity Data'!I$22,NAm!$U$3:$U$82,$A48)</f>
        <v>1</v>
      </c>
      <c r="J48" s="261">
        <f>COUNTIFS(NAm!$F$3:$F$82,'SAm Capacity Data'!J$22,NAm!$U$3:$U$82,$A48)</f>
        <v>0</v>
      </c>
      <c r="K48" s="261">
        <f>COUNTIFS(NAm!$F$3:$F$82,'SAm Capacity Data'!K$22,NAm!$U$3:$U$82,$A48)</f>
        <v>0</v>
      </c>
      <c r="L48" s="261">
        <f>COUNTIFS(NAm!$F$3:$F$82,'SAm Capacity Data'!L$22,NAm!$U$3:$U$82,$A48)</f>
        <v>0</v>
      </c>
      <c r="M48" s="261">
        <f>COUNTIFS(NAm!$F$3:$F$82,'SAm Capacity Data'!M$22,NAm!$U$3:$U$82,$A48)</f>
        <v>0</v>
      </c>
      <c r="N48" s="261">
        <f>COUNTIFS(NAm!$F$3:$F$82,'SAm Capacity Data'!N$22,NAm!$U$3:$U$82,$A48)</f>
        <v>0</v>
      </c>
      <c r="O48" s="261">
        <f>COUNTIFS(NAm!$F$3:$F$82,'SAm Capacity Data'!O$22,NAm!$U$3:$U$82,$A48)</f>
        <v>0</v>
      </c>
      <c r="P48" s="261">
        <f>COUNTIFS(NAm!$F$3:$F$82,'SAm Capacity Data'!P$22,NAm!$U$3:$U$82,$A48)</f>
        <v>0</v>
      </c>
      <c r="Q48" s="261">
        <f>COUNTIFS(NAm!$F$3:$F$82,'SAm Capacity Data'!Q$22,NAm!$U$3:$U$82,$A48)</f>
        <v>0</v>
      </c>
      <c r="R48" s="261">
        <f>COUNTIFS(NAm!$F$3:$F$82,'SAm Capacity Data'!R$22,NAm!$U$3:$U$82,$A48)</f>
        <v>0</v>
      </c>
      <c r="S48" s="261">
        <f>COUNTIFS(NAm!$F$3:$F$82,'SAm Capacity Data'!S$22,NAm!$U$3:$U$82,$A48)</f>
        <v>0</v>
      </c>
      <c r="T48" s="261">
        <f>COUNTIFS(NAm!$F$3:$F$82,'SAm Capacity Data'!T$22,NAm!$U$3:$U$82,$A48)</f>
        <v>0</v>
      </c>
      <c r="U48" s="261">
        <f>COUNTIFS(NAm!$F$3:$F$82,'SAm Capacity Data'!U$22,NAm!$U$3:$U$82,$A48)</f>
        <v>0</v>
      </c>
      <c r="V48" s="261">
        <f>COUNTIFS(NAm!$F$3:$F$82,'SAm Capacity Data'!V$22,NAm!$U$3:$U$82,$A48)</f>
        <v>0</v>
      </c>
      <c r="W48" s="261">
        <f>COUNTIFS(NAm!$F$3:$F$82,'SAm Capacity Data'!W$22,NAm!$U$3:$U$82,$A48)</f>
        <v>0</v>
      </c>
      <c r="X48" s="261">
        <f>COUNTIFS(NAm!$F$3:$F$82,'SAm Capacity Data'!X$22,NAm!$U$3:$U$82,$A48)</f>
        <v>0</v>
      </c>
      <c r="Y48" s="261">
        <f>COUNTIFS(NAm!$F$3:$F$82,'SAm Capacity Data'!Y$22,NAm!$U$3:$U$82,$A48)</f>
        <v>0</v>
      </c>
      <c r="Z48" s="261">
        <f>COUNTIFS(NAm!$F$3:$F$82,'SAm Capacity Data'!Z$22,NAm!$U$3:$U$82,$A48)</f>
        <v>0</v>
      </c>
      <c r="AA48" s="261">
        <f>COUNTIFS(NAm!$F$3:$F$82,'SAm Capacity Data'!AA$22,NAm!$U$3:$U$82,$A48)</f>
        <v>0</v>
      </c>
      <c r="AB48" s="261">
        <f>COUNTIFS(NAm!$F$3:$F$82,'SAm Capacity Data'!AB$22,NAm!$U$3:$U$82,$A48)</f>
        <v>0</v>
      </c>
      <c r="AC48" s="261">
        <f>COUNTIFS(NAm!$F$3:$F$82,'SAm Capacity Data'!AC$22,NAm!$U$3:$U$82,$A48)</f>
        <v>0</v>
      </c>
      <c r="AD48" s="261">
        <f>COUNTIFS(NAm!$F$3:$F$82,'SAm Capacity Data'!AD$22,NAm!$U$3:$U$82,$A48)</f>
        <v>0</v>
      </c>
      <c r="AE48" s="261">
        <f>COUNTIFS(NAm!$F$3:$F$82,'SAm Capacity Data'!AE$22,NAm!$U$3:$U$82,$A48)</f>
        <v>0</v>
      </c>
      <c r="AF48" s="261">
        <f>COUNTIFS(NAm!$F$3:$F$82,'SAm Capacity Data'!AF$22,NAm!$U$3:$U$82,$A48)</f>
        <v>0</v>
      </c>
      <c r="AG48" s="23"/>
      <c r="AH48" s="22">
        <f t="shared" si="16"/>
        <v>5</v>
      </c>
      <c r="AI48" s="22">
        <f>AH48-NAm!U92</f>
        <v>0</v>
      </c>
      <c r="AJ48" s="389"/>
    </row>
    <row r="49" spans="1:36" ht="15.75" thickBot="1">
      <c r="A49" s="32" t="s">
        <v>24</v>
      </c>
      <c r="B49" s="36">
        <f>SUM(B43:B48)</f>
        <v>3</v>
      </c>
      <c r="C49" s="36">
        <f>B49+SUM(C43:C48)</f>
        <v>5</v>
      </c>
      <c r="D49" s="36">
        <f>C49+SUM(D43:D48)</f>
        <v>8</v>
      </c>
      <c r="E49" s="36">
        <f t="shared" ref="E49:AF49" si="17">D49+SUM(E43:E48)</f>
        <v>8</v>
      </c>
      <c r="F49" s="264">
        <f t="shared" si="17"/>
        <v>17</v>
      </c>
      <c r="G49" s="264">
        <f t="shared" si="17"/>
        <v>33</v>
      </c>
      <c r="H49" s="264">
        <f t="shared" si="17"/>
        <v>42</v>
      </c>
      <c r="I49" s="264">
        <f t="shared" si="17"/>
        <v>61</v>
      </c>
      <c r="J49" s="264">
        <f t="shared" si="17"/>
        <v>69</v>
      </c>
      <c r="K49" s="264">
        <f t="shared" si="17"/>
        <v>73</v>
      </c>
      <c r="L49" s="264">
        <f t="shared" si="17"/>
        <v>76</v>
      </c>
      <c r="M49" s="264">
        <f t="shared" si="17"/>
        <v>78</v>
      </c>
      <c r="N49" s="264">
        <f t="shared" si="17"/>
        <v>78</v>
      </c>
      <c r="O49" s="264">
        <f t="shared" si="17"/>
        <v>78</v>
      </c>
      <c r="P49" s="264">
        <f t="shared" si="17"/>
        <v>78</v>
      </c>
      <c r="Q49" s="264">
        <f t="shared" si="17"/>
        <v>78</v>
      </c>
      <c r="R49" s="264">
        <f t="shared" si="17"/>
        <v>78</v>
      </c>
      <c r="S49" s="264">
        <f t="shared" si="17"/>
        <v>78</v>
      </c>
      <c r="T49" s="264">
        <f t="shared" si="17"/>
        <v>78</v>
      </c>
      <c r="U49" s="264">
        <f t="shared" si="17"/>
        <v>78</v>
      </c>
      <c r="V49" s="264">
        <f t="shared" si="17"/>
        <v>78</v>
      </c>
      <c r="W49" s="264">
        <f t="shared" si="17"/>
        <v>78</v>
      </c>
      <c r="X49" s="264">
        <f t="shared" si="17"/>
        <v>78</v>
      </c>
      <c r="Y49" s="264">
        <f t="shared" si="17"/>
        <v>78</v>
      </c>
      <c r="Z49" s="264">
        <f t="shared" si="17"/>
        <v>78</v>
      </c>
      <c r="AA49" s="264">
        <f t="shared" si="17"/>
        <v>78</v>
      </c>
      <c r="AB49" s="264">
        <f t="shared" si="17"/>
        <v>78</v>
      </c>
      <c r="AC49" s="264">
        <f t="shared" si="17"/>
        <v>78</v>
      </c>
      <c r="AD49" s="264">
        <f t="shared" si="17"/>
        <v>78</v>
      </c>
      <c r="AE49" s="264">
        <f t="shared" si="17"/>
        <v>78</v>
      </c>
      <c r="AF49" s="264">
        <f t="shared" si="17"/>
        <v>78</v>
      </c>
      <c r="AG49" s="23"/>
      <c r="AH49" s="36">
        <f>SUM(AH43:AH48)</f>
        <v>78</v>
      </c>
      <c r="AI49" s="36"/>
      <c r="AJ49" s="389"/>
    </row>
    <row r="50" spans="1:36">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H50" s="26"/>
    </row>
    <row r="51" spans="1:36" ht="15.75" thickBot="1">
      <c r="A51" s="38" t="s">
        <v>527</v>
      </c>
    </row>
    <row r="52" spans="1:36" ht="15.75" thickBot="1">
      <c r="A52" s="17" t="str">
        <f>A22</f>
        <v>(mil gal/yr)</v>
      </c>
      <c r="B52" s="28" t="str">
        <f>B22</f>
        <v>&lt; 2021</v>
      </c>
      <c r="C52" s="18">
        <f t="shared" ref="C52:AF52" si="18">C22</f>
        <v>2021</v>
      </c>
      <c r="D52" s="18">
        <f t="shared" si="18"/>
        <v>2022</v>
      </c>
      <c r="E52" s="18">
        <f t="shared" si="18"/>
        <v>2023</v>
      </c>
      <c r="F52" s="18">
        <f t="shared" si="18"/>
        <v>2024</v>
      </c>
      <c r="G52" s="18">
        <f t="shared" si="18"/>
        <v>2025</v>
      </c>
      <c r="H52" s="18">
        <f t="shared" si="18"/>
        <v>2026</v>
      </c>
      <c r="I52" s="18">
        <f t="shared" si="18"/>
        <v>2027</v>
      </c>
      <c r="J52" s="18">
        <f t="shared" si="18"/>
        <v>2028</v>
      </c>
      <c r="K52" s="18">
        <f t="shared" si="18"/>
        <v>2029</v>
      </c>
      <c r="L52" s="18">
        <f t="shared" si="18"/>
        <v>2030</v>
      </c>
      <c r="M52" s="18">
        <f t="shared" si="18"/>
        <v>2031</v>
      </c>
      <c r="N52" s="18">
        <f t="shared" si="18"/>
        <v>2032</v>
      </c>
      <c r="O52" s="18">
        <f t="shared" si="18"/>
        <v>2033</v>
      </c>
      <c r="P52" s="18">
        <f t="shared" si="18"/>
        <v>2034</v>
      </c>
      <c r="Q52" s="18">
        <f t="shared" si="18"/>
        <v>2035</v>
      </c>
      <c r="R52" s="18">
        <f t="shared" si="18"/>
        <v>2036</v>
      </c>
      <c r="S52" s="18">
        <f t="shared" si="18"/>
        <v>2037</v>
      </c>
      <c r="T52" s="18">
        <f t="shared" si="18"/>
        <v>2038</v>
      </c>
      <c r="U52" s="18">
        <f t="shared" si="18"/>
        <v>2039</v>
      </c>
      <c r="V52" s="18">
        <f t="shared" si="18"/>
        <v>2040</v>
      </c>
      <c r="W52" s="18">
        <f t="shared" si="18"/>
        <v>2041</v>
      </c>
      <c r="X52" s="18">
        <f t="shared" si="18"/>
        <v>2042</v>
      </c>
      <c r="Y52" s="18">
        <f t="shared" si="18"/>
        <v>2043</v>
      </c>
      <c r="Z52" s="18">
        <f t="shared" si="18"/>
        <v>2044</v>
      </c>
      <c r="AA52" s="18">
        <f t="shared" si="18"/>
        <v>2045</v>
      </c>
      <c r="AB52" s="18">
        <f t="shared" si="18"/>
        <v>2046</v>
      </c>
      <c r="AC52" s="18">
        <f t="shared" si="18"/>
        <v>2047</v>
      </c>
      <c r="AD52" s="18">
        <f t="shared" si="18"/>
        <v>2048</v>
      </c>
      <c r="AE52" s="18">
        <f t="shared" si="18"/>
        <v>2049</v>
      </c>
      <c r="AF52" s="18">
        <f t="shared" si="18"/>
        <v>2050</v>
      </c>
      <c r="AG52" s="153"/>
    </row>
    <row r="53" spans="1:36">
      <c r="A53" s="20" t="s">
        <v>26</v>
      </c>
      <c r="B53" s="7">
        <f>SUMIFS(SAm!$N$3:$N$79,SAm!$F$3:$F$79,"&lt;"&amp;'SAm Capacity Data'!C$22,SAm!$V$3:$V$79,'SAm Capacity Data'!$A53)</f>
        <v>0</v>
      </c>
      <c r="C53" s="7">
        <f>SUMIFS(SAm!$N$3:$N$79,SAm!$F$3:$F$79,'SAm Capacity Data'!C$22,SAm!$V$3:$V$79,'SAm Capacity Data'!$A53)</f>
        <v>0</v>
      </c>
      <c r="D53" s="7">
        <f>SUMIFS(SAm!$N$3:$N$79,SAm!$F$3:$F$79,'SAm Capacity Data'!D$22,SAm!$V$3:$V$79,'SAm Capacity Data'!$A53)</f>
        <v>0</v>
      </c>
      <c r="E53" s="7">
        <f>SUMIFS(SAm!$N$3:$N$79,SAm!$F$3:$F$79,'SAm Capacity Data'!E$22,SAm!$V$3:$V$79,'SAm Capacity Data'!$A53)</f>
        <v>0</v>
      </c>
      <c r="F53" s="263">
        <f>SUMIFS(SAm!$N$3:$N$79,SAm!$F$3:$F$79,'SAm Capacity Data'!F$22,SAm!$V$3:$V$79,'SAm Capacity Data'!$A53)</f>
        <v>0</v>
      </c>
      <c r="G53" s="263">
        <f>SUMIFS(SAm!$N$3:$N$79,SAm!$F$3:$F$79,'SAm Capacity Data'!G$22,SAm!$V$3:$V$79,'SAm Capacity Data'!$A53)</f>
        <v>147</v>
      </c>
      <c r="H53" s="263">
        <f>SUMIFS(SAm!$N$3:$N$79,SAm!$F$3:$F$79,'SAm Capacity Data'!H$22,SAm!$V$3:$V$79,'SAm Capacity Data'!$A53)</f>
        <v>66</v>
      </c>
      <c r="I53" s="263">
        <f>SUMIFS(SAm!$N$3:$N$79,SAm!$F$3:$F$79,'SAm Capacity Data'!I$22,SAm!$V$3:$V$79,'SAm Capacity Data'!$A53)</f>
        <v>132</v>
      </c>
      <c r="J53" s="263">
        <f>SUMIFS(SAm!$N$3:$N$79,SAm!$F$3:$F$79,'SAm Capacity Data'!J$22,SAm!$V$3:$V$79,'SAm Capacity Data'!$A53)</f>
        <v>129.5385</v>
      </c>
      <c r="K53" s="263">
        <f>SUMIFS(SAm!$N$3:$N$79,SAm!$F$3:$F$79,'SAm Capacity Data'!K$22,SAm!$V$3:$V$79,'SAm Capacity Data'!$A53)</f>
        <v>45.5</v>
      </c>
      <c r="L53" s="263">
        <f>SUMIFS(SAm!$N$3:$N$79,SAm!$F$3:$F$79,'SAm Capacity Data'!L$22,SAm!$V$3:$V$79,'SAm Capacity Data'!$A53)</f>
        <v>109.33000000000001</v>
      </c>
      <c r="M53" s="263">
        <f>SUMIFS(SAm!$N$3:$N$79,SAm!$F$3:$F$79,'SAm Capacity Data'!M$22,SAm!$V$3:$V$79,'SAm Capacity Data'!$A53)</f>
        <v>0</v>
      </c>
      <c r="N53" s="263">
        <f>SUMIFS(SAm!$N$3:$N$79,SAm!$F$3:$F$79,'SAm Capacity Data'!N$22,SAm!$V$3:$V$79,'SAm Capacity Data'!$A53)</f>
        <v>0</v>
      </c>
      <c r="O53" s="263">
        <f>SUMIFS(SAm!$N$3:$N$79,SAm!$F$3:$F$79,'SAm Capacity Data'!O$22,SAm!$V$3:$V$79,'SAm Capacity Data'!$A53)</f>
        <v>0</v>
      </c>
      <c r="P53" s="263">
        <f>SUMIFS(SAm!$N$3:$N$79,SAm!$F$3:$F$79,'SAm Capacity Data'!P$22,SAm!$V$3:$V$79,'SAm Capacity Data'!$A53)</f>
        <v>0</v>
      </c>
      <c r="Q53" s="263">
        <f>SUMIFS(SAm!$N$3:$N$79,SAm!$F$3:$F$79,'SAm Capacity Data'!Q$22,SAm!$V$3:$V$79,'SAm Capacity Data'!$A53)</f>
        <v>0</v>
      </c>
      <c r="R53" s="263">
        <f>SUMIFS(SAm!$N$3:$N$79,SAm!$F$3:$F$79,'SAm Capacity Data'!R$22,SAm!$V$3:$V$79,'SAm Capacity Data'!$A53)</f>
        <v>0</v>
      </c>
      <c r="S53" s="263">
        <f>SUMIFS(SAm!$N$3:$N$79,SAm!$F$3:$F$79,'SAm Capacity Data'!S$22,SAm!$V$3:$V$79,'SAm Capacity Data'!$A53)</f>
        <v>0</v>
      </c>
      <c r="T53" s="263">
        <f>SUMIFS(SAm!$N$3:$N$79,SAm!$F$3:$F$79,'SAm Capacity Data'!T$22,SAm!$V$3:$V$79,'SAm Capacity Data'!$A53)</f>
        <v>0</v>
      </c>
      <c r="U53" s="263">
        <f>SUMIFS(SAm!$N$3:$N$79,SAm!$F$3:$F$79,'SAm Capacity Data'!U$22,SAm!$V$3:$V$79,'SAm Capacity Data'!$A53)</f>
        <v>0</v>
      </c>
      <c r="V53" s="263">
        <f>SUMIFS(SAm!$N$3:$N$79,SAm!$F$3:$F$79,'SAm Capacity Data'!V$22,SAm!$V$3:$V$79,'SAm Capacity Data'!$A53)</f>
        <v>0</v>
      </c>
      <c r="W53" s="263">
        <f>SUMIFS(SAm!$N$3:$N$79,SAm!$F$3:$F$79,'SAm Capacity Data'!W$22,SAm!$V$3:$V$79,'SAm Capacity Data'!$A53)</f>
        <v>0</v>
      </c>
      <c r="X53" s="263">
        <f>SUMIFS(SAm!$N$3:$N$79,SAm!$F$3:$F$79,'SAm Capacity Data'!X$22,SAm!$V$3:$V$79,'SAm Capacity Data'!$A53)</f>
        <v>0</v>
      </c>
      <c r="Y53" s="263">
        <f>SUMIFS(SAm!$N$3:$N$79,SAm!$F$3:$F$79,'SAm Capacity Data'!Y$22,SAm!$V$3:$V$79,'SAm Capacity Data'!$A53)</f>
        <v>0</v>
      </c>
      <c r="Z53" s="263">
        <f>SUMIFS(SAm!$N$3:$N$79,SAm!$F$3:$F$79,'SAm Capacity Data'!Z$22,SAm!$V$3:$V$79,'SAm Capacity Data'!$A53)</f>
        <v>0</v>
      </c>
      <c r="AA53" s="263">
        <f>SUMIFS(SAm!$N$3:$N$79,SAm!$F$3:$F$79,'SAm Capacity Data'!AA$22,SAm!$V$3:$V$79,'SAm Capacity Data'!$A53)</f>
        <v>0</v>
      </c>
      <c r="AB53" s="263">
        <f>SUMIFS(SAm!$N$3:$N$79,SAm!$F$3:$F$79,'SAm Capacity Data'!AB$22,SAm!$V$3:$V$79,'SAm Capacity Data'!$A53)</f>
        <v>0</v>
      </c>
      <c r="AC53" s="263">
        <f>SUMIFS(SAm!$N$3:$N$79,SAm!$F$3:$F$79,'SAm Capacity Data'!AC$22,SAm!$V$3:$V$79,'SAm Capacity Data'!$A53)</f>
        <v>0</v>
      </c>
      <c r="AD53" s="263">
        <f>SUMIFS(SAm!$N$3:$N$79,SAm!$F$3:$F$79,'SAm Capacity Data'!AD$22,SAm!$V$3:$V$79,'SAm Capacity Data'!$A53)</f>
        <v>0</v>
      </c>
      <c r="AE53" s="263">
        <f>SUMIFS(SAm!$N$3:$N$79,SAm!$F$3:$F$79,'SAm Capacity Data'!AE$22,SAm!$V$3:$V$79,'SAm Capacity Data'!$A53)</f>
        <v>0</v>
      </c>
      <c r="AF53" s="263">
        <f>SUMIFS(SAm!$N$3:$N$79,SAm!$F$3:$F$79,'SAm Capacity Data'!AF$22,SAm!$V$3:$V$79,'SAm Capacity Data'!$A53)</f>
        <v>0</v>
      </c>
      <c r="AG53" s="23"/>
    </row>
    <row r="54" spans="1:36">
      <c r="A54" s="20" t="s">
        <v>27</v>
      </c>
      <c r="B54" s="22">
        <f>SUMIFS(SAm!$N$3:$N$79,SAm!$F$3:$F$79,"&lt;"&amp;'SAm Capacity Data'!C$22,SAm!$V$3:$V$79,'SAm Capacity Data'!$A54)</f>
        <v>0</v>
      </c>
      <c r="C54" s="22">
        <f>SUMIFS(SAm!$N$3:$N$79,SAm!$F$3:$F$79,'SAm Capacity Data'!C$22,SAm!$V$3:$V$79,'SAm Capacity Data'!$A54)</f>
        <v>0</v>
      </c>
      <c r="D54" s="22">
        <f>SUMIFS(SAm!$N$3:$N$79,SAm!$F$3:$F$79,'SAm Capacity Data'!D$22,SAm!$V$3:$V$79,'SAm Capacity Data'!$A54)</f>
        <v>0</v>
      </c>
      <c r="E54" s="22">
        <f>SUMIFS(SAm!$N$3:$N$79,SAm!$F$3:$F$79,'SAm Capacity Data'!E$22,SAm!$V$3:$V$79,'SAm Capacity Data'!$A54)</f>
        <v>0</v>
      </c>
      <c r="F54" s="261">
        <f>SUMIFS(SAm!$N$3:$N$79,SAm!$F$3:$F$79,'SAm Capacity Data'!F$22,SAm!$V$3:$V$79,'SAm Capacity Data'!$A54)</f>
        <v>0</v>
      </c>
      <c r="G54" s="261">
        <f>SUMIFS(SAm!$N$3:$N$79,SAm!$F$3:$F$79,'SAm Capacity Data'!G$22,SAm!$V$3:$V$79,'SAm Capacity Data'!$A54)</f>
        <v>0</v>
      </c>
      <c r="H54" s="261">
        <f>SUMIFS(SAm!$N$3:$N$79,SAm!$F$3:$F$79,'SAm Capacity Data'!H$22,SAm!$V$3:$V$79,'SAm Capacity Data'!$A54)</f>
        <v>0</v>
      </c>
      <c r="I54" s="261">
        <f>SUMIFS(SAm!$N$3:$N$79,SAm!$F$3:$F$79,'SAm Capacity Data'!I$22,SAm!$V$3:$V$79,'SAm Capacity Data'!$A54)</f>
        <v>0</v>
      </c>
      <c r="J54" s="261">
        <f>SUMIFS(SAm!$N$3:$N$79,SAm!$F$3:$F$79,'SAm Capacity Data'!J$22,SAm!$V$3:$V$79,'SAm Capacity Data'!$A54)</f>
        <v>0</v>
      </c>
      <c r="K54" s="261">
        <f>SUMIFS(SAm!$N$3:$N$79,SAm!$F$3:$F$79,'SAm Capacity Data'!K$22,SAm!$V$3:$V$79,'SAm Capacity Data'!$A54)</f>
        <v>0</v>
      </c>
      <c r="L54" s="261">
        <f>SUMIFS(SAm!$N$3:$N$79,SAm!$F$3:$F$79,'SAm Capacity Data'!L$22,SAm!$V$3:$V$79,'SAm Capacity Data'!$A54)</f>
        <v>52.05</v>
      </c>
      <c r="M54" s="261">
        <f>SUMIFS(SAm!$N$3:$N$79,SAm!$F$3:$F$79,'SAm Capacity Data'!M$22,SAm!$V$3:$V$79,'SAm Capacity Data'!$A54)</f>
        <v>0</v>
      </c>
      <c r="N54" s="261">
        <f>SUMIFS(SAm!$N$3:$N$79,SAm!$F$3:$F$79,'SAm Capacity Data'!N$22,SAm!$V$3:$V$79,'SAm Capacity Data'!$A54)</f>
        <v>0</v>
      </c>
      <c r="O54" s="261">
        <f>SUMIFS(SAm!$N$3:$N$79,SAm!$F$3:$F$79,'SAm Capacity Data'!O$22,SAm!$V$3:$V$79,'SAm Capacity Data'!$A54)</f>
        <v>0</v>
      </c>
      <c r="P54" s="261">
        <f>SUMIFS(SAm!$N$3:$N$79,SAm!$F$3:$F$79,'SAm Capacity Data'!P$22,SAm!$V$3:$V$79,'SAm Capacity Data'!$A54)</f>
        <v>0</v>
      </c>
      <c r="Q54" s="261">
        <f>SUMIFS(SAm!$N$3:$N$79,SAm!$F$3:$F$79,'SAm Capacity Data'!Q$22,SAm!$V$3:$V$79,'SAm Capacity Data'!$A54)</f>
        <v>0</v>
      </c>
      <c r="R54" s="261">
        <f>SUMIFS(SAm!$N$3:$N$79,SAm!$F$3:$F$79,'SAm Capacity Data'!R$22,SAm!$V$3:$V$79,'SAm Capacity Data'!$A54)</f>
        <v>0</v>
      </c>
      <c r="S54" s="261">
        <f>SUMIFS(SAm!$N$3:$N$79,SAm!$F$3:$F$79,'SAm Capacity Data'!S$22,SAm!$V$3:$V$79,'SAm Capacity Data'!$A54)</f>
        <v>0</v>
      </c>
      <c r="T54" s="261">
        <f>SUMIFS(SAm!$N$3:$N$79,SAm!$F$3:$F$79,'SAm Capacity Data'!T$22,SAm!$V$3:$V$79,'SAm Capacity Data'!$A54)</f>
        <v>0</v>
      </c>
      <c r="U54" s="261">
        <f>SUMIFS(SAm!$N$3:$N$79,SAm!$F$3:$F$79,'SAm Capacity Data'!U$22,SAm!$V$3:$V$79,'SAm Capacity Data'!$A54)</f>
        <v>0</v>
      </c>
      <c r="V54" s="261">
        <f>SUMIFS(SAm!$N$3:$N$79,SAm!$F$3:$F$79,'SAm Capacity Data'!V$22,SAm!$V$3:$V$79,'SAm Capacity Data'!$A54)</f>
        <v>0</v>
      </c>
      <c r="W54" s="261">
        <f>SUMIFS(SAm!$N$3:$N$79,SAm!$F$3:$F$79,'SAm Capacity Data'!W$22,SAm!$V$3:$V$79,'SAm Capacity Data'!$A54)</f>
        <v>0</v>
      </c>
      <c r="X54" s="261">
        <f>SUMIFS(SAm!$N$3:$N$79,SAm!$F$3:$F$79,'SAm Capacity Data'!X$22,SAm!$V$3:$V$79,'SAm Capacity Data'!$A54)</f>
        <v>0</v>
      </c>
      <c r="Y54" s="261">
        <f>SUMIFS(SAm!$N$3:$N$79,SAm!$F$3:$F$79,'SAm Capacity Data'!Y$22,SAm!$V$3:$V$79,'SAm Capacity Data'!$A54)</f>
        <v>0</v>
      </c>
      <c r="Z54" s="261">
        <f>SUMIFS(SAm!$N$3:$N$79,SAm!$F$3:$F$79,'SAm Capacity Data'!Z$22,SAm!$V$3:$V$79,'SAm Capacity Data'!$A54)</f>
        <v>0</v>
      </c>
      <c r="AA54" s="261">
        <f>SUMIFS(SAm!$N$3:$N$79,SAm!$F$3:$F$79,'SAm Capacity Data'!AA$22,SAm!$V$3:$V$79,'SAm Capacity Data'!$A54)</f>
        <v>0</v>
      </c>
      <c r="AB54" s="261">
        <f>SUMIFS(SAm!$N$3:$N$79,SAm!$F$3:$F$79,'SAm Capacity Data'!AB$22,SAm!$V$3:$V$79,'SAm Capacity Data'!$A54)</f>
        <v>0</v>
      </c>
      <c r="AC54" s="261">
        <f>SUMIFS(SAm!$N$3:$N$79,SAm!$F$3:$F$79,'SAm Capacity Data'!AC$22,SAm!$V$3:$V$79,'SAm Capacity Data'!$A54)</f>
        <v>0</v>
      </c>
      <c r="AD54" s="261">
        <f>SUMIFS(SAm!$N$3:$N$79,SAm!$F$3:$F$79,'SAm Capacity Data'!AD$22,SAm!$V$3:$V$79,'SAm Capacity Data'!$A54)</f>
        <v>0</v>
      </c>
      <c r="AE54" s="261">
        <f>SUMIFS(SAm!$N$3:$N$79,SAm!$F$3:$F$79,'SAm Capacity Data'!AE$22,SAm!$V$3:$V$79,'SAm Capacity Data'!$A54)</f>
        <v>0</v>
      </c>
      <c r="AF54" s="261">
        <f>SUMIFS(SAm!$N$3:$N$79,SAm!$F$3:$F$79,'SAm Capacity Data'!AF$22,SAm!$V$3:$V$79,'SAm Capacity Data'!$A54)</f>
        <v>0</v>
      </c>
      <c r="AG54" s="23"/>
    </row>
    <row r="55" spans="1:36">
      <c r="A55" s="20" t="s">
        <v>28</v>
      </c>
      <c r="B55" s="22">
        <f>SUMIFS(SAm!$N$3:$N$79,SAm!$F$3:$F$79,"&lt;"&amp;'SAm Capacity Data'!C$22,SAm!$V$3:$V$79,'SAm Capacity Data'!$A55)</f>
        <v>0</v>
      </c>
      <c r="C55" s="22">
        <f>SUMIFS(SAm!$N$3:$N$79,SAm!$F$3:$F$79,'SAm Capacity Data'!C$22,SAm!$V$3:$V$79,'SAm Capacity Data'!$A55)</f>
        <v>0</v>
      </c>
      <c r="D55" s="22">
        <f>SUMIFS(SAm!$N$3:$N$79,SAm!$F$3:$F$79,'SAm Capacity Data'!D$22,SAm!$V$3:$V$79,'SAm Capacity Data'!$A55)</f>
        <v>0</v>
      </c>
      <c r="E55" s="22">
        <f>SUMIFS(SAm!$N$3:$N$79,SAm!$F$3:$F$79,'SAm Capacity Data'!E$22,SAm!$V$3:$V$79,'SAm Capacity Data'!$A55)</f>
        <v>0</v>
      </c>
      <c r="F55" s="261">
        <f>SUMIFS(SAm!$N$3:$N$79,SAm!$F$3:$F$79,'SAm Capacity Data'!F$22,SAm!$V$3:$V$79,'SAm Capacity Data'!$A55)</f>
        <v>0</v>
      </c>
      <c r="G55" s="261">
        <f>SUMIFS(SAm!$N$3:$N$79,SAm!$F$3:$F$79,'SAm Capacity Data'!G$22,SAm!$V$3:$V$79,'SAm Capacity Data'!$A55)</f>
        <v>7.1999999999999995E-2</v>
      </c>
      <c r="H55" s="261">
        <f>SUMIFS(SAm!$N$3:$N$79,SAm!$F$3:$F$79,'SAm Capacity Data'!H$22,SAm!$V$3:$V$79,'SAm Capacity Data'!$A55)</f>
        <v>0</v>
      </c>
      <c r="I55" s="261">
        <f>SUMIFS(SAm!$N$3:$N$79,SAm!$F$3:$F$79,'SAm Capacity Data'!I$22,SAm!$V$3:$V$79,'SAm Capacity Data'!$A55)</f>
        <v>0</v>
      </c>
      <c r="J55" s="261">
        <f>SUMIFS(SAm!$N$3:$N$79,SAm!$F$3:$F$79,'SAm Capacity Data'!J$22,SAm!$V$3:$V$79,'SAm Capacity Data'!$A55)</f>
        <v>0</v>
      </c>
      <c r="K55" s="261">
        <f>SUMIFS(SAm!$N$3:$N$79,SAm!$F$3:$F$79,'SAm Capacity Data'!K$22,SAm!$V$3:$V$79,'SAm Capacity Data'!$A55)</f>
        <v>0</v>
      </c>
      <c r="L55" s="261">
        <f>SUMIFS(SAm!$N$3:$N$79,SAm!$F$3:$F$79,'SAm Capacity Data'!L$22,SAm!$V$3:$V$79,'SAm Capacity Data'!$A55)</f>
        <v>0</v>
      </c>
      <c r="M55" s="261">
        <f>SUMIFS(SAm!$N$3:$N$79,SAm!$F$3:$F$79,'SAm Capacity Data'!M$22,SAm!$V$3:$V$79,'SAm Capacity Data'!$A55)</f>
        <v>0</v>
      </c>
      <c r="N55" s="261">
        <f>SUMIFS(SAm!$N$3:$N$79,SAm!$F$3:$F$79,'SAm Capacity Data'!N$22,SAm!$V$3:$V$79,'SAm Capacity Data'!$A55)</f>
        <v>0</v>
      </c>
      <c r="O55" s="261">
        <f>SUMIFS(SAm!$N$3:$N$79,SAm!$F$3:$F$79,'SAm Capacity Data'!O$22,SAm!$V$3:$V$79,'SAm Capacity Data'!$A55)</f>
        <v>0</v>
      </c>
      <c r="P55" s="261">
        <f>SUMIFS(SAm!$N$3:$N$79,SAm!$F$3:$F$79,'SAm Capacity Data'!P$22,SAm!$V$3:$V$79,'SAm Capacity Data'!$A55)</f>
        <v>0</v>
      </c>
      <c r="Q55" s="261">
        <f>SUMIFS(SAm!$N$3:$N$79,SAm!$F$3:$F$79,'SAm Capacity Data'!Q$22,SAm!$V$3:$V$79,'SAm Capacity Data'!$A55)</f>
        <v>0</v>
      </c>
      <c r="R55" s="261">
        <f>SUMIFS(SAm!$N$3:$N$79,SAm!$F$3:$F$79,'SAm Capacity Data'!R$22,SAm!$V$3:$V$79,'SAm Capacity Data'!$A55)</f>
        <v>0</v>
      </c>
      <c r="S55" s="261">
        <f>SUMIFS(SAm!$N$3:$N$79,SAm!$F$3:$F$79,'SAm Capacity Data'!S$22,SAm!$V$3:$V$79,'SAm Capacity Data'!$A55)</f>
        <v>0</v>
      </c>
      <c r="T55" s="261">
        <f>SUMIFS(SAm!$N$3:$N$79,SAm!$F$3:$F$79,'SAm Capacity Data'!T$22,SAm!$V$3:$V$79,'SAm Capacity Data'!$A55)</f>
        <v>0</v>
      </c>
      <c r="U55" s="261">
        <f>SUMIFS(SAm!$N$3:$N$79,SAm!$F$3:$F$79,'SAm Capacity Data'!U$22,SAm!$V$3:$V$79,'SAm Capacity Data'!$A55)</f>
        <v>0</v>
      </c>
      <c r="V55" s="261">
        <f>SUMIFS(SAm!$N$3:$N$79,SAm!$F$3:$F$79,'SAm Capacity Data'!V$22,SAm!$V$3:$V$79,'SAm Capacity Data'!$A55)</f>
        <v>0</v>
      </c>
      <c r="W55" s="261">
        <f>SUMIFS(SAm!$N$3:$N$79,SAm!$F$3:$F$79,'SAm Capacity Data'!W$22,SAm!$V$3:$V$79,'SAm Capacity Data'!$A55)</f>
        <v>0</v>
      </c>
      <c r="X55" s="261">
        <f>SUMIFS(SAm!$N$3:$N$79,SAm!$F$3:$F$79,'SAm Capacity Data'!X$22,SAm!$V$3:$V$79,'SAm Capacity Data'!$A55)</f>
        <v>0</v>
      </c>
      <c r="Y55" s="261">
        <f>SUMIFS(SAm!$N$3:$N$79,SAm!$F$3:$F$79,'SAm Capacity Data'!Y$22,SAm!$V$3:$V$79,'SAm Capacity Data'!$A55)</f>
        <v>0</v>
      </c>
      <c r="Z55" s="261">
        <f>SUMIFS(SAm!$N$3:$N$79,SAm!$F$3:$F$79,'SAm Capacity Data'!Z$22,SAm!$V$3:$V$79,'SAm Capacity Data'!$A55)</f>
        <v>0</v>
      </c>
      <c r="AA55" s="261">
        <f>SUMIFS(SAm!$N$3:$N$79,SAm!$F$3:$F$79,'SAm Capacity Data'!AA$22,SAm!$V$3:$V$79,'SAm Capacity Data'!$A55)</f>
        <v>0</v>
      </c>
      <c r="AB55" s="261">
        <f>SUMIFS(SAm!$N$3:$N$79,SAm!$F$3:$F$79,'SAm Capacity Data'!AB$22,SAm!$V$3:$V$79,'SAm Capacity Data'!$A55)</f>
        <v>0</v>
      </c>
      <c r="AC55" s="261">
        <f>SUMIFS(SAm!$N$3:$N$79,SAm!$F$3:$F$79,'SAm Capacity Data'!AC$22,SAm!$V$3:$V$79,'SAm Capacity Data'!$A55)</f>
        <v>0</v>
      </c>
      <c r="AD55" s="261">
        <f>SUMIFS(SAm!$N$3:$N$79,SAm!$F$3:$F$79,'SAm Capacity Data'!AD$22,SAm!$V$3:$V$79,'SAm Capacity Data'!$A55)</f>
        <v>0</v>
      </c>
      <c r="AE55" s="261">
        <f>SUMIFS(SAm!$N$3:$N$79,SAm!$F$3:$F$79,'SAm Capacity Data'!AE$22,SAm!$V$3:$V$79,'SAm Capacity Data'!$A55)</f>
        <v>0</v>
      </c>
      <c r="AF55" s="261">
        <f>SUMIFS(SAm!$N$3:$N$79,SAm!$F$3:$F$79,'SAm Capacity Data'!AF$22,SAm!$V$3:$V$79,'SAm Capacity Data'!$A55)</f>
        <v>0</v>
      </c>
      <c r="AG55" s="23"/>
    </row>
    <row r="56" spans="1:36">
      <c r="A56" s="20" t="s">
        <v>29</v>
      </c>
      <c r="B56" s="22">
        <f>SUMIFS(SAm!$N$3:$N$79,SAm!$F$3:$F$79,"&lt;"&amp;'SAm Capacity Data'!C$22,SAm!$V$3:$V$79,'SAm Capacity Data'!$A56)</f>
        <v>0</v>
      </c>
      <c r="C56" s="22">
        <f>SUMIFS(SAm!$N$3:$N$79,SAm!$F$3:$F$79,'SAm Capacity Data'!C$22,SAm!$V$3:$V$79,'SAm Capacity Data'!$A56)</f>
        <v>0</v>
      </c>
      <c r="D56" s="22">
        <f>SUMIFS(SAm!$N$3:$N$79,SAm!$F$3:$F$79,'SAm Capacity Data'!D$22,SAm!$V$3:$V$79,'SAm Capacity Data'!$A56)</f>
        <v>0</v>
      </c>
      <c r="E56" s="22">
        <f>SUMIFS(SAm!$N$3:$N$79,SAm!$F$3:$F$79,'SAm Capacity Data'!E$22,SAm!$V$3:$V$79,'SAm Capacity Data'!$A56)</f>
        <v>0</v>
      </c>
      <c r="F56" s="261">
        <f>SUMIFS(SAm!$N$3:$N$79,SAm!$F$3:$F$79,'SAm Capacity Data'!F$22,SAm!$V$3:$V$79,'SAm Capacity Data'!$A56)</f>
        <v>0</v>
      </c>
      <c r="G56" s="261">
        <f>SUMIFS(SAm!$N$3:$N$79,SAm!$F$3:$F$79,'SAm Capacity Data'!G$22,SAm!$V$3:$V$79,'SAm Capacity Data'!$A56)</f>
        <v>0</v>
      </c>
      <c r="H56" s="261">
        <f>SUMIFS(SAm!$N$3:$N$79,SAm!$F$3:$F$79,'SAm Capacity Data'!H$22,SAm!$V$3:$V$79,'SAm Capacity Data'!$A56)</f>
        <v>0</v>
      </c>
      <c r="I56" s="261">
        <f>SUMIFS(SAm!$N$3:$N$79,SAm!$F$3:$F$79,'SAm Capacity Data'!I$22,SAm!$V$3:$V$79,'SAm Capacity Data'!$A56)</f>
        <v>0</v>
      </c>
      <c r="J56" s="261">
        <f>SUMIFS(SAm!$N$3:$N$79,SAm!$F$3:$F$79,'SAm Capacity Data'!J$22,SAm!$V$3:$V$79,'SAm Capacity Data'!$A56)</f>
        <v>0</v>
      </c>
      <c r="K56" s="261">
        <f>SUMIFS(SAm!$N$3:$N$79,SAm!$F$3:$F$79,'SAm Capacity Data'!K$22,SAm!$V$3:$V$79,'SAm Capacity Data'!$A56)</f>
        <v>0</v>
      </c>
      <c r="L56" s="261">
        <f>SUMIFS(SAm!$N$3:$N$79,SAm!$F$3:$F$79,'SAm Capacity Data'!L$22,SAm!$V$3:$V$79,'SAm Capacity Data'!$A56)</f>
        <v>34.700000000000003</v>
      </c>
      <c r="M56" s="261">
        <f>SUMIFS(SAm!$N$3:$N$79,SAm!$F$3:$F$79,'SAm Capacity Data'!M$22,SAm!$V$3:$V$79,'SAm Capacity Data'!$A56)</f>
        <v>1.2144999999999999</v>
      </c>
      <c r="N56" s="261">
        <f>SUMIFS(SAm!$N$3:$N$79,SAm!$F$3:$F$79,'SAm Capacity Data'!N$22,SAm!$V$3:$V$79,'SAm Capacity Data'!$A56)</f>
        <v>0</v>
      </c>
      <c r="O56" s="261">
        <f>SUMIFS(SAm!$N$3:$N$79,SAm!$F$3:$F$79,'SAm Capacity Data'!O$22,SAm!$V$3:$V$79,'SAm Capacity Data'!$A56)</f>
        <v>0</v>
      </c>
      <c r="P56" s="261">
        <f>SUMIFS(SAm!$N$3:$N$79,SAm!$F$3:$F$79,'SAm Capacity Data'!P$22,SAm!$V$3:$V$79,'SAm Capacity Data'!$A56)</f>
        <v>0</v>
      </c>
      <c r="Q56" s="261">
        <f>SUMIFS(SAm!$N$3:$N$79,SAm!$F$3:$F$79,'SAm Capacity Data'!Q$22,SAm!$V$3:$V$79,'SAm Capacity Data'!$A56)</f>
        <v>0</v>
      </c>
      <c r="R56" s="261">
        <f>SUMIFS(SAm!$N$3:$N$79,SAm!$F$3:$F$79,'SAm Capacity Data'!R$22,SAm!$V$3:$V$79,'SAm Capacity Data'!$A56)</f>
        <v>0</v>
      </c>
      <c r="S56" s="261">
        <f>SUMIFS(SAm!$N$3:$N$79,SAm!$F$3:$F$79,'SAm Capacity Data'!S$22,SAm!$V$3:$V$79,'SAm Capacity Data'!$A56)</f>
        <v>0</v>
      </c>
      <c r="T56" s="261">
        <f>SUMIFS(SAm!$N$3:$N$79,SAm!$F$3:$F$79,'SAm Capacity Data'!T$22,SAm!$V$3:$V$79,'SAm Capacity Data'!$A56)</f>
        <v>0</v>
      </c>
      <c r="U56" s="261">
        <f>SUMIFS(SAm!$N$3:$N$79,SAm!$F$3:$F$79,'SAm Capacity Data'!U$22,SAm!$V$3:$V$79,'SAm Capacity Data'!$A56)</f>
        <v>0</v>
      </c>
      <c r="V56" s="261">
        <f>SUMIFS(SAm!$N$3:$N$79,SAm!$F$3:$F$79,'SAm Capacity Data'!V$22,SAm!$V$3:$V$79,'SAm Capacity Data'!$A56)</f>
        <v>0</v>
      </c>
      <c r="W56" s="261">
        <f>SUMIFS(SAm!$N$3:$N$79,SAm!$F$3:$F$79,'SAm Capacity Data'!W$22,SAm!$V$3:$V$79,'SAm Capacity Data'!$A56)</f>
        <v>0</v>
      </c>
      <c r="X56" s="261">
        <f>SUMIFS(SAm!$N$3:$N$79,SAm!$F$3:$F$79,'SAm Capacity Data'!X$22,SAm!$V$3:$V$79,'SAm Capacity Data'!$A56)</f>
        <v>0</v>
      </c>
      <c r="Y56" s="261">
        <f>SUMIFS(SAm!$N$3:$N$79,SAm!$F$3:$F$79,'SAm Capacity Data'!Y$22,SAm!$V$3:$V$79,'SAm Capacity Data'!$A56)</f>
        <v>0</v>
      </c>
      <c r="Z56" s="261">
        <f>SUMIFS(SAm!$N$3:$N$79,SAm!$F$3:$F$79,'SAm Capacity Data'!Z$22,SAm!$V$3:$V$79,'SAm Capacity Data'!$A56)</f>
        <v>0</v>
      </c>
      <c r="AA56" s="261">
        <f>SUMIFS(SAm!$N$3:$N$79,SAm!$F$3:$F$79,'SAm Capacity Data'!AA$22,SAm!$V$3:$V$79,'SAm Capacity Data'!$A56)</f>
        <v>0</v>
      </c>
      <c r="AB56" s="261">
        <f>SUMIFS(SAm!$N$3:$N$79,SAm!$F$3:$F$79,'SAm Capacity Data'!AB$22,SAm!$V$3:$V$79,'SAm Capacity Data'!$A56)</f>
        <v>0</v>
      </c>
      <c r="AC56" s="261">
        <f>SUMIFS(SAm!$N$3:$N$79,SAm!$F$3:$F$79,'SAm Capacity Data'!AC$22,SAm!$V$3:$V$79,'SAm Capacity Data'!$A56)</f>
        <v>0</v>
      </c>
      <c r="AD56" s="261">
        <f>SUMIFS(SAm!$N$3:$N$79,SAm!$F$3:$F$79,'SAm Capacity Data'!AD$22,SAm!$V$3:$V$79,'SAm Capacity Data'!$A56)</f>
        <v>0</v>
      </c>
      <c r="AE56" s="261">
        <f>SUMIFS(SAm!$N$3:$N$79,SAm!$F$3:$F$79,'SAm Capacity Data'!AE$22,SAm!$V$3:$V$79,'SAm Capacity Data'!$A56)</f>
        <v>0</v>
      </c>
      <c r="AF56" s="261">
        <f>SUMIFS(SAm!$N$3:$N$79,SAm!$F$3:$F$79,'SAm Capacity Data'!AF$22,SAm!$V$3:$V$79,'SAm Capacity Data'!$A56)</f>
        <v>0</v>
      </c>
      <c r="AG56" s="23"/>
    </row>
    <row r="57" spans="1:36">
      <c r="A57" s="20" t="s">
        <v>30</v>
      </c>
      <c r="B57" s="22">
        <f>SUMIFS(SAm!$N$3:$N$79,SAm!$F$3:$F$79,"&lt;"&amp;'SAm Capacity Data'!C$22,SAm!$V$3:$V$79,'SAm Capacity Data'!$A57)</f>
        <v>0</v>
      </c>
      <c r="C57" s="22">
        <f>SUMIFS(SAm!$N$3:$N$79,SAm!$F$3:$F$79,'SAm Capacity Data'!C$22,SAm!$V$3:$V$79,'SAm Capacity Data'!$A57)</f>
        <v>0</v>
      </c>
      <c r="D57" s="22">
        <f>SUMIFS(SAm!$N$3:$N$79,SAm!$F$3:$F$79,'SAm Capacity Data'!D$22,SAm!$V$3:$V$79,'SAm Capacity Data'!$A57)</f>
        <v>0</v>
      </c>
      <c r="E57" s="22">
        <f>SUMIFS(SAm!$N$3:$N$79,SAm!$F$3:$F$79,'SAm Capacity Data'!E$22,SAm!$V$3:$V$79,'SAm Capacity Data'!$A57)</f>
        <v>0</v>
      </c>
      <c r="F57" s="261">
        <f>SUMIFS(SAm!$N$3:$N$79,SAm!$F$3:$F$79,'SAm Capacity Data'!F$22,SAm!$V$3:$V$79,'SAm Capacity Data'!$A57)</f>
        <v>0</v>
      </c>
      <c r="G57" s="261">
        <f>SUMIFS(SAm!$N$3:$N$79,SAm!$F$3:$F$79,'SAm Capacity Data'!G$22,SAm!$V$3:$V$79,'SAm Capacity Data'!$A57)</f>
        <v>0</v>
      </c>
      <c r="H57" s="261">
        <f>SUMIFS(SAm!$N$3:$N$79,SAm!$F$3:$F$79,'SAm Capacity Data'!H$22,SAm!$V$3:$V$79,'SAm Capacity Data'!$A57)</f>
        <v>0</v>
      </c>
      <c r="I57" s="261">
        <f>SUMIFS(SAm!$N$3:$N$79,SAm!$F$3:$F$79,'SAm Capacity Data'!I$22,SAm!$V$3:$V$79,'SAm Capacity Data'!$A57)</f>
        <v>0</v>
      </c>
      <c r="J57" s="261">
        <f>SUMIFS(SAm!$N$3:$N$79,SAm!$F$3:$F$79,'SAm Capacity Data'!J$22,SAm!$V$3:$V$79,'SAm Capacity Data'!$A57)</f>
        <v>0</v>
      </c>
      <c r="K57" s="261">
        <f>SUMIFS(SAm!$N$3:$N$79,SAm!$F$3:$F$79,'SAm Capacity Data'!K$22,SAm!$V$3:$V$79,'SAm Capacity Data'!$A57)</f>
        <v>0</v>
      </c>
      <c r="L57" s="261">
        <f>SUMIFS(SAm!$N$3:$N$79,SAm!$F$3:$F$79,'SAm Capacity Data'!L$22,SAm!$V$3:$V$79,'SAm Capacity Data'!$A57)</f>
        <v>0</v>
      </c>
      <c r="M57" s="261">
        <f>SUMIFS(SAm!$N$3:$N$79,SAm!$F$3:$F$79,'SAm Capacity Data'!M$22,SAm!$V$3:$V$79,'SAm Capacity Data'!$A57)</f>
        <v>0</v>
      </c>
      <c r="N57" s="261">
        <f>SUMIFS(SAm!$N$3:$N$79,SAm!$F$3:$F$79,'SAm Capacity Data'!N$22,SAm!$V$3:$V$79,'SAm Capacity Data'!$A57)</f>
        <v>0</v>
      </c>
      <c r="O57" s="261">
        <f>SUMIFS(SAm!$N$3:$N$79,SAm!$F$3:$F$79,'SAm Capacity Data'!O$22,SAm!$V$3:$V$79,'SAm Capacity Data'!$A57)</f>
        <v>0</v>
      </c>
      <c r="P57" s="261">
        <f>SUMIFS(SAm!$N$3:$N$79,SAm!$F$3:$F$79,'SAm Capacity Data'!P$22,SAm!$V$3:$V$79,'SAm Capacity Data'!$A57)</f>
        <v>0</v>
      </c>
      <c r="Q57" s="261">
        <f>SUMIFS(SAm!$N$3:$N$79,SAm!$F$3:$F$79,'SAm Capacity Data'!Q$22,SAm!$V$3:$V$79,'SAm Capacity Data'!$A57)</f>
        <v>0</v>
      </c>
      <c r="R57" s="261">
        <f>SUMIFS(SAm!$N$3:$N$79,SAm!$F$3:$F$79,'SAm Capacity Data'!R$22,SAm!$V$3:$V$79,'SAm Capacity Data'!$A57)</f>
        <v>0</v>
      </c>
      <c r="S57" s="261">
        <f>SUMIFS(SAm!$N$3:$N$79,SAm!$F$3:$F$79,'SAm Capacity Data'!S$22,SAm!$V$3:$V$79,'SAm Capacity Data'!$A57)</f>
        <v>0</v>
      </c>
      <c r="T57" s="261">
        <f>SUMIFS(SAm!$N$3:$N$79,SAm!$F$3:$F$79,'SAm Capacity Data'!T$22,SAm!$V$3:$V$79,'SAm Capacity Data'!$A57)</f>
        <v>0</v>
      </c>
      <c r="U57" s="261">
        <f>SUMIFS(SAm!$N$3:$N$79,SAm!$F$3:$F$79,'SAm Capacity Data'!U$22,SAm!$V$3:$V$79,'SAm Capacity Data'!$A57)</f>
        <v>0</v>
      </c>
      <c r="V57" s="261">
        <f>SUMIFS(SAm!$N$3:$N$79,SAm!$F$3:$F$79,'SAm Capacity Data'!V$22,SAm!$V$3:$V$79,'SAm Capacity Data'!$A57)</f>
        <v>0</v>
      </c>
      <c r="W57" s="261">
        <f>SUMIFS(SAm!$N$3:$N$79,SAm!$F$3:$F$79,'SAm Capacity Data'!W$22,SAm!$V$3:$V$79,'SAm Capacity Data'!$A57)</f>
        <v>0</v>
      </c>
      <c r="X57" s="261">
        <f>SUMIFS(SAm!$N$3:$N$79,SAm!$F$3:$F$79,'SAm Capacity Data'!X$22,SAm!$V$3:$V$79,'SAm Capacity Data'!$A57)</f>
        <v>0</v>
      </c>
      <c r="Y57" s="261">
        <f>SUMIFS(SAm!$N$3:$N$79,SAm!$F$3:$F$79,'SAm Capacity Data'!Y$22,SAm!$V$3:$V$79,'SAm Capacity Data'!$A57)</f>
        <v>0</v>
      </c>
      <c r="Z57" s="261">
        <f>SUMIFS(SAm!$N$3:$N$79,SAm!$F$3:$F$79,'SAm Capacity Data'!Z$22,SAm!$V$3:$V$79,'SAm Capacity Data'!$A57)</f>
        <v>0</v>
      </c>
      <c r="AA57" s="261">
        <f>SUMIFS(SAm!$N$3:$N$79,SAm!$F$3:$F$79,'SAm Capacity Data'!AA$22,SAm!$V$3:$V$79,'SAm Capacity Data'!$A57)</f>
        <v>0</v>
      </c>
      <c r="AB57" s="261">
        <f>SUMIFS(SAm!$N$3:$N$79,SAm!$F$3:$F$79,'SAm Capacity Data'!AB$22,SAm!$V$3:$V$79,'SAm Capacity Data'!$A57)</f>
        <v>0</v>
      </c>
      <c r="AC57" s="261">
        <f>SUMIFS(SAm!$N$3:$N$79,SAm!$F$3:$F$79,'SAm Capacity Data'!AC$22,SAm!$V$3:$V$79,'SAm Capacity Data'!$A57)</f>
        <v>0</v>
      </c>
      <c r="AD57" s="261">
        <f>SUMIFS(SAm!$N$3:$N$79,SAm!$F$3:$F$79,'SAm Capacity Data'!AD$22,SAm!$V$3:$V$79,'SAm Capacity Data'!$A57)</f>
        <v>0</v>
      </c>
      <c r="AE57" s="261">
        <f>SUMIFS(SAm!$N$3:$N$79,SAm!$F$3:$F$79,'SAm Capacity Data'!AE$22,SAm!$V$3:$V$79,'SAm Capacity Data'!$A57)</f>
        <v>0</v>
      </c>
      <c r="AF57" s="261">
        <f>SUMIFS(SAm!$N$3:$N$79,SAm!$F$3:$F$79,'SAm Capacity Data'!AF$22,SAm!$V$3:$V$79,'SAm Capacity Data'!$A57)</f>
        <v>0</v>
      </c>
      <c r="AG57" s="23"/>
    </row>
    <row r="58" spans="1:36" ht="15.75" thickBot="1">
      <c r="A58" s="40" t="s">
        <v>11</v>
      </c>
      <c r="B58" s="41">
        <f>SUM(B53:B57)</f>
        <v>0</v>
      </c>
      <c r="C58" s="41">
        <f>B58+SUM(C53:C57)</f>
        <v>0</v>
      </c>
      <c r="D58" s="41">
        <f t="shared" ref="D58:Q58" si="19">C58+SUM(D53:D57)</f>
        <v>0</v>
      </c>
      <c r="E58" s="41">
        <f t="shared" si="19"/>
        <v>0</v>
      </c>
      <c r="F58" s="262">
        <f t="shared" si="19"/>
        <v>0</v>
      </c>
      <c r="G58" s="262">
        <f t="shared" si="19"/>
        <v>147.072</v>
      </c>
      <c r="H58" s="262">
        <f t="shared" si="19"/>
        <v>213.072</v>
      </c>
      <c r="I58" s="262">
        <f t="shared" si="19"/>
        <v>345.072</v>
      </c>
      <c r="J58" s="262">
        <f t="shared" si="19"/>
        <v>474.6105</v>
      </c>
      <c r="K58" s="262">
        <f t="shared" si="19"/>
        <v>520.1105</v>
      </c>
      <c r="L58" s="262">
        <f t="shared" si="19"/>
        <v>716.19049999999993</v>
      </c>
      <c r="M58" s="262">
        <f t="shared" si="19"/>
        <v>717.40499999999997</v>
      </c>
      <c r="N58" s="262">
        <f t="shared" si="19"/>
        <v>717.40499999999997</v>
      </c>
      <c r="O58" s="262">
        <f t="shared" si="19"/>
        <v>717.40499999999997</v>
      </c>
      <c r="P58" s="262">
        <f t="shared" si="19"/>
        <v>717.40499999999997</v>
      </c>
      <c r="Q58" s="262">
        <f t="shared" si="19"/>
        <v>717.40499999999997</v>
      </c>
      <c r="R58" s="262">
        <f t="shared" ref="R58:AF58" si="20">Q58+SUM(R53:R57)</f>
        <v>717.40499999999997</v>
      </c>
      <c r="S58" s="262">
        <f t="shared" si="20"/>
        <v>717.40499999999997</v>
      </c>
      <c r="T58" s="262">
        <f t="shared" si="20"/>
        <v>717.40499999999997</v>
      </c>
      <c r="U58" s="262">
        <f t="shared" si="20"/>
        <v>717.40499999999997</v>
      </c>
      <c r="V58" s="262">
        <f t="shared" si="20"/>
        <v>717.40499999999997</v>
      </c>
      <c r="W58" s="262">
        <f t="shared" si="20"/>
        <v>717.40499999999997</v>
      </c>
      <c r="X58" s="262">
        <f t="shared" si="20"/>
        <v>717.40499999999997</v>
      </c>
      <c r="Y58" s="262">
        <f t="shared" si="20"/>
        <v>717.40499999999997</v>
      </c>
      <c r="Z58" s="262">
        <f t="shared" si="20"/>
        <v>717.40499999999997</v>
      </c>
      <c r="AA58" s="262">
        <f t="shared" si="20"/>
        <v>717.40499999999997</v>
      </c>
      <c r="AB58" s="262">
        <f t="shared" si="20"/>
        <v>717.40499999999997</v>
      </c>
      <c r="AC58" s="262">
        <f t="shared" si="20"/>
        <v>717.40499999999997</v>
      </c>
      <c r="AD58" s="262">
        <f t="shared" si="20"/>
        <v>717.40499999999997</v>
      </c>
      <c r="AE58" s="262">
        <f t="shared" si="20"/>
        <v>717.40499999999997</v>
      </c>
      <c r="AF58" s="262">
        <f t="shared" si="20"/>
        <v>717.40499999999997</v>
      </c>
      <c r="AG58" s="154"/>
    </row>
    <row r="59" spans="1:36">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row>
    <row r="60" spans="1:36" ht="15.75" thickBot="1">
      <c r="A60" s="38" t="s">
        <v>528</v>
      </c>
    </row>
    <row r="61" spans="1:36" ht="15.75" thickBot="1">
      <c r="A61" s="17" t="str">
        <f>A22</f>
        <v>(mil gal/yr)</v>
      </c>
      <c r="B61" s="28" t="str">
        <f>B22</f>
        <v>&lt; 2021</v>
      </c>
      <c r="C61" s="18">
        <f t="shared" ref="C61:AF61" si="21">C22</f>
        <v>2021</v>
      </c>
      <c r="D61" s="18">
        <f t="shared" si="21"/>
        <v>2022</v>
      </c>
      <c r="E61" s="18">
        <f t="shared" si="21"/>
        <v>2023</v>
      </c>
      <c r="F61" s="18">
        <f t="shared" si="21"/>
        <v>2024</v>
      </c>
      <c r="G61" s="18">
        <f t="shared" si="21"/>
        <v>2025</v>
      </c>
      <c r="H61" s="18">
        <f t="shared" si="21"/>
        <v>2026</v>
      </c>
      <c r="I61" s="18">
        <f t="shared" si="21"/>
        <v>2027</v>
      </c>
      <c r="J61" s="18">
        <f t="shared" si="21"/>
        <v>2028</v>
      </c>
      <c r="K61" s="18">
        <f t="shared" si="21"/>
        <v>2029</v>
      </c>
      <c r="L61" s="18">
        <f t="shared" si="21"/>
        <v>2030</v>
      </c>
      <c r="M61" s="18">
        <f t="shared" si="21"/>
        <v>2031</v>
      </c>
      <c r="N61" s="18">
        <f t="shared" si="21"/>
        <v>2032</v>
      </c>
      <c r="O61" s="18">
        <f t="shared" si="21"/>
        <v>2033</v>
      </c>
      <c r="P61" s="18">
        <f t="shared" si="21"/>
        <v>2034</v>
      </c>
      <c r="Q61" s="18">
        <f t="shared" si="21"/>
        <v>2035</v>
      </c>
      <c r="R61" s="18">
        <f t="shared" si="21"/>
        <v>2036</v>
      </c>
      <c r="S61" s="18">
        <f t="shared" si="21"/>
        <v>2037</v>
      </c>
      <c r="T61" s="18">
        <f t="shared" si="21"/>
        <v>2038</v>
      </c>
      <c r="U61" s="18">
        <f t="shared" si="21"/>
        <v>2039</v>
      </c>
      <c r="V61" s="18">
        <f t="shared" si="21"/>
        <v>2040</v>
      </c>
      <c r="W61" s="18">
        <f t="shared" si="21"/>
        <v>2041</v>
      </c>
      <c r="X61" s="18">
        <f t="shared" si="21"/>
        <v>2042</v>
      </c>
      <c r="Y61" s="18">
        <f t="shared" si="21"/>
        <v>2043</v>
      </c>
      <c r="Z61" s="18">
        <f t="shared" si="21"/>
        <v>2044</v>
      </c>
      <c r="AA61" s="18">
        <f t="shared" si="21"/>
        <v>2045</v>
      </c>
      <c r="AB61" s="18">
        <f t="shared" si="21"/>
        <v>2046</v>
      </c>
      <c r="AC61" s="18">
        <f t="shared" si="21"/>
        <v>2047</v>
      </c>
      <c r="AD61" s="18">
        <f t="shared" si="21"/>
        <v>2048</v>
      </c>
      <c r="AE61" s="18">
        <f t="shared" si="21"/>
        <v>2049</v>
      </c>
      <c r="AF61" s="18">
        <f t="shared" si="21"/>
        <v>2050</v>
      </c>
      <c r="AG61" s="153"/>
    </row>
    <row r="62" spans="1:36">
      <c r="A62" s="20" t="s">
        <v>26</v>
      </c>
      <c r="B62" s="7">
        <f>B53</f>
        <v>0</v>
      </c>
      <c r="C62" s="22">
        <f>B62+C53</f>
        <v>0</v>
      </c>
      <c r="D62" s="22">
        <f t="shared" ref="D62:AF66" si="22">C62+D53</f>
        <v>0</v>
      </c>
      <c r="E62" s="22">
        <f t="shared" si="22"/>
        <v>0</v>
      </c>
      <c r="F62" s="261">
        <f t="shared" si="22"/>
        <v>0</v>
      </c>
      <c r="G62" s="261">
        <f t="shared" si="22"/>
        <v>147</v>
      </c>
      <c r="H62" s="261">
        <f t="shared" si="22"/>
        <v>213</v>
      </c>
      <c r="I62" s="261">
        <f t="shared" si="22"/>
        <v>345</v>
      </c>
      <c r="J62" s="261">
        <f t="shared" si="22"/>
        <v>474.5385</v>
      </c>
      <c r="K62" s="261">
        <f t="shared" si="22"/>
        <v>520.0385</v>
      </c>
      <c r="L62" s="261">
        <f t="shared" si="22"/>
        <v>629.36850000000004</v>
      </c>
      <c r="M62" s="261">
        <f t="shared" si="22"/>
        <v>629.36850000000004</v>
      </c>
      <c r="N62" s="261">
        <f t="shared" si="22"/>
        <v>629.36850000000004</v>
      </c>
      <c r="O62" s="261">
        <f t="shared" si="22"/>
        <v>629.36850000000004</v>
      </c>
      <c r="P62" s="261">
        <f t="shared" si="22"/>
        <v>629.36850000000004</v>
      </c>
      <c r="Q62" s="261">
        <f t="shared" si="22"/>
        <v>629.36850000000004</v>
      </c>
      <c r="R62" s="261">
        <f t="shared" si="22"/>
        <v>629.36850000000004</v>
      </c>
      <c r="S62" s="261">
        <f t="shared" si="22"/>
        <v>629.36850000000004</v>
      </c>
      <c r="T62" s="261">
        <f t="shared" si="22"/>
        <v>629.36850000000004</v>
      </c>
      <c r="U62" s="261">
        <f t="shared" si="22"/>
        <v>629.36850000000004</v>
      </c>
      <c r="V62" s="261">
        <f t="shared" si="22"/>
        <v>629.36850000000004</v>
      </c>
      <c r="W62" s="261">
        <f t="shared" si="22"/>
        <v>629.36850000000004</v>
      </c>
      <c r="X62" s="261">
        <f t="shared" si="22"/>
        <v>629.36850000000004</v>
      </c>
      <c r="Y62" s="261">
        <f t="shared" si="22"/>
        <v>629.36850000000004</v>
      </c>
      <c r="Z62" s="261">
        <f t="shared" si="22"/>
        <v>629.36850000000004</v>
      </c>
      <c r="AA62" s="261">
        <f t="shared" si="22"/>
        <v>629.36850000000004</v>
      </c>
      <c r="AB62" s="261">
        <f t="shared" si="22"/>
        <v>629.36850000000004</v>
      </c>
      <c r="AC62" s="261">
        <f t="shared" si="22"/>
        <v>629.36850000000004</v>
      </c>
      <c r="AD62" s="261">
        <f t="shared" si="22"/>
        <v>629.36850000000004</v>
      </c>
      <c r="AE62" s="261">
        <f t="shared" si="22"/>
        <v>629.36850000000004</v>
      </c>
      <c r="AF62" s="261">
        <f t="shared" si="22"/>
        <v>629.36850000000004</v>
      </c>
      <c r="AG62" s="23"/>
    </row>
    <row r="63" spans="1:36">
      <c r="A63" s="20" t="s">
        <v>27</v>
      </c>
      <c r="B63" s="22">
        <f>B54</f>
        <v>0</v>
      </c>
      <c r="C63" s="22">
        <f>B63+C54</f>
        <v>0</v>
      </c>
      <c r="D63" s="22">
        <f t="shared" si="22"/>
        <v>0</v>
      </c>
      <c r="E63" s="22">
        <f t="shared" si="22"/>
        <v>0</v>
      </c>
      <c r="F63" s="261">
        <f t="shared" si="22"/>
        <v>0</v>
      </c>
      <c r="G63" s="261">
        <f t="shared" si="22"/>
        <v>0</v>
      </c>
      <c r="H63" s="261">
        <f t="shared" si="22"/>
        <v>0</v>
      </c>
      <c r="I63" s="261">
        <f>H63+I54</f>
        <v>0</v>
      </c>
      <c r="J63" s="261">
        <f t="shared" si="22"/>
        <v>0</v>
      </c>
      <c r="K63" s="261">
        <f t="shared" si="22"/>
        <v>0</v>
      </c>
      <c r="L63" s="261">
        <f t="shared" si="22"/>
        <v>52.05</v>
      </c>
      <c r="M63" s="261">
        <f t="shared" si="22"/>
        <v>52.05</v>
      </c>
      <c r="N63" s="261">
        <f t="shared" si="22"/>
        <v>52.05</v>
      </c>
      <c r="O63" s="261">
        <f t="shared" si="22"/>
        <v>52.05</v>
      </c>
      <c r="P63" s="261">
        <f t="shared" si="22"/>
        <v>52.05</v>
      </c>
      <c r="Q63" s="261">
        <f t="shared" si="22"/>
        <v>52.05</v>
      </c>
      <c r="R63" s="261">
        <f t="shared" si="22"/>
        <v>52.05</v>
      </c>
      <c r="S63" s="261">
        <f t="shared" si="22"/>
        <v>52.05</v>
      </c>
      <c r="T63" s="261">
        <f t="shared" si="22"/>
        <v>52.05</v>
      </c>
      <c r="U63" s="261">
        <f t="shared" si="22"/>
        <v>52.05</v>
      </c>
      <c r="V63" s="261">
        <f t="shared" si="22"/>
        <v>52.05</v>
      </c>
      <c r="W63" s="261">
        <f t="shared" si="22"/>
        <v>52.05</v>
      </c>
      <c r="X63" s="261">
        <f t="shared" si="22"/>
        <v>52.05</v>
      </c>
      <c r="Y63" s="261">
        <f t="shared" si="22"/>
        <v>52.05</v>
      </c>
      <c r="Z63" s="261">
        <f t="shared" si="22"/>
        <v>52.05</v>
      </c>
      <c r="AA63" s="261">
        <f t="shared" si="22"/>
        <v>52.05</v>
      </c>
      <c r="AB63" s="261">
        <f t="shared" si="22"/>
        <v>52.05</v>
      </c>
      <c r="AC63" s="261">
        <f t="shared" si="22"/>
        <v>52.05</v>
      </c>
      <c r="AD63" s="261">
        <f t="shared" si="22"/>
        <v>52.05</v>
      </c>
      <c r="AE63" s="261">
        <f t="shared" si="22"/>
        <v>52.05</v>
      </c>
      <c r="AF63" s="261">
        <f t="shared" si="22"/>
        <v>52.05</v>
      </c>
      <c r="AG63" s="23"/>
    </row>
    <row r="64" spans="1:36">
      <c r="A64" s="20" t="s">
        <v>28</v>
      </c>
      <c r="B64" s="22">
        <f>B55</f>
        <v>0</v>
      </c>
      <c r="C64" s="22">
        <f t="shared" ref="C64:Q66" si="23">B64+C55</f>
        <v>0</v>
      </c>
      <c r="D64" s="22">
        <f t="shared" si="23"/>
        <v>0</v>
      </c>
      <c r="E64" s="22">
        <f t="shared" si="23"/>
        <v>0</v>
      </c>
      <c r="F64" s="261">
        <f t="shared" si="23"/>
        <v>0</v>
      </c>
      <c r="G64" s="261">
        <f t="shared" si="23"/>
        <v>7.1999999999999995E-2</v>
      </c>
      <c r="H64" s="261">
        <f t="shared" si="23"/>
        <v>7.1999999999999995E-2</v>
      </c>
      <c r="I64" s="261">
        <f t="shared" si="23"/>
        <v>7.1999999999999995E-2</v>
      </c>
      <c r="J64" s="261">
        <f t="shared" si="23"/>
        <v>7.1999999999999995E-2</v>
      </c>
      <c r="K64" s="261">
        <f t="shared" si="23"/>
        <v>7.1999999999999995E-2</v>
      </c>
      <c r="L64" s="261">
        <f t="shared" si="23"/>
        <v>7.1999999999999995E-2</v>
      </c>
      <c r="M64" s="261">
        <f t="shared" si="23"/>
        <v>7.1999999999999995E-2</v>
      </c>
      <c r="N64" s="261">
        <f t="shared" si="23"/>
        <v>7.1999999999999995E-2</v>
      </c>
      <c r="O64" s="261">
        <f t="shared" si="23"/>
        <v>7.1999999999999995E-2</v>
      </c>
      <c r="P64" s="261">
        <f t="shared" si="23"/>
        <v>7.1999999999999995E-2</v>
      </c>
      <c r="Q64" s="261">
        <f t="shared" si="23"/>
        <v>7.1999999999999995E-2</v>
      </c>
      <c r="R64" s="261">
        <f t="shared" si="22"/>
        <v>7.1999999999999995E-2</v>
      </c>
      <c r="S64" s="261">
        <f t="shared" si="22"/>
        <v>7.1999999999999995E-2</v>
      </c>
      <c r="T64" s="261">
        <f t="shared" si="22"/>
        <v>7.1999999999999995E-2</v>
      </c>
      <c r="U64" s="261">
        <f t="shared" si="22"/>
        <v>7.1999999999999995E-2</v>
      </c>
      <c r="V64" s="261">
        <f t="shared" si="22"/>
        <v>7.1999999999999995E-2</v>
      </c>
      <c r="W64" s="261">
        <f t="shared" si="22"/>
        <v>7.1999999999999995E-2</v>
      </c>
      <c r="X64" s="261">
        <f t="shared" si="22"/>
        <v>7.1999999999999995E-2</v>
      </c>
      <c r="Y64" s="261">
        <f t="shared" si="22"/>
        <v>7.1999999999999995E-2</v>
      </c>
      <c r="Z64" s="261">
        <f t="shared" si="22"/>
        <v>7.1999999999999995E-2</v>
      </c>
      <c r="AA64" s="261">
        <f t="shared" si="22"/>
        <v>7.1999999999999995E-2</v>
      </c>
      <c r="AB64" s="261">
        <f t="shared" si="22"/>
        <v>7.1999999999999995E-2</v>
      </c>
      <c r="AC64" s="261">
        <f t="shared" si="22"/>
        <v>7.1999999999999995E-2</v>
      </c>
      <c r="AD64" s="261">
        <f t="shared" si="22"/>
        <v>7.1999999999999995E-2</v>
      </c>
      <c r="AE64" s="261">
        <f t="shared" si="22"/>
        <v>7.1999999999999995E-2</v>
      </c>
      <c r="AF64" s="261">
        <f t="shared" si="22"/>
        <v>7.1999999999999995E-2</v>
      </c>
      <c r="AG64" s="23"/>
    </row>
    <row r="65" spans="1:37">
      <c r="A65" s="20" t="s">
        <v>29</v>
      </c>
      <c r="B65" s="22">
        <f>B56</f>
        <v>0</v>
      </c>
      <c r="C65" s="22">
        <f t="shared" si="23"/>
        <v>0</v>
      </c>
      <c r="D65" s="22">
        <f t="shared" si="23"/>
        <v>0</v>
      </c>
      <c r="E65" s="22">
        <f t="shared" si="23"/>
        <v>0</v>
      </c>
      <c r="F65" s="261">
        <f t="shared" si="23"/>
        <v>0</v>
      </c>
      <c r="G65" s="261">
        <f t="shared" si="23"/>
        <v>0</v>
      </c>
      <c r="H65" s="261">
        <f t="shared" si="23"/>
        <v>0</v>
      </c>
      <c r="I65" s="261">
        <f t="shared" si="23"/>
        <v>0</v>
      </c>
      <c r="J65" s="261">
        <f t="shared" si="23"/>
        <v>0</v>
      </c>
      <c r="K65" s="261">
        <f t="shared" si="23"/>
        <v>0</v>
      </c>
      <c r="L65" s="261">
        <f t="shared" si="23"/>
        <v>34.700000000000003</v>
      </c>
      <c r="M65" s="261">
        <f t="shared" si="23"/>
        <v>35.914500000000004</v>
      </c>
      <c r="N65" s="261">
        <f t="shared" si="23"/>
        <v>35.914500000000004</v>
      </c>
      <c r="O65" s="261">
        <f t="shared" si="23"/>
        <v>35.914500000000004</v>
      </c>
      <c r="P65" s="261">
        <f t="shared" si="23"/>
        <v>35.914500000000004</v>
      </c>
      <c r="Q65" s="261">
        <f t="shared" si="23"/>
        <v>35.914500000000004</v>
      </c>
      <c r="R65" s="261">
        <f t="shared" si="22"/>
        <v>35.914500000000004</v>
      </c>
      <c r="S65" s="261">
        <f t="shared" si="22"/>
        <v>35.914500000000004</v>
      </c>
      <c r="T65" s="261">
        <f t="shared" si="22"/>
        <v>35.914500000000004</v>
      </c>
      <c r="U65" s="261">
        <f t="shared" si="22"/>
        <v>35.914500000000004</v>
      </c>
      <c r="V65" s="261">
        <f t="shared" si="22"/>
        <v>35.914500000000004</v>
      </c>
      <c r="W65" s="261">
        <f t="shared" si="22"/>
        <v>35.914500000000004</v>
      </c>
      <c r="X65" s="261">
        <f t="shared" si="22"/>
        <v>35.914500000000004</v>
      </c>
      <c r="Y65" s="261">
        <f t="shared" si="22"/>
        <v>35.914500000000004</v>
      </c>
      <c r="Z65" s="261">
        <f t="shared" si="22"/>
        <v>35.914500000000004</v>
      </c>
      <c r="AA65" s="261">
        <f t="shared" si="22"/>
        <v>35.914500000000004</v>
      </c>
      <c r="AB65" s="261">
        <f t="shared" si="22"/>
        <v>35.914500000000004</v>
      </c>
      <c r="AC65" s="261">
        <f t="shared" si="22"/>
        <v>35.914500000000004</v>
      </c>
      <c r="AD65" s="261">
        <f t="shared" si="22"/>
        <v>35.914500000000004</v>
      </c>
      <c r="AE65" s="261">
        <f t="shared" si="22"/>
        <v>35.914500000000004</v>
      </c>
      <c r="AF65" s="261">
        <f t="shared" si="22"/>
        <v>35.914500000000004</v>
      </c>
      <c r="AG65" s="23"/>
    </row>
    <row r="66" spans="1:37">
      <c r="A66" s="20" t="s">
        <v>30</v>
      </c>
      <c r="B66" s="22">
        <f>B57</f>
        <v>0</v>
      </c>
      <c r="C66" s="22">
        <f t="shared" si="23"/>
        <v>0</v>
      </c>
      <c r="D66" s="22">
        <f t="shared" si="23"/>
        <v>0</v>
      </c>
      <c r="E66" s="22">
        <f t="shared" si="23"/>
        <v>0</v>
      </c>
      <c r="F66" s="261">
        <f t="shared" si="23"/>
        <v>0</v>
      </c>
      <c r="G66" s="261">
        <f t="shared" si="23"/>
        <v>0</v>
      </c>
      <c r="H66" s="261">
        <f t="shared" si="23"/>
        <v>0</v>
      </c>
      <c r="I66" s="261">
        <f t="shared" si="23"/>
        <v>0</v>
      </c>
      <c r="J66" s="261">
        <f t="shared" si="23"/>
        <v>0</v>
      </c>
      <c r="K66" s="261">
        <f t="shared" si="23"/>
        <v>0</v>
      </c>
      <c r="L66" s="261">
        <f t="shared" si="23"/>
        <v>0</v>
      </c>
      <c r="M66" s="261">
        <f t="shared" si="23"/>
        <v>0</v>
      </c>
      <c r="N66" s="261">
        <f t="shared" si="23"/>
        <v>0</v>
      </c>
      <c r="O66" s="261">
        <f t="shared" si="23"/>
        <v>0</v>
      </c>
      <c r="P66" s="261">
        <f t="shared" si="23"/>
        <v>0</v>
      </c>
      <c r="Q66" s="261">
        <f t="shared" si="23"/>
        <v>0</v>
      </c>
      <c r="R66" s="261">
        <f t="shared" si="22"/>
        <v>0</v>
      </c>
      <c r="S66" s="261">
        <f t="shared" si="22"/>
        <v>0</v>
      </c>
      <c r="T66" s="261">
        <f t="shared" si="22"/>
        <v>0</v>
      </c>
      <c r="U66" s="261">
        <f t="shared" si="22"/>
        <v>0</v>
      </c>
      <c r="V66" s="261">
        <f t="shared" si="22"/>
        <v>0</v>
      </c>
      <c r="W66" s="261">
        <f t="shared" si="22"/>
        <v>0</v>
      </c>
      <c r="X66" s="261">
        <f t="shared" si="22"/>
        <v>0</v>
      </c>
      <c r="Y66" s="261">
        <f t="shared" si="22"/>
        <v>0</v>
      </c>
      <c r="Z66" s="261">
        <f t="shared" si="22"/>
        <v>0</v>
      </c>
      <c r="AA66" s="261">
        <f t="shared" si="22"/>
        <v>0</v>
      </c>
      <c r="AB66" s="261">
        <f t="shared" si="22"/>
        <v>0</v>
      </c>
      <c r="AC66" s="261">
        <f t="shared" si="22"/>
        <v>0</v>
      </c>
      <c r="AD66" s="261">
        <f t="shared" si="22"/>
        <v>0</v>
      </c>
      <c r="AE66" s="261">
        <f t="shared" si="22"/>
        <v>0</v>
      </c>
      <c r="AF66" s="261">
        <f t="shared" si="22"/>
        <v>0</v>
      </c>
      <c r="AG66" s="23"/>
    </row>
    <row r="67" spans="1:37" ht="15.75" thickBot="1">
      <c r="A67" s="40" t="s">
        <v>11</v>
      </c>
      <c r="B67" s="41">
        <f>SUM(B62:B66)</f>
        <v>0</v>
      </c>
      <c r="C67" s="41">
        <f>SUM(C62:C66)</f>
        <v>0</v>
      </c>
      <c r="D67" s="41">
        <f t="shared" ref="D67:AF67" si="24">SUM(D62:D66)</f>
        <v>0</v>
      </c>
      <c r="E67" s="41">
        <f t="shared" si="24"/>
        <v>0</v>
      </c>
      <c r="F67" s="262">
        <f t="shared" si="24"/>
        <v>0</v>
      </c>
      <c r="G67" s="262">
        <f t="shared" si="24"/>
        <v>147.072</v>
      </c>
      <c r="H67" s="262">
        <f t="shared" si="24"/>
        <v>213.072</v>
      </c>
      <c r="I67" s="262">
        <f t="shared" si="24"/>
        <v>345.072</v>
      </c>
      <c r="J67" s="262">
        <f t="shared" si="24"/>
        <v>474.6105</v>
      </c>
      <c r="K67" s="262">
        <f t="shared" si="24"/>
        <v>520.1105</v>
      </c>
      <c r="L67" s="262">
        <f t="shared" si="24"/>
        <v>716.19050000000004</v>
      </c>
      <c r="M67" s="262">
        <f t="shared" si="24"/>
        <v>717.40499999999997</v>
      </c>
      <c r="N67" s="262">
        <f t="shared" si="24"/>
        <v>717.40499999999997</v>
      </c>
      <c r="O67" s="262">
        <f t="shared" si="24"/>
        <v>717.40499999999997</v>
      </c>
      <c r="P67" s="262">
        <f t="shared" si="24"/>
        <v>717.40499999999997</v>
      </c>
      <c r="Q67" s="262">
        <f t="shared" si="24"/>
        <v>717.40499999999997</v>
      </c>
      <c r="R67" s="262">
        <f t="shared" si="24"/>
        <v>717.40499999999997</v>
      </c>
      <c r="S67" s="262">
        <f t="shared" si="24"/>
        <v>717.40499999999997</v>
      </c>
      <c r="T67" s="262">
        <f t="shared" si="24"/>
        <v>717.40499999999997</v>
      </c>
      <c r="U67" s="262">
        <f t="shared" si="24"/>
        <v>717.40499999999997</v>
      </c>
      <c r="V67" s="262">
        <f t="shared" si="24"/>
        <v>717.40499999999997</v>
      </c>
      <c r="W67" s="262">
        <f t="shared" si="24"/>
        <v>717.40499999999997</v>
      </c>
      <c r="X67" s="262">
        <f t="shared" si="24"/>
        <v>717.40499999999997</v>
      </c>
      <c r="Y67" s="262">
        <f t="shared" si="24"/>
        <v>717.40499999999997</v>
      </c>
      <c r="Z67" s="262">
        <f t="shared" si="24"/>
        <v>717.40499999999997</v>
      </c>
      <c r="AA67" s="262">
        <f t="shared" si="24"/>
        <v>717.40499999999997</v>
      </c>
      <c r="AB67" s="262">
        <f t="shared" si="24"/>
        <v>717.40499999999997</v>
      </c>
      <c r="AC67" s="262">
        <f t="shared" si="24"/>
        <v>717.40499999999997</v>
      </c>
      <c r="AD67" s="262">
        <f t="shared" si="24"/>
        <v>717.40499999999997</v>
      </c>
      <c r="AE67" s="262">
        <f t="shared" si="24"/>
        <v>717.40499999999997</v>
      </c>
      <c r="AF67" s="262">
        <f t="shared" si="24"/>
        <v>717.40499999999997</v>
      </c>
      <c r="AG67" s="154"/>
    </row>
    <row r="68" spans="1:3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row>
    <row r="69" spans="1:37" ht="15.75" customHeight="1" thickBot="1">
      <c r="A69" s="38" t="s">
        <v>32</v>
      </c>
      <c r="AI69" s="390" t="s">
        <v>33</v>
      </c>
      <c r="AJ69" s="390"/>
      <c r="AK69" s="392" t="s">
        <v>34</v>
      </c>
    </row>
    <row r="70" spans="1:37" ht="15.75" thickBot="1">
      <c r="A70" s="17" t="str">
        <f>A22</f>
        <v>(mil gal/yr)</v>
      </c>
      <c r="B70" s="28" t="str">
        <f t="shared" ref="B70:AF70" si="25">B22</f>
        <v>&lt; 2021</v>
      </c>
      <c r="C70" s="18">
        <f t="shared" si="25"/>
        <v>2021</v>
      </c>
      <c r="D70" s="18">
        <f t="shared" si="25"/>
        <v>2022</v>
      </c>
      <c r="E70" s="18">
        <f t="shared" si="25"/>
        <v>2023</v>
      </c>
      <c r="F70" s="18">
        <f t="shared" si="25"/>
        <v>2024</v>
      </c>
      <c r="G70" s="18">
        <f t="shared" si="25"/>
        <v>2025</v>
      </c>
      <c r="H70" s="18">
        <f t="shared" si="25"/>
        <v>2026</v>
      </c>
      <c r="I70" s="18">
        <f t="shared" si="25"/>
        <v>2027</v>
      </c>
      <c r="J70" s="18">
        <f t="shared" si="25"/>
        <v>2028</v>
      </c>
      <c r="K70" s="18">
        <f t="shared" si="25"/>
        <v>2029</v>
      </c>
      <c r="L70" s="18">
        <f t="shared" si="25"/>
        <v>2030</v>
      </c>
      <c r="M70" s="18">
        <f t="shared" si="25"/>
        <v>2031</v>
      </c>
      <c r="N70" s="18">
        <f t="shared" si="25"/>
        <v>2032</v>
      </c>
      <c r="O70" s="18">
        <f t="shared" si="25"/>
        <v>2033</v>
      </c>
      <c r="P70" s="18">
        <f t="shared" si="25"/>
        <v>2034</v>
      </c>
      <c r="Q70" s="18">
        <f t="shared" si="25"/>
        <v>2035</v>
      </c>
      <c r="R70" s="18">
        <f t="shared" si="25"/>
        <v>2036</v>
      </c>
      <c r="S70" s="18">
        <f t="shared" si="25"/>
        <v>2037</v>
      </c>
      <c r="T70" s="18">
        <f t="shared" si="25"/>
        <v>2038</v>
      </c>
      <c r="U70" s="18">
        <f t="shared" si="25"/>
        <v>2039</v>
      </c>
      <c r="V70" s="18">
        <f t="shared" si="25"/>
        <v>2040</v>
      </c>
      <c r="W70" s="18">
        <f t="shared" si="25"/>
        <v>2041</v>
      </c>
      <c r="X70" s="18">
        <f t="shared" si="25"/>
        <v>2042</v>
      </c>
      <c r="Y70" s="18">
        <f t="shared" si="25"/>
        <v>2043</v>
      </c>
      <c r="Z70" s="18">
        <f t="shared" si="25"/>
        <v>2044</v>
      </c>
      <c r="AA70" s="18">
        <f t="shared" si="25"/>
        <v>2045</v>
      </c>
      <c r="AB70" s="18">
        <f t="shared" si="25"/>
        <v>2046</v>
      </c>
      <c r="AC70" s="18">
        <f t="shared" si="25"/>
        <v>2047</v>
      </c>
      <c r="AD70" s="18">
        <f t="shared" si="25"/>
        <v>2048</v>
      </c>
      <c r="AE70" s="18">
        <f t="shared" si="25"/>
        <v>2049</v>
      </c>
      <c r="AF70" s="18">
        <f t="shared" si="25"/>
        <v>2050</v>
      </c>
      <c r="AG70" s="153"/>
      <c r="AI70" s="391"/>
      <c r="AJ70" s="391"/>
      <c r="AK70" s="392"/>
    </row>
    <row r="71" spans="1:37">
      <c r="A71" s="43" t="s">
        <v>36</v>
      </c>
      <c r="B71" s="48">
        <f t="shared" ref="B71:AF71" si="26">B62*$AI71</f>
        <v>0</v>
      </c>
      <c r="C71" s="48">
        <f t="shared" si="26"/>
        <v>0</v>
      </c>
      <c r="D71" s="48">
        <f t="shared" si="26"/>
        <v>0</v>
      </c>
      <c r="E71" s="48">
        <f t="shared" si="26"/>
        <v>0</v>
      </c>
      <c r="F71" s="255">
        <f t="shared" si="26"/>
        <v>0</v>
      </c>
      <c r="G71" s="255">
        <f t="shared" si="26"/>
        <v>1212.75</v>
      </c>
      <c r="H71" s="255">
        <f t="shared" si="26"/>
        <v>1757.25</v>
      </c>
      <c r="I71" s="255">
        <f t="shared" si="26"/>
        <v>2846.25</v>
      </c>
      <c r="J71" s="255">
        <f t="shared" si="26"/>
        <v>3914.9426250000001</v>
      </c>
      <c r="K71" s="255">
        <f t="shared" si="26"/>
        <v>4290.3176249999997</v>
      </c>
      <c r="L71" s="255">
        <f t="shared" si="26"/>
        <v>5192.2901250000004</v>
      </c>
      <c r="M71" s="255">
        <f t="shared" si="26"/>
        <v>5192.2901250000004</v>
      </c>
      <c r="N71" s="255">
        <f t="shared" si="26"/>
        <v>5192.2901250000004</v>
      </c>
      <c r="O71" s="255">
        <f t="shared" si="26"/>
        <v>5192.2901250000004</v>
      </c>
      <c r="P71" s="255">
        <f t="shared" si="26"/>
        <v>5192.2901250000004</v>
      </c>
      <c r="Q71" s="255">
        <f t="shared" si="26"/>
        <v>5192.2901250000004</v>
      </c>
      <c r="R71" s="255">
        <f t="shared" si="26"/>
        <v>5192.2901250000004</v>
      </c>
      <c r="S71" s="255">
        <f t="shared" si="26"/>
        <v>5192.2901250000004</v>
      </c>
      <c r="T71" s="255">
        <f t="shared" si="26"/>
        <v>5192.2901250000004</v>
      </c>
      <c r="U71" s="255">
        <f t="shared" si="26"/>
        <v>5192.2901250000004</v>
      </c>
      <c r="V71" s="255">
        <f t="shared" si="26"/>
        <v>5192.2901250000004</v>
      </c>
      <c r="W71" s="255">
        <f t="shared" si="26"/>
        <v>5192.2901250000004</v>
      </c>
      <c r="X71" s="255">
        <f t="shared" si="26"/>
        <v>5192.2901250000004</v>
      </c>
      <c r="Y71" s="255">
        <f t="shared" si="26"/>
        <v>5192.2901250000004</v>
      </c>
      <c r="Z71" s="255">
        <f t="shared" si="26"/>
        <v>5192.2901250000004</v>
      </c>
      <c r="AA71" s="255">
        <f t="shared" si="26"/>
        <v>5192.2901250000004</v>
      </c>
      <c r="AB71" s="255">
        <f t="shared" si="26"/>
        <v>5192.2901250000004</v>
      </c>
      <c r="AC71" s="255">
        <f t="shared" si="26"/>
        <v>5192.2901250000004</v>
      </c>
      <c r="AD71" s="255">
        <f t="shared" si="26"/>
        <v>5192.2901250000004</v>
      </c>
      <c r="AE71" s="255">
        <f t="shared" si="26"/>
        <v>5192.2901250000004</v>
      </c>
      <c r="AF71" s="255">
        <f t="shared" si="26"/>
        <v>5192.2901250000004</v>
      </c>
      <c r="AG71" s="49"/>
      <c r="AI71" s="44">
        <v>8.25</v>
      </c>
      <c r="AJ71" s="45" t="s">
        <v>37</v>
      </c>
      <c r="AK71" s="45" t="s">
        <v>38</v>
      </c>
    </row>
    <row r="72" spans="1:37">
      <c r="A72" s="43" t="s">
        <v>39</v>
      </c>
      <c r="B72" s="48">
        <f t="shared" ref="B72:AF72" si="27">B79*$AI72</f>
        <v>0</v>
      </c>
      <c r="C72" s="48">
        <f t="shared" si="27"/>
        <v>0</v>
      </c>
      <c r="D72" s="48">
        <f t="shared" si="27"/>
        <v>0</v>
      </c>
      <c r="E72" s="48">
        <f t="shared" si="27"/>
        <v>0</v>
      </c>
      <c r="F72" s="255">
        <f t="shared" si="27"/>
        <v>0</v>
      </c>
      <c r="G72" s="255">
        <f t="shared" si="27"/>
        <v>0</v>
      </c>
      <c r="H72" s="255">
        <f t="shared" si="27"/>
        <v>0</v>
      </c>
      <c r="I72" s="255">
        <f t="shared" si="27"/>
        <v>0</v>
      </c>
      <c r="J72" s="255">
        <f t="shared" si="27"/>
        <v>0</v>
      </c>
      <c r="K72" s="255">
        <f t="shared" si="27"/>
        <v>0</v>
      </c>
      <c r="L72" s="255">
        <f t="shared" si="27"/>
        <v>1763.6652173913046</v>
      </c>
      <c r="M72" s="255">
        <f t="shared" si="27"/>
        <v>1763.6652173913046</v>
      </c>
      <c r="N72" s="255">
        <f t="shared" si="27"/>
        <v>1763.6652173913046</v>
      </c>
      <c r="O72" s="255">
        <f t="shared" si="27"/>
        <v>1763.6652173913046</v>
      </c>
      <c r="P72" s="255">
        <f t="shared" si="27"/>
        <v>1763.6652173913046</v>
      </c>
      <c r="Q72" s="255">
        <f t="shared" si="27"/>
        <v>1763.6652173913046</v>
      </c>
      <c r="R72" s="255">
        <f t="shared" si="27"/>
        <v>1763.6652173913046</v>
      </c>
      <c r="S72" s="255">
        <f t="shared" si="27"/>
        <v>1763.6652173913046</v>
      </c>
      <c r="T72" s="255">
        <f t="shared" si="27"/>
        <v>1763.6652173913046</v>
      </c>
      <c r="U72" s="255">
        <f t="shared" si="27"/>
        <v>1763.6652173913046</v>
      </c>
      <c r="V72" s="255">
        <f t="shared" si="27"/>
        <v>1763.6652173913046</v>
      </c>
      <c r="W72" s="255">
        <f t="shared" si="27"/>
        <v>1763.6652173913046</v>
      </c>
      <c r="X72" s="255">
        <f t="shared" si="27"/>
        <v>1763.6652173913046</v>
      </c>
      <c r="Y72" s="255">
        <f t="shared" si="27"/>
        <v>1763.6652173913046</v>
      </c>
      <c r="Z72" s="255">
        <f t="shared" si="27"/>
        <v>1763.6652173913046</v>
      </c>
      <c r="AA72" s="255">
        <f t="shared" si="27"/>
        <v>1763.6652173913046</v>
      </c>
      <c r="AB72" s="255">
        <f t="shared" si="27"/>
        <v>1763.6652173913046</v>
      </c>
      <c r="AC72" s="255">
        <f t="shared" si="27"/>
        <v>1763.6652173913046</v>
      </c>
      <c r="AD72" s="255">
        <f t="shared" si="27"/>
        <v>1763.6652173913046</v>
      </c>
      <c r="AE72" s="255">
        <f t="shared" si="27"/>
        <v>1763.6652173913046</v>
      </c>
      <c r="AF72" s="255">
        <f t="shared" si="27"/>
        <v>1763.6652173913046</v>
      </c>
      <c r="AG72" s="49"/>
      <c r="AI72" s="44">
        <f>AI80*56</f>
        <v>20.289855072463773</v>
      </c>
      <c r="AJ72" s="45" t="s">
        <v>37</v>
      </c>
    </row>
    <row r="73" spans="1:37">
      <c r="A73" s="43" t="s">
        <v>40</v>
      </c>
      <c r="B73" s="48">
        <f t="shared" ref="B73:AF75" si="28">B64*$AI73</f>
        <v>0</v>
      </c>
      <c r="C73" s="48">
        <f t="shared" si="28"/>
        <v>0</v>
      </c>
      <c r="D73" s="48">
        <f t="shared" si="28"/>
        <v>0</v>
      </c>
      <c r="E73" s="48">
        <f t="shared" si="28"/>
        <v>0</v>
      </c>
      <c r="F73" s="255">
        <f t="shared" si="28"/>
        <v>0</v>
      </c>
      <c r="G73" s="255">
        <f t="shared" si="28"/>
        <v>2.52</v>
      </c>
      <c r="H73" s="255">
        <f t="shared" si="28"/>
        <v>2.52</v>
      </c>
      <c r="I73" s="255">
        <f t="shared" si="28"/>
        <v>2.52</v>
      </c>
      <c r="J73" s="255">
        <f t="shared" si="28"/>
        <v>2.52</v>
      </c>
      <c r="K73" s="255">
        <f t="shared" si="28"/>
        <v>2.52</v>
      </c>
      <c r="L73" s="255">
        <f t="shared" si="28"/>
        <v>2.52</v>
      </c>
      <c r="M73" s="255">
        <f t="shared" si="28"/>
        <v>2.52</v>
      </c>
      <c r="N73" s="255">
        <f t="shared" si="28"/>
        <v>2.52</v>
      </c>
      <c r="O73" s="255">
        <f t="shared" si="28"/>
        <v>2.52</v>
      </c>
      <c r="P73" s="255">
        <f t="shared" si="28"/>
        <v>2.52</v>
      </c>
      <c r="Q73" s="255">
        <f t="shared" si="28"/>
        <v>2.52</v>
      </c>
      <c r="R73" s="255">
        <f t="shared" si="28"/>
        <v>2.52</v>
      </c>
      <c r="S73" s="255">
        <f t="shared" si="28"/>
        <v>2.52</v>
      </c>
      <c r="T73" s="255">
        <f t="shared" si="28"/>
        <v>2.52</v>
      </c>
      <c r="U73" s="255">
        <f t="shared" si="28"/>
        <v>2.52</v>
      </c>
      <c r="V73" s="255">
        <f t="shared" si="28"/>
        <v>2.52</v>
      </c>
      <c r="W73" s="255">
        <f t="shared" si="28"/>
        <v>2.52</v>
      </c>
      <c r="X73" s="255">
        <f t="shared" si="28"/>
        <v>2.52</v>
      </c>
      <c r="Y73" s="255">
        <f t="shared" si="28"/>
        <v>2.52</v>
      </c>
      <c r="Z73" s="255">
        <f t="shared" si="28"/>
        <v>2.52</v>
      </c>
      <c r="AA73" s="255">
        <f t="shared" si="28"/>
        <v>2.52</v>
      </c>
      <c r="AB73" s="255">
        <f t="shared" si="28"/>
        <v>2.52</v>
      </c>
      <c r="AC73" s="255">
        <f t="shared" si="28"/>
        <v>2.52</v>
      </c>
      <c r="AD73" s="255">
        <f t="shared" si="28"/>
        <v>2.52</v>
      </c>
      <c r="AE73" s="255">
        <f t="shared" si="28"/>
        <v>2.52</v>
      </c>
      <c r="AF73" s="255">
        <f t="shared" si="28"/>
        <v>2.52</v>
      </c>
      <c r="AG73" s="49"/>
      <c r="AI73" s="44">
        <v>35</v>
      </c>
      <c r="AJ73" s="45" t="s">
        <v>37</v>
      </c>
      <c r="AK73" s="45" t="s">
        <v>41</v>
      </c>
    </row>
    <row r="74" spans="1:37">
      <c r="A74" s="43" t="s">
        <v>42</v>
      </c>
      <c r="B74" s="48">
        <f t="shared" si="28"/>
        <v>0</v>
      </c>
      <c r="C74" s="48">
        <f t="shared" si="28"/>
        <v>0</v>
      </c>
      <c r="D74" s="48">
        <f t="shared" si="28"/>
        <v>0</v>
      </c>
      <c r="E74" s="48">
        <f t="shared" si="28"/>
        <v>0</v>
      </c>
      <c r="F74" s="255">
        <f t="shared" si="28"/>
        <v>0</v>
      </c>
      <c r="G74" s="255">
        <f t="shared" si="28"/>
        <v>0</v>
      </c>
      <c r="H74" s="255">
        <f t="shared" si="28"/>
        <v>0</v>
      </c>
      <c r="I74" s="255">
        <f t="shared" si="28"/>
        <v>0</v>
      </c>
      <c r="J74" s="255">
        <f t="shared" si="28"/>
        <v>0</v>
      </c>
      <c r="K74" s="255">
        <f t="shared" si="28"/>
        <v>0</v>
      </c>
      <c r="L74" s="255">
        <f t="shared" si="28"/>
        <v>667.04738806780199</v>
      </c>
      <c r="M74" s="255">
        <f t="shared" si="28"/>
        <v>690.39404665017503</v>
      </c>
      <c r="N74" s="255">
        <f t="shared" si="28"/>
        <v>690.39404665017503</v>
      </c>
      <c r="O74" s="255">
        <f t="shared" si="28"/>
        <v>690.39404665017503</v>
      </c>
      <c r="P74" s="255">
        <f t="shared" si="28"/>
        <v>690.39404665017503</v>
      </c>
      <c r="Q74" s="255">
        <f t="shared" si="28"/>
        <v>690.39404665017503</v>
      </c>
      <c r="R74" s="255">
        <f t="shared" si="28"/>
        <v>690.39404665017503</v>
      </c>
      <c r="S74" s="255">
        <f t="shared" si="28"/>
        <v>690.39404665017503</v>
      </c>
      <c r="T74" s="255">
        <f t="shared" si="28"/>
        <v>690.39404665017503</v>
      </c>
      <c r="U74" s="255">
        <f t="shared" si="28"/>
        <v>690.39404665017503</v>
      </c>
      <c r="V74" s="255">
        <f t="shared" si="28"/>
        <v>690.39404665017503</v>
      </c>
      <c r="W74" s="255">
        <f t="shared" si="28"/>
        <v>690.39404665017503</v>
      </c>
      <c r="X74" s="255">
        <f t="shared" si="28"/>
        <v>690.39404665017503</v>
      </c>
      <c r="Y74" s="255">
        <f t="shared" si="28"/>
        <v>690.39404665017503</v>
      </c>
      <c r="Z74" s="255">
        <f t="shared" si="28"/>
        <v>690.39404665017503</v>
      </c>
      <c r="AA74" s="255">
        <f t="shared" si="28"/>
        <v>690.39404665017503</v>
      </c>
      <c r="AB74" s="255">
        <f t="shared" si="28"/>
        <v>690.39404665017503</v>
      </c>
      <c r="AC74" s="255">
        <f t="shared" si="28"/>
        <v>690.39404665017503</v>
      </c>
      <c r="AD74" s="255">
        <f t="shared" si="28"/>
        <v>690.39404665017503</v>
      </c>
      <c r="AE74" s="255">
        <f t="shared" si="28"/>
        <v>690.39404665017503</v>
      </c>
      <c r="AF74" s="255">
        <f t="shared" si="28"/>
        <v>690.39404665017503</v>
      </c>
      <c r="AG74" s="49"/>
      <c r="AI74" s="44">
        <v>19.223267667659997</v>
      </c>
      <c r="AJ74" s="45" t="s">
        <v>37</v>
      </c>
      <c r="AK74" s="46" t="s">
        <v>43</v>
      </c>
    </row>
    <row r="75" spans="1:37" ht="15.75" thickBot="1">
      <c r="A75" s="43" t="s">
        <v>44</v>
      </c>
      <c r="B75" s="48">
        <f t="shared" si="28"/>
        <v>0</v>
      </c>
      <c r="C75" s="48">
        <f t="shared" si="28"/>
        <v>0</v>
      </c>
      <c r="D75" s="48">
        <f t="shared" si="28"/>
        <v>0</v>
      </c>
      <c r="E75" s="48">
        <f t="shared" si="28"/>
        <v>0</v>
      </c>
      <c r="F75" s="255">
        <f t="shared" si="28"/>
        <v>0</v>
      </c>
      <c r="G75" s="255">
        <f t="shared" si="28"/>
        <v>0</v>
      </c>
      <c r="H75" s="255">
        <f t="shared" si="28"/>
        <v>0</v>
      </c>
      <c r="I75" s="255">
        <f t="shared" si="28"/>
        <v>0</v>
      </c>
      <c r="J75" s="255">
        <f t="shared" si="28"/>
        <v>0</v>
      </c>
      <c r="K75" s="255">
        <f t="shared" si="28"/>
        <v>0</v>
      </c>
      <c r="L75" s="255">
        <f t="shared" si="28"/>
        <v>0</v>
      </c>
      <c r="M75" s="255">
        <f t="shared" si="28"/>
        <v>0</v>
      </c>
      <c r="N75" s="255">
        <f t="shared" si="28"/>
        <v>0</v>
      </c>
      <c r="O75" s="255">
        <f t="shared" si="28"/>
        <v>0</v>
      </c>
      <c r="P75" s="255">
        <f t="shared" si="28"/>
        <v>0</v>
      </c>
      <c r="Q75" s="255">
        <f t="shared" si="28"/>
        <v>0</v>
      </c>
      <c r="R75" s="255">
        <f t="shared" si="28"/>
        <v>0</v>
      </c>
      <c r="S75" s="255">
        <f t="shared" si="28"/>
        <v>0</v>
      </c>
      <c r="T75" s="255">
        <f t="shared" si="28"/>
        <v>0</v>
      </c>
      <c r="U75" s="255">
        <f t="shared" si="28"/>
        <v>0</v>
      </c>
      <c r="V75" s="255">
        <f t="shared" si="28"/>
        <v>0</v>
      </c>
      <c r="W75" s="255">
        <f t="shared" si="28"/>
        <v>0</v>
      </c>
      <c r="X75" s="255">
        <f t="shared" si="28"/>
        <v>0</v>
      </c>
      <c r="Y75" s="255">
        <f t="shared" si="28"/>
        <v>0</v>
      </c>
      <c r="Z75" s="255">
        <f t="shared" si="28"/>
        <v>0</v>
      </c>
      <c r="AA75" s="255">
        <f t="shared" si="28"/>
        <v>0</v>
      </c>
      <c r="AB75" s="255">
        <f t="shared" si="28"/>
        <v>0</v>
      </c>
      <c r="AC75" s="255">
        <f t="shared" si="28"/>
        <v>0</v>
      </c>
      <c r="AD75" s="255">
        <f t="shared" si="28"/>
        <v>0</v>
      </c>
      <c r="AE75" s="255">
        <f t="shared" si="28"/>
        <v>0</v>
      </c>
      <c r="AF75" s="255">
        <f t="shared" si="28"/>
        <v>0</v>
      </c>
      <c r="AG75" s="49"/>
      <c r="AI75" s="44">
        <v>39.799999999999997</v>
      </c>
      <c r="AJ75" s="45" t="s">
        <v>37</v>
      </c>
    </row>
    <row r="76" spans="1:3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row>
    <row r="77" spans="1:37">
      <c r="A77" s="260" t="s">
        <v>45</v>
      </c>
    </row>
    <row r="78" spans="1:37">
      <c r="A78" s="43" t="s">
        <v>46</v>
      </c>
      <c r="B78" s="48">
        <f t="shared" ref="B78:AF78" si="29">B79*$AI78</f>
        <v>0</v>
      </c>
      <c r="C78" s="48">
        <f t="shared" si="29"/>
        <v>0</v>
      </c>
      <c r="D78" s="48">
        <f t="shared" si="29"/>
        <v>0</v>
      </c>
      <c r="E78" s="255">
        <f t="shared" si="29"/>
        <v>0</v>
      </c>
      <c r="F78" s="255">
        <f t="shared" si="29"/>
        <v>0</v>
      </c>
      <c r="G78" s="255">
        <f t="shared" si="29"/>
        <v>0</v>
      </c>
      <c r="H78" s="255">
        <f t="shared" si="29"/>
        <v>0</v>
      </c>
      <c r="I78" s="255">
        <f t="shared" si="29"/>
        <v>0</v>
      </c>
      <c r="J78" s="255">
        <f t="shared" si="29"/>
        <v>0</v>
      </c>
      <c r="K78" s="255">
        <f t="shared" si="29"/>
        <v>0</v>
      </c>
      <c r="L78" s="255">
        <f t="shared" si="29"/>
        <v>572.82586499999991</v>
      </c>
      <c r="M78" s="255">
        <f t="shared" si="29"/>
        <v>572.82586499999991</v>
      </c>
      <c r="N78" s="255">
        <f t="shared" si="29"/>
        <v>572.82586499999991</v>
      </c>
      <c r="O78" s="255">
        <f t="shared" si="29"/>
        <v>572.82586499999991</v>
      </c>
      <c r="P78" s="255">
        <f t="shared" si="29"/>
        <v>572.82586499999991</v>
      </c>
      <c r="Q78" s="255">
        <f t="shared" si="29"/>
        <v>572.82586499999991</v>
      </c>
      <c r="R78" s="255">
        <f t="shared" si="29"/>
        <v>572.82586499999991</v>
      </c>
      <c r="S78" s="255">
        <f t="shared" si="29"/>
        <v>572.82586499999991</v>
      </c>
      <c r="T78" s="255">
        <f t="shared" si="29"/>
        <v>572.82586499999991</v>
      </c>
      <c r="U78" s="255">
        <f t="shared" si="29"/>
        <v>572.82586499999991</v>
      </c>
      <c r="V78" s="255">
        <f t="shared" si="29"/>
        <v>572.82586499999991</v>
      </c>
      <c r="W78" s="255">
        <f t="shared" si="29"/>
        <v>572.82586499999991</v>
      </c>
      <c r="X78" s="255">
        <f t="shared" si="29"/>
        <v>572.82586499999991</v>
      </c>
      <c r="Y78" s="255">
        <f t="shared" si="29"/>
        <v>572.82586499999991</v>
      </c>
      <c r="Z78" s="255">
        <f t="shared" si="29"/>
        <v>572.82586499999991</v>
      </c>
      <c r="AA78" s="255">
        <f t="shared" si="29"/>
        <v>572.82586499999991</v>
      </c>
      <c r="AB78" s="255">
        <f t="shared" si="29"/>
        <v>572.82586499999991</v>
      </c>
      <c r="AC78" s="255">
        <f t="shared" si="29"/>
        <v>572.82586499999991</v>
      </c>
      <c r="AD78" s="255">
        <f t="shared" si="29"/>
        <v>572.82586499999991</v>
      </c>
      <c r="AE78" s="255">
        <f t="shared" si="29"/>
        <v>572.82586499999991</v>
      </c>
      <c r="AF78" s="255">
        <f t="shared" si="29"/>
        <v>572.82586499999991</v>
      </c>
      <c r="AG78" s="49"/>
      <c r="AI78" s="44">
        <v>6.59</v>
      </c>
      <c r="AJ78" s="45" t="s">
        <v>37</v>
      </c>
      <c r="AK78" s="45"/>
    </row>
    <row r="79" spans="1:37">
      <c r="A79" s="43" t="s">
        <v>47</v>
      </c>
      <c r="B79" s="48">
        <f t="shared" ref="B79:AF79" si="30">B63*$AI79</f>
        <v>0</v>
      </c>
      <c r="C79" s="48">
        <f t="shared" si="30"/>
        <v>0</v>
      </c>
      <c r="D79" s="48">
        <f t="shared" si="30"/>
        <v>0</v>
      </c>
      <c r="E79" s="255">
        <f t="shared" si="30"/>
        <v>0</v>
      </c>
      <c r="F79" s="255">
        <f t="shared" si="30"/>
        <v>0</v>
      </c>
      <c r="G79" s="255">
        <f t="shared" si="30"/>
        <v>0</v>
      </c>
      <c r="H79" s="255">
        <f t="shared" si="30"/>
        <v>0</v>
      </c>
      <c r="I79" s="255">
        <f t="shared" si="30"/>
        <v>0</v>
      </c>
      <c r="J79" s="255">
        <f t="shared" si="30"/>
        <v>0</v>
      </c>
      <c r="K79" s="255">
        <f t="shared" si="30"/>
        <v>0</v>
      </c>
      <c r="L79" s="255">
        <f t="shared" si="30"/>
        <v>86.92349999999999</v>
      </c>
      <c r="M79" s="255">
        <f t="shared" si="30"/>
        <v>86.92349999999999</v>
      </c>
      <c r="N79" s="255">
        <f t="shared" si="30"/>
        <v>86.92349999999999</v>
      </c>
      <c r="O79" s="255">
        <f t="shared" si="30"/>
        <v>86.92349999999999</v>
      </c>
      <c r="P79" s="255">
        <f t="shared" si="30"/>
        <v>86.92349999999999</v>
      </c>
      <c r="Q79" s="255">
        <f t="shared" si="30"/>
        <v>86.92349999999999</v>
      </c>
      <c r="R79" s="255">
        <f t="shared" si="30"/>
        <v>86.92349999999999</v>
      </c>
      <c r="S79" s="255">
        <f t="shared" si="30"/>
        <v>86.92349999999999</v>
      </c>
      <c r="T79" s="255">
        <f t="shared" si="30"/>
        <v>86.92349999999999</v>
      </c>
      <c r="U79" s="255">
        <f t="shared" si="30"/>
        <v>86.92349999999999</v>
      </c>
      <c r="V79" s="255">
        <f t="shared" si="30"/>
        <v>86.92349999999999</v>
      </c>
      <c r="W79" s="255">
        <f t="shared" si="30"/>
        <v>86.92349999999999</v>
      </c>
      <c r="X79" s="255">
        <f t="shared" si="30"/>
        <v>86.92349999999999</v>
      </c>
      <c r="Y79" s="255">
        <f t="shared" si="30"/>
        <v>86.92349999999999</v>
      </c>
      <c r="Z79" s="255">
        <f t="shared" si="30"/>
        <v>86.92349999999999</v>
      </c>
      <c r="AA79" s="255">
        <f t="shared" si="30"/>
        <v>86.92349999999999</v>
      </c>
      <c r="AB79" s="255">
        <f t="shared" si="30"/>
        <v>86.92349999999999</v>
      </c>
      <c r="AC79" s="255">
        <f t="shared" si="30"/>
        <v>86.92349999999999</v>
      </c>
      <c r="AD79" s="255">
        <f t="shared" si="30"/>
        <v>86.92349999999999</v>
      </c>
      <c r="AE79" s="255">
        <f t="shared" si="30"/>
        <v>86.92349999999999</v>
      </c>
      <c r="AF79" s="255">
        <f t="shared" si="30"/>
        <v>86.92349999999999</v>
      </c>
      <c r="AG79" s="49"/>
      <c r="AI79" s="44">
        <v>1.67</v>
      </c>
      <c r="AJ79" s="45" t="s">
        <v>48</v>
      </c>
      <c r="AK79" s="45" t="s">
        <v>49</v>
      </c>
    </row>
    <row r="80" spans="1:37">
      <c r="A80" s="43" t="s">
        <v>50</v>
      </c>
      <c r="B80" s="48">
        <f t="shared" ref="B80:AF80" si="31">B79*$AI80</f>
        <v>0</v>
      </c>
      <c r="C80" s="48">
        <f t="shared" si="31"/>
        <v>0</v>
      </c>
      <c r="D80" s="48">
        <f t="shared" si="31"/>
        <v>0</v>
      </c>
      <c r="E80" s="255">
        <f t="shared" si="31"/>
        <v>0</v>
      </c>
      <c r="F80" s="255">
        <f t="shared" si="31"/>
        <v>0</v>
      </c>
      <c r="G80" s="255">
        <f t="shared" si="31"/>
        <v>0</v>
      </c>
      <c r="H80" s="255">
        <f t="shared" si="31"/>
        <v>0</v>
      </c>
      <c r="I80" s="255">
        <f t="shared" si="31"/>
        <v>0</v>
      </c>
      <c r="J80" s="255">
        <f t="shared" si="31"/>
        <v>0</v>
      </c>
      <c r="K80" s="255">
        <f t="shared" si="31"/>
        <v>0</v>
      </c>
      <c r="L80" s="255">
        <f t="shared" si="31"/>
        <v>31.494021739130435</v>
      </c>
      <c r="M80" s="255">
        <f t="shared" si="31"/>
        <v>31.494021739130435</v>
      </c>
      <c r="N80" s="255">
        <f t="shared" si="31"/>
        <v>31.494021739130435</v>
      </c>
      <c r="O80" s="255">
        <f t="shared" si="31"/>
        <v>31.494021739130435</v>
      </c>
      <c r="P80" s="255">
        <f t="shared" si="31"/>
        <v>31.494021739130435</v>
      </c>
      <c r="Q80" s="255">
        <f t="shared" si="31"/>
        <v>31.494021739130435</v>
      </c>
      <c r="R80" s="255">
        <f t="shared" si="31"/>
        <v>31.494021739130435</v>
      </c>
      <c r="S80" s="255">
        <f t="shared" si="31"/>
        <v>31.494021739130435</v>
      </c>
      <c r="T80" s="255">
        <f t="shared" si="31"/>
        <v>31.494021739130435</v>
      </c>
      <c r="U80" s="255">
        <f t="shared" si="31"/>
        <v>31.494021739130435</v>
      </c>
      <c r="V80" s="255">
        <f t="shared" si="31"/>
        <v>31.494021739130435</v>
      </c>
      <c r="W80" s="255">
        <f t="shared" si="31"/>
        <v>31.494021739130435</v>
      </c>
      <c r="X80" s="255">
        <f t="shared" si="31"/>
        <v>31.494021739130435</v>
      </c>
      <c r="Y80" s="255">
        <f t="shared" si="31"/>
        <v>31.494021739130435</v>
      </c>
      <c r="Z80" s="255">
        <f t="shared" si="31"/>
        <v>31.494021739130435</v>
      </c>
      <c r="AA80" s="255">
        <f t="shared" si="31"/>
        <v>31.494021739130435</v>
      </c>
      <c r="AB80" s="255">
        <f t="shared" si="31"/>
        <v>31.494021739130435</v>
      </c>
      <c r="AC80" s="255">
        <f t="shared" si="31"/>
        <v>31.494021739130435</v>
      </c>
      <c r="AD80" s="255">
        <f t="shared" si="31"/>
        <v>31.494021739130435</v>
      </c>
      <c r="AE80" s="255">
        <f t="shared" si="31"/>
        <v>31.494021739130435</v>
      </c>
      <c r="AF80" s="255">
        <f t="shared" si="31"/>
        <v>31.494021739130435</v>
      </c>
      <c r="AG80" s="49"/>
      <c r="AI80" s="50">
        <f>1/AI81</f>
        <v>0.3623188405797102</v>
      </c>
      <c r="AJ80" s="45" t="s">
        <v>51</v>
      </c>
      <c r="AK80" s="20" t="s">
        <v>52</v>
      </c>
    </row>
    <row r="81" spans="1:38">
      <c r="AI81" s="51">
        <v>2.76</v>
      </c>
      <c r="AJ81" s="45" t="s">
        <v>53</v>
      </c>
      <c r="AK81" s="45" t="s">
        <v>54</v>
      </c>
    </row>
    <row r="82" spans="1:38">
      <c r="A82" s="43" t="s">
        <v>55</v>
      </c>
      <c r="C82" s="255"/>
      <c r="D82" s="255"/>
      <c r="E82" s="255"/>
      <c r="F82" s="255"/>
      <c r="G82" s="255"/>
      <c r="H82" s="255"/>
      <c r="I82" s="255"/>
      <c r="J82" s="255"/>
      <c r="K82" s="255"/>
      <c r="L82" s="255"/>
      <c r="M82" s="255"/>
      <c r="N82" s="255"/>
      <c r="O82" s="255"/>
      <c r="P82" s="255"/>
      <c r="Q82" s="255"/>
      <c r="R82" s="255"/>
      <c r="S82" s="255"/>
      <c r="T82" s="255"/>
      <c r="U82" s="255"/>
      <c r="V82" s="255"/>
      <c r="W82" s="255"/>
      <c r="X82" s="255"/>
      <c r="Y82" s="255"/>
      <c r="Z82" s="255"/>
      <c r="AA82" s="255"/>
      <c r="AB82" s="255"/>
      <c r="AC82" s="255"/>
      <c r="AD82" s="255"/>
      <c r="AE82" s="255"/>
      <c r="AF82" s="255"/>
      <c r="AG82" s="49"/>
    </row>
    <row r="83" spans="1:38">
      <c r="A83" s="43" t="s">
        <v>56</v>
      </c>
      <c r="C83" s="256"/>
      <c r="D83" s="256"/>
      <c r="E83" s="256"/>
      <c r="F83" s="256"/>
      <c r="G83" s="256"/>
      <c r="H83" s="256"/>
      <c r="I83" s="256"/>
      <c r="J83" s="256"/>
      <c r="K83" s="256"/>
      <c r="L83" s="256"/>
      <c r="M83" s="256"/>
      <c r="N83" s="256"/>
      <c r="O83" s="256"/>
      <c r="P83" s="256"/>
      <c r="Q83" s="256"/>
      <c r="R83" s="256"/>
      <c r="S83" s="256"/>
      <c r="T83" s="256"/>
      <c r="U83" s="256"/>
      <c r="V83" s="256"/>
      <c r="W83" s="256"/>
      <c r="X83" s="256"/>
      <c r="Y83" s="256"/>
      <c r="Z83" s="256"/>
      <c r="AA83" s="256"/>
      <c r="AB83" s="256"/>
      <c r="AC83" s="256"/>
      <c r="AD83" s="256"/>
      <c r="AE83" s="256"/>
      <c r="AF83" s="256"/>
      <c r="AG83" s="53"/>
    </row>
    <row r="84" spans="1:38">
      <c r="A84" s="43" t="s">
        <v>57</v>
      </c>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c r="AA84" s="257"/>
      <c r="AB84" s="257"/>
      <c r="AC84" s="257"/>
      <c r="AD84" s="257"/>
      <c r="AE84" s="257"/>
      <c r="AF84" s="257"/>
    </row>
    <row r="85" spans="1:38">
      <c r="A85" s="43" t="s">
        <v>58</v>
      </c>
      <c r="C85" s="257"/>
      <c r="D85" s="257"/>
      <c r="E85" s="257"/>
      <c r="F85" s="257"/>
      <c r="G85" s="257"/>
      <c r="H85" s="257"/>
      <c r="I85" s="257"/>
      <c r="J85" s="257"/>
      <c r="K85" s="257"/>
      <c r="L85" s="257"/>
      <c r="M85" s="257"/>
      <c r="N85" s="257"/>
      <c r="O85" s="257"/>
      <c r="P85" s="257"/>
      <c r="Q85" s="257"/>
      <c r="R85" s="257"/>
      <c r="S85" s="257"/>
      <c r="T85" s="257"/>
      <c r="U85" s="257"/>
      <c r="V85" s="257"/>
      <c r="W85" s="257"/>
      <c r="X85" s="257"/>
      <c r="Y85" s="257"/>
      <c r="Z85" s="257"/>
      <c r="AA85" s="257"/>
      <c r="AB85" s="257"/>
      <c r="AC85" s="257"/>
      <c r="AD85" s="257"/>
      <c r="AE85" s="257"/>
      <c r="AF85" s="257"/>
    </row>
    <row r="86" spans="1:38">
      <c r="A86" s="43" t="s">
        <v>59</v>
      </c>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c r="AA86" s="258"/>
      <c r="AB86" s="258"/>
      <c r="AC86" s="258"/>
      <c r="AD86" s="258"/>
      <c r="AE86" s="258"/>
      <c r="AF86" s="258"/>
      <c r="AG86" s="155"/>
    </row>
    <row r="87" spans="1:38">
      <c r="C87" s="257"/>
      <c r="D87" s="257"/>
      <c r="E87" s="257"/>
      <c r="F87" s="257"/>
      <c r="G87" s="257"/>
      <c r="H87" s="257"/>
      <c r="I87" s="257"/>
      <c r="J87" s="257"/>
      <c r="K87" s="257"/>
      <c r="L87" s="257"/>
      <c r="M87" s="257"/>
      <c r="N87" s="257"/>
      <c r="O87" s="257"/>
      <c r="P87" s="257"/>
      <c r="Q87" s="257"/>
      <c r="R87" s="257"/>
      <c r="S87" s="257"/>
      <c r="T87" s="257"/>
      <c r="U87" s="257"/>
      <c r="V87" s="257"/>
      <c r="W87" s="257"/>
      <c r="X87" s="257"/>
      <c r="Y87" s="257"/>
      <c r="Z87" s="257"/>
      <c r="AA87" s="257"/>
      <c r="AB87" s="257"/>
      <c r="AC87" s="257"/>
      <c r="AD87" s="257"/>
      <c r="AE87" s="257"/>
      <c r="AF87" s="257"/>
    </row>
    <row r="88" spans="1:38">
      <c r="A88" s="43" t="s">
        <v>60</v>
      </c>
      <c r="C88" s="255"/>
      <c r="D88" s="255"/>
      <c r="E88" s="255"/>
      <c r="F88" s="255"/>
      <c r="G88" s="255"/>
      <c r="H88" s="255"/>
      <c r="I88" s="255"/>
      <c r="J88" s="255"/>
      <c r="K88" s="255"/>
      <c r="L88" s="255"/>
      <c r="M88" s="255"/>
      <c r="N88" s="255"/>
      <c r="O88" s="255"/>
      <c r="P88" s="255"/>
      <c r="Q88" s="255"/>
      <c r="R88" s="255"/>
      <c r="S88" s="255"/>
      <c r="T88" s="255"/>
      <c r="U88" s="255"/>
      <c r="V88" s="255"/>
      <c r="W88" s="255"/>
      <c r="X88" s="255"/>
      <c r="Y88" s="255"/>
      <c r="Z88" s="255"/>
      <c r="AA88" s="255"/>
      <c r="AB88" s="255"/>
      <c r="AC88" s="255"/>
      <c r="AD88" s="255"/>
      <c r="AE88" s="255"/>
      <c r="AF88" s="255"/>
      <c r="AG88" s="49"/>
    </row>
    <row r="89" spans="1:38">
      <c r="A89" s="43" t="s">
        <v>61</v>
      </c>
      <c r="C89" s="259"/>
      <c r="D89" s="259"/>
      <c r="E89" s="255"/>
      <c r="F89" s="255"/>
      <c r="G89" s="255"/>
      <c r="H89" s="255"/>
      <c r="I89" s="255"/>
      <c r="J89" s="255"/>
      <c r="K89" s="255"/>
      <c r="L89" s="255"/>
      <c r="M89" s="255"/>
      <c r="N89" s="255"/>
      <c r="O89" s="255"/>
      <c r="P89" s="255"/>
      <c r="Q89" s="255"/>
      <c r="R89" s="255"/>
      <c r="S89" s="255"/>
      <c r="T89" s="255"/>
      <c r="U89" s="255"/>
      <c r="V89" s="255"/>
      <c r="W89" s="255"/>
      <c r="X89" s="255"/>
      <c r="Y89" s="255"/>
      <c r="Z89" s="255"/>
      <c r="AA89" s="255"/>
      <c r="AB89" s="255"/>
      <c r="AC89" s="255"/>
      <c r="AD89" s="255"/>
      <c r="AE89" s="255"/>
      <c r="AF89" s="255"/>
      <c r="AG89" s="49"/>
    </row>
    <row r="90" spans="1:38">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row>
    <row r="91" spans="1:38" ht="15.75" thickBot="1">
      <c r="A91" s="57" t="s">
        <v>529</v>
      </c>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row>
    <row r="92" spans="1:38" ht="15.75" thickBot="1">
      <c r="A92" s="58" t="str">
        <f>A22</f>
        <v>(mil gal/yr)</v>
      </c>
      <c r="B92" s="59" t="str">
        <f>B22</f>
        <v>&lt; 2021</v>
      </c>
      <c r="C92" s="59">
        <f t="shared" ref="C92:Q92" si="32">C22</f>
        <v>2021</v>
      </c>
      <c r="D92" s="59">
        <f t="shared" si="32"/>
        <v>2022</v>
      </c>
      <c r="E92" s="59">
        <f t="shared" si="32"/>
        <v>2023</v>
      </c>
      <c r="F92" s="59">
        <f t="shared" si="32"/>
        <v>2024</v>
      </c>
      <c r="G92" s="59">
        <f t="shared" si="32"/>
        <v>2025</v>
      </c>
      <c r="H92" s="59">
        <f t="shared" si="32"/>
        <v>2026</v>
      </c>
      <c r="I92" s="59">
        <f t="shared" si="32"/>
        <v>2027</v>
      </c>
      <c r="J92" s="59">
        <f t="shared" si="32"/>
        <v>2028</v>
      </c>
      <c r="K92" s="59">
        <f t="shared" si="32"/>
        <v>2029</v>
      </c>
      <c r="L92" s="59">
        <f t="shared" si="32"/>
        <v>2030</v>
      </c>
      <c r="M92" s="59">
        <f t="shared" si="32"/>
        <v>2031</v>
      </c>
      <c r="N92" s="59">
        <f t="shared" si="32"/>
        <v>2032</v>
      </c>
      <c r="O92" s="59">
        <f t="shared" si="32"/>
        <v>2033</v>
      </c>
      <c r="P92" s="59">
        <f t="shared" si="32"/>
        <v>2034</v>
      </c>
      <c r="Q92" s="59">
        <f t="shared" si="32"/>
        <v>2035</v>
      </c>
      <c r="R92" s="59"/>
      <c r="S92" s="59"/>
      <c r="T92" s="59"/>
      <c r="U92" s="59"/>
      <c r="V92" s="59"/>
      <c r="W92" s="59"/>
      <c r="X92" s="59"/>
      <c r="Y92" s="59"/>
      <c r="Z92" s="59"/>
      <c r="AA92" s="59"/>
      <c r="AB92" s="59"/>
      <c r="AC92" s="59"/>
      <c r="AD92" s="59"/>
      <c r="AE92" s="59"/>
      <c r="AF92" s="59"/>
      <c r="AG92" s="59"/>
      <c r="AH92" s="59">
        <v>2050</v>
      </c>
      <c r="AI92" s="56"/>
      <c r="AJ92" s="60" t="s">
        <v>63</v>
      </c>
      <c r="AK92" s="61"/>
      <c r="AL92" s="61"/>
    </row>
    <row r="93" spans="1:38">
      <c r="A93" s="156" t="s">
        <v>64</v>
      </c>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56"/>
      <c r="AJ93" s="62" t="s">
        <v>65</v>
      </c>
      <c r="AK93" s="63"/>
      <c r="AL93" s="63"/>
    </row>
    <row r="94" spans="1:38">
      <c r="A94" s="157" t="s">
        <v>66</v>
      </c>
      <c r="B94" s="158"/>
      <c r="C94" s="158"/>
      <c r="D94" s="158"/>
      <c r="E94" s="158"/>
      <c r="F94" s="158"/>
      <c r="G94" s="158"/>
      <c r="H94" s="158"/>
      <c r="I94" s="158"/>
      <c r="J94" s="158"/>
      <c r="K94" s="158"/>
      <c r="L94" s="159">
        <v>3000</v>
      </c>
      <c r="M94" s="158"/>
      <c r="N94" s="158"/>
      <c r="O94" s="158"/>
      <c r="P94" s="158"/>
      <c r="Q94" s="158"/>
      <c r="R94" s="158"/>
      <c r="S94" s="158"/>
      <c r="T94" s="158"/>
      <c r="U94" s="158"/>
      <c r="V94" s="158"/>
      <c r="W94" s="158"/>
      <c r="X94" s="158"/>
      <c r="Y94" s="158"/>
      <c r="Z94" s="158"/>
      <c r="AA94" s="158"/>
      <c r="AB94" s="158"/>
      <c r="AC94" s="158"/>
      <c r="AD94" s="158"/>
      <c r="AE94" s="158"/>
      <c r="AF94" s="158"/>
      <c r="AG94" s="158"/>
      <c r="AH94" s="159">
        <v>35000</v>
      </c>
      <c r="AI94" s="56"/>
      <c r="AJ94" s="386" t="s">
        <v>67</v>
      </c>
      <c r="AK94" s="386"/>
      <c r="AL94" s="386"/>
    </row>
    <row r="95" spans="1:38">
      <c r="A95" s="160" t="s">
        <v>68</v>
      </c>
      <c r="B95" s="160"/>
      <c r="C95" s="160"/>
      <c r="D95" s="160"/>
      <c r="E95" s="160"/>
      <c r="F95" s="160"/>
      <c r="G95" s="160"/>
      <c r="H95" s="160"/>
      <c r="I95" s="160"/>
      <c r="J95" s="160"/>
      <c r="K95" s="160"/>
      <c r="L95" s="160"/>
      <c r="M95" s="160"/>
      <c r="N95" s="160"/>
      <c r="O95" s="160"/>
      <c r="P95" s="160"/>
      <c r="Q95" s="160"/>
      <c r="R95" s="160"/>
      <c r="S95" s="160"/>
      <c r="T95" s="160"/>
      <c r="U95" s="160"/>
      <c r="V95" s="160"/>
      <c r="W95" s="160"/>
      <c r="X95" s="160"/>
      <c r="Y95" s="160"/>
      <c r="Z95" s="160"/>
      <c r="AA95" s="160"/>
      <c r="AB95" s="160"/>
      <c r="AC95" s="160"/>
      <c r="AD95" s="160"/>
      <c r="AE95" s="160"/>
      <c r="AF95" s="160"/>
      <c r="AG95" s="160"/>
      <c r="AH95" s="160"/>
      <c r="AI95" s="56"/>
      <c r="AJ95" s="386"/>
      <c r="AK95" s="386"/>
      <c r="AL95" s="386"/>
    </row>
    <row r="96" spans="1:38" ht="18" customHeight="1">
      <c r="A96" s="157" t="s">
        <v>69</v>
      </c>
      <c r="B96" s="158"/>
      <c r="C96" s="158"/>
      <c r="D96" s="158"/>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56"/>
      <c r="AJ96" s="62" t="s">
        <v>70</v>
      </c>
      <c r="AK96" s="67"/>
      <c r="AL96" s="67"/>
    </row>
    <row r="97" spans="1:38" ht="15" customHeight="1">
      <c r="A97" s="157" t="s">
        <v>71</v>
      </c>
      <c r="B97" s="158"/>
      <c r="C97" s="158"/>
      <c r="D97" s="158"/>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56"/>
      <c r="AJ97" s="386" t="s">
        <v>72</v>
      </c>
      <c r="AK97" s="386"/>
      <c r="AL97" s="386"/>
    </row>
    <row r="98" spans="1:38">
      <c r="A98" s="157" t="s">
        <v>73</v>
      </c>
      <c r="B98" s="158"/>
      <c r="C98" s="158"/>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56"/>
      <c r="AJ98" s="386"/>
      <c r="AK98" s="386"/>
      <c r="AL98" s="386"/>
    </row>
    <row r="99" spans="1:38">
      <c r="A99" s="161" t="s">
        <v>74</v>
      </c>
      <c r="B99" s="161"/>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c r="AA99" s="161"/>
      <c r="AB99" s="161"/>
      <c r="AC99" s="161"/>
      <c r="AD99" s="161"/>
      <c r="AE99" s="161"/>
      <c r="AF99" s="161"/>
      <c r="AG99" s="161"/>
      <c r="AH99" s="161"/>
      <c r="AI99" s="56"/>
      <c r="AJ99" s="386"/>
      <c r="AK99" s="386"/>
      <c r="AL99" s="386"/>
    </row>
    <row r="100" spans="1:38">
      <c r="A100" s="157" t="s">
        <v>75</v>
      </c>
      <c r="B100" s="158"/>
      <c r="C100" s="158"/>
      <c r="D100" s="158"/>
      <c r="E100" s="158"/>
      <c r="F100" s="158"/>
      <c r="G100" s="158"/>
      <c r="H100" s="158"/>
      <c r="I100" s="158"/>
      <c r="J100" s="158"/>
      <c r="K100" s="158"/>
      <c r="L100" s="162">
        <f>MROUND(1000/3.78541,5)</f>
        <v>265</v>
      </c>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62">
        <f>MROUND(8000/3.78541,5)</f>
        <v>2115</v>
      </c>
      <c r="AI100" s="56"/>
      <c r="AJ100" s="67"/>
      <c r="AK100" s="67"/>
      <c r="AL100" s="67"/>
    </row>
    <row r="101" spans="1:38">
      <c r="A101" s="163" t="s">
        <v>76</v>
      </c>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c r="AB101" s="163"/>
      <c r="AC101" s="163"/>
      <c r="AD101" s="163"/>
      <c r="AE101" s="163"/>
      <c r="AF101" s="163"/>
      <c r="AG101" s="163"/>
      <c r="AH101" s="163"/>
      <c r="AI101" s="56"/>
      <c r="AJ101" s="67"/>
      <c r="AK101" s="67"/>
      <c r="AL101" s="67"/>
    </row>
    <row r="102" spans="1:38">
      <c r="A102" s="157" t="s">
        <v>77</v>
      </c>
      <c r="B102" s="158"/>
      <c r="C102" s="158"/>
      <c r="D102" s="158"/>
      <c r="E102" s="158"/>
      <c r="F102" s="158"/>
      <c r="G102" s="158"/>
      <c r="H102" s="158"/>
      <c r="I102" s="158"/>
      <c r="J102" s="158"/>
      <c r="K102" s="158"/>
      <c r="L102" s="162"/>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62"/>
      <c r="AI102" s="56"/>
      <c r="AJ102" s="67"/>
      <c r="AK102" s="67"/>
      <c r="AL102" s="67"/>
    </row>
    <row r="103" spans="1:38">
      <c r="A103" s="163" t="s">
        <v>78</v>
      </c>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c r="AA103" s="163"/>
      <c r="AB103" s="163"/>
      <c r="AC103" s="163"/>
      <c r="AD103" s="163"/>
      <c r="AE103" s="163"/>
      <c r="AF103" s="163"/>
      <c r="AG103" s="163"/>
      <c r="AH103" s="163"/>
      <c r="AI103" s="56"/>
      <c r="AJ103" s="67"/>
      <c r="AK103" s="67"/>
      <c r="AL103" s="67"/>
    </row>
    <row r="104" spans="1:38">
      <c r="A104" s="157" t="s">
        <v>66</v>
      </c>
      <c r="B104" s="158"/>
      <c r="C104" s="158"/>
      <c r="D104" s="158"/>
      <c r="E104" s="158"/>
      <c r="F104" s="158"/>
      <c r="G104" s="158"/>
      <c r="H104" s="158"/>
      <c r="I104" s="158"/>
      <c r="J104" s="158"/>
      <c r="K104" s="158"/>
      <c r="L104" s="162"/>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62"/>
      <c r="AI104" s="56"/>
      <c r="AJ104" s="67"/>
      <c r="AK104" s="67"/>
      <c r="AL104" s="67"/>
    </row>
    <row r="105" spans="1:38" ht="15.75" thickBot="1">
      <c r="A105" s="164" t="s">
        <v>79</v>
      </c>
      <c r="B105" s="165">
        <f>SUM(B100,B96:B98,B94)</f>
        <v>0</v>
      </c>
      <c r="C105" s="165">
        <f t="shared" ref="C105:AH105" si="33">SUM(C100,C96:C98,C94)</f>
        <v>0</v>
      </c>
      <c r="D105" s="165">
        <f t="shared" si="33"/>
        <v>0</v>
      </c>
      <c r="E105" s="165">
        <f t="shared" si="33"/>
        <v>0</v>
      </c>
      <c r="F105" s="165">
        <f t="shared" si="33"/>
        <v>0</v>
      </c>
      <c r="G105" s="165">
        <f t="shared" si="33"/>
        <v>0</v>
      </c>
      <c r="H105" s="165">
        <f t="shared" si="33"/>
        <v>0</v>
      </c>
      <c r="I105" s="165">
        <f t="shared" si="33"/>
        <v>0</v>
      </c>
      <c r="J105" s="165">
        <f t="shared" si="33"/>
        <v>0</v>
      </c>
      <c r="K105" s="165">
        <f t="shared" si="33"/>
        <v>0</v>
      </c>
      <c r="L105" s="165">
        <f t="shared" si="33"/>
        <v>3265</v>
      </c>
      <c r="M105" s="165">
        <f t="shared" si="33"/>
        <v>0</v>
      </c>
      <c r="N105" s="165">
        <f t="shared" si="33"/>
        <v>0</v>
      </c>
      <c r="O105" s="165">
        <f t="shared" si="33"/>
        <v>0</v>
      </c>
      <c r="P105" s="165">
        <f t="shared" si="33"/>
        <v>0</v>
      </c>
      <c r="Q105" s="165">
        <f t="shared" si="33"/>
        <v>0</v>
      </c>
      <c r="R105" s="165"/>
      <c r="S105" s="165"/>
      <c r="T105" s="165"/>
      <c r="U105" s="165"/>
      <c r="V105" s="165"/>
      <c r="W105" s="165"/>
      <c r="X105" s="165"/>
      <c r="Y105" s="165"/>
      <c r="Z105" s="165"/>
      <c r="AA105" s="165"/>
      <c r="AB105" s="165"/>
      <c r="AC105" s="165"/>
      <c r="AD105" s="165"/>
      <c r="AE105" s="165"/>
      <c r="AF105" s="165"/>
      <c r="AG105" s="165"/>
      <c r="AH105" s="165">
        <f t="shared" si="33"/>
        <v>37115</v>
      </c>
      <c r="AI105" s="56"/>
      <c r="AJ105" s="67"/>
      <c r="AK105" s="67"/>
      <c r="AL105" s="67"/>
    </row>
    <row r="106" spans="1:38">
      <c r="A106" s="71" t="s">
        <v>80</v>
      </c>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56"/>
      <c r="AJ106" s="56"/>
      <c r="AK106" s="56"/>
      <c r="AL106" s="56"/>
    </row>
    <row r="107" spans="1:38">
      <c r="A107" s="73" t="s">
        <v>81</v>
      </c>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row>
    <row r="108" spans="1:38">
      <c r="A108" s="73" t="s">
        <v>82</v>
      </c>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row>
    <row r="109" spans="1:38">
      <c r="A109" s="73" t="s">
        <v>83</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row>
    <row r="112" spans="1:38">
      <c r="A112" s="74" t="s">
        <v>84</v>
      </c>
    </row>
    <row r="114" spans="1:1">
      <c r="A114" s="20" t="s">
        <v>85</v>
      </c>
    </row>
    <row r="115" spans="1:1">
      <c r="A115" s="20" t="s">
        <v>86</v>
      </c>
    </row>
    <row r="116" spans="1:1">
      <c r="A116" s="20" t="s">
        <v>87</v>
      </c>
    </row>
    <row r="117" spans="1:1">
      <c r="A117" s="20" t="s">
        <v>88</v>
      </c>
    </row>
    <row r="118" spans="1:1">
      <c r="A118" s="20" t="s">
        <v>89</v>
      </c>
    </row>
    <row r="119" spans="1:1">
      <c r="A119" s="20" t="s">
        <v>90</v>
      </c>
    </row>
  </sheetData>
  <mergeCells count="5">
    <mergeCell ref="AJ42:AJ49"/>
    <mergeCell ref="AI69:AJ70"/>
    <mergeCell ref="AK69:AK70"/>
    <mergeCell ref="AJ94:AL95"/>
    <mergeCell ref="AJ97:AL9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CAB81-8281-4AB2-B771-1FAEC57FB2E6}">
  <dimension ref="A1:X126"/>
  <sheetViews>
    <sheetView zoomScaleNormal="100" workbookViewId="0">
      <selection activeCell="Z25" sqref="Z25"/>
    </sheetView>
  </sheetViews>
  <sheetFormatPr defaultColWidth="9.140625" defaultRowHeight="15.75"/>
  <cols>
    <col min="1" max="1" width="29.28515625" style="204" customWidth="1"/>
    <col min="2" max="2" width="13.140625" style="130" customWidth="1"/>
    <col min="3" max="3" width="9.140625" style="130"/>
    <col min="4" max="4" width="24.42578125" style="130" customWidth="1"/>
    <col min="5" max="5" width="44" style="90" customWidth="1"/>
    <col min="6" max="6" width="14.42578125" style="132" customWidth="1"/>
    <col min="7" max="7" width="22.42578125" style="132" customWidth="1"/>
    <col min="8" max="8" width="15.140625" style="204" customWidth="1"/>
    <col min="9" max="11" width="15.140625" style="130" customWidth="1"/>
    <col min="12" max="12" width="15.28515625" style="130" customWidth="1"/>
    <col min="13" max="13" width="11.28515625" style="91" customWidth="1"/>
    <col min="14" max="14" width="12" style="91" customWidth="1"/>
    <col min="15" max="16" width="10.7109375" style="91" customWidth="1"/>
    <col min="17" max="20" width="14.140625" style="91" customWidth="1"/>
    <col min="21" max="21" width="13.5703125" style="91" customWidth="1"/>
    <col min="22" max="22" width="10.5703125" style="105" bestFit="1" customWidth="1"/>
    <col min="23" max="23" width="9.140625" style="91"/>
    <col min="24" max="24" width="10.85546875" style="91" customWidth="1"/>
    <col min="25" max="16384" width="9.140625" style="91"/>
  </cols>
  <sheetData>
    <row r="1" spans="1:24" s="77" customFormat="1">
      <c r="A1" s="166"/>
      <c r="B1" s="395" t="s">
        <v>91</v>
      </c>
      <c r="C1" s="395"/>
      <c r="D1" s="395" t="s">
        <v>92</v>
      </c>
      <c r="E1" s="395"/>
      <c r="F1" s="75"/>
      <c r="G1" s="75"/>
      <c r="H1" s="395" t="s">
        <v>94</v>
      </c>
      <c r="I1" s="395"/>
      <c r="J1" s="75"/>
      <c r="K1" s="75"/>
      <c r="L1" s="76"/>
      <c r="V1" s="167"/>
    </row>
    <row r="2" spans="1:24" s="79" customFormat="1" ht="45">
      <c r="A2" s="79" t="s">
        <v>95</v>
      </c>
      <c r="B2" s="79" t="s">
        <v>96</v>
      </c>
      <c r="C2" s="79" t="s">
        <v>97</v>
      </c>
      <c r="D2" s="79" t="s">
        <v>98</v>
      </c>
      <c r="E2" s="79" t="s">
        <v>99</v>
      </c>
      <c r="F2" s="78" t="s">
        <v>100</v>
      </c>
      <c r="G2" s="80" t="s">
        <v>101</v>
      </c>
      <c r="H2" s="79" t="s">
        <v>102</v>
      </c>
      <c r="I2" s="137" t="s">
        <v>103</v>
      </c>
      <c r="J2" s="79" t="s">
        <v>104</v>
      </c>
      <c r="K2" s="137" t="s">
        <v>105</v>
      </c>
      <c r="L2" s="79" t="s">
        <v>106</v>
      </c>
      <c r="M2" s="137" t="s">
        <v>107</v>
      </c>
      <c r="N2" s="137" t="s">
        <v>108</v>
      </c>
      <c r="O2" s="137" t="s">
        <v>109</v>
      </c>
      <c r="P2" s="137" t="s">
        <v>110</v>
      </c>
      <c r="Q2" s="137" t="s">
        <v>111</v>
      </c>
      <c r="R2" s="137" t="s">
        <v>112</v>
      </c>
      <c r="S2" s="137" t="s">
        <v>113</v>
      </c>
      <c r="T2" s="137" t="s">
        <v>114</v>
      </c>
      <c r="U2" s="79" t="s">
        <v>115</v>
      </c>
      <c r="V2" s="79" t="s">
        <v>116</v>
      </c>
      <c r="W2" s="79" t="s">
        <v>460</v>
      </c>
      <c r="X2" s="79" t="s">
        <v>118</v>
      </c>
    </row>
    <row r="3" spans="1:24" ht="30">
      <c r="A3" s="106" t="s">
        <v>530</v>
      </c>
      <c r="B3" s="168" t="s">
        <v>531</v>
      </c>
      <c r="C3" s="168" t="s">
        <v>532</v>
      </c>
      <c r="D3" s="169" t="s">
        <v>533</v>
      </c>
      <c r="E3" s="81" t="s">
        <v>534</v>
      </c>
      <c r="F3" s="170">
        <v>2028</v>
      </c>
      <c r="G3" s="89"/>
      <c r="H3" s="106" t="s">
        <v>449</v>
      </c>
      <c r="I3" s="171">
        <v>0.55000000000000004</v>
      </c>
      <c r="J3" s="168">
        <v>33</v>
      </c>
      <c r="K3" s="172"/>
      <c r="L3" s="173">
        <v>100000</v>
      </c>
      <c r="M3" s="145">
        <f>$J3/2</f>
        <v>16.5</v>
      </c>
      <c r="N3" s="145">
        <f>$J3/2</f>
        <v>16.5</v>
      </c>
      <c r="O3" s="145">
        <f>$K3/2</f>
        <v>0</v>
      </c>
      <c r="P3" s="145">
        <f>$K3/2</f>
        <v>0</v>
      </c>
      <c r="Q3" s="145">
        <f>M3*$I3</f>
        <v>9.0750000000000011</v>
      </c>
      <c r="R3" s="145">
        <f t="shared" ref="R3:T18" si="0">N3*$I3</f>
        <v>9.0750000000000011</v>
      </c>
      <c r="S3" s="145">
        <f t="shared" si="0"/>
        <v>0</v>
      </c>
      <c r="T3" s="145">
        <f t="shared" si="0"/>
        <v>0</v>
      </c>
      <c r="U3" s="168" t="s">
        <v>503</v>
      </c>
      <c r="V3" s="89" t="s">
        <v>26</v>
      </c>
    </row>
    <row r="4" spans="1:24" ht="101.25">
      <c r="A4" s="106" t="s">
        <v>535</v>
      </c>
      <c r="B4" s="168" t="s">
        <v>536</v>
      </c>
      <c r="C4" s="168" t="s">
        <v>537</v>
      </c>
      <c r="D4" s="169" t="s">
        <v>538</v>
      </c>
      <c r="E4" s="81" t="s">
        <v>539</v>
      </c>
      <c r="F4" s="174">
        <v>2026</v>
      </c>
      <c r="G4" s="89"/>
      <c r="H4" s="106" t="s">
        <v>540</v>
      </c>
      <c r="I4" s="171">
        <v>0.6</v>
      </c>
      <c r="J4" s="175">
        <v>26</v>
      </c>
      <c r="K4" s="172"/>
      <c r="L4" s="175">
        <v>80000</v>
      </c>
      <c r="M4" s="145">
        <v>0</v>
      </c>
      <c r="N4" s="145">
        <f>$J4</f>
        <v>26</v>
      </c>
      <c r="O4" s="145">
        <f t="shared" ref="O4:P49" si="1">$K4/2</f>
        <v>0</v>
      </c>
      <c r="P4" s="145">
        <f t="shared" si="1"/>
        <v>0</v>
      </c>
      <c r="Q4" s="145">
        <f t="shared" ref="Q4:T84" si="2">M4*$I4</f>
        <v>0</v>
      </c>
      <c r="R4" s="145">
        <f t="shared" si="0"/>
        <v>15.6</v>
      </c>
      <c r="S4" s="145">
        <f t="shared" si="0"/>
        <v>0</v>
      </c>
      <c r="T4" s="145">
        <f t="shared" si="0"/>
        <v>0</v>
      </c>
      <c r="U4" s="168" t="s">
        <v>396</v>
      </c>
      <c r="V4" s="172" t="s">
        <v>29</v>
      </c>
    </row>
    <row r="5" spans="1:24" ht="90">
      <c r="A5" s="106" t="s">
        <v>541</v>
      </c>
      <c r="B5" s="168" t="s">
        <v>542</v>
      </c>
      <c r="C5" s="168" t="s">
        <v>537</v>
      </c>
      <c r="D5" s="169" t="s">
        <v>543</v>
      </c>
      <c r="E5" s="81" t="s">
        <v>544</v>
      </c>
      <c r="F5" s="174">
        <v>2028</v>
      </c>
      <c r="G5" s="89"/>
      <c r="H5" s="106" t="s">
        <v>545</v>
      </c>
      <c r="I5" s="171">
        <v>0.8</v>
      </c>
      <c r="J5" s="175">
        <f>J4/L4*L5</f>
        <v>22.75</v>
      </c>
      <c r="K5" s="172"/>
      <c r="L5" s="175">
        <v>70000</v>
      </c>
      <c r="M5" s="145">
        <v>0</v>
      </c>
      <c r="N5" s="145">
        <f>$J5</f>
        <v>22.75</v>
      </c>
      <c r="O5" s="145">
        <f t="shared" si="1"/>
        <v>0</v>
      </c>
      <c r="P5" s="145">
        <f t="shared" si="1"/>
        <v>0</v>
      </c>
      <c r="Q5" s="145">
        <f t="shared" si="2"/>
        <v>0</v>
      </c>
      <c r="R5" s="145">
        <f t="shared" si="0"/>
        <v>18.2</v>
      </c>
      <c r="S5" s="145">
        <f t="shared" si="0"/>
        <v>0</v>
      </c>
      <c r="T5" s="145">
        <f t="shared" si="0"/>
        <v>0</v>
      </c>
      <c r="U5" s="168" t="s">
        <v>396</v>
      </c>
      <c r="V5" s="172" t="s">
        <v>29</v>
      </c>
    </row>
    <row r="6" spans="1:24" ht="22.5">
      <c r="A6" s="106" t="s">
        <v>546</v>
      </c>
      <c r="B6" s="168"/>
      <c r="C6" s="168" t="s">
        <v>537</v>
      </c>
      <c r="D6" s="169" t="s">
        <v>547</v>
      </c>
      <c r="E6" s="81" t="s">
        <v>548</v>
      </c>
      <c r="F6" s="170">
        <v>2034</v>
      </c>
      <c r="G6" s="89"/>
      <c r="H6" s="106" t="s">
        <v>188</v>
      </c>
      <c r="I6" s="171">
        <v>0.55000000000000004</v>
      </c>
      <c r="J6" s="176">
        <v>9.64E-2</v>
      </c>
      <c r="K6" s="172"/>
      <c r="L6" s="175">
        <v>292</v>
      </c>
      <c r="M6" s="145">
        <v>0</v>
      </c>
      <c r="N6" s="145">
        <f>$J6</f>
        <v>9.64E-2</v>
      </c>
      <c r="O6" s="145">
        <f t="shared" si="1"/>
        <v>0</v>
      </c>
      <c r="P6" s="145">
        <f t="shared" si="1"/>
        <v>0</v>
      </c>
      <c r="Q6" s="145">
        <f t="shared" si="2"/>
        <v>0</v>
      </c>
      <c r="R6" s="145">
        <f t="shared" si="0"/>
        <v>5.3020000000000005E-2</v>
      </c>
      <c r="S6" s="145">
        <f t="shared" si="0"/>
        <v>0</v>
      </c>
      <c r="T6" s="145">
        <f t="shared" si="0"/>
        <v>0</v>
      </c>
      <c r="U6" s="168" t="s">
        <v>396</v>
      </c>
      <c r="V6" s="172" t="s">
        <v>29</v>
      </c>
    </row>
    <row r="7" spans="1:24" ht="90">
      <c r="A7" s="177" t="s">
        <v>549</v>
      </c>
      <c r="B7" s="178" t="s">
        <v>550</v>
      </c>
      <c r="C7" s="178" t="s">
        <v>537</v>
      </c>
      <c r="D7" s="179" t="s">
        <v>551</v>
      </c>
      <c r="E7" s="98"/>
      <c r="F7" s="180">
        <v>2030</v>
      </c>
      <c r="G7" s="118"/>
      <c r="H7" s="177" t="s">
        <v>552</v>
      </c>
      <c r="I7" s="181">
        <v>0.01</v>
      </c>
      <c r="J7" s="182">
        <v>3.3</v>
      </c>
      <c r="K7" s="183"/>
      <c r="L7" s="175">
        <v>10000</v>
      </c>
      <c r="M7" s="184">
        <v>0</v>
      </c>
      <c r="N7" s="184">
        <f>$J7</f>
        <v>3.3</v>
      </c>
      <c r="O7" s="184">
        <f t="shared" si="1"/>
        <v>0</v>
      </c>
      <c r="P7" s="184">
        <f t="shared" si="1"/>
        <v>0</v>
      </c>
      <c r="Q7" s="184">
        <f t="shared" si="2"/>
        <v>0</v>
      </c>
      <c r="R7" s="184">
        <f t="shared" si="0"/>
        <v>3.3000000000000002E-2</v>
      </c>
      <c r="S7" s="184">
        <f t="shared" si="0"/>
        <v>0</v>
      </c>
      <c r="T7" s="184">
        <f t="shared" si="0"/>
        <v>0</v>
      </c>
      <c r="U7" s="178" t="s">
        <v>396</v>
      </c>
      <c r="V7" s="183" t="s">
        <v>29</v>
      </c>
    </row>
    <row r="8" spans="1:24" ht="135">
      <c r="A8" s="106" t="s">
        <v>553</v>
      </c>
      <c r="B8" s="168" t="s">
        <v>554</v>
      </c>
      <c r="C8" s="168" t="s">
        <v>555</v>
      </c>
      <c r="D8" s="169" t="s">
        <v>556</v>
      </c>
      <c r="E8" s="81" t="s">
        <v>557</v>
      </c>
      <c r="F8" s="174">
        <v>2029</v>
      </c>
      <c r="G8" s="89"/>
      <c r="H8" s="106" t="s">
        <v>558</v>
      </c>
      <c r="I8" s="171">
        <v>0.55000000000000004</v>
      </c>
      <c r="J8" s="175">
        <v>2.6</v>
      </c>
      <c r="K8" s="172"/>
      <c r="L8" s="175">
        <f>100*80</f>
        <v>8000</v>
      </c>
      <c r="M8" s="145">
        <v>0</v>
      </c>
      <c r="N8" s="145">
        <f>$J8</f>
        <v>2.6</v>
      </c>
      <c r="O8" s="145">
        <f t="shared" si="1"/>
        <v>0</v>
      </c>
      <c r="P8" s="145">
        <f t="shared" si="1"/>
        <v>0</v>
      </c>
      <c r="Q8" s="145">
        <f t="shared" si="2"/>
        <v>0</v>
      </c>
      <c r="R8" s="145">
        <f t="shared" si="0"/>
        <v>1.4300000000000002</v>
      </c>
      <c r="S8" s="145">
        <f t="shared" si="0"/>
        <v>0</v>
      </c>
      <c r="T8" s="145">
        <f t="shared" si="0"/>
        <v>0</v>
      </c>
      <c r="U8" s="168" t="s">
        <v>396</v>
      </c>
      <c r="V8" s="172" t="s">
        <v>29</v>
      </c>
    </row>
    <row r="9" spans="1:24" ht="45">
      <c r="A9" s="106" t="s">
        <v>559</v>
      </c>
      <c r="B9" s="168" t="s">
        <v>560</v>
      </c>
      <c r="C9" s="168" t="s">
        <v>555</v>
      </c>
      <c r="D9" s="169" t="s">
        <v>561</v>
      </c>
      <c r="E9" s="81" t="s">
        <v>562</v>
      </c>
      <c r="F9" s="174">
        <v>2025</v>
      </c>
      <c r="G9" s="89"/>
      <c r="H9" s="106" t="s">
        <v>318</v>
      </c>
      <c r="I9" s="171">
        <v>1</v>
      </c>
      <c r="J9" s="175">
        <v>990.75</v>
      </c>
      <c r="K9" s="172"/>
      <c r="L9" s="175">
        <v>3000000</v>
      </c>
      <c r="M9" s="145">
        <f>$J9/2</f>
        <v>495.375</v>
      </c>
      <c r="N9" s="145">
        <f>$J9/2</f>
        <v>495.375</v>
      </c>
      <c r="O9" s="145">
        <f t="shared" si="1"/>
        <v>0</v>
      </c>
      <c r="P9" s="145">
        <f t="shared" si="1"/>
        <v>0</v>
      </c>
      <c r="Q9" s="145">
        <f t="shared" si="2"/>
        <v>495.375</v>
      </c>
      <c r="R9" s="145">
        <f t="shared" si="0"/>
        <v>495.375</v>
      </c>
      <c r="S9" s="145">
        <f t="shared" si="0"/>
        <v>0</v>
      </c>
      <c r="T9" s="145">
        <f t="shared" si="0"/>
        <v>0</v>
      </c>
      <c r="U9" s="168" t="s">
        <v>5</v>
      </c>
      <c r="V9" s="172" t="s">
        <v>26</v>
      </c>
    </row>
    <row r="10" spans="1:24" ht="60">
      <c r="A10" s="185" t="s">
        <v>563</v>
      </c>
      <c r="B10" s="168" t="s">
        <v>564</v>
      </c>
      <c r="C10" s="168" t="s">
        <v>555</v>
      </c>
      <c r="D10" s="169" t="s">
        <v>565</v>
      </c>
      <c r="E10" s="81" t="s">
        <v>566</v>
      </c>
      <c r="F10" s="174">
        <v>2030</v>
      </c>
      <c r="G10" s="89"/>
      <c r="H10" s="106" t="s">
        <v>188</v>
      </c>
      <c r="I10" s="171">
        <v>0.2</v>
      </c>
      <c r="J10" s="175">
        <v>26</v>
      </c>
      <c r="K10" s="172"/>
      <c r="L10" s="175">
        <v>80000</v>
      </c>
      <c r="M10" s="145">
        <v>0</v>
      </c>
      <c r="N10" s="145">
        <f>J10</f>
        <v>26</v>
      </c>
      <c r="O10" s="145">
        <f t="shared" si="1"/>
        <v>0</v>
      </c>
      <c r="P10" s="145">
        <f t="shared" si="1"/>
        <v>0</v>
      </c>
      <c r="Q10" s="145">
        <f t="shared" si="2"/>
        <v>0</v>
      </c>
      <c r="R10" s="145">
        <f t="shared" si="0"/>
        <v>5.2</v>
      </c>
      <c r="S10" s="145">
        <f t="shared" si="0"/>
        <v>0</v>
      </c>
      <c r="T10" s="145">
        <f t="shared" si="0"/>
        <v>0</v>
      </c>
      <c r="U10" s="168" t="s">
        <v>396</v>
      </c>
      <c r="V10" s="172" t="s">
        <v>29</v>
      </c>
    </row>
    <row r="11" spans="1:24" ht="30">
      <c r="A11" s="81" t="s">
        <v>445</v>
      </c>
      <c r="B11" s="81" t="s">
        <v>567</v>
      </c>
      <c r="C11" s="81" t="s">
        <v>555</v>
      </c>
      <c r="D11" s="82" t="s">
        <v>447</v>
      </c>
      <c r="E11" s="83" t="s">
        <v>448</v>
      </c>
      <c r="F11" s="84">
        <v>2032</v>
      </c>
      <c r="G11" s="89"/>
      <c r="H11" s="81" t="s">
        <v>449</v>
      </c>
      <c r="I11" s="86">
        <v>0.25</v>
      </c>
      <c r="J11" s="84">
        <v>23.6</v>
      </c>
      <c r="K11" s="172"/>
      <c r="L11" s="87">
        <f>500000/7</f>
        <v>71428.571428571435</v>
      </c>
      <c r="M11" s="88">
        <v>0</v>
      </c>
      <c r="N11" s="88">
        <f>J11</f>
        <v>23.6</v>
      </c>
      <c r="O11" s="88">
        <f>K11/2</f>
        <v>0</v>
      </c>
      <c r="P11" s="88">
        <f>K11/2</f>
        <v>0</v>
      </c>
      <c r="Q11" s="88">
        <f t="shared" si="2"/>
        <v>0</v>
      </c>
      <c r="R11" s="88">
        <f t="shared" si="2"/>
        <v>5.9</v>
      </c>
      <c r="S11" s="88">
        <f t="shared" si="2"/>
        <v>0</v>
      </c>
      <c r="T11" s="88">
        <f t="shared" si="2"/>
        <v>0</v>
      </c>
      <c r="U11" s="168" t="s">
        <v>396</v>
      </c>
      <c r="V11" s="172" t="s">
        <v>29</v>
      </c>
      <c r="W11" s="90"/>
      <c r="X11" s="90"/>
    </row>
    <row r="12" spans="1:24" ht="45.75">
      <c r="A12" s="186" t="s">
        <v>568</v>
      </c>
      <c r="B12" s="81" t="s">
        <v>569</v>
      </c>
      <c r="C12" s="81" t="s">
        <v>555</v>
      </c>
      <c r="D12" s="82" t="s">
        <v>570</v>
      </c>
      <c r="E12" s="83" t="s">
        <v>448</v>
      </c>
      <c r="F12" s="84">
        <v>2032</v>
      </c>
      <c r="G12" s="89"/>
      <c r="H12" s="81" t="s">
        <v>449</v>
      </c>
      <c r="I12" s="86">
        <v>0.25</v>
      </c>
      <c r="J12" s="84">
        <v>23.6</v>
      </c>
      <c r="K12" s="172"/>
      <c r="L12" s="87">
        <f>500000/7</f>
        <v>71428.571428571435</v>
      </c>
      <c r="M12" s="88">
        <v>0</v>
      </c>
      <c r="N12" s="88">
        <f>J12</f>
        <v>23.6</v>
      </c>
      <c r="O12" s="88">
        <f>K12/2</f>
        <v>0</v>
      </c>
      <c r="P12" s="88">
        <f>K12/2</f>
        <v>0</v>
      </c>
      <c r="Q12" s="88">
        <f t="shared" si="2"/>
        <v>0</v>
      </c>
      <c r="R12" s="88">
        <f t="shared" si="2"/>
        <v>5.9</v>
      </c>
      <c r="S12" s="88">
        <f t="shared" si="2"/>
        <v>0</v>
      </c>
      <c r="T12" s="88">
        <f t="shared" si="2"/>
        <v>0</v>
      </c>
      <c r="U12" s="168" t="s">
        <v>396</v>
      </c>
      <c r="V12" s="172" t="s">
        <v>29</v>
      </c>
      <c r="W12" s="90"/>
      <c r="X12" s="90"/>
    </row>
    <row r="13" spans="1:24" ht="123.75">
      <c r="A13" s="106" t="s">
        <v>571</v>
      </c>
      <c r="B13" s="168" t="s">
        <v>572</v>
      </c>
      <c r="C13" s="168" t="s">
        <v>573</v>
      </c>
      <c r="D13" s="169" t="s">
        <v>574</v>
      </c>
      <c r="E13" s="81"/>
      <c r="F13" s="174">
        <v>2027</v>
      </c>
      <c r="G13" s="89"/>
      <c r="H13" s="106" t="s">
        <v>188</v>
      </c>
      <c r="I13" s="171">
        <v>0.55000000000000004</v>
      </c>
      <c r="J13" s="175">
        <v>36</v>
      </c>
      <c r="K13" s="172"/>
      <c r="L13" s="175">
        <v>110000</v>
      </c>
      <c r="M13" s="145">
        <v>0</v>
      </c>
      <c r="N13" s="145">
        <f>$J13</f>
        <v>36</v>
      </c>
      <c r="O13" s="145">
        <f t="shared" si="1"/>
        <v>0</v>
      </c>
      <c r="P13" s="145">
        <f t="shared" si="1"/>
        <v>0</v>
      </c>
      <c r="Q13" s="145">
        <f t="shared" si="2"/>
        <v>0</v>
      </c>
      <c r="R13" s="145">
        <f t="shared" si="0"/>
        <v>19.8</v>
      </c>
      <c r="S13" s="145">
        <f t="shared" si="0"/>
        <v>0</v>
      </c>
      <c r="T13" s="145">
        <f t="shared" si="0"/>
        <v>0</v>
      </c>
      <c r="U13" s="168" t="s">
        <v>7</v>
      </c>
      <c r="V13" s="172" t="s">
        <v>575</v>
      </c>
    </row>
    <row r="14" spans="1:24" ht="78.75">
      <c r="A14" s="106" t="s">
        <v>576</v>
      </c>
      <c r="B14" s="168" t="s">
        <v>577</v>
      </c>
      <c r="C14" s="168" t="s">
        <v>573</v>
      </c>
      <c r="D14" s="169" t="s">
        <v>578</v>
      </c>
      <c r="E14" s="81" t="s">
        <v>579</v>
      </c>
      <c r="F14" s="174">
        <v>2028</v>
      </c>
      <c r="G14" s="89"/>
      <c r="H14" s="106" t="s">
        <v>188</v>
      </c>
      <c r="I14" s="171">
        <v>0.55000000000000004</v>
      </c>
      <c r="J14" s="175">
        <v>27</v>
      </c>
      <c r="K14" s="172"/>
      <c r="L14" s="175">
        <v>82000</v>
      </c>
      <c r="M14" s="145"/>
      <c r="N14" s="145">
        <f>$J14</f>
        <v>27</v>
      </c>
      <c r="O14" s="145">
        <f t="shared" si="1"/>
        <v>0</v>
      </c>
      <c r="P14" s="145">
        <f t="shared" si="1"/>
        <v>0</v>
      </c>
      <c r="Q14" s="145">
        <f t="shared" si="2"/>
        <v>0</v>
      </c>
      <c r="R14" s="145">
        <f t="shared" si="0"/>
        <v>14.850000000000001</v>
      </c>
      <c r="S14" s="145">
        <f t="shared" si="0"/>
        <v>0</v>
      </c>
      <c r="T14" s="145">
        <f t="shared" si="0"/>
        <v>0</v>
      </c>
      <c r="U14" s="168" t="s">
        <v>6</v>
      </c>
      <c r="V14" s="172" t="s">
        <v>27</v>
      </c>
    </row>
    <row r="15" spans="1:24" ht="75">
      <c r="A15" s="106" t="s">
        <v>580</v>
      </c>
      <c r="B15" s="168" t="s">
        <v>581</v>
      </c>
      <c r="C15" s="168" t="s">
        <v>573</v>
      </c>
      <c r="D15" s="169" t="s">
        <v>582</v>
      </c>
      <c r="E15" s="81" t="s">
        <v>583</v>
      </c>
      <c r="F15" s="174">
        <v>2030</v>
      </c>
      <c r="G15" s="89"/>
      <c r="H15" s="106" t="s">
        <v>188</v>
      </c>
      <c r="I15" s="171">
        <v>0.55000000000000004</v>
      </c>
      <c r="J15" s="175">
        <v>10</v>
      </c>
      <c r="K15" s="172"/>
      <c r="L15" s="175">
        <v>30000</v>
      </c>
      <c r="M15" s="145"/>
      <c r="N15" s="145">
        <f>$J15</f>
        <v>10</v>
      </c>
      <c r="O15" s="145">
        <f t="shared" si="1"/>
        <v>0</v>
      </c>
      <c r="P15" s="145">
        <f t="shared" si="1"/>
        <v>0</v>
      </c>
      <c r="Q15" s="145">
        <f t="shared" si="2"/>
        <v>0</v>
      </c>
      <c r="R15" s="145">
        <f t="shared" si="0"/>
        <v>5.5</v>
      </c>
      <c r="S15" s="145">
        <f t="shared" si="0"/>
        <v>0</v>
      </c>
      <c r="T15" s="145">
        <f t="shared" si="0"/>
        <v>0</v>
      </c>
      <c r="U15" s="168" t="s">
        <v>6</v>
      </c>
      <c r="V15" s="172" t="s">
        <v>27</v>
      </c>
    </row>
    <row r="16" spans="1:24" ht="45">
      <c r="A16" s="81" t="s">
        <v>584</v>
      </c>
      <c r="B16" s="81" t="s">
        <v>585</v>
      </c>
      <c r="C16" s="81" t="s">
        <v>573</v>
      </c>
      <c r="D16" s="82" t="s">
        <v>586</v>
      </c>
      <c r="E16" s="83" t="s">
        <v>448</v>
      </c>
      <c r="F16" s="84"/>
      <c r="G16" s="89"/>
      <c r="H16" s="81" t="s">
        <v>449</v>
      </c>
      <c r="I16" s="86">
        <v>0.25</v>
      </c>
      <c r="J16" s="84">
        <v>23.6</v>
      </c>
      <c r="K16" s="172"/>
      <c r="L16" s="87">
        <f>500000/7</f>
        <v>71428.571428571435</v>
      </c>
      <c r="M16" s="88">
        <v>0</v>
      </c>
      <c r="N16" s="88">
        <f>J16</f>
        <v>23.6</v>
      </c>
      <c r="O16" s="88">
        <f>K16/2</f>
        <v>0</v>
      </c>
      <c r="P16" s="88">
        <f>K16/2</f>
        <v>0</v>
      </c>
      <c r="Q16" s="88">
        <f>M16*$I16</f>
        <v>0</v>
      </c>
      <c r="R16" s="88">
        <f t="shared" si="0"/>
        <v>5.9</v>
      </c>
      <c r="S16" s="88">
        <f t="shared" si="0"/>
        <v>0</v>
      </c>
      <c r="T16" s="88">
        <f t="shared" si="0"/>
        <v>0</v>
      </c>
      <c r="U16" s="168" t="s">
        <v>396</v>
      </c>
      <c r="V16" s="89" t="s">
        <v>29</v>
      </c>
      <c r="W16" s="90"/>
      <c r="X16" s="90"/>
    </row>
    <row r="17" spans="1:24" ht="45">
      <c r="A17" s="81" t="s">
        <v>587</v>
      </c>
      <c r="B17" s="81" t="s">
        <v>588</v>
      </c>
      <c r="C17" s="81" t="s">
        <v>573</v>
      </c>
      <c r="D17" s="82" t="s">
        <v>586</v>
      </c>
      <c r="E17" s="83" t="s">
        <v>448</v>
      </c>
      <c r="F17" s="84"/>
      <c r="G17" s="89"/>
      <c r="H17" s="81" t="s">
        <v>449</v>
      </c>
      <c r="I17" s="86">
        <v>0.25</v>
      </c>
      <c r="J17" s="84">
        <v>23.6</v>
      </c>
      <c r="K17" s="172"/>
      <c r="L17" s="87">
        <f>500000/7</f>
        <v>71428.571428571435</v>
      </c>
      <c r="M17" s="88">
        <v>0</v>
      </c>
      <c r="N17" s="88">
        <f>J17</f>
        <v>23.6</v>
      </c>
      <c r="O17" s="88">
        <f>K17/2</f>
        <v>0</v>
      </c>
      <c r="P17" s="88">
        <f>K17/2</f>
        <v>0</v>
      </c>
      <c r="Q17" s="88">
        <f>M17*$I17</f>
        <v>0</v>
      </c>
      <c r="R17" s="88">
        <f t="shared" si="0"/>
        <v>5.9</v>
      </c>
      <c r="S17" s="88">
        <f t="shared" si="0"/>
        <v>0</v>
      </c>
      <c r="T17" s="88">
        <f t="shared" si="0"/>
        <v>0</v>
      </c>
      <c r="U17" s="168" t="s">
        <v>396</v>
      </c>
      <c r="V17" s="89" t="s">
        <v>29</v>
      </c>
      <c r="W17" s="90"/>
      <c r="X17" s="90"/>
    </row>
    <row r="18" spans="1:24" ht="30">
      <c r="A18" s="81" t="s">
        <v>589</v>
      </c>
      <c r="B18" s="81" t="s">
        <v>590</v>
      </c>
      <c r="C18" s="81" t="s">
        <v>573</v>
      </c>
      <c r="D18" s="82" t="s">
        <v>586</v>
      </c>
      <c r="E18" s="83" t="s">
        <v>448</v>
      </c>
      <c r="F18" s="84"/>
      <c r="G18" s="89"/>
      <c r="H18" s="81" t="s">
        <v>449</v>
      </c>
      <c r="I18" s="86">
        <v>0.25</v>
      </c>
      <c r="J18" s="84">
        <v>23.6</v>
      </c>
      <c r="K18" s="172"/>
      <c r="L18" s="87">
        <f>500000/7</f>
        <v>71428.571428571435</v>
      </c>
      <c r="M18" s="88">
        <v>0</v>
      </c>
      <c r="N18" s="88">
        <f>J18</f>
        <v>23.6</v>
      </c>
      <c r="O18" s="88">
        <f>K18/2</f>
        <v>0</v>
      </c>
      <c r="P18" s="88">
        <f>K18/2</f>
        <v>0</v>
      </c>
      <c r="Q18" s="88">
        <f>M18*$I18</f>
        <v>0</v>
      </c>
      <c r="R18" s="88">
        <f t="shared" si="0"/>
        <v>5.9</v>
      </c>
      <c r="S18" s="88">
        <f t="shared" si="0"/>
        <v>0</v>
      </c>
      <c r="T18" s="88">
        <f t="shared" si="0"/>
        <v>0</v>
      </c>
      <c r="U18" s="168" t="s">
        <v>396</v>
      </c>
      <c r="V18" s="89" t="s">
        <v>29</v>
      </c>
      <c r="W18" s="90"/>
      <c r="X18" s="90"/>
    </row>
    <row r="19" spans="1:24" ht="60">
      <c r="A19" s="81" t="s">
        <v>591</v>
      </c>
      <c r="B19" s="81" t="s">
        <v>592</v>
      </c>
      <c r="C19" s="81" t="s">
        <v>573</v>
      </c>
      <c r="D19" s="82" t="s">
        <v>586</v>
      </c>
      <c r="E19" s="83" t="s">
        <v>448</v>
      </c>
      <c r="F19" s="84"/>
      <c r="G19" s="89"/>
      <c r="H19" s="81" t="s">
        <v>449</v>
      </c>
      <c r="I19" s="86">
        <v>0.25</v>
      </c>
      <c r="J19" s="84">
        <v>23.6</v>
      </c>
      <c r="K19" s="172"/>
      <c r="L19" s="87">
        <f>500000/7</f>
        <v>71428.571428571435</v>
      </c>
      <c r="M19" s="88">
        <v>0</v>
      </c>
      <c r="N19" s="88">
        <f>J19</f>
        <v>23.6</v>
      </c>
      <c r="O19" s="88">
        <f>K19/2</f>
        <v>0</v>
      </c>
      <c r="P19" s="88">
        <f>K19/2</f>
        <v>0</v>
      </c>
      <c r="Q19" s="88">
        <f>M19*$I19</f>
        <v>0</v>
      </c>
      <c r="R19" s="88">
        <f t="shared" ref="R19:T34" si="3">N19*$I19</f>
        <v>5.9</v>
      </c>
      <c r="S19" s="88">
        <f t="shared" si="3"/>
        <v>0</v>
      </c>
      <c r="T19" s="88">
        <f t="shared" si="3"/>
        <v>0</v>
      </c>
      <c r="U19" s="168" t="s">
        <v>396</v>
      </c>
      <c r="V19" s="89" t="s">
        <v>29</v>
      </c>
      <c r="W19" s="90"/>
      <c r="X19" s="90"/>
    </row>
    <row r="20" spans="1:24" ht="135">
      <c r="A20" s="106" t="s">
        <v>593</v>
      </c>
      <c r="B20" s="168" t="s">
        <v>594</v>
      </c>
      <c r="C20" s="168" t="s">
        <v>573</v>
      </c>
      <c r="D20" s="169" t="s">
        <v>595</v>
      </c>
      <c r="E20" s="81" t="s">
        <v>596</v>
      </c>
      <c r="F20" s="174">
        <v>2025</v>
      </c>
      <c r="G20" s="89">
        <v>2027</v>
      </c>
      <c r="H20" s="106" t="s">
        <v>133</v>
      </c>
      <c r="I20" s="171">
        <v>0.75</v>
      </c>
      <c r="J20" s="175">
        <v>69</v>
      </c>
      <c r="K20" s="172">
        <v>94</v>
      </c>
      <c r="L20" s="175">
        <v>210000</v>
      </c>
      <c r="M20" s="145">
        <f>J20/4</f>
        <v>17.25</v>
      </c>
      <c r="N20" s="145">
        <f>J20</f>
        <v>69</v>
      </c>
      <c r="O20" s="145">
        <f t="shared" si="1"/>
        <v>47</v>
      </c>
      <c r="P20" s="145">
        <f t="shared" si="1"/>
        <v>47</v>
      </c>
      <c r="Q20" s="145">
        <f>M20*$I20</f>
        <v>12.9375</v>
      </c>
      <c r="R20" s="145">
        <f t="shared" si="3"/>
        <v>51.75</v>
      </c>
      <c r="S20" s="145">
        <f>M20</f>
        <v>17.25</v>
      </c>
      <c r="T20" s="145">
        <f>K20</f>
        <v>94</v>
      </c>
      <c r="U20" s="168" t="s">
        <v>5</v>
      </c>
      <c r="V20" s="172" t="s">
        <v>26</v>
      </c>
    </row>
    <row r="21" spans="1:24">
      <c r="A21" s="106" t="s">
        <v>593</v>
      </c>
      <c r="B21" s="168" t="s">
        <v>597</v>
      </c>
      <c r="C21" s="168" t="s">
        <v>573</v>
      </c>
      <c r="D21" s="169"/>
      <c r="E21" s="81"/>
      <c r="F21" s="174">
        <v>2024</v>
      </c>
      <c r="G21" s="89"/>
      <c r="H21" s="106" t="s">
        <v>318</v>
      </c>
      <c r="I21" s="171">
        <v>1</v>
      </c>
      <c r="J21" s="175">
        <f>1000*42*365/1000000</f>
        <v>15.33</v>
      </c>
      <c r="K21" s="172"/>
      <c r="L21" s="187">
        <v>46000</v>
      </c>
      <c r="M21" s="145">
        <f>$J21/2</f>
        <v>7.665</v>
      </c>
      <c r="N21" s="145">
        <f>$J21/2</f>
        <v>7.665</v>
      </c>
      <c r="O21" s="145">
        <f t="shared" si="1"/>
        <v>0</v>
      </c>
      <c r="P21" s="145">
        <f t="shared" si="1"/>
        <v>0</v>
      </c>
      <c r="Q21" s="145">
        <f t="shared" si="2"/>
        <v>7.665</v>
      </c>
      <c r="R21" s="145">
        <f t="shared" si="3"/>
        <v>7.665</v>
      </c>
      <c r="S21" s="145">
        <f t="shared" si="3"/>
        <v>0</v>
      </c>
      <c r="T21" s="145">
        <f t="shared" si="3"/>
        <v>0</v>
      </c>
      <c r="U21" s="168" t="s">
        <v>503</v>
      </c>
      <c r="V21" s="172" t="s">
        <v>26</v>
      </c>
    </row>
    <row r="22" spans="1:24" ht="45">
      <c r="A22" s="106" t="s">
        <v>593</v>
      </c>
      <c r="B22" s="168" t="s">
        <v>598</v>
      </c>
      <c r="C22" s="168" t="s">
        <v>573</v>
      </c>
      <c r="D22" s="169" t="s">
        <v>599</v>
      </c>
      <c r="E22" s="81" t="s">
        <v>600</v>
      </c>
      <c r="F22" s="174">
        <v>2025</v>
      </c>
      <c r="G22" s="89"/>
      <c r="H22" s="106" t="s">
        <v>318</v>
      </c>
      <c r="I22" s="171">
        <v>1</v>
      </c>
      <c r="J22" s="175">
        <f>1000*42*365/1000000</f>
        <v>15.33</v>
      </c>
      <c r="K22" s="172"/>
      <c r="L22" s="187">
        <v>46000</v>
      </c>
      <c r="M22" s="145">
        <f>$J22/2</f>
        <v>7.665</v>
      </c>
      <c r="N22" s="145">
        <f>$J22/2</f>
        <v>7.665</v>
      </c>
      <c r="O22" s="145">
        <f t="shared" si="1"/>
        <v>0</v>
      </c>
      <c r="P22" s="145">
        <f t="shared" si="1"/>
        <v>0</v>
      </c>
      <c r="Q22" s="145">
        <f t="shared" si="2"/>
        <v>7.665</v>
      </c>
      <c r="R22" s="145">
        <f t="shared" si="3"/>
        <v>7.665</v>
      </c>
      <c r="S22" s="145">
        <f t="shared" si="3"/>
        <v>0</v>
      </c>
      <c r="T22" s="145">
        <f t="shared" si="3"/>
        <v>0</v>
      </c>
      <c r="U22" s="168" t="s">
        <v>503</v>
      </c>
      <c r="V22" s="172" t="s">
        <v>26</v>
      </c>
    </row>
    <row r="23" spans="1:24" ht="45">
      <c r="A23" s="106" t="s">
        <v>601</v>
      </c>
      <c r="B23" s="168" t="s">
        <v>602</v>
      </c>
      <c r="C23" s="168" t="s">
        <v>573</v>
      </c>
      <c r="D23" s="169" t="s">
        <v>603</v>
      </c>
      <c r="E23" s="81"/>
      <c r="F23" s="174">
        <v>2025</v>
      </c>
      <c r="G23" s="89"/>
      <c r="H23" s="106" t="s">
        <v>188</v>
      </c>
      <c r="I23" s="171">
        <v>0.55000000000000004</v>
      </c>
      <c r="J23" s="175">
        <v>66</v>
      </c>
      <c r="K23" s="172"/>
      <c r="L23" s="175">
        <v>200000</v>
      </c>
      <c r="M23" s="145">
        <v>0</v>
      </c>
      <c r="N23" s="145">
        <f>$J23</f>
        <v>66</v>
      </c>
      <c r="O23" s="145">
        <f t="shared" si="1"/>
        <v>0</v>
      </c>
      <c r="P23" s="145">
        <f t="shared" si="1"/>
        <v>0</v>
      </c>
      <c r="Q23" s="145">
        <f t="shared" si="2"/>
        <v>0</v>
      </c>
      <c r="R23" s="145">
        <f t="shared" si="3"/>
        <v>36.300000000000004</v>
      </c>
      <c r="S23" s="145">
        <f t="shared" si="3"/>
        <v>0</v>
      </c>
      <c r="T23" s="145">
        <f t="shared" si="3"/>
        <v>0</v>
      </c>
      <c r="U23" s="168" t="s">
        <v>7</v>
      </c>
      <c r="V23" s="172" t="s">
        <v>575</v>
      </c>
    </row>
    <row r="24" spans="1:24" ht="45">
      <c r="A24" s="106" t="s">
        <v>604</v>
      </c>
      <c r="B24" s="168" t="s">
        <v>605</v>
      </c>
      <c r="C24" s="168" t="s">
        <v>573</v>
      </c>
      <c r="D24" s="169" t="s">
        <v>606</v>
      </c>
      <c r="E24" s="81" t="s">
        <v>607</v>
      </c>
      <c r="F24" s="174">
        <v>2026</v>
      </c>
      <c r="G24" s="89"/>
      <c r="H24" s="106" t="s">
        <v>545</v>
      </c>
      <c r="I24" s="171">
        <v>0.8</v>
      </c>
      <c r="J24" s="175">
        <f>L24*330.25/1000000</f>
        <v>18.16375</v>
      </c>
      <c r="K24" s="172"/>
      <c r="L24" s="175">
        <v>55000</v>
      </c>
      <c r="M24" s="145">
        <f>$J24/2</f>
        <v>9.0818750000000001</v>
      </c>
      <c r="N24" s="145">
        <f>$J24/2</f>
        <v>9.0818750000000001</v>
      </c>
      <c r="O24" s="145">
        <f t="shared" si="1"/>
        <v>0</v>
      </c>
      <c r="P24" s="145">
        <f t="shared" si="1"/>
        <v>0</v>
      </c>
      <c r="Q24" s="145">
        <f t="shared" si="2"/>
        <v>7.2655000000000003</v>
      </c>
      <c r="R24" s="145">
        <f t="shared" si="3"/>
        <v>7.2655000000000003</v>
      </c>
      <c r="S24" s="145">
        <f t="shared" si="3"/>
        <v>0</v>
      </c>
      <c r="T24" s="145">
        <f t="shared" si="3"/>
        <v>0</v>
      </c>
      <c r="U24" s="168" t="s">
        <v>396</v>
      </c>
      <c r="V24" s="172" t="s">
        <v>29</v>
      </c>
    </row>
    <row r="25" spans="1:24" ht="22.5">
      <c r="A25" s="106" t="s">
        <v>608</v>
      </c>
      <c r="B25" s="168" t="s">
        <v>609</v>
      </c>
      <c r="C25" s="168" t="s">
        <v>573</v>
      </c>
      <c r="D25" s="169" t="s">
        <v>610</v>
      </c>
      <c r="E25" s="81" t="s">
        <v>611</v>
      </c>
      <c r="F25" s="174">
        <v>2029</v>
      </c>
      <c r="G25" s="89"/>
      <c r="H25" s="106" t="s">
        <v>612</v>
      </c>
      <c r="I25" s="171">
        <v>0.55000000000000004</v>
      </c>
      <c r="J25" s="175">
        <f>L25*330.25/1000000</f>
        <v>10.568</v>
      </c>
      <c r="K25" s="172"/>
      <c r="L25" s="175">
        <v>32000</v>
      </c>
      <c r="M25" s="145">
        <v>0</v>
      </c>
      <c r="N25" s="145">
        <f>$J25</f>
        <v>10.568</v>
      </c>
      <c r="O25" s="145">
        <f t="shared" si="1"/>
        <v>0</v>
      </c>
      <c r="P25" s="145">
        <f t="shared" si="1"/>
        <v>0</v>
      </c>
      <c r="Q25" s="145">
        <f t="shared" si="2"/>
        <v>0</v>
      </c>
      <c r="R25" s="145">
        <f t="shared" si="3"/>
        <v>5.8124000000000002</v>
      </c>
      <c r="S25" s="145">
        <f t="shared" si="3"/>
        <v>0</v>
      </c>
      <c r="T25" s="145">
        <f t="shared" si="3"/>
        <v>0</v>
      </c>
      <c r="U25" s="168" t="s">
        <v>6</v>
      </c>
      <c r="V25" s="172" t="s">
        <v>27</v>
      </c>
    </row>
    <row r="26" spans="1:24" ht="78.75">
      <c r="A26" s="106" t="s">
        <v>613</v>
      </c>
      <c r="B26" s="168" t="s">
        <v>614</v>
      </c>
      <c r="C26" s="168" t="s">
        <v>573</v>
      </c>
      <c r="D26" s="169" t="s">
        <v>615</v>
      </c>
      <c r="E26" s="81" t="s">
        <v>616</v>
      </c>
      <c r="F26" s="174">
        <v>2030</v>
      </c>
      <c r="G26" s="89"/>
      <c r="H26" s="106" t="s">
        <v>188</v>
      </c>
      <c r="I26" s="171">
        <v>0.55000000000000004</v>
      </c>
      <c r="J26" s="175">
        <v>23.777999999999999</v>
      </c>
      <c r="K26" s="172"/>
      <c r="L26" s="175">
        <v>72000</v>
      </c>
      <c r="M26" s="145">
        <v>0</v>
      </c>
      <c r="N26" s="145">
        <f>$J26</f>
        <v>23.777999999999999</v>
      </c>
      <c r="O26" s="145">
        <f t="shared" si="1"/>
        <v>0</v>
      </c>
      <c r="P26" s="145">
        <f t="shared" si="1"/>
        <v>0</v>
      </c>
      <c r="Q26" s="145">
        <f t="shared" si="2"/>
        <v>0</v>
      </c>
      <c r="R26" s="145">
        <f t="shared" si="3"/>
        <v>13.0779</v>
      </c>
      <c r="S26" s="145">
        <f t="shared" si="3"/>
        <v>0</v>
      </c>
      <c r="T26" s="145">
        <f t="shared" si="3"/>
        <v>0</v>
      </c>
      <c r="U26" s="168" t="s">
        <v>396</v>
      </c>
      <c r="V26" s="172" t="s">
        <v>29</v>
      </c>
    </row>
    <row r="27" spans="1:24" ht="45">
      <c r="A27" s="106" t="s">
        <v>617</v>
      </c>
      <c r="B27" s="168" t="s">
        <v>618</v>
      </c>
      <c r="C27" s="168" t="s">
        <v>573</v>
      </c>
      <c r="D27" s="169" t="s">
        <v>619</v>
      </c>
      <c r="E27" s="81"/>
      <c r="F27" s="174">
        <v>2031</v>
      </c>
      <c r="G27" s="89"/>
      <c r="H27" s="106" t="s">
        <v>188</v>
      </c>
      <c r="I27" s="171">
        <v>0.55000000000000004</v>
      </c>
      <c r="J27" s="175">
        <f>L27*330.25/1000000</f>
        <v>26.42</v>
      </c>
      <c r="K27" s="172"/>
      <c r="L27" s="175">
        <v>80000</v>
      </c>
      <c r="M27" s="145">
        <v>0</v>
      </c>
      <c r="N27" s="145">
        <f>$J27</f>
        <v>26.42</v>
      </c>
      <c r="O27" s="145">
        <f t="shared" si="1"/>
        <v>0</v>
      </c>
      <c r="P27" s="145">
        <f t="shared" si="1"/>
        <v>0</v>
      </c>
      <c r="Q27" s="145">
        <f t="shared" si="2"/>
        <v>0</v>
      </c>
      <c r="R27" s="145">
        <f t="shared" si="3"/>
        <v>14.531000000000002</v>
      </c>
      <c r="S27" s="145">
        <f t="shared" si="3"/>
        <v>0</v>
      </c>
      <c r="T27" s="145">
        <f t="shared" si="3"/>
        <v>0</v>
      </c>
      <c r="U27" s="168" t="s">
        <v>396</v>
      </c>
      <c r="V27" s="172" t="s">
        <v>29</v>
      </c>
    </row>
    <row r="28" spans="1:24" ht="135">
      <c r="A28" s="106" t="s">
        <v>620</v>
      </c>
      <c r="B28" s="168" t="s">
        <v>621</v>
      </c>
      <c r="C28" s="168" t="s">
        <v>573</v>
      </c>
      <c r="D28" s="169" t="s">
        <v>622</v>
      </c>
      <c r="E28" s="81"/>
      <c r="F28" s="174">
        <v>2029</v>
      </c>
      <c r="G28" s="89"/>
      <c r="H28" s="106" t="s">
        <v>188</v>
      </c>
      <c r="I28" s="171">
        <v>0.55000000000000004</v>
      </c>
      <c r="J28" s="175">
        <v>23.117999999999999</v>
      </c>
      <c r="K28" s="172"/>
      <c r="L28" s="175">
        <v>70000</v>
      </c>
      <c r="M28" s="145">
        <v>0</v>
      </c>
      <c r="N28" s="145">
        <f>$J28</f>
        <v>23.117999999999999</v>
      </c>
      <c r="O28" s="145">
        <f t="shared" si="1"/>
        <v>0</v>
      </c>
      <c r="P28" s="145">
        <f t="shared" si="1"/>
        <v>0</v>
      </c>
      <c r="Q28" s="145">
        <f t="shared" si="2"/>
        <v>0</v>
      </c>
      <c r="R28" s="145">
        <f t="shared" si="3"/>
        <v>12.7149</v>
      </c>
      <c r="S28" s="145">
        <f t="shared" si="3"/>
        <v>0</v>
      </c>
      <c r="T28" s="145">
        <f t="shared" si="3"/>
        <v>0</v>
      </c>
      <c r="U28" s="168" t="s">
        <v>396</v>
      </c>
      <c r="V28" s="172" t="s">
        <v>29</v>
      </c>
    </row>
    <row r="29" spans="1:24" ht="90">
      <c r="A29" s="106" t="s">
        <v>623</v>
      </c>
      <c r="B29" s="168" t="s">
        <v>624</v>
      </c>
      <c r="C29" s="168" t="s">
        <v>573</v>
      </c>
      <c r="D29" s="169" t="s">
        <v>625</v>
      </c>
      <c r="E29" s="81"/>
      <c r="F29" s="174">
        <v>2028</v>
      </c>
      <c r="G29" s="89"/>
      <c r="H29" s="106" t="s">
        <v>188</v>
      </c>
      <c r="I29" s="171">
        <v>0.55000000000000004</v>
      </c>
      <c r="J29" s="175">
        <v>49.5</v>
      </c>
      <c r="K29" s="172"/>
      <c r="L29" s="187">
        <v>150000</v>
      </c>
      <c r="M29" s="145">
        <v>0</v>
      </c>
      <c r="N29" s="145">
        <f>$J29</f>
        <v>49.5</v>
      </c>
      <c r="O29" s="145">
        <f t="shared" si="1"/>
        <v>0</v>
      </c>
      <c r="P29" s="145">
        <f t="shared" si="1"/>
        <v>0</v>
      </c>
      <c r="Q29" s="145">
        <f t="shared" si="2"/>
        <v>0</v>
      </c>
      <c r="R29" s="145">
        <f t="shared" si="3"/>
        <v>27.225000000000001</v>
      </c>
      <c r="S29" s="145">
        <f t="shared" si="3"/>
        <v>0</v>
      </c>
      <c r="T29" s="145">
        <f t="shared" si="3"/>
        <v>0</v>
      </c>
      <c r="U29" s="168" t="s">
        <v>396</v>
      </c>
      <c r="V29" s="172" t="s">
        <v>29</v>
      </c>
    </row>
    <row r="30" spans="1:24" ht="30">
      <c r="A30" s="177" t="s">
        <v>626</v>
      </c>
      <c r="B30" s="178" t="s">
        <v>627</v>
      </c>
      <c r="C30" s="178" t="s">
        <v>628</v>
      </c>
      <c r="D30" s="188" t="s">
        <v>629</v>
      </c>
      <c r="E30" s="177"/>
      <c r="F30" s="180">
        <v>2026</v>
      </c>
      <c r="G30" s="89"/>
      <c r="H30" s="177" t="s">
        <v>630</v>
      </c>
      <c r="I30" s="171">
        <v>0.01</v>
      </c>
      <c r="J30" s="178">
        <v>5</v>
      </c>
      <c r="K30" s="172"/>
      <c r="L30" s="178">
        <v>15000</v>
      </c>
      <c r="M30" s="145">
        <f>$J30/2</f>
        <v>2.5</v>
      </c>
      <c r="N30" s="145">
        <f>$J30/2</f>
        <v>2.5</v>
      </c>
      <c r="O30" s="145">
        <f t="shared" si="1"/>
        <v>0</v>
      </c>
      <c r="P30" s="145">
        <f t="shared" si="1"/>
        <v>0</v>
      </c>
      <c r="Q30" s="145">
        <f t="shared" si="2"/>
        <v>2.5000000000000001E-2</v>
      </c>
      <c r="R30" s="145">
        <f t="shared" si="3"/>
        <v>2.5000000000000001E-2</v>
      </c>
      <c r="S30" s="145">
        <f t="shared" si="3"/>
        <v>0</v>
      </c>
      <c r="T30" s="145">
        <f t="shared" si="3"/>
        <v>0</v>
      </c>
      <c r="U30" s="178" t="s">
        <v>396</v>
      </c>
      <c r="V30" s="172" t="s">
        <v>29</v>
      </c>
    </row>
    <row r="31" spans="1:24" ht="45">
      <c r="A31" s="106" t="s">
        <v>631</v>
      </c>
      <c r="B31" s="168" t="s">
        <v>627</v>
      </c>
      <c r="C31" s="168" t="s">
        <v>628</v>
      </c>
      <c r="D31" s="169" t="s">
        <v>632</v>
      </c>
      <c r="E31" s="81" t="s">
        <v>633</v>
      </c>
      <c r="F31" s="174">
        <v>2027</v>
      </c>
      <c r="G31" s="89"/>
      <c r="H31" s="106" t="s">
        <v>634</v>
      </c>
      <c r="I31" s="171">
        <v>0.55000000000000004</v>
      </c>
      <c r="J31" s="175">
        <v>72.655000000000001</v>
      </c>
      <c r="K31" s="172"/>
      <c r="L31" s="175">
        <v>220000</v>
      </c>
      <c r="M31" s="145">
        <f>$J31/2</f>
        <v>36.327500000000001</v>
      </c>
      <c r="N31" s="145">
        <f>$J31/2</f>
        <v>36.327500000000001</v>
      </c>
      <c r="O31" s="145">
        <f t="shared" si="1"/>
        <v>0</v>
      </c>
      <c r="P31" s="145">
        <f t="shared" si="1"/>
        <v>0</v>
      </c>
      <c r="Q31" s="145">
        <f t="shared" si="2"/>
        <v>19.980125000000001</v>
      </c>
      <c r="R31" s="145">
        <f t="shared" si="3"/>
        <v>19.980125000000001</v>
      </c>
      <c r="S31" s="145">
        <f t="shared" si="3"/>
        <v>0</v>
      </c>
      <c r="T31" s="145">
        <f t="shared" si="3"/>
        <v>0</v>
      </c>
      <c r="U31" s="168" t="s">
        <v>5</v>
      </c>
      <c r="V31" s="172" t="s">
        <v>30</v>
      </c>
    </row>
    <row r="32" spans="1:24" ht="90">
      <c r="A32" s="106" t="s">
        <v>635</v>
      </c>
      <c r="B32" s="168" t="s">
        <v>636</v>
      </c>
      <c r="C32" s="168" t="s">
        <v>628</v>
      </c>
      <c r="D32" s="169" t="s">
        <v>637</v>
      </c>
      <c r="E32" s="81"/>
      <c r="F32" s="174">
        <v>2026</v>
      </c>
      <c r="G32" s="89"/>
      <c r="H32" s="106" t="s">
        <v>188</v>
      </c>
      <c r="I32" s="171">
        <v>0.55000000000000004</v>
      </c>
      <c r="J32" s="175">
        <v>19.8</v>
      </c>
      <c r="K32" s="172"/>
      <c r="L32" s="175">
        <v>60000</v>
      </c>
      <c r="M32" s="145">
        <v>0</v>
      </c>
      <c r="N32" s="145">
        <f t="shared" ref="N32:N37" si="4">$J32</f>
        <v>19.8</v>
      </c>
      <c r="O32" s="145">
        <f t="shared" si="1"/>
        <v>0</v>
      </c>
      <c r="P32" s="145">
        <f t="shared" si="1"/>
        <v>0</v>
      </c>
      <c r="Q32" s="145">
        <f t="shared" si="2"/>
        <v>0</v>
      </c>
      <c r="R32" s="145">
        <f t="shared" si="3"/>
        <v>10.89</v>
      </c>
      <c r="S32" s="145">
        <f t="shared" si="3"/>
        <v>0</v>
      </c>
      <c r="T32" s="145">
        <f t="shared" si="3"/>
        <v>0</v>
      </c>
      <c r="U32" s="168" t="s">
        <v>6</v>
      </c>
      <c r="V32" s="172" t="s">
        <v>27</v>
      </c>
    </row>
    <row r="33" spans="1:22" ht="202.5">
      <c r="A33" s="106" t="s">
        <v>638</v>
      </c>
      <c r="B33" s="168" t="s">
        <v>639</v>
      </c>
      <c r="C33" s="168" t="s">
        <v>628</v>
      </c>
      <c r="D33" s="169" t="s">
        <v>640</v>
      </c>
      <c r="E33" s="81"/>
      <c r="F33" s="174">
        <v>2026</v>
      </c>
      <c r="G33" s="89"/>
      <c r="H33" s="106" t="s">
        <v>188</v>
      </c>
      <c r="I33" s="171">
        <v>0.55000000000000004</v>
      </c>
      <c r="J33" s="175">
        <v>26.4</v>
      </c>
      <c r="K33" s="172"/>
      <c r="L33" s="175">
        <v>80000</v>
      </c>
      <c r="M33" s="145">
        <v>0</v>
      </c>
      <c r="N33" s="145">
        <f t="shared" si="4"/>
        <v>26.4</v>
      </c>
      <c r="O33" s="145">
        <f t="shared" si="1"/>
        <v>0</v>
      </c>
      <c r="P33" s="145">
        <f t="shared" si="1"/>
        <v>0</v>
      </c>
      <c r="Q33" s="145">
        <f t="shared" si="2"/>
        <v>0</v>
      </c>
      <c r="R33" s="145">
        <f t="shared" si="3"/>
        <v>14.52</v>
      </c>
      <c r="S33" s="145">
        <f t="shared" si="3"/>
        <v>0</v>
      </c>
      <c r="T33" s="145">
        <f t="shared" si="3"/>
        <v>0</v>
      </c>
      <c r="U33" s="168" t="s">
        <v>7</v>
      </c>
      <c r="V33" s="172" t="s">
        <v>575</v>
      </c>
    </row>
    <row r="34" spans="1:22" ht="90">
      <c r="A34" s="106" t="s">
        <v>641</v>
      </c>
      <c r="B34" s="168" t="s">
        <v>642</v>
      </c>
      <c r="C34" s="168" t="s">
        <v>628</v>
      </c>
      <c r="D34" s="169" t="s">
        <v>643</v>
      </c>
      <c r="E34" s="81" t="s">
        <v>644</v>
      </c>
      <c r="F34" s="174">
        <v>2027</v>
      </c>
      <c r="G34" s="89"/>
      <c r="H34" s="106" t="s">
        <v>545</v>
      </c>
      <c r="I34" s="171">
        <v>0.8</v>
      </c>
      <c r="J34" s="175">
        <v>0.82499999999999996</v>
      </c>
      <c r="K34" s="172"/>
      <c r="L34" s="175">
        <v>2500</v>
      </c>
      <c r="M34" s="145">
        <v>0</v>
      </c>
      <c r="N34" s="145">
        <f t="shared" si="4"/>
        <v>0.82499999999999996</v>
      </c>
      <c r="O34" s="145">
        <f t="shared" si="1"/>
        <v>0</v>
      </c>
      <c r="P34" s="145">
        <f t="shared" si="1"/>
        <v>0</v>
      </c>
      <c r="Q34" s="145">
        <f t="shared" si="2"/>
        <v>0</v>
      </c>
      <c r="R34" s="145">
        <f t="shared" si="3"/>
        <v>0.66</v>
      </c>
      <c r="S34" s="145">
        <f t="shared" si="3"/>
        <v>0</v>
      </c>
      <c r="T34" s="145">
        <f t="shared" si="3"/>
        <v>0</v>
      </c>
      <c r="U34" s="168" t="s">
        <v>396</v>
      </c>
      <c r="V34" s="172" t="s">
        <v>29</v>
      </c>
    </row>
    <row r="35" spans="1:22" ht="33.75">
      <c r="A35" s="106" t="s">
        <v>645</v>
      </c>
      <c r="B35" s="168" t="s">
        <v>646</v>
      </c>
      <c r="C35" s="168" t="s">
        <v>628</v>
      </c>
      <c r="D35" s="169" t="s">
        <v>647</v>
      </c>
      <c r="E35" s="81"/>
      <c r="F35" s="174">
        <v>2021</v>
      </c>
      <c r="G35" s="89"/>
      <c r="H35" s="106" t="s">
        <v>318</v>
      </c>
      <c r="I35" s="171">
        <v>1</v>
      </c>
      <c r="J35" s="175">
        <v>6.6E-3</v>
      </c>
      <c r="K35" s="172"/>
      <c r="L35" s="187">
        <v>20</v>
      </c>
      <c r="M35" s="145">
        <v>0</v>
      </c>
      <c r="N35" s="145">
        <f t="shared" si="4"/>
        <v>6.6E-3</v>
      </c>
      <c r="O35" s="145">
        <f t="shared" si="1"/>
        <v>0</v>
      </c>
      <c r="P35" s="145">
        <f t="shared" si="1"/>
        <v>0</v>
      </c>
      <c r="Q35" s="145">
        <f t="shared" si="2"/>
        <v>0</v>
      </c>
      <c r="R35" s="145">
        <f t="shared" si="2"/>
        <v>6.6E-3</v>
      </c>
      <c r="S35" s="145">
        <f t="shared" si="2"/>
        <v>0</v>
      </c>
      <c r="T35" s="145">
        <f t="shared" si="2"/>
        <v>0</v>
      </c>
      <c r="U35" s="168" t="s">
        <v>396</v>
      </c>
      <c r="V35" s="172" t="s">
        <v>29</v>
      </c>
    </row>
    <row r="36" spans="1:22" ht="56.25">
      <c r="A36" s="106" t="s">
        <v>648</v>
      </c>
      <c r="B36" s="168" t="s">
        <v>649</v>
      </c>
      <c r="C36" s="168" t="s">
        <v>628</v>
      </c>
      <c r="D36" s="169" t="s">
        <v>650</v>
      </c>
      <c r="E36" s="81"/>
      <c r="F36" s="174">
        <v>2028</v>
      </c>
      <c r="G36" s="89"/>
      <c r="H36" s="106" t="s">
        <v>188</v>
      </c>
      <c r="I36" s="171">
        <v>0.55000000000000004</v>
      </c>
      <c r="J36" s="175">
        <v>16.5</v>
      </c>
      <c r="K36" s="172"/>
      <c r="L36" s="175">
        <v>50000</v>
      </c>
      <c r="M36" s="145">
        <v>0</v>
      </c>
      <c r="N36" s="145">
        <f t="shared" si="4"/>
        <v>16.5</v>
      </c>
      <c r="O36" s="145">
        <f t="shared" si="1"/>
        <v>0</v>
      </c>
      <c r="P36" s="145">
        <f t="shared" si="1"/>
        <v>0</v>
      </c>
      <c r="Q36" s="145">
        <f t="shared" si="2"/>
        <v>0</v>
      </c>
      <c r="R36" s="145">
        <f t="shared" si="2"/>
        <v>9.0750000000000011</v>
      </c>
      <c r="S36" s="145">
        <f t="shared" si="2"/>
        <v>0</v>
      </c>
      <c r="T36" s="145">
        <f t="shared" si="2"/>
        <v>0</v>
      </c>
      <c r="U36" s="168" t="s">
        <v>396</v>
      </c>
      <c r="V36" s="172" t="s">
        <v>29</v>
      </c>
    </row>
    <row r="37" spans="1:22" ht="33.75">
      <c r="A37" s="106" t="s">
        <v>651</v>
      </c>
      <c r="B37" s="168" t="s">
        <v>652</v>
      </c>
      <c r="C37" s="168" t="s">
        <v>628</v>
      </c>
      <c r="D37" s="169" t="s">
        <v>653</v>
      </c>
      <c r="E37" s="81"/>
      <c r="F37" s="174">
        <v>2028</v>
      </c>
      <c r="G37" s="89"/>
      <c r="H37" s="106" t="s">
        <v>654</v>
      </c>
      <c r="I37" s="171">
        <v>0.55000000000000004</v>
      </c>
      <c r="J37" s="175">
        <v>21.1</v>
      </c>
      <c r="K37" s="172"/>
      <c r="L37" s="175">
        <v>64000</v>
      </c>
      <c r="M37" s="145">
        <v>0</v>
      </c>
      <c r="N37" s="145">
        <f t="shared" si="4"/>
        <v>21.1</v>
      </c>
      <c r="O37" s="145">
        <f t="shared" si="1"/>
        <v>0</v>
      </c>
      <c r="P37" s="145">
        <f t="shared" si="1"/>
        <v>0</v>
      </c>
      <c r="Q37" s="145">
        <f t="shared" si="2"/>
        <v>0</v>
      </c>
      <c r="R37" s="145">
        <f t="shared" si="2"/>
        <v>11.605000000000002</v>
      </c>
      <c r="S37" s="145">
        <f t="shared" si="2"/>
        <v>0</v>
      </c>
      <c r="T37" s="145">
        <f t="shared" si="2"/>
        <v>0</v>
      </c>
      <c r="U37" s="168" t="s">
        <v>396</v>
      </c>
      <c r="V37" s="172" t="s">
        <v>29</v>
      </c>
    </row>
    <row r="38" spans="1:22" ht="45">
      <c r="A38" s="177" t="s">
        <v>655</v>
      </c>
      <c r="B38" s="178" t="s">
        <v>656</v>
      </c>
      <c r="C38" s="178" t="s">
        <v>628</v>
      </c>
      <c r="D38" s="179" t="s">
        <v>657</v>
      </c>
      <c r="E38" s="98"/>
      <c r="F38" s="180">
        <v>2030</v>
      </c>
      <c r="G38" s="89"/>
      <c r="H38" s="177" t="s">
        <v>658</v>
      </c>
      <c r="I38" s="171">
        <v>0.01</v>
      </c>
      <c r="J38" s="175">
        <v>5</v>
      </c>
      <c r="K38" s="172"/>
      <c r="L38" s="175">
        <v>15000</v>
      </c>
      <c r="M38" s="145">
        <f>$J38/2</f>
        <v>2.5</v>
      </c>
      <c r="N38" s="145">
        <f>$J38/2</f>
        <v>2.5</v>
      </c>
      <c r="O38" s="145">
        <f t="shared" si="1"/>
        <v>0</v>
      </c>
      <c r="P38" s="145">
        <f t="shared" si="1"/>
        <v>0</v>
      </c>
      <c r="Q38" s="145">
        <f t="shared" si="2"/>
        <v>2.5000000000000001E-2</v>
      </c>
      <c r="R38" s="145">
        <f t="shared" si="2"/>
        <v>2.5000000000000001E-2</v>
      </c>
      <c r="S38" s="145">
        <f t="shared" si="2"/>
        <v>0</v>
      </c>
      <c r="T38" s="145">
        <f t="shared" si="2"/>
        <v>0</v>
      </c>
      <c r="U38" s="177" t="s">
        <v>396</v>
      </c>
      <c r="V38" s="172" t="s">
        <v>29</v>
      </c>
    </row>
    <row r="39" spans="1:22" ht="67.5">
      <c r="A39" s="106" t="s">
        <v>659</v>
      </c>
      <c r="B39" s="168" t="s">
        <v>660</v>
      </c>
      <c r="C39" s="168" t="s">
        <v>628</v>
      </c>
      <c r="D39" s="169" t="s">
        <v>661</v>
      </c>
      <c r="E39" s="81" t="s">
        <v>662</v>
      </c>
      <c r="F39" s="174">
        <v>2030</v>
      </c>
      <c r="G39" s="89"/>
      <c r="H39" s="106" t="s">
        <v>188</v>
      </c>
      <c r="I39" s="171">
        <v>0.55000000000000004</v>
      </c>
      <c r="J39" s="175">
        <v>4.95</v>
      </c>
      <c r="K39" s="172"/>
      <c r="L39" s="175">
        <v>15000</v>
      </c>
      <c r="M39" s="145">
        <v>0</v>
      </c>
      <c r="N39" s="145">
        <f>$J39</f>
        <v>4.95</v>
      </c>
      <c r="O39" s="145">
        <f t="shared" si="1"/>
        <v>0</v>
      </c>
      <c r="P39" s="145">
        <f t="shared" si="1"/>
        <v>0</v>
      </c>
      <c r="Q39" s="145">
        <f t="shared" si="2"/>
        <v>0</v>
      </c>
      <c r="R39" s="145">
        <f t="shared" si="2"/>
        <v>2.7225000000000001</v>
      </c>
      <c r="S39" s="145">
        <f t="shared" si="2"/>
        <v>0</v>
      </c>
      <c r="T39" s="145">
        <f t="shared" si="2"/>
        <v>0</v>
      </c>
      <c r="U39" s="168" t="s">
        <v>396</v>
      </c>
      <c r="V39" s="172" t="s">
        <v>29</v>
      </c>
    </row>
    <row r="40" spans="1:22" ht="67.5">
      <c r="A40" s="106" t="s">
        <v>663</v>
      </c>
      <c r="B40" s="168" t="s">
        <v>664</v>
      </c>
      <c r="C40" s="168" t="s">
        <v>628</v>
      </c>
      <c r="D40" s="169" t="s">
        <v>665</v>
      </c>
      <c r="E40" s="81" t="s">
        <v>666</v>
      </c>
      <c r="F40" s="174">
        <v>2025</v>
      </c>
      <c r="G40" s="89"/>
      <c r="H40" s="106" t="s">
        <v>545</v>
      </c>
      <c r="I40" s="171">
        <v>0.8</v>
      </c>
      <c r="J40" s="175">
        <v>0.82499999999999996</v>
      </c>
      <c r="K40" s="172"/>
      <c r="L40" s="175">
        <v>2500</v>
      </c>
      <c r="M40" s="145">
        <v>0</v>
      </c>
      <c r="N40" s="145">
        <f>$J40</f>
        <v>0.82499999999999996</v>
      </c>
      <c r="O40" s="145">
        <f t="shared" si="1"/>
        <v>0</v>
      </c>
      <c r="P40" s="145">
        <f t="shared" si="1"/>
        <v>0</v>
      </c>
      <c r="Q40" s="145">
        <f t="shared" si="2"/>
        <v>0</v>
      </c>
      <c r="R40" s="145">
        <f t="shared" si="2"/>
        <v>0.66</v>
      </c>
      <c r="S40" s="145">
        <f t="shared" si="2"/>
        <v>0</v>
      </c>
      <c r="T40" s="145">
        <f t="shared" si="2"/>
        <v>0</v>
      </c>
      <c r="U40" s="168" t="s">
        <v>396</v>
      </c>
      <c r="V40" s="172" t="s">
        <v>29</v>
      </c>
    </row>
    <row r="41" spans="1:22" ht="33.75">
      <c r="A41" s="106" t="s">
        <v>667</v>
      </c>
      <c r="B41" s="168" t="s">
        <v>668</v>
      </c>
      <c r="C41" s="168" t="s">
        <v>628</v>
      </c>
      <c r="D41" s="169" t="s">
        <v>669</v>
      </c>
      <c r="E41" s="81" t="s">
        <v>670</v>
      </c>
      <c r="F41" s="174">
        <v>2027</v>
      </c>
      <c r="G41" s="89"/>
      <c r="H41" s="106" t="s">
        <v>188</v>
      </c>
      <c r="I41" s="171">
        <v>0.55000000000000004</v>
      </c>
      <c r="J41" s="175">
        <v>16.5</v>
      </c>
      <c r="K41" s="172"/>
      <c r="L41" s="175">
        <v>50000</v>
      </c>
      <c r="M41" s="145">
        <v>0</v>
      </c>
      <c r="N41" s="145">
        <f>$J41</f>
        <v>16.5</v>
      </c>
      <c r="O41" s="145">
        <f t="shared" si="1"/>
        <v>0</v>
      </c>
      <c r="P41" s="145">
        <f t="shared" si="1"/>
        <v>0</v>
      </c>
      <c r="Q41" s="145">
        <f t="shared" si="2"/>
        <v>0</v>
      </c>
      <c r="R41" s="145">
        <f t="shared" si="2"/>
        <v>9.0750000000000011</v>
      </c>
      <c r="S41" s="145">
        <f t="shared" si="2"/>
        <v>0</v>
      </c>
      <c r="T41" s="145">
        <f t="shared" si="2"/>
        <v>0</v>
      </c>
      <c r="U41" s="168" t="s">
        <v>396</v>
      </c>
      <c r="V41" s="172" t="s">
        <v>29</v>
      </c>
    </row>
    <row r="42" spans="1:22" ht="45">
      <c r="A42" s="106" t="s">
        <v>375</v>
      </c>
      <c r="B42" s="168" t="s">
        <v>671</v>
      </c>
      <c r="C42" s="168" t="s">
        <v>628</v>
      </c>
      <c r="D42" s="169" t="s">
        <v>672</v>
      </c>
      <c r="E42" s="81" t="s">
        <v>673</v>
      </c>
      <c r="F42" s="174">
        <v>2022</v>
      </c>
      <c r="G42" s="89"/>
      <c r="H42" s="106" t="s">
        <v>318</v>
      </c>
      <c r="I42" s="171">
        <v>1</v>
      </c>
      <c r="J42" s="175">
        <f>1000*365*42/1000000</f>
        <v>15.33</v>
      </c>
      <c r="K42" s="172"/>
      <c r="L42" s="187">
        <v>46000</v>
      </c>
      <c r="M42" s="145">
        <f>$J42/2</f>
        <v>7.665</v>
      </c>
      <c r="N42" s="145">
        <f>$J42/2</f>
        <v>7.665</v>
      </c>
      <c r="O42" s="145">
        <f t="shared" si="1"/>
        <v>0</v>
      </c>
      <c r="P42" s="145">
        <f t="shared" si="1"/>
        <v>0</v>
      </c>
      <c r="Q42" s="145">
        <f t="shared" si="2"/>
        <v>7.665</v>
      </c>
      <c r="R42" s="145">
        <f t="shared" si="2"/>
        <v>7.665</v>
      </c>
      <c r="S42" s="145">
        <f t="shared" si="2"/>
        <v>0</v>
      </c>
      <c r="T42" s="145">
        <f t="shared" si="2"/>
        <v>0</v>
      </c>
      <c r="U42" s="168" t="s">
        <v>503</v>
      </c>
      <c r="V42" s="172" t="s">
        <v>26</v>
      </c>
    </row>
    <row r="43" spans="1:22" ht="67.5">
      <c r="A43" s="106" t="s">
        <v>375</v>
      </c>
      <c r="B43" s="168" t="s">
        <v>674</v>
      </c>
      <c r="C43" s="168" t="s">
        <v>628</v>
      </c>
      <c r="D43" s="169" t="s">
        <v>675</v>
      </c>
      <c r="E43" s="81"/>
      <c r="F43" s="174">
        <v>2026</v>
      </c>
      <c r="G43" s="89"/>
      <c r="H43" s="106" t="s">
        <v>188</v>
      </c>
      <c r="I43" s="171">
        <v>0.55000000000000004</v>
      </c>
      <c r="J43" s="175">
        <f>1000*365*42/1000000</f>
        <v>15.33</v>
      </c>
      <c r="K43" s="172"/>
      <c r="L43" s="187">
        <v>46000</v>
      </c>
      <c r="M43" s="145">
        <f>$J43/2</f>
        <v>7.665</v>
      </c>
      <c r="N43" s="145">
        <f>$J43/2</f>
        <v>7.665</v>
      </c>
      <c r="O43" s="145">
        <f t="shared" si="1"/>
        <v>0</v>
      </c>
      <c r="P43" s="145">
        <f t="shared" si="1"/>
        <v>0</v>
      </c>
      <c r="Q43" s="145">
        <f t="shared" si="2"/>
        <v>4.2157500000000008</v>
      </c>
      <c r="R43" s="145">
        <f t="shared" si="2"/>
        <v>4.2157500000000008</v>
      </c>
      <c r="S43" s="145">
        <f t="shared" si="2"/>
        <v>0</v>
      </c>
      <c r="T43" s="145">
        <f t="shared" si="2"/>
        <v>0</v>
      </c>
      <c r="U43" s="168" t="s">
        <v>503</v>
      </c>
      <c r="V43" s="172" t="s">
        <v>26</v>
      </c>
    </row>
    <row r="44" spans="1:22" ht="56.25">
      <c r="A44" s="106" t="s">
        <v>676</v>
      </c>
      <c r="B44" s="168" t="s">
        <v>677</v>
      </c>
      <c r="C44" s="168" t="s">
        <v>628</v>
      </c>
      <c r="D44" s="169" t="s">
        <v>678</v>
      </c>
      <c r="E44" s="81" t="s">
        <v>679</v>
      </c>
      <c r="F44" s="174">
        <v>2024</v>
      </c>
      <c r="G44" s="89"/>
      <c r="H44" s="106" t="s">
        <v>318</v>
      </c>
      <c r="I44" s="171">
        <v>1</v>
      </c>
      <c r="J44" s="176">
        <v>2E-3</v>
      </c>
      <c r="K44" s="172"/>
      <c r="L44" s="175">
        <v>8</v>
      </c>
      <c r="M44" s="145">
        <v>0</v>
      </c>
      <c r="N44" s="145">
        <f t="shared" ref="N44:N53" si="5">$J44</f>
        <v>2E-3</v>
      </c>
      <c r="O44" s="145">
        <f t="shared" si="1"/>
        <v>0</v>
      </c>
      <c r="P44" s="145">
        <f t="shared" si="1"/>
        <v>0</v>
      </c>
      <c r="Q44" s="145">
        <f t="shared" si="2"/>
        <v>0</v>
      </c>
      <c r="R44" s="145">
        <f t="shared" si="2"/>
        <v>2E-3</v>
      </c>
      <c r="S44" s="145">
        <f t="shared" si="2"/>
        <v>0</v>
      </c>
      <c r="T44" s="145">
        <f t="shared" si="2"/>
        <v>0</v>
      </c>
      <c r="U44" s="168" t="s">
        <v>396</v>
      </c>
      <c r="V44" s="172" t="s">
        <v>29</v>
      </c>
    </row>
    <row r="45" spans="1:22" ht="56.25">
      <c r="A45" s="106" t="s">
        <v>680</v>
      </c>
      <c r="B45" s="168" t="s">
        <v>627</v>
      </c>
      <c r="C45" s="168" t="s">
        <v>628</v>
      </c>
      <c r="D45" s="169" t="s">
        <v>681</v>
      </c>
      <c r="E45" s="81" t="s">
        <v>682</v>
      </c>
      <c r="F45" s="174">
        <v>2022</v>
      </c>
      <c r="G45" s="89"/>
      <c r="H45" s="106" t="s">
        <v>318</v>
      </c>
      <c r="I45" s="171">
        <v>1</v>
      </c>
      <c r="J45" s="176">
        <v>6.6000000000000003E-2</v>
      </c>
      <c r="K45" s="172"/>
      <c r="L45" s="175">
        <v>200</v>
      </c>
      <c r="M45" s="145">
        <v>0</v>
      </c>
      <c r="N45" s="145">
        <f t="shared" si="5"/>
        <v>6.6000000000000003E-2</v>
      </c>
      <c r="O45" s="145">
        <f t="shared" si="1"/>
        <v>0</v>
      </c>
      <c r="P45" s="145">
        <f t="shared" si="1"/>
        <v>0</v>
      </c>
      <c r="Q45" s="145">
        <f t="shared" si="2"/>
        <v>0</v>
      </c>
      <c r="R45" s="145">
        <f t="shared" si="2"/>
        <v>6.6000000000000003E-2</v>
      </c>
      <c r="S45" s="145">
        <f t="shared" si="2"/>
        <v>0</v>
      </c>
      <c r="T45" s="145">
        <f t="shared" si="2"/>
        <v>0</v>
      </c>
      <c r="U45" s="168" t="s">
        <v>396</v>
      </c>
      <c r="V45" s="172" t="s">
        <v>29</v>
      </c>
    </row>
    <row r="46" spans="1:22" ht="75">
      <c r="A46" s="106" t="s">
        <v>683</v>
      </c>
      <c r="B46" s="168" t="s">
        <v>684</v>
      </c>
      <c r="C46" s="168" t="s">
        <v>628</v>
      </c>
      <c r="D46" s="169" t="s">
        <v>685</v>
      </c>
      <c r="E46" s="81" t="s">
        <v>686</v>
      </c>
      <c r="F46" s="174">
        <v>2035</v>
      </c>
      <c r="G46" s="89"/>
      <c r="H46" s="106" t="s">
        <v>188</v>
      </c>
      <c r="I46" s="171">
        <v>0.25</v>
      </c>
      <c r="J46" s="176">
        <v>8.2000000000000003E-2</v>
      </c>
      <c r="K46" s="172"/>
      <c r="L46" s="175">
        <v>250</v>
      </c>
      <c r="M46" s="145">
        <v>0</v>
      </c>
      <c r="N46" s="145">
        <f t="shared" si="5"/>
        <v>8.2000000000000003E-2</v>
      </c>
      <c r="O46" s="145">
        <f t="shared" si="1"/>
        <v>0</v>
      </c>
      <c r="P46" s="145">
        <f t="shared" si="1"/>
        <v>0</v>
      </c>
      <c r="Q46" s="145">
        <f t="shared" si="2"/>
        <v>0</v>
      </c>
      <c r="R46" s="145">
        <f t="shared" si="2"/>
        <v>2.0500000000000001E-2</v>
      </c>
      <c r="S46" s="145">
        <f t="shared" si="2"/>
        <v>0</v>
      </c>
      <c r="T46" s="145">
        <f t="shared" si="2"/>
        <v>0</v>
      </c>
      <c r="U46" s="168" t="s">
        <v>396</v>
      </c>
      <c r="V46" s="172" t="s">
        <v>29</v>
      </c>
    </row>
    <row r="47" spans="1:22" ht="45">
      <c r="A47" s="106" t="s">
        <v>687</v>
      </c>
      <c r="B47" s="168" t="s">
        <v>688</v>
      </c>
      <c r="C47" s="168" t="s">
        <v>689</v>
      </c>
      <c r="D47" s="169" t="s">
        <v>690</v>
      </c>
      <c r="E47" s="81" t="s">
        <v>691</v>
      </c>
      <c r="F47" s="174"/>
      <c r="G47" s="89"/>
      <c r="H47" s="106"/>
      <c r="I47" s="171"/>
      <c r="J47" s="176"/>
      <c r="K47" s="172"/>
      <c r="L47" s="175"/>
      <c r="M47" s="145">
        <v>0</v>
      </c>
      <c r="N47" s="145">
        <f t="shared" si="5"/>
        <v>0</v>
      </c>
      <c r="O47" s="145">
        <f t="shared" si="1"/>
        <v>0</v>
      </c>
      <c r="P47" s="145">
        <f t="shared" si="1"/>
        <v>0</v>
      </c>
      <c r="Q47" s="145">
        <f t="shared" si="2"/>
        <v>0</v>
      </c>
      <c r="R47" s="145">
        <f t="shared" si="2"/>
        <v>0</v>
      </c>
      <c r="S47" s="145">
        <f t="shared" si="2"/>
        <v>0</v>
      </c>
      <c r="T47" s="145">
        <f t="shared" si="2"/>
        <v>0</v>
      </c>
      <c r="U47" s="168" t="s">
        <v>503</v>
      </c>
      <c r="V47" s="172" t="s">
        <v>26</v>
      </c>
    </row>
    <row r="48" spans="1:22" ht="90">
      <c r="A48" s="106" t="s">
        <v>692</v>
      </c>
      <c r="B48" s="168" t="s">
        <v>693</v>
      </c>
      <c r="C48" s="168" t="s">
        <v>694</v>
      </c>
      <c r="D48" s="169" t="s">
        <v>695</v>
      </c>
      <c r="E48" s="81"/>
      <c r="F48" s="174">
        <v>2026</v>
      </c>
      <c r="G48" s="89"/>
      <c r="H48" s="106" t="s">
        <v>188</v>
      </c>
      <c r="I48" s="171">
        <v>0.55000000000000004</v>
      </c>
      <c r="J48" s="175">
        <v>13.2</v>
      </c>
      <c r="K48" s="172"/>
      <c r="L48" s="175">
        <v>40000</v>
      </c>
      <c r="M48" s="145">
        <v>0</v>
      </c>
      <c r="N48" s="145">
        <f t="shared" si="5"/>
        <v>13.2</v>
      </c>
      <c r="O48" s="145">
        <f t="shared" si="1"/>
        <v>0</v>
      </c>
      <c r="P48" s="145">
        <f t="shared" si="1"/>
        <v>0</v>
      </c>
      <c r="Q48" s="145">
        <f t="shared" si="2"/>
        <v>0</v>
      </c>
      <c r="R48" s="145">
        <f t="shared" si="2"/>
        <v>7.26</v>
      </c>
      <c r="S48" s="145">
        <f t="shared" si="2"/>
        <v>0</v>
      </c>
      <c r="T48" s="145">
        <f t="shared" si="2"/>
        <v>0</v>
      </c>
      <c r="U48" s="168" t="s">
        <v>396</v>
      </c>
      <c r="V48" s="172" t="s">
        <v>29</v>
      </c>
    </row>
    <row r="49" spans="1:22" ht="150">
      <c r="A49" s="106" t="s">
        <v>696</v>
      </c>
      <c r="B49" s="168" t="s">
        <v>697</v>
      </c>
      <c r="C49" s="168" t="s">
        <v>694</v>
      </c>
      <c r="D49" s="169" t="s">
        <v>698</v>
      </c>
      <c r="E49" s="81" t="s">
        <v>699</v>
      </c>
      <c r="F49" s="174">
        <v>2026</v>
      </c>
      <c r="G49" s="89"/>
      <c r="H49" s="106" t="s">
        <v>133</v>
      </c>
      <c r="I49" s="171">
        <v>0.8</v>
      </c>
      <c r="J49" s="175">
        <v>89</v>
      </c>
      <c r="K49" s="172"/>
      <c r="L49" s="175">
        <v>270000</v>
      </c>
      <c r="M49" s="145">
        <f>$J49/2</f>
        <v>44.5</v>
      </c>
      <c r="N49" s="145">
        <f>$J49/2</f>
        <v>44.5</v>
      </c>
      <c r="O49" s="145">
        <f t="shared" si="1"/>
        <v>0</v>
      </c>
      <c r="P49" s="145">
        <f t="shared" si="1"/>
        <v>0</v>
      </c>
      <c r="Q49" s="145">
        <f t="shared" si="2"/>
        <v>35.6</v>
      </c>
      <c r="R49" s="145">
        <f t="shared" si="2"/>
        <v>35.6</v>
      </c>
      <c r="S49" s="145">
        <f t="shared" si="2"/>
        <v>0</v>
      </c>
      <c r="T49" s="145">
        <f t="shared" si="2"/>
        <v>0</v>
      </c>
      <c r="U49" s="168" t="s">
        <v>5</v>
      </c>
      <c r="V49" s="172" t="s">
        <v>26</v>
      </c>
    </row>
    <row r="50" spans="1:22" ht="90">
      <c r="A50" s="106" t="s">
        <v>700</v>
      </c>
      <c r="B50" s="168" t="s">
        <v>701</v>
      </c>
      <c r="C50" s="168" t="s">
        <v>702</v>
      </c>
      <c r="D50" s="169" t="s">
        <v>703</v>
      </c>
      <c r="E50" s="81" t="s">
        <v>704</v>
      </c>
      <c r="F50" s="174">
        <v>2026</v>
      </c>
      <c r="G50" s="89"/>
      <c r="H50" s="106" t="s">
        <v>188</v>
      </c>
      <c r="I50" s="171">
        <v>0.55000000000000004</v>
      </c>
      <c r="J50" s="175">
        <v>6.6</v>
      </c>
      <c r="K50" s="172"/>
      <c r="L50" s="175">
        <v>20000</v>
      </c>
      <c r="M50" s="145">
        <v>0</v>
      </c>
      <c r="N50" s="145">
        <f t="shared" si="5"/>
        <v>6.6</v>
      </c>
      <c r="O50" s="145">
        <f t="shared" ref="O50:P84" si="6">$K50/2</f>
        <v>0</v>
      </c>
      <c r="P50" s="145">
        <f t="shared" si="6"/>
        <v>0</v>
      </c>
      <c r="Q50" s="145">
        <f t="shared" si="2"/>
        <v>0</v>
      </c>
      <c r="R50" s="145">
        <f t="shared" si="2"/>
        <v>3.63</v>
      </c>
      <c r="S50" s="145">
        <f t="shared" si="2"/>
        <v>0</v>
      </c>
      <c r="T50" s="145">
        <f t="shared" si="2"/>
        <v>0</v>
      </c>
      <c r="U50" s="168" t="s">
        <v>396</v>
      </c>
      <c r="V50" s="172" t="s">
        <v>29</v>
      </c>
    </row>
    <row r="51" spans="1:22" ht="45">
      <c r="A51" s="106" t="s">
        <v>705</v>
      </c>
      <c r="B51" s="168" t="s">
        <v>706</v>
      </c>
      <c r="C51" s="168" t="s">
        <v>628</v>
      </c>
      <c r="D51" s="169" t="s">
        <v>707</v>
      </c>
      <c r="E51" s="81" t="s">
        <v>708</v>
      </c>
      <c r="F51" s="174">
        <v>2031</v>
      </c>
      <c r="G51" s="89"/>
      <c r="H51" s="106" t="s">
        <v>188</v>
      </c>
      <c r="I51" s="171">
        <v>0.55000000000000004</v>
      </c>
      <c r="J51" s="175">
        <v>165.125</v>
      </c>
      <c r="K51" s="172"/>
      <c r="L51" s="175">
        <v>200000</v>
      </c>
      <c r="M51" s="145">
        <v>0</v>
      </c>
      <c r="N51" s="145">
        <f t="shared" si="5"/>
        <v>165.125</v>
      </c>
      <c r="O51" s="145">
        <f t="shared" si="6"/>
        <v>0</v>
      </c>
      <c r="P51" s="145">
        <f t="shared" si="6"/>
        <v>0</v>
      </c>
      <c r="Q51" s="145">
        <f t="shared" si="2"/>
        <v>0</v>
      </c>
      <c r="R51" s="145">
        <f t="shared" si="2"/>
        <v>90.818750000000009</v>
      </c>
      <c r="S51" s="145">
        <f t="shared" si="2"/>
        <v>0</v>
      </c>
      <c r="T51" s="145">
        <f t="shared" si="2"/>
        <v>0</v>
      </c>
      <c r="U51" s="168" t="s">
        <v>396</v>
      </c>
      <c r="V51" s="172" t="s">
        <v>29</v>
      </c>
    </row>
    <row r="52" spans="1:22" ht="78.75">
      <c r="A52" s="106" t="s">
        <v>709</v>
      </c>
      <c r="B52" s="168" t="s">
        <v>642</v>
      </c>
      <c r="C52" s="168" t="s">
        <v>628</v>
      </c>
      <c r="D52" s="169" t="s">
        <v>710</v>
      </c>
      <c r="E52" s="81" t="s">
        <v>711</v>
      </c>
      <c r="F52" s="174">
        <v>2026</v>
      </c>
      <c r="G52" s="89"/>
      <c r="H52" s="106" t="s">
        <v>188</v>
      </c>
      <c r="I52" s="171">
        <v>0.55000000000000004</v>
      </c>
      <c r="J52" s="175">
        <v>3.3</v>
      </c>
      <c r="K52" s="172"/>
      <c r="L52" s="175">
        <v>10000</v>
      </c>
      <c r="M52" s="145">
        <v>0</v>
      </c>
      <c r="N52" s="145">
        <f t="shared" si="5"/>
        <v>3.3</v>
      </c>
      <c r="O52" s="145">
        <f t="shared" si="6"/>
        <v>0</v>
      </c>
      <c r="P52" s="145">
        <f t="shared" si="6"/>
        <v>0</v>
      </c>
      <c r="Q52" s="145">
        <f t="shared" si="2"/>
        <v>0</v>
      </c>
      <c r="R52" s="145">
        <f t="shared" si="2"/>
        <v>1.8149999999999999</v>
      </c>
      <c r="S52" s="145">
        <f t="shared" si="2"/>
        <v>0</v>
      </c>
      <c r="T52" s="145">
        <f t="shared" si="2"/>
        <v>0</v>
      </c>
      <c r="U52" s="168" t="s">
        <v>396</v>
      </c>
      <c r="V52" s="172" t="s">
        <v>29</v>
      </c>
    </row>
    <row r="53" spans="1:22" ht="105">
      <c r="A53" s="106" t="s">
        <v>712</v>
      </c>
      <c r="B53" s="168" t="s">
        <v>713</v>
      </c>
      <c r="C53" s="168" t="s">
        <v>714</v>
      </c>
      <c r="D53" s="169" t="s">
        <v>690</v>
      </c>
      <c r="E53" s="81" t="s">
        <v>715</v>
      </c>
      <c r="F53" s="174">
        <v>2026</v>
      </c>
      <c r="G53" s="89"/>
      <c r="H53" s="106" t="s">
        <v>188</v>
      </c>
      <c r="I53" s="171">
        <v>0.25</v>
      </c>
      <c r="J53" s="175"/>
      <c r="K53" s="172"/>
      <c r="L53" s="175"/>
      <c r="M53" s="145">
        <v>0</v>
      </c>
      <c r="N53" s="145">
        <f t="shared" si="5"/>
        <v>0</v>
      </c>
      <c r="O53" s="145">
        <f t="shared" si="6"/>
        <v>0</v>
      </c>
      <c r="P53" s="145">
        <f t="shared" si="6"/>
        <v>0</v>
      </c>
      <c r="Q53" s="145">
        <f t="shared" si="2"/>
        <v>0</v>
      </c>
      <c r="R53" s="145">
        <f t="shared" si="2"/>
        <v>0</v>
      </c>
      <c r="S53" s="145">
        <f t="shared" si="2"/>
        <v>0</v>
      </c>
      <c r="T53" s="145">
        <f t="shared" si="2"/>
        <v>0</v>
      </c>
      <c r="U53" s="168" t="s">
        <v>503</v>
      </c>
      <c r="V53" s="81" t="s">
        <v>26</v>
      </c>
    </row>
    <row r="54" spans="1:22" ht="67.5">
      <c r="A54" s="106" t="s">
        <v>716</v>
      </c>
      <c r="B54" s="168" t="s">
        <v>717</v>
      </c>
      <c r="C54" s="168" t="s">
        <v>702</v>
      </c>
      <c r="D54" s="169" t="s">
        <v>718</v>
      </c>
      <c r="E54" s="81" t="s">
        <v>719</v>
      </c>
      <c r="F54" s="174">
        <v>2021</v>
      </c>
      <c r="G54" s="89"/>
      <c r="H54" s="106" t="s">
        <v>318</v>
      </c>
      <c r="I54" s="171">
        <v>1</v>
      </c>
      <c r="J54" s="175">
        <f>1000*365*42/1000000</f>
        <v>15.33</v>
      </c>
      <c r="K54" s="172"/>
      <c r="L54" s="187">
        <v>46000</v>
      </c>
      <c r="M54" s="145">
        <f t="shared" ref="M54:N84" si="7">$J54/2</f>
        <v>7.665</v>
      </c>
      <c r="N54" s="145">
        <f t="shared" si="7"/>
        <v>7.665</v>
      </c>
      <c r="O54" s="145">
        <f t="shared" si="6"/>
        <v>0</v>
      </c>
      <c r="P54" s="145">
        <f t="shared" si="6"/>
        <v>0</v>
      </c>
      <c r="Q54" s="145">
        <f t="shared" si="2"/>
        <v>7.665</v>
      </c>
      <c r="R54" s="145">
        <f t="shared" si="2"/>
        <v>7.665</v>
      </c>
      <c r="S54" s="145">
        <f t="shared" si="2"/>
        <v>0</v>
      </c>
      <c r="T54" s="145">
        <f t="shared" si="2"/>
        <v>0</v>
      </c>
      <c r="U54" s="168" t="s">
        <v>503</v>
      </c>
      <c r="V54" s="172" t="s">
        <v>26</v>
      </c>
    </row>
    <row r="55" spans="1:22" ht="33.75">
      <c r="A55" s="106" t="s">
        <v>720</v>
      </c>
      <c r="B55" s="168" t="s">
        <v>721</v>
      </c>
      <c r="C55" s="168" t="s">
        <v>702</v>
      </c>
      <c r="D55" s="169" t="s">
        <v>722</v>
      </c>
      <c r="E55" s="81" t="s">
        <v>723</v>
      </c>
      <c r="F55" s="174">
        <v>2020</v>
      </c>
      <c r="G55" s="89"/>
      <c r="H55" s="106" t="s">
        <v>318</v>
      </c>
      <c r="I55" s="171">
        <v>1</v>
      </c>
      <c r="J55" s="175">
        <f>1000*365*42/1000000</f>
        <v>15.33</v>
      </c>
      <c r="K55" s="172"/>
      <c r="L55" s="187">
        <v>46000</v>
      </c>
      <c r="M55" s="145">
        <f t="shared" si="7"/>
        <v>7.665</v>
      </c>
      <c r="N55" s="145">
        <f t="shared" si="7"/>
        <v>7.665</v>
      </c>
      <c r="O55" s="145">
        <f t="shared" si="6"/>
        <v>0</v>
      </c>
      <c r="P55" s="145">
        <f t="shared" si="6"/>
        <v>0</v>
      </c>
      <c r="Q55" s="145">
        <f t="shared" si="2"/>
        <v>7.665</v>
      </c>
      <c r="R55" s="145">
        <f t="shared" si="2"/>
        <v>7.665</v>
      </c>
      <c r="S55" s="145">
        <f t="shared" si="2"/>
        <v>0</v>
      </c>
      <c r="T55" s="145">
        <f t="shared" si="2"/>
        <v>0</v>
      </c>
      <c r="U55" s="168" t="s">
        <v>503</v>
      </c>
      <c r="V55" s="172" t="s">
        <v>26</v>
      </c>
    </row>
    <row r="56" spans="1:22" ht="33.75">
      <c r="A56" s="106" t="s">
        <v>720</v>
      </c>
      <c r="B56" s="168" t="s">
        <v>724</v>
      </c>
      <c r="C56" s="168" t="s">
        <v>702</v>
      </c>
      <c r="D56" s="169" t="s">
        <v>722</v>
      </c>
      <c r="E56" s="81" t="s">
        <v>725</v>
      </c>
      <c r="F56" s="174">
        <v>2020</v>
      </c>
      <c r="G56" s="89"/>
      <c r="H56" s="106" t="s">
        <v>318</v>
      </c>
      <c r="I56" s="171">
        <v>1</v>
      </c>
      <c r="J56" s="175">
        <f>1000*365*42/1000000</f>
        <v>15.33</v>
      </c>
      <c r="K56" s="172"/>
      <c r="L56" s="187">
        <v>46000</v>
      </c>
      <c r="M56" s="145">
        <f t="shared" si="7"/>
        <v>7.665</v>
      </c>
      <c r="N56" s="145">
        <f t="shared" si="7"/>
        <v>7.665</v>
      </c>
      <c r="O56" s="145">
        <f t="shared" si="6"/>
        <v>0</v>
      </c>
      <c r="P56" s="145">
        <f t="shared" si="6"/>
        <v>0</v>
      </c>
      <c r="Q56" s="145">
        <f t="shared" si="2"/>
        <v>7.665</v>
      </c>
      <c r="R56" s="145">
        <f t="shared" si="2"/>
        <v>7.665</v>
      </c>
      <c r="S56" s="145">
        <f t="shared" si="2"/>
        <v>0</v>
      </c>
      <c r="T56" s="145">
        <f t="shared" si="2"/>
        <v>0</v>
      </c>
      <c r="U56" s="168" t="s">
        <v>503</v>
      </c>
      <c r="V56" s="172" t="s">
        <v>26</v>
      </c>
    </row>
    <row r="57" spans="1:22" ht="33.75">
      <c r="A57" s="106" t="s">
        <v>720</v>
      </c>
      <c r="B57" s="168" t="s">
        <v>726</v>
      </c>
      <c r="C57" s="168" t="s">
        <v>702</v>
      </c>
      <c r="D57" s="169" t="s">
        <v>722</v>
      </c>
      <c r="E57" s="81" t="s">
        <v>727</v>
      </c>
      <c r="F57" s="174">
        <v>2021</v>
      </c>
      <c r="G57" s="89"/>
      <c r="H57" s="106" t="s">
        <v>318</v>
      </c>
      <c r="I57" s="171">
        <v>1</v>
      </c>
      <c r="J57" s="175">
        <f>1000*365*42/1000000</f>
        <v>15.33</v>
      </c>
      <c r="K57" s="172"/>
      <c r="L57" s="187">
        <v>46000</v>
      </c>
      <c r="M57" s="145">
        <f t="shared" si="7"/>
        <v>7.665</v>
      </c>
      <c r="N57" s="145">
        <f t="shared" si="7"/>
        <v>7.665</v>
      </c>
      <c r="O57" s="145">
        <f t="shared" si="6"/>
        <v>0</v>
      </c>
      <c r="P57" s="145">
        <f t="shared" si="6"/>
        <v>0</v>
      </c>
      <c r="Q57" s="145">
        <f t="shared" si="2"/>
        <v>7.665</v>
      </c>
      <c r="R57" s="145">
        <f t="shared" si="2"/>
        <v>7.665</v>
      </c>
      <c r="S57" s="145">
        <f t="shared" si="2"/>
        <v>0</v>
      </c>
      <c r="T57" s="145">
        <f t="shared" si="2"/>
        <v>0</v>
      </c>
      <c r="U57" s="168" t="s">
        <v>503</v>
      </c>
      <c r="V57" s="172" t="s">
        <v>26</v>
      </c>
    </row>
    <row r="58" spans="1:22" ht="56.25">
      <c r="A58" s="106" t="s">
        <v>720</v>
      </c>
      <c r="B58" s="168" t="s">
        <v>728</v>
      </c>
      <c r="C58" s="168" t="s">
        <v>702</v>
      </c>
      <c r="D58" s="169" t="s">
        <v>729</v>
      </c>
      <c r="E58" s="81" t="s">
        <v>730</v>
      </c>
      <c r="F58" s="174">
        <v>2024</v>
      </c>
      <c r="G58" s="89"/>
      <c r="H58" s="106" t="s">
        <v>188</v>
      </c>
      <c r="I58" s="171">
        <v>0.55000000000000004</v>
      </c>
      <c r="J58" s="175">
        <v>0.69399999999999995</v>
      </c>
      <c r="K58" s="172"/>
      <c r="L58" s="175">
        <v>2100</v>
      </c>
      <c r="M58" s="145">
        <v>0</v>
      </c>
      <c r="N58" s="145">
        <f>$J58</f>
        <v>0.69399999999999995</v>
      </c>
      <c r="O58" s="145">
        <f t="shared" si="6"/>
        <v>0</v>
      </c>
      <c r="P58" s="145">
        <f t="shared" si="6"/>
        <v>0</v>
      </c>
      <c r="Q58" s="145">
        <f t="shared" si="2"/>
        <v>0</v>
      </c>
      <c r="R58" s="145">
        <f t="shared" si="2"/>
        <v>0.38169999999999998</v>
      </c>
      <c r="S58" s="145">
        <f t="shared" si="2"/>
        <v>0</v>
      </c>
      <c r="T58" s="145">
        <f t="shared" si="2"/>
        <v>0</v>
      </c>
      <c r="U58" s="168" t="s">
        <v>396</v>
      </c>
      <c r="V58" s="172" t="s">
        <v>29</v>
      </c>
    </row>
    <row r="59" spans="1:22" ht="67.5">
      <c r="A59" s="106" t="s">
        <v>720</v>
      </c>
      <c r="B59" s="168" t="s">
        <v>731</v>
      </c>
      <c r="C59" s="168" t="s">
        <v>702</v>
      </c>
      <c r="D59" s="169" t="s">
        <v>732</v>
      </c>
      <c r="E59" s="81" t="s">
        <v>733</v>
      </c>
      <c r="F59" s="174">
        <v>2024</v>
      </c>
      <c r="G59" s="89"/>
      <c r="H59" s="106" t="s">
        <v>318</v>
      </c>
      <c r="I59" s="171">
        <v>1</v>
      </c>
      <c r="J59" s="175">
        <v>82.6</v>
      </c>
      <c r="K59" s="172"/>
      <c r="L59" s="175">
        <v>250000</v>
      </c>
      <c r="M59" s="145">
        <f t="shared" si="7"/>
        <v>41.3</v>
      </c>
      <c r="N59" s="145">
        <f t="shared" si="7"/>
        <v>41.3</v>
      </c>
      <c r="O59" s="145">
        <f t="shared" si="6"/>
        <v>0</v>
      </c>
      <c r="P59" s="145">
        <f t="shared" si="6"/>
        <v>0</v>
      </c>
      <c r="Q59" s="145">
        <f t="shared" si="2"/>
        <v>41.3</v>
      </c>
      <c r="R59" s="145">
        <f t="shared" si="2"/>
        <v>41.3</v>
      </c>
      <c r="S59" s="145">
        <f t="shared" si="2"/>
        <v>0</v>
      </c>
      <c r="T59" s="145">
        <f t="shared" si="2"/>
        <v>0</v>
      </c>
      <c r="U59" s="168" t="s">
        <v>5</v>
      </c>
      <c r="V59" s="172" t="s">
        <v>26</v>
      </c>
    </row>
    <row r="60" spans="1:22" ht="67.5">
      <c r="A60" s="106" t="s">
        <v>720</v>
      </c>
      <c r="B60" s="168" t="s">
        <v>721</v>
      </c>
      <c r="C60" s="168" t="s">
        <v>702</v>
      </c>
      <c r="D60" s="169" t="s">
        <v>732</v>
      </c>
      <c r="E60" s="81" t="s">
        <v>734</v>
      </c>
      <c r="F60" s="174">
        <v>2025</v>
      </c>
      <c r="G60" s="89"/>
      <c r="H60" s="106" t="s">
        <v>188</v>
      </c>
      <c r="I60" s="171">
        <v>0.55000000000000004</v>
      </c>
      <c r="J60" s="175">
        <v>79.260000000000005</v>
      </c>
      <c r="K60" s="172"/>
      <c r="L60" s="175">
        <v>240000</v>
      </c>
      <c r="M60" s="145">
        <f t="shared" si="7"/>
        <v>39.630000000000003</v>
      </c>
      <c r="N60" s="145">
        <f t="shared" si="7"/>
        <v>39.630000000000003</v>
      </c>
      <c r="O60" s="145">
        <f t="shared" si="6"/>
        <v>0</v>
      </c>
      <c r="P60" s="145">
        <f t="shared" si="6"/>
        <v>0</v>
      </c>
      <c r="Q60" s="145">
        <f t="shared" si="2"/>
        <v>21.796500000000002</v>
      </c>
      <c r="R60" s="145">
        <f t="shared" si="2"/>
        <v>21.796500000000002</v>
      </c>
      <c r="S60" s="145">
        <f t="shared" si="2"/>
        <v>0</v>
      </c>
      <c r="T60" s="145">
        <f t="shared" si="2"/>
        <v>0</v>
      </c>
      <c r="U60" s="168" t="s">
        <v>5</v>
      </c>
      <c r="V60" s="172" t="s">
        <v>26</v>
      </c>
    </row>
    <row r="61" spans="1:22" ht="56.25">
      <c r="A61" s="106" t="s">
        <v>735</v>
      </c>
      <c r="B61" s="168" t="s">
        <v>736</v>
      </c>
      <c r="C61" s="168" t="s">
        <v>702</v>
      </c>
      <c r="D61" s="169" t="s">
        <v>737</v>
      </c>
      <c r="E61" s="81"/>
      <c r="F61" s="174">
        <v>2026</v>
      </c>
      <c r="G61" s="89"/>
      <c r="H61" s="106" t="s">
        <v>545</v>
      </c>
      <c r="I61" s="171">
        <v>0.75</v>
      </c>
      <c r="J61" s="175">
        <v>165.125</v>
      </c>
      <c r="K61" s="172"/>
      <c r="L61" s="175">
        <v>500000</v>
      </c>
      <c r="M61" s="145">
        <f t="shared" si="7"/>
        <v>82.5625</v>
      </c>
      <c r="N61" s="145">
        <f t="shared" si="7"/>
        <v>82.5625</v>
      </c>
      <c r="O61" s="145">
        <f t="shared" si="6"/>
        <v>0</v>
      </c>
      <c r="P61" s="145">
        <f t="shared" si="6"/>
        <v>0</v>
      </c>
      <c r="Q61" s="145">
        <f t="shared" si="2"/>
        <v>61.921875</v>
      </c>
      <c r="R61" s="145">
        <f t="shared" si="2"/>
        <v>61.921875</v>
      </c>
      <c r="S61" s="145">
        <f t="shared" si="2"/>
        <v>0</v>
      </c>
      <c r="T61" s="145">
        <f t="shared" si="2"/>
        <v>0</v>
      </c>
      <c r="U61" s="168" t="s">
        <v>5</v>
      </c>
      <c r="V61" s="172" t="s">
        <v>26</v>
      </c>
    </row>
    <row r="62" spans="1:22" ht="30">
      <c r="A62" s="106" t="s">
        <v>738</v>
      </c>
      <c r="B62" s="168" t="s">
        <v>739</v>
      </c>
      <c r="C62" s="168" t="s">
        <v>702</v>
      </c>
      <c r="D62" s="169" t="s">
        <v>740</v>
      </c>
      <c r="E62" s="81" t="s">
        <v>741</v>
      </c>
      <c r="F62" s="174">
        <v>2025</v>
      </c>
      <c r="G62" s="89"/>
      <c r="H62" s="106" t="s">
        <v>318</v>
      </c>
      <c r="I62" s="171">
        <v>1</v>
      </c>
      <c r="J62" s="175">
        <v>5</v>
      </c>
      <c r="K62" s="172"/>
      <c r="L62" s="175">
        <v>15000</v>
      </c>
      <c r="M62" s="145">
        <v>0</v>
      </c>
      <c r="N62" s="145">
        <f>$J62</f>
        <v>5</v>
      </c>
      <c r="O62" s="145">
        <f t="shared" si="6"/>
        <v>0</v>
      </c>
      <c r="P62" s="145">
        <f t="shared" si="6"/>
        <v>0</v>
      </c>
      <c r="Q62" s="145">
        <f t="shared" si="2"/>
        <v>0</v>
      </c>
      <c r="R62" s="145">
        <f t="shared" si="2"/>
        <v>5</v>
      </c>
      <c r="S62" s="145">
        <f t="shared" si="2"/>
        <v>0</v>
      </c>
      <c r="T62" s="145">
        <f t="shared" si="2"/>
        <v>0</v>
      </c>
      <c r="U62" s="168" t="s">
        <v>503</v>
      </c>
      <c r="V62" s="172" t="s">
        <v>26</v>
      </c>
    </row>
    <row r="63" spans="1:22" ht="75">
      <c r="A63" s="106" t="s">
        <v>742</v>
      </c>
      <c r="B63" s="168" t="s">
        <v>743</v>
      </c>
      <c r="C63" s="168" t="s">
        <v>702</v>
      </c>
      <c r="D63" s="169" t="s">
        <v>744</v>
      </c>
      <c r="E63" s="81" t="s">
        <v>745</v>
      </c>
      <c r="F63" s="174">
        <v>2030</v>
      </c>
      <c r="G63" s="89"/>
      <c r="H63" s="106" t="s">
        <v>188</v>
      </c>
      <c r="I63" s="171">
        <v>0.55000000000000004</v>
      </c>
      <c r="J63" s="175">
        <v>25</v>
      </c>
      <c r="K63" s="172"/>
      <c r="L63" s="175">
        <v>75000</v>
      </c>
      <c r="M63" s="145">
        <v>0</v>
      </c>
      <c r="N63" s="145">
        <f>$J63</f>
        <v>25</v>
      </c>
      <c r="O63" s="145">
        <f t="shared" si="6"/>
        <v>0</v>
      </c>
      <c r="P63" s="145">
        <f t="shared" si="6"/>
        <v>0</v>
      </c>
      <c r="Q63" s="145">
        <f t="shared" si="2"/>
        <v>0</v>
      </c>
      <c r="R63" s="145">
        <f t="shared" si="2"/>
        <v>13.750000000000002</v>
      </c>
      <c r="S63" s="145">
        <f t="shared" si="2"/>
        <v>0</v>
      </c>
      <c r="T63" s="145">
        <f t="shared" si="2"/>
        <v>0</v>
      </c>
      <c r="U63" s="168" t="s">
        <v>7</v>
      </c>
      <c r="V63" s="172" t="s">
        <v>30</v>
      </c>
    </row>
    <row r="64" spans="1:22" ht="33.75">
      <c r="A64" s="106" t="s">
        <v>746</v>
      </c>
      <c r="B64" s="168"/>
      <c r="C64" s="168" t="s">
        <v>702</v>
      </c>
      <c r="D64" s="169" t="s">
        <v>747</v>
      </c>
      <c r="E64" s="81"/>
      <c r="F64" s="174">
        <v>2025</v>
      </c>
      <c r="G64" s="89"/>
      <c r="H64" s="106" t="s">
        <v>188</v>
      </c>
      <c r="I64" s="171">
        <v>0.55000000000000004</v>
      </c>
      <c r="J64" s="189">
        <v>0.33</v>
      </c>
      <c r="K64" s="172"/>
      <c r="L64" s="175">
        <v>1000</v>
      </c>
      <c r="M64" s="145">
        <v>0</v>
      </c>
      <c r="N64" s="145">
        <f>$J64</f>
        <v>0.33</v>
      </c>
      <c r="O64" s="145">
        <f t="shared" si="6"/>
        <v>0</v>
      </c>
      <c r="P64" s="145">
        <f t="shared" si="6"/>
        <v>0</v>
      </c>
      <c r="Q64" s="145">
        <f t="shared" si="2"/>
        <v>0</v>
      </c>
      <c r="R64" s="145">
        <f t="shared" si="2"/>
        <v>0.18150000000000002</v>
      </c>
      <c r="S64" s="145">
        <f t="shared" si="2"/>
        <v>0</v>
      </c>
      <c r="T64" s="145">
        <f t="shared" si="2"/>
        <v>0</v>
      </c>
      <c r="U64" s="168" t="s">
        <v>396</v>
      </c>
      <c r="V64" s="172" t="s">
        <v>29</v>
      </c>
    </row>
    <row r="65" spans="1:24">
      <c r="A65" s="106" t="s">
        <v>748</v>
      </c>
      <c r="B65" s="168" t="s">
        <v>749</v>
      </c>
      <c r="C65" s="168" t="s">
        <v>750</v>
      </c>
      <c r="D65" s="169"/>
      <c r="E65" s="81"/>
      <c r="F65" s="174">
        <v>2024</v>
      </c>
      <c r="G65" s="89"/>
      <c r="H65" s="106" t="s">
        <v>188</v>
      </c>
      <c r="I65" s="171">
        <v>0.55000000000000004</v>
      </c>
      <c r="J65" s="175">
        <v>49.5</v>
      </c>
      <c r="K65" s="172"/>
      <c r="L65" s="175">
        <v>150000</v>
      </c>
      <c r="M65" s="145">
        <f t="shared" si="7"/>
        <v>24.75</v>
      </c>
      <c r="N65" s="145">
        <f t="shared" si="7"/>
        <v>24.75</v>
      </c>
      <c r="O65" s="145">
        <f t="shared" si="6"/>
        <v>0</v>
      </c>
      <c r="P65" s="145">
        <f t="shared" si="6"/>
        <v>0</v>
      </c>
      <c r="Q65" s="145">
        <f t="shared" si="2"/>
        <v>13.612500000000001</v>
      </c>
      <c r="R65" s="145">
        <f t="shared" si="2"/>
        <v>13.612500000000001</v>
      </c>
      <c r="S65" s="145">
        <f t="shared" si="2"/>
        <v>0</v>
      </c>
      <c r="T65" s="145">
        <f t="shared" si="2"/>
        <v>0</v>
      </c>
      <c r="U65" s="168" t="s">
        <v>5</v>
      </c>
      <c r="V65" s="172" t="s">
        <v>26</v>
      </c>
    </row>
    <row r="66" spans="1:24" ht="60">
      <c r="A66" s="106" t="s">
        <v>748</v>
      </c>
      <c r="B66" s="168" t="s">
        <v>751</v>
      </c>
      <c r="C66" s="168" t="s">
        <v>750</v>
      </c>
      <c r="D66" s="169" t="s">
        <v>752</v>
      </c>
      <c r="E66" s="81" t="s">
        <v>753</v>
      </c>
      <c r="F66" s="174">
        <v>2021</v>
      </c>
      <c r="G66" s="89"/>
      <c r="H66" s="106" t="s">
        <v>318</v>
      </c>
      <c r="I66" s="171">
        <v>1</v>
      </c>
      <c r="J66" s="175">
        <f>1000*365*42/1000000</f>
        <v>15.33</v>
      </c>
      <c r="K66" s="172"/>
      <c r="L66" s="187">
        <v>46000</v>
      </c>
      <c r="M66" s="145">
        <f t="shared" si="7"/>
        <v>7.665</v>
      </c>
      <c r="N66" s="145">
        <f t="shared" si="7"/>
        <v>7.665</v>
      </c>
      <c r="O66" s="145">
        <f t="shared" si="6"/>
        <v>0</v>
      </c>
      <c r="P66" s="145">
        <f t="shared" si="6"/>
        <v>0</v>
      </c>
      <c r="Q66" s="145">
        <f t="shared" si="2"/>
        <v>7.665</v>
      </c>
      <c r="R66" s="145">
        <f t="shared" si="2"/>
        <v>7.665</v>
      </c>
      <c r="S66" s="145">
        <f t="shared" si="2"/>
        <v>0</v>
      </c>
      <c r="T66" s="145">
        <f t="shared" si="2"/>
        <v>0</v>
      </c>
      <c r="U66" s="168" t="s">
        <v>503</v>
      </c>
      <c r="V66" s="172" t="s">
        <v>26</v>
      </c>
    </row>
    <row r="67" spans="1:24">
      <c r="A67" s="106" t="s">
        <v>754</v>
      </c>
      <c r="B67" s="168" t="s">
        <v>755</v>
      </c>
      <c r="C67" s="168" t="s">
        <v>750</v>
      </c>
      <c r="D67" s="169"/>
      <c r="E67" s="81"/>
      <c r="F67" s="174">
        <v>2022</v>
      </c>
      <c r="G67" s="89"/>
      <c r="H67" s="106" t="s">
        <v>318</v>
      </c>
      <c r="I67" s="171">
        <v>1</v>
      </c>
      <c r="J67" s="175">
        <v>3.3</v>
      </c>
      <c r="K67" s="172"/>
      <c r="L67" s="175">
        <v>10000</v>
      </c>
      <c r="M67" s="145">
        <f t="shared" si="7"/>
        <v>1.65</v>
      </c>
      <c r="N67" s="145">
        <f t="shared" si="7"/>
        <v>1.65</v>
      </c>
      <c r="O67" s="145">
        <f t="shared" si="6"/>
        <v>0</v>
      </c>
      <c r="P67" s="145">
        <f t="shared" si="6"/>
        <v>0</v>
      </c>
      <c r="Q67" s="145">
        <f t="shared" si="2"/>
        <v>1.65</v>
      </c>
      <c r="R67" s="145">
        <f t="shared" si="2"/>
        <v>1.65</v>
      </c>
      <c r="S67" s="145">
        <f t="shared" si="2"/>
        <v>0</v>
      </c>
      <c r="T67" s="145">
        <f t="shared" si="2"/>
        <v>0</v>
      </c>
      <c r="U67" s="168" t="s">
        <v>5</v>
      </c>
      <c r="V67" s="172" t="s">
        <v>26</v>
      </c>
    </row>
    <row r="68" spans="1:24" ht="67.5">
      <c r="A68" s="106" t="s">
        <v>756</v>
      </c>
      <c r="B68" s="168" t="s">
        <v>757</v>
      </c>
      <c r="C68" s="168" t="s">
        <v>758</v>
      </c>
      <c r="D68" s="169" t="s">
        <v>759</v>
      </c>
      <c r="E68" s="81"/>
      <c r="F68" s="174">
        <v>2025</v>
      </c>
      <c r="G68" s="89"/>
      <c r="H68" s="106" t="s">
        <v>545</v>
      </c>
      <c r="I68" s="171">
        <v>0.8</v>
      </c>
      <c r="J68" s="175">
        <v>99.1</v>
      </c>
      <c r="K68" s="172"/>
      <c r="L68" s="175">
        <v>300000</v>
      </c>
      <c r="M68" s="145">
        <f t="shared" si="7"/>
        <v>49.55</v>
      </c>
      <c r="N68" s="145">
        <f t="shared" si="7"/>
        <v>49.55</v>
      </c>
      <c r="O68" s="145">
        <f t="shared" si="6"/>
        <v>0</v>
      </c>
      <c r="P68" s="145">
        <f t="shared" si="6"/>
        <v>0</v>
      </c>
      <c r="Q68" s="145">
        <f t="shared" si="2"/>
        <v>39.64</v>
      </c>
      <c r="R68" s="145">
        <f t="shared" si="2"/>
        <v>39.64</v>
      </c>
      <c r="S68" s="145">
        <f t="shared" si="2"/>
        <v>0</v>
      </c>
      <c r="T68" s="145">
        <f t="shared" si="2"/>
        <v>0</v>
      </c>
      <c r="U68" s="168" t="s">
        <v>5</v>
      </c>
      <c r="V68" s="172" t="s">
        <v>26</v>
      </c>
    </row>
    <row r="69" spans="1:24" ht="33.75">
      <c r="A69" s="106" t="s">
        <v>760</v>
      </c>
      <c r="B69" s="168" t="s">
        <v>761</v>
      </c>
      <c r="C69" s="168" t="s">
        <v>762</v>
      </c>
      <c r="D69" s="169" t="s">
        <v>763</v>
      </c>
      <c r="E69" s="81" t="s">
        <v>764</v>
      </c>
      <c r="F69" s="174">
        <v>2022</v>
      </c>
      <c r="G69" s="89">
        <v>2030</v>
      </c>
      <c r="H69" s="106" t="s">
        <v>318</v>
      </c>
      <c r="I69" s="190">
        <v>1</v>
      </c>
      <c r="J69" s="191">
        <f>L69*330.25/1000000</f>
        <v>0.49537500000000001</v>
      </c>
      <c r="K69" s="192">
        <f>700000*330.25/1000000</f>
        <v>231.17500000000001</v>
      </c>
      <c r="L69" s="193">
        <v>1500</v>
      </c>
      <c r="M69" s="194">
        <v>0</v>
      </c>
      <c r="N69" s="194">
        <f>J69</f>
        <v>0.49537500000000001</v>
      </c>
      <c r="O69" s="194">
        <v>0</v>
      </c>
      <c r="P69" s="194">
        <f>K69</f>
        <v>231.17500000000001</v>
      </c>
      <c r="Q69" s="194">
        <f t="shared" si="2"/>
        <v>0</v>
      </c>
      <c r="R69" s="194">
        <f t="shared" si="2"/>
        <v>0.49537500000000001</v>
      </c>
      <c r="S69" s="194">
        <f t="shared" si="2"/>
        <v>0</v>
      </c>
      <c r="T69" s="194">
        <f t="shared" si="2"/>
        <v>231.17500000000001</v>
      </c>
      <c r="U69" s="195" t="s">
        <v>503</v>
      </c>
      <c r="V69" s="196" t="s">
        <v>26</v>
      </c>
      <c r="W69" s="197"/>
      <c r="X69" s="197"/>
    </row>
    <row r="70" spans="1:24" ht="180">
      <c r="A70" s="106" t="s">
        <v>765</v>
      </c>
      <c r="B70" s="106" t="s">
        <v>766</v>
      </c>
      <c r="C70" s="168" t="s">
        <v>767</v>
      </c>
      <c r="D70" s="169" t="s">
        <v>768</v>
      </c>
      <c r="E70" s="138" t="s">
        <v>769</v>
      </c>
      <c r="F70" s="174">
        <v>2028</v>
      </c>
      <c r="G70" s="89"/>
      <c r="H70" s="106" t="s">
        <v>545</v>
      </c>
      <c r="I70" s="171">
        <v>0.8</v>
      </c>
      <c r="J70" s="175">
        <v>82.56</v>
      </c>
      <c r="K70" s="172"/>
      <c r="L70" s="175">
        <v>250000</v>
      </c>
      <c r="M70" s="145">
        <f t="shared" si="7"/>
        <v>41.28</v>
      </c>
      <c r="N70" s="145">
        <f t="shared" si="7"/>
        <v>41.28</v>
      </c>
      <c r="O70" s="145">
        <f t="shared" si="6"/>
        <v>0</v>
      </c>
      <c r="P70" s="145">
        <f t="shared" si="6"/>
        <v>0</v>
      </c>
      <c r="Q70" s="145">
        <f t="shared" si="2"/>
        <v>33.024000000000001</v>
      </c>
      <c r="R70" s="145">
        <f t="shared" si="2"/>
        <v>33.024000000000001</v>
      </c>
      <c r="S70" s="145">
        <f t="shared" si="2"/>
        <v>0</v>
      </c>
      <c r="T70" s="145">
        <f t="shared" si="2"/>
        <v>0</v>
      </c>
      <c r="U70" s="168" t="s">
        <v>5</v>
      </c>
      <c r="V70" s="172" t="s">
        <v>26</v>
      </c>
    </row>
    <row r="71" spans="1:24" ht="22.5">
      <c r="A71" s="106" t="s">
        <v>770</v>
      </c>
      <c r="B71" s="168" t="s">
        <v>771</v>
      </c>
      <c r="C71" s="168" t="s">
        <v>772</v>
      </c>
      <c r="D71" s="169" t="s">
        <v>773</v>
      </c>
      <c r="E71" s="81"/>
      <c r="F71" s="174">
        <v>2032</v>
      </c>
      <c r="G71" s="89"/>
      <c r="H71" s="106" t="s">
        <v>188</v>
      </c>
      <c r="I71" s="171">
        <v>0.55000000000000004</v>
      </c>
      <c r="J71" s="175">
        <f>1000*365*42/1000000</f>
        <v>15.33</v>
      </c>
      <c r="K71" s="172"/>
      <c r="L71" s="187">
        <v>46000</v>
      </c>
      <c r="M71" s="145">
        <v>0</v>
      </c>
      <c r="N71" s="145">
        <f>$J71</f>
        <v>15.33</v>
      </c>
      <c r="O71" s="145">
        <f t="shared" si="6"/>
        <v>0</v>
      </c>
      <c r="P71" s="145">
        <f t="shared" si="6"/>
        <v>0</v>
      </c>
      <c r="Q71" s="145">
        <f t="shared" si="2"/>
        <v>0</v>
      </c>
      <c r="R71" s="145">
        <f t="shared" si="2"/>
        <v>8.4315000000000015</v>
      </c>
      <c r="S71" s="145">
        <f t="shared" si="2"/>
        <v>0</v>
      </c>
      <c r="T71" s="145">
        <f t="shared" si="2"/>
        <v>0</v>
      </c>
      <c r="U71" s="168" t="s">
        <v>7</v>
      </c>
      <c r="V71" s="172" t="s">
        <v>30</v>
      </c>
    </row>
    <row r="72" spans="1:24" ht="22.5">
      <c r="A72" s="106" t="s">
        <v>774</v>
      </c>
      <c r="B72" s="168" t="s">
        <v>775</v>
      </c>
      <c r="C72" s="168" t="s">
        <v>772</v>
      </c>
      <c r="D72" s="169" t="s">
        <v>776</v>
      </c>
      <c r="E72" s="81" t="s">
        <v>777</v>
      </c>
      <c r="F72" s="174">
        <v>2027</v>
      </c>
      <c r="G72" s="89"/>
      <c r="H72" s="106" t="s">
        <v>188</v>
      </c>
      <c r="I72" s="171">
        <v>0.55000000000000004</v>
      </c>
      <c r="J72" s="175">
        <v>2.6</v>
      </c>
      <c r="K72" s="172"/>
      <c r="L72" s="187">
        <v>8000</v>
      </c>
      <c r="M72" s="145">
        <v>0</v>
      </c>
      <c r="N72" s="145">
        <f>$J72</f>
        <v>2.6</v>
      </c>
      <c r="O72" s="145">
        <f t="shared" si="6"/>
        <v>0</v>
      </c>
      <c r="P72" s="145">
        <f t="shared" si="6"/>
        <v>0</v>
      </c>
      <c r="Q72" s="145">
        <f t="shared" si="2"/>
        <v>0</v>
      </c>
      <c r="R72" s="145">
        <f t="shared" si="2"/>
        <v>1.4300000000000002</v>
      </c>
      <c r="S72" s="145">
        <f t="shared" si="2"/>
        <v>0</v>
      </c>
      <c r="T72" s="145">
        <f t="shared" si="2"/>
        <v>0</v>
      </c>
      <c r="U72" s="168" t="s">
        <v>396</v>
      </c>
      <c r="V72" s="172" t="s">
        <v>29</v>
      </c>
    </row>
    <row r="73" spans="1:24" ht="30">
      <c r="A73" s="106" t="s">
        <v>778</v>
      </c>
      <c r="B73" s="168" t="s">
        <v>779</v>
      </c>
      <c r="C73" s="168" t="s">
        <v>772</v>
      </c>
      <c r="D73" s="169" t="s">
        <v>780</v>
      </c>
      <c r="E73" s="81" t="s">
        <v>781</v>
      </c>
      <c r="F73" s="174">
        <v>2026</v>
      </c>
      <c r="G73" s="89"/>
      <c r="H73" s="106" t="s">
        <v>188</v>
      </c>
      <c r="I73" s="171">
        <v>0.55000000000000004</v>
      </c>
      <c r="J73" s="175">
        <v>13.2</v>
      </c>
      <c r="K73" s="172"/>
      <c r="L73" s="187">
        <v>40000</v>
      </c>
      <c r="M73" s="145">
        <v>0</v>
      </c>
      <c r="N73" s="145">
        <f>$J73</f>
        <v>13.2</v>
      </c>
      <c r="O73" s="145">
        <f t="shared" si="6"/>
        <v>0</v>
      </c>
      <c r="P73" s="145">
        <f t="shared" si="6"/>
        <v>0</v>
      </c>
      <c r="Q73" s="145">
        <f t="shared" si="2"/>
        <v>0</v>
      </c>
      <c r="R73" s="145">
        <f t="shared" si="2"/>
        <v>7.26</v>
      </c>
      <c r="S73" s="145">
        <f t="shared" si="2"/>
        <v>0</v>
      </c>
      <c r="T73" s="145">
        <f t="shared" si="2"/>
        <v>0</v>
      </c>
      <c r="U73" s="168" t="s">
        <v>396</v>
      </c>
      <c r="V73" s="172" t="s">
        <v>29</v>
      </c>
    </row>
    <row r="74" spans="1:24" ht="45">
      <c r="A74" s="106" t="s">
        <v>782</v>
      </c>
      <c r="B74" s="168" t="s">
        <v>783</v>
      </c>
      <c r="C74" s="168" t="s">
        <v>772</v>
      </c>
      <c r="D74" s="169" t="s">
        <v>784</v>
      </c>
      <c r="E74" s="81" t="s">
        <v>785</v>
      </c>
      <c r="F74" s="174">
        <v>2032</v>
      </c>
      <c r="G74" s="89"/>
      <c r="H74" s="106" t="s">
        <v>188</v>
      </c>
      <c r="I74" s="171">
        <v>0.55000000000000004</v>
      </c>
      <c r="J74" s="175">
        <v>29.7</v>
      </c>
      <c r="K74" s="172"/>
      <c r="L74" s="175">
        <v>90000</v>
      </c>
      <c r="M74" s="145">
        <v>0</v>
      </c>
      <c r="N74" s="145">
        <f>$J74</f>
        <v>29.7</v>
      </c>
      <c r="O74" s="145">
        <f t="shared" si="6"/>
        <v>0</v>
      </c>
      <c r="P74" s="145">
        <f t="shared" si="6"/>
        <v>0</v>
      </c>
      <c r="Q74" s="145">
        <f t="shared" si="2"/>
        <v>0</v>
      </c>
      <c r="R74" s="145">
        <f t="shared" si="2"/>
        <v>16.335000000000001</v>
      </c>
      <c r="S74" s="145">
        <f t="shared" si="2"/>
        <v>0</v>
      </c>
      <c r="T74" s="145">
        <f t="shared" si="2"/>
        <v>0</v>
      </c>
      <c r="U74" s="168" t="s">
        <v>396</v>
      </c>
      <c r="V74" s="172" t="s">
        <v>29</v>
      </c>
    </row>
    <row r="75" spans="1:24" ht="105">
      <c r="A75" s="106" t="s">
        <v>786</v>
      </c>
      <c r="B75" s="168" t="s">
        <v>787</v>
      </c>
      <c r="C75" s="168" t="s">
        <v>788</v>
      </c>
      <c r="D75" s="169" t="s">
        <v>789</v>
      </c>
      <c r="E75" s="81" t="s">
        <v>790</v>
      </c>
      <c r="F75" s="174">
        <v>2024</v>
      </c>
      <c r="G75" s="89"/>
      <c r="H75" s="106" t="s">
        <v>318</v>
      </c>
      <c r="I75" s="171">
        <v>1</v>
      </c>
      <c r="J75" s="175">
        <v>66.05</v>
      </c>
      <c r="K75" s="172"/>
      <c r="L75" s="175">
        <v>200000</v>
      </c>
      <c r="M75" s="145">
        <f t="shared" si="7"/>
        <v>33.024999999999999</v>
      </c>
      <c r="N75" s="145">
        <f t="shared" si="7"/>
        <v>33.024999999999999</v>
      </c>
      <c r="O75" s="145">
        <f t="shared" si="6"/>
        <v>0</v>
      </c>
      <c r="P75" s="145">
        <f t="shared" si="6"/>
        <v>0</v>
      </c>
      <c r="Q75" s="145">
        <f t="shared" si="2"/>
        <v>33.024999999999999</v>
      </c>
      <c r="R75" s="145">
        <f t="shared" si="2"/>
        <v>33.024999999999999</v>
      </c>
      <c r="S75" s="145">
        <f t="shared" si="2"/>
        <v>0</v>
      </c>
      <c r="T75" s="145">
        <f t="shared" si="2"/>
        <v>0</v>
      </c>
      <c r="U75" s="168" t="s">
        <v>5</v>
      </c>
      <c r="V75" s="172" t="s">
        <v>26</v>
      </c>
    </row>
    <row r="76" spans="1:24" ht="56.25">
      <c r="A76" s="106" t="s">
        <v>791</v>
      </c>
      <c r="B76" s="168" t="s">
        <v>792</v>
      </c>
      <c r="C76" s="168" t="s">
        <v>788</v>
      </c>
      <c r="D76" s="169" t="s">
        <v>793</v>
      </c>
      <c r="E76" s="81" t="s">
        <v>794</v>
      </c>
      <c r="F76" s="174">
        <v>2027</v>
      </c>
      <c r="G76" s="89"/>
      <c r="H76" s="106" t="s">
        <v>795</v>
      </c>
      <c r="I76" s="171">
        <v>0.55000000000000004</v>
      </c>
      <c r="J76" s="175">
        <v>77.599999999999994</v>
      </c>
      <c r="K76" s="172"/>
      <c r="L76" s="175">
        <v>235000</v>
      </c>
      <c r="M76" s="145">
        <f t="shared" si="7"/>
        <v>38.799999999999997</v>
      </c>
      <c r="N76" s="145">
        <f t="shared" si="7"/>
        <v>38.799999999999997</v>
      </c>
      <c r="O76" s="145">
        <f t="shared" si="6"/>
        <v>0</v>
      </c>
      <c r="P76" s="145">
        <f t="shared" si="6"/>
        <v>0</v>
      </c>
      <c r="Q76" s="145">
        <f t="shared" si="2"/>
        <v>21.34</v>
      </c>
      <c r="R76" s="145">
        <f t="shared" si="2"/>
        <v>21.34</v>
      </c>
      <c r="S76" s="145">
        <f t="shared" si="2"/>
        <v>0</v>
      </c>
      <c r="T76" s="145">
        <f t="shared" si="2"/>
        <v>0</v>
      </c>
      <c r="U76" s="168" t="s">
        <v>5</v>
      </c>
      <c r="V76" s="172" t="s">
        <v>26</v>
      </c>
    </row>
    <row r="77" spans="1:24" ht="135">
      <c r="A77" s="106" t="s">
        <v>796</v>
      </c>
      <c r="B77" s="168" t="s">
        <v>797</v>
      </c>
      <c r="C77" s="168" t="s">
        <v>788</v>
      </c>
      <c r="D77" s="198" t="s">
        <v>798</v>
      </c>
      <c r="E77" s="81" t="s">
        <v>799</v>
      </c>
      <c r="F77" s="174">
        <v>2027</v>
      </c>
      <c r="G77" s="89"/>
      <c r="H77" s="106" t="s">
        <v>800</v>
      </c>
      <c r="I77" s="171">
        <v>0.1</v>
      </c>
      <c r="J77" s="175">
        <v>30.05</v>
      </c>
      <c r="K77" s="172"/>
      <c r="L77" s="175">
        <v>91000</v>
      </c>
      <c r="M77" s="145">
        <v>0</v>
      </c>
      <c r="N77" s="145">
        <f>$J77</f>
        <v>30.05</v>
      </c>
      <c r="O77" s="145">
        <f t="shared" si="6"/>
        <v>0</v>
      </c>
      <c r="P77" s="145">
        <f t="shared" si="6"/>
        <v>0</v>
      </c>
      <c r="Q77" s="145">
        <f t="shared" si="2"/>
        <v>0</v>
      </c>
      <c r="R77" s="145">
        <f t="shared" si="2"/>
        <v>3.0050000000000003</v>
      </c>
      <c r="S77" s="145">
        <f t="shared" si="2"/>
        <v>0</v>
      </c>
      <c r="T77" s="145">
        <f t="shared" si="2"/>
        <v>0</v>
      </c>
      <c r="U77" s="168" t="s">
        <v>6</v>
      </c>
      <c r="V77" s="172" t="s">
        <v>29</v>
      </c>
    </row>
    <row r="78" spans="1:24" ht="56.25">
      <c r="A78" s="106" t="s">
        <v>801</v>
      </c>
      <c r="B78" s="168" t="s">
        <v>802</v>
      </c>
      <c r="C78" s="168" t="s">
        <v>788</v>
      </c>
      <c r="D78" s="169" t="s">
        <v>803</v>
      </c>
      <c r="E78" s="81"/>
      <c r="F78" s="174">
        <v>2026</v>
      </c>
      <c r="G78" s="89"/>
      <c r="H78" s="106" t="s">
        <v>188</v>
      </c>
      <c r="I78" s="171">
        <v>0.55000000000000004</v>
      </c>
      <c r="J78" s="168">
        <v>5.28</v>
      </c>
      <c r="K78" s="172"/>
      <c r="L78" s="175">
        <v>16000</v>
      </c>
      <c r="M78" s="145">
        <v>0</v>
      </c>
      <c r="N78" s="145">
        <f>$J78</f>
        <v>5.28</v>
      </c>
      <c r="O78" s="145">
        <f t="shared" si="6"/>
        <v>0</v>
      </c>
      <c r="P78" s="145">
        <f t="shared" si="6"/>
        <v>0</v>
      </c>
      <c r="Q78" s="145">
        <f t="shared" si="2"/>
        <v>0</v>
      </c>
      <c r="R78" s="145">
        <f t="shared" si="2"/>
        <v>2.9040000000000004</v>
      </c>
      <c r="S78" s="145">
        <f t="shared" si="2"/>
        <v>0</v>
      </c>
      <c r="T78" s="145">
        <f t="shared" si="2"/>
        <v>0</v>
      </c>
      <c r="U78" s="168" t="s">
        <v>7</v>
      </c>
      <c r="V78" s="172" t="s">
        <v>575</v>
      </c>
    </row>
    <row r="79" spans="1:24" ht="33.75">
      <c r="A79" s="106" t="s">
        <v>804</v>
      </c>
      <c r="B79" s="168" t="s">
        <v>805</v>
      </c>
      <c r="C79" s="168" t="s">
        <v>788</v>
      </c>
      <c r="D79" s="169" t="s">
        <v>806</v>
      </c>
      <c r="E79" s="81"/>
      <c r="F79" s="174">
        <v>2025</v>
      </c>
      <c r="G79" s="89"/>
      <c r="H79" s="106" t="s">
        <v>188</v>
      </c>
      <c r="I79" s="171">
        <v>0.55000000000000004</v>
      </c>
      <c r="J79" s="168">
        <v>132.1</v>
      </c>
      <c r="K79" s="172"/>
      <c r="L79" s="175">
        <v>400000</v>
      </c>
      <c r="M79" s="145">
        <v>0</v>
      </c>
      <c r="N79" s="145">
        <f>$J79</f>
        <v>132.1</v>
      </c>
      <c r="O79" s="145">
        <f t="shared" si="6"/>
        <v>0</v>
      </c>
      <c r="P79" s="145">
        <f t="shared" si="6"/>
        <v>0</v>
      </c>
      <c r="Q79" s="145">
        <f t="shared" si="2"/>
        <v>0</v>
      </c>
      <c r="R79" s="145">
        <f t="shared" si="2"/>
        <v>72.655000000000001</v>
      </c>
      <c r="S79" s="145">
        <f t="shared" si="2"/>
        <v>0</v>
      </c>
      <c r="T79" s="145">
        <f t="shared" si="2"/>
        <v>0</v>
      </c>
      <c r="U79" s="168" t="s">
        <v>6</v>
      </c>
      <c r="V79" s="172" t="s">
        <v>27</v>
      </c>
    </row>
    <row r="80" spans="1:24" ht="101.25">
      <c r="A80" s="106" t="s">
        <v>807</v>
      </c>
      <c r="B80" s="168" t="s">
        <v>808</v>
      </c>
      <c r="C80" s="168" t="s">
        <v>788</v>
      </c>
      <c r="D80" s="169" t="s">
        <v>809</v>
      </c>
      <c r="E80" s="81" t="s">
        <v>810</v>
      </c>
      <c r="F80" s="174">
        <v>2027</v>
      </c>
      <c r="G80" s="89"/>
      <c r="H80" s="106" t="s">
        <v>188</v>
      </c>
      <c r="I80" s="171">
        <v>0.55000000000000004</v>
      </c>
      <c r="J80" s="168">
        <v>150.91999999999999</v>
      </c>
      <c r="K80" s="172"/>
      <c r="L80" s="175">
        <v>457000</v>
      </c>
      <c r="M80" s="145">
        <f t="shared" si="7"/>
        <v>75.459999999999994</v>
      </c>
      <c r="N80" s="145">
        <f t="shared" si="7"/>
        <v>75.459999999999994</v>
      </c>
      <c r="O80" s="145">
        <f t="shared" si="6"/>
        <v>0</v>
      </c>
      <c r="P80" s="145">
        <f t="shared" si="6"/>
        <v>0</v>
      </c>
      <c r="Q80" s="145">
        <f t="shared" si="2"/>
        <v>41.503</v>
      </c>
      <c r="R80" s="145">
        <f t="shared" si="2"/>
        <v>41.503</v>
      </c>
      <c r="S80" s="145">
        <f t="shared" si="2"/>
        <v>0</v>
      </c>
      <c r="T80" s="145">
        <f t="shared" si="2"/>
        <v>0</v>
      </c>
      <c r="U80" s="168" t="s">
        <v>5</v>
      </c>
      <c r="V80" s="172" t="s">
        <v>26</v>
      </c>
    </row>
    <row r="81" spans="1:22" ht="45">
      <c r="A81" s="106" t="s">
        <v>811</v>
      </c>
      <c r="B81" s="168" t="s">
        <v>808</v>
      </c>
      <c r="C81" s="168" t="s">
        <v>788</v>
      </c>
      <c r="D81" s="169" t="s">
        <v>812</v>
      </c>
      <c r="E81" s="81" t="s">
        <v>813</v>
      </c>
      <c r="F81" s="174">
        <v>2021</v>
      </c>
      <c r="G81" s="89"/>
      <c r="H81" s="199" t="s">
        <v>123</v>
      </c>
      <c r="I81" s="171">
        <v>1</v>
      </c>
      <c r="J81" s="168">
        <f>1000*42*365/1000000</f>
        <v>15.33</v>
      </c>
      <c r="K81" s="172"/>
      <c r="L81" s="187">
        <v>46000</v>
      </c>
      <c r="M81" s="145">
        <f t="shared" si="7"/>
        <v>7.665</v>
      </c>
      <c r="N81" s="145">
        <f t="shared" si="7"/>
        <v>7.665</v>
      </c>
      <c r="O81" s="145">
        <f t="shared" si="6"/>
        <v>0</v>
      </c>
      <c r="P81" s="145">
        <f t="shared" si="6"/>
        <v>0</v>
      </c>
      <c r="Q81" s="145">
        <f t="shared" si="2"/>
        <v>7.665</v>
      </c>
      <c r="R81" s="145">
        <f t="shared" si="2"/>
        <v>7.665</v>
      </c>
      <c r="S81" s="145">
        <f t="shared" si="2"/>
        <v>0</v>
      </c>
      <c r="T81" s="145">
        <f t="shared" si="2"/>
        <v>0</v>
      </c>
      <c r="U81" s="168" t="s">
        <v>503</v>
      </c>
      <c r="V81" s="172" t="s">
        <v>26</v>
      </c>
    </row>
    <row r="82" spans="1:22" ht="45">
      <c r="A82" s="106" t="s">
        <v>814</v>
      </c>
      <c r="B82" s="168" t="s">
        <v>815</v>
      </c>
      <c r="C82" s="168" t="s">
        <v>788</v>
      </c>
      <c r="D82" s="169" t="s">
        <v>816</v>
      </c>
      <c r="E82" s="81" t="s">
        <v>817</v>
      </c>
      <c r="F82" s="170">
        <v>2032</v>
      </c>
      <c r="G82" s="89"/>
      <c r="H82" s="106" t="s">
        <v>488</v>
      </c>
      <c r="I82" s="171">
        <v>0.4</v>
      </c>
      <c r="J82" s="168">
        <v>264.17</v>
      </c>
      <c r="K82" s="172"/>
      <c r="L82" s="187">
        <v>800000</v>
      </c>
      <c r="M82" s="145">
        <v>0</v>
      </c>
      <c r="N82" s="145">
        <f>$J82</f>
        <v>264.17</v>
      </c>
      <c r="O82" s="145">
        <f t="shared" si="6"/>
        <v>0</v>
      </c>
      <c r="P82" s="145">
        <f t="shared" si="6"/>
        <v>0</v>
      </c>
      <c r="Q82" s="145">
        <f t="shared" si="2"/>
        <v>0</v>
      </c>
      <c r="R82" s="145">
        <f t="shared" si="2"/>
        <v>105.66800000000001</v>
      </c>
      <c r="S82" s="145">
        <f t="shared" si="2"/>
        <v>0</v>
      </c>
      <c r="T82" s="145">
        <f t="shared" si="2"/>
        <v>0</v>
      </c>
      <c r="U82" s="168" t="s">
        <v>396</v>
      </c>
      <c r="V82" s="172" t="s">
        <v>29</v>
      </c>
    </row>
    <row r="83" spans="1:22" ht="96">
      <c r="A83" s="177" t="s">
        <v>818</v>
      </c>
      <c r="B83" s="178" t="s">
        <v>819</v>
      </c>
      <c r="C83" s="178" t="s">
        <v>788</v>
      </c>
      <c r="D83" s="188" t="s">
        <v>820</v>
      </c>
      <c r="E83" s="200" t="s">
        <v>821</v>
      </c>
      <c r="F83" s="180">
        <v>2029</v>
      </c>
      <c r="G83" s="89"/>
      <c r="H83" s="199" t="s">
        <v>188</v>
      </c>
      <c r="I83" s="171">
        <v>0.01</v>
      </c>
      <c r="J83" s="178"/>
      <c r="K83" s="172"/>
      <c r="L83" s="175"/>
      <c r="M83" s="145">
        <f t="shared" si="7"/>
        <v>0</v>
      </c>
      <c r="N83" s="145">
        <f t="shared" si="7"/>
        <v>0</v>
      </c>
      <c r="O83" s="145">
        <f t="shared" si="6"/>
        <v>0</v>
      </c>
      <c r="P83" s="145">
        <f t="shared" si="6"/>
        <v>0</v>
      </c>
      <c r="Q83" s="145">
        <f t="shared" si="2"/>
        <v>0</v>
      </c>
      <c r="R83" s="145">
        <f t="shared" si="2"/>
        <v>0</v>
      </c>
      <c r="S83" s="145">
        <f t="shared" si="2"/>
        <v>0</v>
      </c>
      <c r="T83" s="145">
        <f t="shared" si="2"/>
        <v>0</v>
      </c>
      <c r="U83" s="178" t="s">
        <v>7</v>
      </c>
      <c r="V83" s="172" t="s">
        <v>575</v>
      </c>
    </row>
    <row r="84" spans="1:22" ht="75">
      <c r="A84" s="106" t="s">
        <v>822</v>
      </c>
      <c r="B84" s="168" t="s">
        <v>823</v>
      </c>
      <c r="C84" s="168" t="s">
        <v>824</v>
      </c>
      <c r="D84" s="198" t="s">
        <v>825</v>
      </c>
      <c r="E84" s="81" t="s">
        <v>826</v>
      </c>
      <c r="F84" s="174">
        <v>2026</v>
      </c>
      <c r="G84" s="89"/>
      <c r="H84" s="106" t="s">
        <v>827</v>
      </c>
      <c r="I84" s="171">
        <v>0.55000000000000004</v>
      </c>
      <c r="J84" s="175">
        <v>115.587</v>
      </c>
      <c r="K84" s="172"/>
      <c r="L84" s="175">
        <v>350000</v>
      </c>
      <c r="M84" s="145">
        <f t="shared" si="7"/>
        <v>57.793500000000002</v>
      </c>
      <c r="N84" s="145">
        <f t="shared" si="7"/>
        <v>57.793500000000002</v>
      </c>
      <c r="O84" s="145">
        <f t="shared" si="6"/>
        <v>0</v>
      </c>
      <c r="P84" s="145">
        <f t="shared" si="6"/>
        <v>0</v>
      </c>
      <c r="Q84" s="145">
        <f t="shared" si="2"/>
        <v>31.786425000000005</v>
      </c>
      <c r="R84" s="145">
        <f t="shared" si="2"/>
        <v>31.786425000000005</v>
      </c>
      <c r="S84" s="145">
        <f t="shared" si="2"/>
        <v>0</v>
      </c>
      <c r="T84" s="145">
        <f t="shared" si="2"/>
        <v>0</v>
      </c>
      <c r="U84" s="168" t="s">
        <v>5</v>
      </c>
      <c r="V84" s="172" t="s">
        <v>26</v>
      </c>
    </row>
    <row r="85" spans="1:22" ht="112.5">
      <c r="A85" s="106" t="s">
        <v>638</v>
      </c>
      <c r="B85" s="168" t="s">
        <v>823</v>
      </c>
      <c r="C85" s="168" t="s">
        <v>824</v>
      </c>
      <c r="D85" s="169" t="s">
        <v>828</v>
      </c>
      <c r="E85" s="81" t="s">
        <v>829</v>
      </c>
      <c r="F85" s="174">
        <v>2024</v>
      </c>
      <c r="G85" s="89"/>
      <c r="H85" s="106" t="s">
        <v>800</v>
      </c>
      <c r="I85" s="171">
        <v>0.01</v>
      </c>
      <c r="J85" s="175">
        <v>270.8</v>
      </c>
      <c r="K85" s="172"/>
      <c r="L85" s="175">
        <v>820000</v>
      </c>
      <c r="M85" s="145">
        <f>$J85/2</f>
        <v>135.4</v>
      </c>
      <c r="N85" s="145">
        <f>$J85/2</f>
        <v>135.4</v>
      </c>
      <c r="O85" s="145">
        <f t="shared" ref="O85:P123" si="8">$K85/2</f>
        <v>0</v>
      </c>
      <c r="P85" s="145">
        <f t="shared" si="8"/>
        <v>0</v>
      </c>
      <c r="Q85" s="145">
        <f t="shared" ref="Q85:T124" si="9">M85*$I85</f>
        <v>1.3540000000000001</v>
      </c>
      <c r="R85" s="145">
        <f t="shared" si="9"/>
        <v>1.3540000000000001</v>
      </c>
      <c r="S85" s="145">
        <f t="shared" si="9"/>
        <v>0</v>
      </c>
      <c r="T85" s="145">
        <f t="shared" si="9"/>
        <v>0</v>
      </c>
      <c r="U85" s="168" t="s">
        <v>5</v>
      </c>
      <c r="V85" s="172" t="s">
        <v>26</v>
      </c>
    </row>
    <row r="86" spans="1:22" ht="90">
      <c r="A86" s="106" t="s">
        <v>559</v>
      </c>
      <c r="B86" s="168" t="s">
        <v>823</v>
      </c>
      <c r="C86" s="168" t="s">
        <v>824</v>
      </c>
      <c r="D86" s="169" t="s">
        <v>830</v>
      </c>
      <c r="E86" s="81" t="s">
        <v>831</v>
      </c>
      <c r="F86" s="174">
        <v>2011</v>
      </c>
      <c r="G86" s="89">
        <v>2025</v>
      </c>
      <c r="H86" s="106" t="s">
        <v>318</v>
      </c>
      <c r="I86" s="171">
        <v>1</v>
      </c>
      <c r="J86" s="175">
        <f>0.8*330</f>
        <v>264</v>
      </c>
      <c r="K86" s="172">
        <f>0.5*330</f>
        <v>165</v>
      </c>
      <c r="L86" s="175">
        <v>800000</v>
      </c>
      <c r="M86" s="145">
        <f>J86</f>
        <v>264</v>
      </c>
      <c r="N86" s="145">
        <v>0</v>
      </c>
      <c r="O86" s="145">
        <f>0.3*330</f>
        <v>99</v>
      </c>
      <c r="P86" s="145">
        <f>0.5*330</f>
        <v>165</v>
      </c>
      <c r="Q86" s="145">
        <f t="shared" si="9"/>
        <v>264</v>
      </c>
      <c r="R86" s="145">
        <f t="shared" si="9"/>
        <v>0</v>
      </c>
      <c r="S86" s="145">
        <f t="shared" si="9"/>
        <v>99</v>
      </c>
      <c r="T86" s="145">
        <f t="shared" si="9"/>
        <v>165</v>
      </c>
      <c r="U86" s="168" t="s">
        <v>5</v>
      </c>
      <c r="V86" s="172" t="s">
        <v>26</v>
      </c>
    </row>
    <row r="87" spans="1:22" ht="33.75">
      <c r="A87" s="106" t="s">
        <v>832</v>
      </c>
      <c r="B87" s="168" t="s">
        <v>823</v>
      </c>
      <c r="C87" s="168" t="s">
        <v>824</v>
      </c>
      <c r="D87" s="169" t="s">
        <v>833</v>
      </c>
      <c r="E87" s="81" t="s">
        <v>834</v>
      </c>
      <c r="F87" s="174">
        <v>2027</v>
      </c>
      <c r="G87" s="89"/>
      <c r="H87" s="106" t="s">
        <v>800</v>
      </c>
      <c r="I87" s="171">
        <v>0.1</v>
      </c>
      <c r="J87" s="175">
        <v>33</v>
      </c>
      <c r="K87" s="172"/>
      <c r="L87" s="175">
        <v>100000</v>
      </c>
      <c r="M87" s="145">
        <v>0</v>
      </c>
      <c r="N87" s="145">
        <f>$J87</f>
        <v>33</v>
      </c>
      <c r="O87" s="145">
        <f t="shared" si="8"/>
        <v>0</v>
      </c>
      <c r="P87" s="145">
        <f t="shared" si="8"/>
        <v>0</v>
      </c>
      <c r="Q87" s="145">
        <f t="shared" si="9"/>
        <v>0</v>
      </c>
      <c r="R87" s="145">
        <f t="shared" si="9"/>
        <v>3.3000000000000003</v>
      </c>
      <c r="S87" s="145">
        <f t="shared" si="9"/>
        <v>0</v>
      </c>
      <c r="T87" s="145">
        <f t="shared" si="9"/>
        <v>0</v>
      </c>
      <c r="U87" s="168" t="s">
        <v>396</v>
      </c>
      <c r="V87" s="172" t="s">
        <v>29</v>
      </c>
    </row>
    <row r="88" spans="1:22" ht="33.75">
      <c r="A88" s="106" t="s">
        <v>835</v>
      </c>
      <c r="B88" s="168" t="s">
        <v>836</v>
      </c>
      <c r="C88" s="168" t="s">
        <v>824</v>
      </c>
      <c r="D88" s="169" t="s">
        <v>837</v>
      </c>
      <c r="E88" s="81"/>
      <c r="F88" s="174">
        <v>2025</v>
      </c>
      <c r="G88" s="89"/>
      <c r="H88" s="106" t="s">
        <v>188</v>
      </c>
      <c r="I88" s="171">
        <v>0.55000000000000004</v>
      </c>
      <c r="J88" s="175">
        <v>115.587</v>
      </c>
      <c r="K88" s="172"/>
      <c r="L88" s="175">
        <v>350000</v>
      </c>
      <c r="M88" s="145">
        <f>$J88/2</f>
        <v>57.793500000000002</v>
      </c>
      <c r="N88" s="145">
        <f>$J88/2</f>
        <v>57.793500000000002</v>
      </c>
      <c r="O88" s="145">
        <f t="shared" si="8"/>
        <v>0</v>
      </c>
      <c r="P88" s="145">
        <f t="shared" si="8"/>
        <v>0</v>
      </c>
      <c r="Q88" s="145">
        <f t="shared" si="9"/>
        <v>31.786425000000005</v>
      </c>
      <c r="R88" s="145">
        <f t="shared" si="9"/>
        <v>31.786425000000005</v>
      </c>
      <c r="S88" s="145">
        <f t="shared" si="9"/>
        <v>0</v>
      </c>
      <c r="T88" s="145">
        <f t="shared" si="9"/>
        <v>0</v>
      </c>
      <c r="U88" s="168" t="s">
        <v>5</v>
      </c>
      <c r="V88" s="172" t="s">
        <v>26</v>
      </c>
    </row>
    <row r="89" spans="1:22" ht="33.75">
      <c r="A89" s="106" t="s">
        <v>838</v>
      </c>
      <c r="B89" s="168" t="s">
        <v>823</v>
      </c>
      <c r="C89" s="168" t="s">
        <v>824</v>
      </c>
      <c r="D89" s="169" t="s">
        <v>839</v>
      </c>
      <c r="E89" s="81" t="s">
        <v>840</v>
      </c>
      <c r="F89" s="174">
        <v>2025</v>
      </c>
      <c r="G89" s="89"/>
      <c r="H89" s="106" t="s">
        <v>800</v>
      </c>
      <c r="I89" s="171">
        <v>0.1</v>
      </c>
      <c r="J89" s="175">
        <v>26.42</v>
      </c>
      <c r="K89" s="172"/>
      <c r="L89" s="175">
        <v>80000</v>
      </c>
      <c r="M89" s="145">
        <v>0</v>
      </c>
      <c r="N89" s="145">
        <f>$J89</f>
        <v>26.42</v>
      </c>
      <c r="O89" s="145">
        <f t="shared" si="8"/>
        <v>0</v>
      </c>
      <c r="P89" s="145">
        <f t="shared" si="8"/>
        <v>0</v>
      </c>
      <c r="Q89" s="145">
        <f t="shared" si="9"/>
        <v>0</v>
      </c>
      <c r="R89" s="145">
        <f t="shared" si="9"/>
        <v>2.6420000000000003</v>
      </c>
      <c r="S89" s="145">
        <f t="shared" si="9"/>
        <v>0</v>
      </c>
      <c r="T89" s="145">
        <f t="shared" si="9"/>
        <v>0</v>
      </c>
      <c r="U89" s="168" t="s">
        <v>7</v>
      </c>
      <c r="V89" s="172" t="s">
        <v>30</v>
      </c>
    </row>
    <row r="90" spans="1:22" ht="56.25">
      <c r="A90" s="106" t="s">
        <v>841</v>
      </c>
      <c r="B90" s="168" t="s">
        <v>823</v>
      </c>
      <c r="C90" s="168" t="s">
        <v>824</v>
      </c>
      <c r="D90" s="169" t="s">
        <v>842</v>
      </c>
      <c r="E90" s="81"/>
      <c r="F90" s="174">
        <v>2024</v>
      </c>
      <c r="G90" s="89"/>
      <c r="H90" s="106" t="s">
        <v>188</v>
      </c>
      <c r="I90" s="171">
        <v>0.55000000000000004</v>
      </c>
      <c r="J90" s="201">
        <v>0.33</v>
      </c>
      <c r="K90" s="172"/>
      <c r="L90" s="187">
        <v>100</v>
      </c>
      <c r="M90" s="145">
        <v>0</v>
      </c>
      <c r="N90" s="145">
        <f>$J90</f>
        <v>0.33</v>
      </c>
      <c r="O90" s="145">
        <f t="shared" si="8"/>
        <v>0</v>
      </c>
      <c r="P90" s="145">
        <f t="shared" si="8"/>
        <v>0</v>
      </c>
      <c r="Q90" s="145">
        <f t="shared" si="9"/>
        <v>0</v>
      </c>
      <c r="R90" s="145">
        <f t="shared" si="9"/>
        <v>0.18150000000000002</v>
      </c>
      <c r="S90" s="145">
        <f t="shared" si="9"/>
        <v>0</v>
      </c>
      <c r="T90" s="145">
        <f t="shared" si="9"/>
        <v>0</v>
      </c>
      <c r="U90" s="168" t="s">
        <v>396</v>
      </c>
      <c r="V90" s="172" t="s">
        <v>29</v>
      </c>
    </row>
    <row r="91" spans="1:22" ht="90">
      <c r="A91" s="106" t="s">
        <v>843</v>
      </c>
      <c r="B91" s="168" t="s">
        <v>844</v>
      </c>
      <c r="C91" s="168" t="s">
        <v>824</v>
      </c>
      <c r="D91" s="169" t="s">
        <v>845</v>
      </c>
      <c r="E91" s="81" t="s">
        <v>846</v>
      </c>
      <c r="F91" s="174">
        <v>2027</v>
      </c>
      <c r="G91" s="89"/>
      <c r="H91" s="106" t="s">
        <v>188</v>
      </c>
      <c r="I91" s="171">
        <v>0.55000000000000004</v>
      </c>
      <c r="J91" s="175">
        <v>11.558</v>
      </c>
      <c r="K91" s="172"/>
      <c r="L91" s="175">
        <v>35000</v>
      </c>
      <c r="M91" s="145">
        <f>$J91/2</f>
        <v>5.7789999999999999</v>
      </c>
      <c r="N91" s="145">
        <f>$J91/2</f>
        <v>5.7789999999999999</v>
      </c>
      <c r="O91" s="145">
        <f t="shared" si="8"/>
        <v>0</v>
      </c>
      <c r="P91" s="145">
        <f t="shared" si="8"/>
        <v>0</v>
      </c>
      <c r="Q91" s="145">
        <f t="shared" si="9"/>
        <v>3.1784500000000002</v>
      </c>
      <c r="R91" s="145">
        <f t="shared" si="9"/>
        <v>3.1784500000000002</v>
      </c>
      <c r="S91" s="145">
        <f t="shared" si="9"/>
        <v>0</v>
      </c>
      <c r="T91" s="145">
        <f t="shared" si="9"/>
        <v>0</v>
      </c>
      <c r="U91" s="168" t="s">
        <v>396</v>
      </c>
      <c r="V91" s="172" t="s">
        <v>29</v>
      </c>
    </row>
    <row r="92" spans="1:22" ht="67.5">
      <c r="A92" s="106" t="s">
        <v>847</v>
      </c>
      <c r="B92" s="168" t="s">
        <v>848</v>
      </c>
      <c r="C92" s="168" t="s">
        <v>849</v>
      </c>
      <c r="D92" s="198" t="s">
        <v>850</v>
      </c>
      <c r="E92" s="81" t="s">
        <v>851</v>
      </c>
      <c r="F92" s="174">
        <v>2027</v>
      </c>
      <c r="G92" s="89"/>
      <c r="H92" s="106" t="s">
        <v>188</v>
      </c>
      <c r="I92" s="171">
        <v>0.1</v>
      </c>
      <c r="J92" s="175">
        <v>27.64</v>
      </c>
      <c r="K92" s="172"/>
      <c r="L92" s="175">
        <v>83700</v>
      </c>
      <c r="M92" s="145">
        <v>0</v>
      </c>
      <c r="N92" s="145">
        <f>$J92</f>
        <v>27.64</v>
      </c>
      <c r="O92" s="145">
        <f t="shared" si="8"/>
        <v>0</v>
      </c>
      <c r="P92" s="145">
        <f t="shared" si="8"/>
        <v>0</v>
      </c>
      <c r="Q92" s="145">
        <f t="shared" si="9"/>
        <v>0</v>
      </c>
      <c r="R92" s="145">
        <f t="shared" si="9"/>
        <v>2.7640000000000002</v>
      </c>
      <c r="S92" s="145">
        <f t="shared" si="9"/>
        <v>0</v>
      </c>
      <c r="T92" s="145">
        <f t="shared" si="9"/>
        <v>0</v>
      </c>
      <c r="U92" s="168" t="s">
        <v>7</v>
      </c>
      <c r="V92" s="172" t="s">
        <v>30</v>
      </c>
    </row>
    <row r="93" spans="1:22" ht="33.75">
      <c r="A93" s="106" t="s">
        <v>852</v>
      </c>
      <c r="B93" s="168" t="s">
        <v>853</v>
      </c>
      <c r="C93" s="168" t="s">
        <v>849</v>
      </c>
      <c r="D93" s="169" t="s">
        <v>854</v>
      </c>
      <c r="E93" s="81"/>
      <c r="F93" s="174">
        <v>2027</v>
      </c>
      <c r="G93" s="89"/>
      <c r="H93" s="106" t="s">
        <v>545</v>
      </c>
      <c r="I93" s="171">
        <v>0.75</v>
      </c>
      <c r="J93" s="175">
        <v>33</v>
      </c>
      <c r="K93" s="172"/>
      <c r="L93" s="202">
        <v>100000</v>
      </c>
      <c r="M93" s="145">
        <f>$J93/2</f>
        <v>16.5</v>
      </c>
      <c r="N93" s="145">
        <f>$J93/2</f>
        <v>16.5</v>
      </c>
      <c r="O93" s="145">
        <f t="shared" si="8"/>
        <v>0</v>
      </c>
      <c r="P93" s="145">
        <f t="shared" si="8"/>
        <v>0</v>
      </c>
      <c r="Q93" s="145">
        <f t="shared" si="9"/>
        <v>12.375</v>
      </c>
      <c r="R93" s="145">
        <f t="shared" si="9"/>
        <v>12.375</v>
      </c>
      <c r="S93" s="145">
        <f t="shared" si="9"/>
        <v>0</v>
      </c>
      <c r="T93" s="145">
        <f t="shared" si="9"/>
        <v>0</v>
      </c>
      <c r="U93" s="168" t="s">
        <v>5</v>
      </c>
      <c r="V93" s="172" t="s">
        <v>26</v>
      </c>
    </row>
    <row r="94" spans="1:22" ht="33.75">
      <c r="A94" s="106" t="s">
        <v>855</v>
      </c>
      <c r="B94" s="168" t="s">
        <v>856</v>
      </c>
      <c r="C94" s="168" t="s">
        <v>849</v>
      </c>
      <c r="D94" s="169" t="s">
        <v>857</v>
      </c>
      <c r="E94" s="81" t="s">
        <v>858</v>
      </c>
      <c r="F94" s="174">
        <v>2028</v>
      </c>
      <c r="G94" s="89"/>
      <c r="H94" s="106" t="s">
        <v>859</v>
      </c>
      <c r="I94" s="171">
        <v>0.55000000000000004</v>
      </c>
      <c r="J94" s="175">
        <v>12.35</v>
      </c>
      <c r="K94" s="172"/>
      <c r="L94" s="175">
        <v>37400</v>
      </c>
      <c r="M94" s="145">
        <v>0</v>
      </c>
      <c r="N94" s="145">
        <f>$J94</f>
        <v>12.35</v>
      </c>
      <c r="O94" s="145">
        <f t="shared" si="8"/>
        <v>0</v>
      </c>
      <c r="P94" s="145">
        <f t="shared" si="8"/>
        <v>0</v>
      </c>
      <c r="Q94" s="145">
        <f t="shared" si="9"/>
        <v>0</v>
      </c>
      <c r="R94" s="145">
        <f t="shared" si="9"/>
        <v>6.7925000000000004</v>
      </c>
      <c r="S94" s="145">
        <f t="shared" si="9"/>
        <v>0</v>
      </c>
      <c r="T94" s="145">
        <f t="shared" si="9"/>
        <v>0</v>
      </c>
      <c r="U94" s="168" t="s">
        <v>7</v>
      </c>
      <c r="V94" s="172" t="s">
        <v>30</v>
      </c>
    </row>
    <row r="95" spans="1:22">
      <c r="A95" s="106" t="s">
        <v>860</v>
      </c>
      <c r="B95" s="168" t="s">
        <v>856</v>
      </c>
      <c r="C95" s="168" t="s">
        <v>849</v>
      </c>
      <c r="D95" s="169"/>
      <c r="E95" s="81"/>
      <c r="F95" s="174">
        <v>2028</v>
      </c>
      <c r="G95" s="89"/>
      <c r="H95" s="106" t="s">
        <v>188</v>
      </c>
      <c r="I95" s="171">
        <v>0.55000000000000004</v>
      </c>
      <c r="J95" s="175">
        <v>3.96</v>
      </c>
      <c r="K95" s="172"/>
      <c r="L95" s="173">
        <v>12000</v>
      </c>
      <c r="M95" s="145">
        <v>0</v>
      </c>
      <c r="N95" s="145">
        <f>$J95</f>
        <v>3.96</v>
      </c>
      <c r="O95" s="145">
        <f t="shared" si="8"/>
        <v>0</v>
      </c>
      <c r="P95" s="145">
        <f t="shared" si="8"/>
        <v>0</v>
      </c>
      <c r="Q95" s="145">
        <f t="shared" si="9"/>
        <v>0</v>
      </c>
      <c r="R95" s="145">
        <f t="shared" si="9"/>
        <v>2.1779999999999999</v>
      </c>
      <c r="S95" s="145">
        <f t="shared" si="9"/>
        <v>0</v>
      </c>
      <c r="T95" s="145">
        <f t="shared" si="9"/>
        <v>0</v>
      </c>
      <c r="U95" s="168" t="s">
        <v>396</v>
      </c>
      <c r="V95" s="172" t="s">
        <v>29</v>
      </c>
    </row>
    <row r="96" spans="1:22" ht="33.75">
      <c r="A96" s="106" t="s">
        <v>852</v>
      </c>
      <c r="B96" s="168" t="s">
        <v>861</v>
      </c>
      <c r="C96" s="168" t="s">
        <v>849</v>
      </c>
      <c r="D96" s="169" t="s">
        <v>854</v>
      </c>
      <c r="E96" s="81"/>
      <c r="F96" s="174">
        <v>2025</v>
      </c>
      <c r="G96" s="89"/>
      <c r="H96" s="106" t="s">
        <v>188</v>
      </c>
      <c r="I96" s="171">
        <v>0.55000000000000004</v>
      </c>
      <c r="J96" s="175">
        <v>3.6</v>
      </c>
      <c r="K96" s="172"/>
      <c r="L96" s="175">
        <v>11000</v>
      </c>
      <c r="M96" s="145">
        <v>0</v>
      </c>
      <c r="N96" s="145">
        <f>$J96</f>
        <v>3.6</v>
      </c>
      <c r="O96" s="145">
        <f t="shared" si="8"/>
        <v>0</v>
      </c>
      <c r="P96" s="145">
        <f t="shared" si="8"/>
        <v>0</v>
      </c>
      <c r="Q96" s="145">
        <f t="shared" si="9"/>
        <v>0</v>
      </c>
      <c r="R96" s="145">
        <f t="shared" si="9"/>
        <v>1.9800000000000002</v>
      </c>
      <c r="S96" s="145">
        <f t="shared" si="9"/>
        <v>0</v>
      </c>
      <c r="T96" s="145">
        <f t="shared" si="9"/>
        <v>0</v>
      </c>
      <c r="U96" s="168" t="s">
        <v>7</v>
      </c>
      <c r="V96" s="172" t="s">
        <v>30</v>
      </c>
    </row>
    <row r="97" spans="1:22" ht="33.75">
      <c r="A97" s="106" t="s">
        <v>862</v>
      </c>
      <c r="B97" s="168" t="s">
        <v>863</v>
      </c>
      <c r="C97" s="168" t="s">
        <v>849</v>
      </c>
      <c r="D97" s="169" t="s">
        <v>864</v>
      </c>
      <c r="E97" s="81"/>
      <c r="F97" s="174">
        <v>2022</v>
      </c>
      <c r="G97" s="89"/>
      <c r="H97" s="106" t="s">
        <v>318</v>
      </c>
      <c r="I97" s="171">
        <v>1</v>
      </c>
      <c r="J97" s="175">
        <v>6.6</v>
      </c>
      <c r="K97" s="172"/>
      <c r="L97" s="175">
        <v>20000</v>
      </c>
      <c r="M97" s="145">
        <f>$J97/2</f>
        <v>3.3</v>
      </c>
      <c r="N97" s="145">
        <f>$J97/2</f>
        <v>3.3</v>
      </c>
      <c r="O97" s="145">
        <f t="shared" si="8"/>
        <v>0</v>
      </c>
      <c r="P97" s="145">
        <f t="shared" si="8"/>
        <v>0</v>
      </c>
      <c r="Q97" s="145">
        <f t="shared" si="9"/>
        <v>3.3</v>
      </c>
      <c r="R97" s="145">
        <f t="shared" si="9"/>
        <v>3.3</v>
      </c>
      <c r="S97" s="145">
        <f t="shared" si="9"/>
        <v>0</v>
      </c>
      <c r="T97" s="145">
        <f t="shared" si="9"/>
        <v>0</v>
      </c>
      <c r="U97" s="168" t="s">
        <v>503</v>
      </c>
      <c r="V97" s="172" t="s">
        <v>865</v>
      </c>
    </row>
    <row r="98" spans="1:22" ht="45">
      <c r="A98" s="106" t="s">
        <v>866</v>
      </c>
      <c r="B98" s="168" t="s">
        <v>867</v>
      </c>
      <c r="C98" s="168" t="s">
        <v>849</v>
      </c>
      <c r="D98" s="169" t="s">
        <v>868</v>
      </c>
      <c r="E98" s="81" t="s">
        <v>869</v>
      </c>
      <c r="F98" s="174">
        <v>2028</v>
      </c>
      <c r="G98" s="89"/>
      <c r="H98" s="106" t="s">
        <v>870</v>
      </c>
      <c r="I98" s="171">
        <v>0.75</v>
      </c>
      <c r="J98" s="175">
        <v>41</v>
      </c>
      <c r="K98" s="172"/>
      <c r="L98" s="175">
        <v>124200</v>
      </c>
      <c r="M98" s="145">
        <v>0</v>
      </c>
      <c r="N98" s="145">
        <f t="shared" ref="N98:N106" si="10">$J98</f>
        <v>41</v>
      </c>
      <c r="O98" s="145">
        <f t="shared" si="8"/>
        <v>0</v>
      </c>
      <c r="P98" s="145">
        <f t="shared" si="8"/>
        <v>0</v>
      </c>
      <c r="Q98" s="145">
        <f t="shared" si="9"/>
        <v>0</v>
      </c>
      <c r="R98" s="145">
        <f t="shared" si="9"/>
        <v>30.75</v>
      </c>
      <c r="S98" s="145">
        <f t="shared" si="9"/>
        <v>0</v>
      </c>
      <c r="T98" s="145">
        <f t="shared" si="9"/>
        <v>0</v>
      </c>
      <c r="U98" s="168" t="s">
        <v>7</v>
      </c>
      <c r="V98" s="172" t="s">
        <v>30</v>
      </c>
    </row>
    <row r="99" spans="1:22" ht="56.25">
      <c r="A99" s="106" t="s">
        <v>871</v>
      </c>
      <c r="B99" s="168" t="s">
        <v>872</v>
      </c>
      <c r="C99" s="168" t="s">
        <v>849</v>
      </c>
      <c r="D99" s="169" t="s">
        <v>873</v>
      </c>
      <c r="E99" s="81" t="s">
        <v>874</v>
      </c>
      <c r="F99" s="174">
        <v>2028</v>
      </c>
      <c r="G99" s="89"/>
      <c r="H99" s="106" t="s">
        <v>870</v>
      </c>
      <c r="I99" s="171">
        <v>0.5</v>
      </c>
      <c r="J99" s="175">
        <v>30</v>
      </c>
      <c r="K99" s="172"/>
      <c r="L99" s="175">
        <v>90000</v>
      </c>
      <c r="M99" s="145">
        <v>0</v>
      </c>
      <c r="N99" s="145">
        <f t="shared" si="10"/>
        <v>30</v>
      </c>
      <c r="O99" s="145">
        <f t="shared" si="8"/>
        <v>0</v>
      </c>
      <c r="P99" s="145">
        <f t="shared" si="8"/>
        <v>0</v>
      </c>
      <c r="Q99" s="145">
        <f t="shared" si="9"/>
        <v>0</v>
      </c>
      <c r="R99" s="145">
        <f t="shared" si="9"/>
        <v>15</v>
      </c>
      <c r="S99" s="145">
        <f t="shared" si="9"/>
        <v>0</v>
      </c>
      <c r="T99" s="145">
        <f t="shared" si="9"/>
        <v>0</v>
      </c>
      <c r="U99" s="168" t="s">
        <v>875</v>
      </c>
      <c r="V99" s="172" t="s">
        <v>27</v>
      </c>
    </row>
    <row r="100" spans="1:22" ht="56.25">
      <c r="A100" s="106" t="s">
        <v>876</v>
      </c>
      <c r="B100" s="168" t="s">
        <v>877</v>
      </c>
      <c r="C100" s="168" t="s">
        <v>849</v>
      </c>
      <c r="D100" s="169" t="s">
        <v>878</v>
      </c>
      <c r="E100" s="81"/>
      <c r="F100" s="174">
        <v>2025</v>
      </c>
      <c r="G100" s="89"/>
      <c r="H100" s="106" t="s">
        <v>133</v>
      </c>
      <c r="I100" s="171">
        <v>0.9</v>
      </c>
      <c r="J100" s="175">
        <v>6.6000000000000003E-2</v>
      </c>
      <c r="K100" s="172"/>
      <c r="L100" s="175">
        <v>200</v>
      </c>
      <c r="M100" s="145">
        <v>0</v>
      </c>
      <c r="N100" s="145">
        <f t="shared" si="10"/>
        <v>6.6000000000000003E-2</v>
      </c>
      <c r="O100" s="145">
        <f t="shared" si="8"/>
        <v>0</v>
      </c>
      <c r="P100" s="145">
        <f t="shared" si="8"/>
        <v>0</v>
      </c>
      <c r="Q100" s="145">
        <f t="shared" si="9"/>
        <v>0</v>
      </c>
      <c r="R100" s="145">
        <f t="shared" si="9"/>
        <v>5.9400000000000001E-2</v>
      </c>
      <c r="S100" s="145">
        <f t="shared" si="9"/>
        <v>0</v>
      </c>
      <c r="T100" s="145">
        <f t="shared" si="9"/>
        <v>0</v>
      </c>
      <c r="U100" s="168" t="s">
        <v>7</v>
      </c>
      <c r="V100" s="172" t="s">
        <v>30</v>
      </c>
    </row>
    <row r="101" spans="1:22" ht="22.5">
      <c r="A101" s="106" t="s">
        <v>879</v>
      </c>
      <c r="B101" s="168" t="s">
        <v>877</v>
      </c>
      <c r="C101" s="168" t="s">
        <v>849</v>
      </c>
      <c r="D101" s="169" t="s">
        <v>880</v>
      </c>
      <c r="E101" s="81"/>
      <c r="F101" s="174">
        <v>2027</v>
      </c>
      <c r="G101" s="89"/>
      <c r="H101" s="106" t="s">
        <v>188</v>
      </c>
      <c r="I101" s="171">
        <v>0.75</v>
      </c>
      <c r="J101" s="175">
        <v>1.6</v>
      </c>
      <c r="K101" s="172"/>
      <c r="L101" s="175">
        <v>5000</v>
      </c>
      <c r="M101" s="145">
        <v>0</v>
      </c>
      <c r="N101" s="145">
        <f t="shared" si="10"/>
        <v>1.6</v>
      </c>
      <c r="O101" s="145">
        <f t="shared" si="8"/>
        <v>0</v>
      </c>
      <c r="P101" s="145">
        <f t="shared" si="8"/>
        <v>0</v>
      </c>
      <c r="Q101" s="145">
        <f t="shared" si="9"/>
        <v>0</v>
      </c>
      <c r="R101" s="145">
        <f t="shared" si="9"/>
        <v>1.2000000000000002</v>
      </c>
      <c r="S101" s="145">
        <f t="shared" si="9"/>
        <v>0</v>
      </c>
      <c r="T101" s="145">
        <f t="shared" si="9"/>
        <v>0</v>
      </c>
      <c r="U101" s="168" t="s">
        <v>7</v>
      </c>
      <c r="V101" s="172" t="s">
        <v>30</v>
      </c>
    </row>
    <row r="102" spans="1:22" ht="22.5">
      <c r="A102" s="106" t="s">
        <v>881</v>
      </c>
      <c r="B102" s="168" t="s">
        <v>877</v>
      </c>
      <c r="C102" s="168" t="s">
        <v>849</v>
      </c>
      <c r="D102" s="169" t="s">
        <v>882</v>
      </c>
      <c r="E102" s="81"/>
      <c r="F102" s="174">
        <v>2028</v>
      </c>
      <c r="G102" s="89"/>
      <c r="H102" s="106" t="s">
        <v>188</v>
      </c>
      <c r="I102" s="171">
        <v>0.75</v>
      </c>
      <c r="J102" s="175">
        <v>10</v>
      </c>
      <c r="K102" s="172"/>
      <c r="L102" s="175">
        <v>32000</v>
      </c>
      <c r="M102" s="145">
        <v>0</v>
      </c>
      <c r="N102" s="145">
        <f t="shared" si="10"/>
        <v>10</v>
      </c>
      <c r="O102" s="145">
        <f t="shared" si="8"/>
        <v>0</v>
      </c>
      <c r="P102" s="145">
        <f t="shared" si="8"/>
        <v>0</v>
      </c>
      <c r="Q102" s="145">
        <f t="shared" si="9"/>
        <v>0</v>
      </c>
      <c r="R102" s="145">
        <f t="shared" si="9"/>
        <v>7.5</v>
      </c>
      <c r="S102" s="145">
        <f t="shared" si="9"/>
        <v>0</v>
      </c>
      <c r="T102" s="145">
        <f t="shared" si="9"/>
        <v>0</v>
      </c>
      <c r="U102" s="168" t="s">
        <v>7</v>
      </c>
      <c r="V102" s="172" t="s">
        <v>30</v>
      </c>
    </row>
    <row r="103" spans="1:22" ht="33.75">
      <c r="A103" s="106" t="s">
        <v>883</v>
      </c>
      <c r="B103" s="168" t="s">
        <v>884</v>
      </c>
      <c r="C103" s="168" t="s">
        <v>849</v>
      </c>
      <c r="D103" s="169" t="s">
        <v>885</v>
      </c>
      <c r="E103" s="81" t="s">
        <v>539</v>
      </c>
      <c r="F103" s="174">
        <v>2026</v>
      </c>
      <c r="G103" s="89"/>
      <c r="H103" s="106" t="s">
        <v>886</v>
      </c>
      <c r="I103" s="171">
        <v>0.75</v>
      </c>
      <c r="J103" s="175">
        <v>28.4</v>
      </c>
      <c r="K103" s="172"/>
      <c r="L103" s="175">
        <v>86000</v>
      </c>
      <c r="M103" s="145">
        <v>0</v>
      </c>
      <c r="N103" s="145">
        <f t="shared" si="10"/>
        <v>28.4</v>
      </c>
      <c r="O103" s="145">
        <f t="shared" si="8"/>
        <v>0</v>
      </c>
      <c r="P103" s="145">
        <f t="shared" si="8"/>
        <v>0</v>
      </c>
      <c r="Q103" s="145">
        <f t="shared" si="9"/>
        <v>0</v>
      </c>
      <c r="R103" s="145">
        <f t="shared" si="9"/>
        <v>21.299999999999997</v>
      </c>
      <c r="S103" s="145">
        <f t="shared" si="9"/>
        <v>0</v>
      </c>
      <c r="T103" s="145">
        <f t="shared" si="9"/>
        <v>0</v>
      </c>
      <c r="U103" s="168" t="s">
        <v>875</v>
      </c>
      <c r="V103" s="172" t="s">
        <v>27</v>
      </c>
    </row>
    <row r="104" spans="1:22" ht="30">
      <c r="A104" s="106" t="s">
        <v>887</v>
      </c>
      <c r="B104" s="168"/>
      <c r="C104" s="168" t="s">
        <v>849</v>
      </c>
      <c r="D104" s="169" t="s">
        <v>888</v>
      </c>
      <c r="E104" s="81" t="s">
        <v>889</v>
      </c>
      <c r="F104" s="174">
        <v>2028</v>
      </c>
      <c r="G104" s="89"/>
      <c r="H104" s="106" t="s">
        <v>188</v>
      </c>
      <c r="I104" s="171">
        <v>0.55000000000000004</v>
      </c>
      <c r="J104" s="175">
        <v>25.099</v>
      </c>
      <c r="K104" s="172"/>
      <c r="L104" s="175">
        <v>76000</v>
      </c>
      <c r="M104" s="145">
        <v>0</v>
      </c>
      <c r="N104" s="145">
        <f t="shared" si="10"/>
        <v>25.099</v>
      </c>
      <c r="O104" s="145">
        <f t="shared" si="8"/>
        <v>0</v>
      </c>
      <c r="P104" s="145">
        <f t="shared" si="8"/>
        <v>0</v>
      </c>
      <c r="Q104" s="145">
        <f t="shared" si="9"/>
        <v>0</v>
      </c>
      <c r="R104" s="145">
        <f t="shared" si="9"/>
        <v>13.804450000000001</v>
      </c>
      <c r="S104" s="145">
        <f t="shared" si="9"/>
        <v>0</v>
      </c>
      <c r="T104" s="145">
        <f t="shared" si="9"/>
        <v>0</v>
      </c>
      <c r="U104" s="168" t="s">
        <v>875</v>
      </c>
      <c r="V104" s="172" t="s">
        <v>27</v>
      </c>
    </row>
    <row r="105" spans="1:22" ht="33.75">
      <c r="A105" s="106" t="s">
        <v>890</v>
      </c>
      <c r="B105" s="168" t="s">
        <v>891</v>
      </c>
      <c r="C105" s="168" t="s">
        <v>849</v>
      </c>
      <c r="D105" s="169" t="s">
        <v>892</v>
      </c>
      <c r="E105" s="81" t="s">
        <v>893</v>
      </c>
      <c r="F105" s="174">
        <v>2028</v>
      </c>
      <c r="G105" s="89"/>
      <c r="H105" s="106" t="s">
        <v>188</v>
      </c>
      <c r="I105" s="171">
        <v>0.55000000000000004</v>
      </c>
      <c r="J105" s="175">
        <v>16.5</v>
      </c>
      <c r="K105" s="172"/>
      <c r="L105" s="175">
        <v>50000</v>
      </c>
      <c r="M105" s="145">
        <v>0</v>
      </c>
      <c r="N105" s="145">
        <f t="shared" si="10"/>
        <v>16.5</v>
      </c>
      <c r="O105" s="145">
        <f t="shared" si="8"/>
        <v>0</v>
      </c>
      <c r="P105" s="145">
        <f t="shared" si="8"/>
        <v>0</v>
      </c>
      <c r="Q105" s="145">
        <f t="shared" si="9"/>
        <v>0</v>
      </c>
      <c r="R105" s="145">
        <f t="shared" si="9"/>
        <v>9.0750000000000011</v>
      </c>
      <c r="S105" s="145">
        <f t="shared" si="9"/>
        <v>0</v>
      </c>
      <c r="T105" s="145">
        <f t="shared" si="9"/>
        <v>0</v>
      </c>
      <c r="U105" s="168" t="s">
        <v>7</v>
      </c>
      <c r="V105" s="172" t="s">
        <v>30</v>
      </c>
    </row>
    <row r="106" spans="1:22" ht="33.75">
      <c r="A106" s="106" t="s">
        <v>894</v>
      </c>
      <c r="B106" s="168"/>
      <c r="C106" s="168" t="s">
        <v>849</v>
      </c>
      <c r="D106" s="169" t="s">
        <v>895</v>
      </c>
      <c r="E106" s="81" t="s">
        <v>896</v>
      </c>
      <c r="F106" s="174">
        <v>2027</v>
      </c>
      <c r="G106" s="89"/>
      <c r="H106" s="106" t="s">
        <v>897</v>
      </c>
      <c r="I106" s="171">
        <v>0.55000000000000004</v>
      </c>
      <c r="J106" s="175">
        <v>3.96</v>
      </c>
      <c r="K106" s="172"/>
      <c r="L106" s="175">
        <v>12000</v>
      </c>
      <c r="M106" s="145">
        <v>0</v>
      </c>
      <c r="N106" s="145">
        <f t="shared" si="10"/>
        <v>3.96</v>
      </c>
      <c r="O106" s="145">
        <f t="shared" si="8"/>
        <v>0</v>
      </c>
      <c r="P106" s="145">
        <f t="shared" si="8"/>
        <v>0</v>
      </c>
      <c r="Q106" s="145">
        <f t="shared" si="9"/>
        <v>0</v>
      </c>
      <c r="R106" s="145">
        <f t="shared" si="9"/>
        <v>2.1779999999999999</v>
      </c>
      <c r="S106" s="145">
        <f t="shared" si="9"/>
        <v>0</v>
      </c>
      <c r="T106" s="145">
        <f t="shared" si="9"/>
        <v>0</v>
      </c>
      <c r="U106" s="168" t="s">
        <v>396</v>
      </c>
      <c r="V106" s="172" t="s">
        <v>29</v>
      </c>
    </row>
    <row r="107" spans="1:22" ht="45">
      <c r="A107" s="106" t="s">
        <v>898</v>
      </c>
      <c r="B107" s="168" t="s">
        <v>853</v>
      </c>
      <c r="C107" s="168" t="s">
        <v>849</v>
      </c>
      <c r="D107" s="169" t="s">
        <v>899</v>
      </c>
      <c r="E107" s="81" t="s">
        <v>900</v>
      </c>
      <c r="F107" s="174">
        <v>2026</v>
      </c>
      <c r="G107" s="89"/>
      <c r="H107" s="106" t="s">
        <v>188</v>
      </c>
      <c r="I107" s="171">
        <v>0.55000000000000004</v>
      </c>
      <c r="J107" s="175">
        <v>0.85899999999999999</v>
      </c>
      <c r="K107" s="172"/>
      <c r="L107" s="175">
        <v>2600</v>
      </c>
      <c r="M107" s="145">
        <f>$J107/2</f>
        <v>0.42949999999999999</v>
      </c>
      <c r="N107" s="145">
        <f>$J107/2</f>
        <v>0.42949999999999999</v>
      </c>
      <c r="O107" s="145">
        <f t="shared" si="8"/>
        <v>0</v>
      </c>
      <c r="P107" s="145">
        <f t="shared" si="8"/>
        <v>0</v>
      </c>
      <c r="Q107" s="145">
        <f t="shared" si="9"/>
        <v>0.23622500000000002</v>
      </c>
      <c r="R107" s="145">
        <f t="shared" si="9"/>
        <v>0.23622500000000002</v>
      </c>
      <c r="S107" s="145">
        <f t="shared" si="9"/>
        <v>0</v>
      </c>
      <c r="T107" s="145">
        <f t="shared" si="9"/>
        <v>0</v>
      </c>
      <c r="U107" s="168" t="s">
        <v>9</v>
      </c>
      <c r="V107" s="172" t="s">
        <v>575</v>
      </c>
    </row>
    <row r="108" spans="1:22" ht="45">
      <c r="A108" s="106" t="s">
        <v>901</v>
      </c>
      <c r="B108" s="168" t="s">
        <v>853</v>
      </c>
      <c r="C108" s="168" t="s">
        <v>849</v>
      </c>
      <c r="D108" s="169" t="s">
        <v>899</v>
      </c>
      <c r="E108" s="81" t="s">
        <v>900</v>
      </c>
      <c r="F108" s="174">
        <v>2028</v>
      </c>
      <c r="G108" s="89"/>
      <c r="H108" s="106" t="s">
        <v>188</v>
      </c>
      <c r="I108" s="171">
        <v>0.55000000000000004</v>
      </c>
      <c r="J108" s="175">
        <v>22.35</v>
      </c>
      <c r="K108" s="172"/>
      <c r="L108" s="175">
        <v>67700</v>
      </c>
      <c r="M108" s="145">
        <v>0</v>
      </c>
      <c r="N108" s="145">
        <f>$J108</f>
        <v>22.35</v>
      </c>
      <c r="O108" s="145">
        <f t="shared" si="8"/>
        <v>0</v>
      </c>
      <c r="P108" s="145">
        <f t="shared" si="8"/>
        <v>0</v>
      </c>
      <c r="Q108" s="145">
        <f t="shared" si="9"/>
        <v>0</v>
      </c>
      <c r="R108" s="145">
        <f t="shared" si="9"/>
        <v>12.292500000000002</v>
      </c>
      <c r="S108" s="145">
        <f t="shared" si="9"/>
        <v>0</v>
      </c>
      <c r="T108" s="145">
        <f t="shared" si="9"/>
        <v>0</v>
      </c>
      <c r="U108" s="168" t="s">
        <v>396</v>
      </c>
      <c r="V108" s="172" t="s">
        <v>29</v>
      </c>
    </row>
    <row r="109" spans="1:22" ht="45">
      <c r="A109" s="106" t="s">
        <v>902</v>
      </c>
      <c r="B109" s="168" t="s">
        <v>903</v>
      </c>
      <c r="C109" s="168" t="s">
        <v>849</v>
      </c>
      <c r="D109" s="169" t="s">
        <v>904</v>
      </c>
      <c r="E109" s="81" t="s">
        <v>905</v>
      </c>
      <c r="F109" s="174">
        <v>2032</v>
      </c>
      <c r="G109" s="89"/>
      <c r="H109" s="106" t="s">
        <v>188</v>
      </c>
      <c r="I109" s="171">
        <v>0.55000000000000004</v>
      </c>
      <c r="J109" s="175">
        <v>66</v>
      </c>
      <c r="K109" s="172"/>
      <c r="L109" s="175">
        <v>200000</v>
      </c>
      <c r="M109" s="145">
        <f>$J109/2</f>
        <v>33</v>
      </c>
      <c r="N109" s="145">
        <f>$J109/2</f>
        <v>33</v>
      </c>
      <c r="O109" s="145">
        <f t="shared" si="8"/>
        <v>0</v>
      </c>
      <c r="P109" s="145">
        <f t="shared" si="8"/>
        <v>0</v>
      </c>
      <c r="Q109" s="145">
        <f t="shared" si="9"/>
        <v>18.150000000000002</v>
      </c>
      <c r="R109" s="145">
        <f t="shared" si="9"/>
        <v>18.150000000000002</v>
      </c>
      <c r="S109" s="145">
        <f t="shared" si="9"/>
        <v>0</v>
      </c>
      <c r="T109" s="145">
        <f t="shared" si="9"/>
        <v>0</v>
      </c>
      <c r="U109" s="168" t="s">
        <v>9</v>
      </c>
      <c r="V109" s="172" t="s">
        <v>30</v>
      </c>
    </row>
    <row r="110" spans="1:22" ht="78.75">
      <c r="A110" s="106" t="s">
        <v>906</v>
      </c>
      <c r="B110" s="81" t="s">
        <v>907</v>
      </c>
      <c r="C110" s="168" t="s">
        <v>849</v>
      </c>
      <c r="D110" s="169" t="s">
        <v>908</v>
      </c>
      <c r="E110" s="81" t="s">
        <v>909</v>
      </c>
      <c r="F110" s="174">
        <v>2024</v>
      </c>
      <c r="G110" s="89"/>
      <c r="H110" s="106" t="s">
        <v>318</v>
      </c>
      <c r="I110" s="171">
        <v>1</v>
      </c>
      <c r="J110" s="203">
        <v>1.1900000000000001E-4</v>
      </c>
      <c r="K110" s="172"/>
      <c r="L110" s="201">
        <f>360/1000</f>
        <v>0.36</v>
      </c>
      <c r="M110" s="145">
        <v>0</v>
      </c>
      <c r="N110" s="145">
        <f t="shared" ref="N110:N116" si="11">$J110</f>
        <v>1.1900000000000001E-4</v>
      </c>
      <c r="O110" s="145">
        <f t="shared" si="8"/>
        <v>0</v>
      </c>
      <c r="P110" s="145">
        <f t="shared" si="8"/>
        <v>0</v>
      </c>
      <c r="Q110" s="145">
        <f t="shared" si="9"/>
        <v>0</v>
      </c>
      <c r="R110" s="145">
        <f t="shared" si="9"/>
        <v>1.1900000000000001E-4</v>
      </c>
      <c r="S110" s="145">
        <f t="shared" si="9"/>
        <v>0</v>
      </c>
      <c r="T110" s="145">
        <f t="shared" si="9"/>
        <v>0</v>
      </c>
      <c r="U110" s="168" t="s">
        <v>396</v>
      </c>
      <c r="V110" s="172" t="s">
        <v>29</v>
      </c>
    </row>
    <row r="111" spans="1:22" ht="75">
      <c r="A111" s="106" t="s">
        <v>906</v>
      </c>
      <c r="B111" s="81" t="s">
        <v>910</v>
      </c>
      <c r="C111" s="168" t="s">
        <v>849</v>
      </c>
      <c r="D111" s="169" t="s">
        <v>911</v>
      </c>
      <c r="E111" s="81" t="s">
        <v>912</v>
      </c>
      <c r="F111" s="174">
        <v>2026</v>
      </c>
      <c r="G111" s="89"/>
      <c r="H111" s="106" t="s">
        <v>188</v>
      </c>
      <c r="I111" s="171">
        <v>0.55000000000000004</v>
      </c>
      <c r="J111" s="203">
        <v>1.9E-2</v>
      </c>
      <c r="K111" s="172"/>
      <c r="L111" s="175">
        <f>160*365/1000</f>
        <v>58.4</v>
      </c>
      <c r="M111" s="145">
        <v>0</v>
      </c>
      <c r="N111" s="145">
        <f t="shared" si="11"/>
        <v>1.9E-2</v>
      </c>
      <c r="O111" s="145">
        <f t="shared" si="8"/>
        <v>0</v>
      </c>
      <c r="P111" s="145">
        <f t="shared" si="8"/>
        <v>0</v>
      </c>
      <c r="Q111" s="145">
        <f t="shared" si="9"/>
        <v>0</v>
      </c>
      <c r="R111" s="145">
        <f t="shared" si="9"/>
        <v>1.0450000000000001E-2</v>
      </c>
      <c r="S111" s="145">
        <f t="shared" si="9"/>
        <v>0</v>
      </c>
      <c r="T111" s="145">
        <f t="shared" si="9"/>
        <v>0</v>
      </c>
      <c r="U111" s="168" t="s">
        <v>396</v>
      </c>
      <c r="V111" s="172" t="s">
        <v>29</v>
      </c>
    </row>
    <row r="112" spans="1:22" ht="67.5">
      <c r="A112" s="106" t="s">
        <v>913</v>
      </c>
      <c r="B112" s="168" t="s">
        <v>853</v>
      </c>
      <c r="C112" s="168" t="s">
        <v>849</v>
      </c>
      <c r="D112" s="169" t="s">
        <v>914</v>
      </c>
      <c r="E112" s="81" t="s">
        <v>915</v>
      </c>
      <c r="F112" s="174">
        <v>2026</v>
      </c>
      <c r="G112" s="89"/>
      <c r="H112" s="106" t="s">
        <v>188</v>
      </c>
      <c r="I112" s="171">
        <v>0.55000000000000004</v>
      </c>
      <c r="J112" s="175">
        <v>4.5999999999999996</v>
      </c>
      <c r="K112" s="172"/>
      <c r="L112" s="175">
        <v>14000</v>
      </c>
      <c r="M112" s="145">
        <v>0</v>
      </c>
      <c r="N112" s="145">
        <f t="shared" si="11"/>
        <v>4.5999999999999996</v>
      </c>
      <c r="O112" s="145">
        <f t="shared" si="8"/>
        <v>0</v>
      </c>
      <c r="P112" s="145">
        <f t="shared" si="8"/>
        <v>0</v>
      </c>
      <c r="Q112" s="145">
        <f t="shared" si="9"/>
        <v>0</v>
      </c>
      <c r="R112" s="145">
        <f t="shared" si="9"/>
        <v>2.5299999999999998</v>
      </c>
      <c r="S112" s="145">
        <f t="shared" si="9"/>
        <v>0</v>
      </c>
      <c r="T112" s="145">
        <f t="shared" si="9"/>
        <v>0</v>
      </c>
      <c r="U112" s="168" t="s">
        <v>7</v>
      </c>
      <c r="V112" s="172" t="s">
        <v>30</v>
      </c>
    </row>
    <row r="113" spans="1:24" ht="33.75">
      <c r="A113" s="106" t="s">
        <v>916</v>
      </c>
      <c r="B113" s="168" t="s">
        <v>917</v>
      </c>
      <c r="C113" s="168" t="s">
        <v>849</v>
      </c>
      <c r="D113" s="169" t="s">
        <v>918</v>
      </c>
      <c r="E113" s="81"/>
      <c r="F113" s="174">
        <v>2026</v>
      </c>
      <c r="G113" s="89"/>
      <c r="H113" s="106" t="s">
        <v>188</v>
      </c>
      <c r="I113" s="171">
        <v>0.55000000000000004</v>
      </c>
      <c r="J113" s="175">
        <v>2</v>
      </c>
      <c r="K113" s="172"/>
      <c r="L113" s="175">
        <v>6100</v>
      </c>
      <c r="M113" s="145">
        <v>0</v>
      </c>
      <c r="N113" s="145">
        <f t="shared" si="11"/>
        <v>2</v>
      </c>
      <c r="O113" s="145">
        <f t="shared" si="8"/>
        <v>0</v>
      </c>
      <c r="P113" s="145">
        <f t="shared" si="8"/>
        <v>0</v>
      </c>
      <c r="Q113" s="145">
        <f t="shared" si="9"/>
        <v>0</v>
      </c>
      <c r="R113" s="145">
        <f t="shared" si="9"/>
        <v>1.1000000000000001</v>
      </c>
      <c r="S113" s="145">
        <f t="shared" si="9"/>
        <v>0</v>
      </c>
      <c r="T113" s="145">
        <f t="shared" si="9"/>
        <v>0</v>
      </c>
      <c r="U113" s="168" t="s">
        <v>396</v>
      </c>
      <c r="V113" s="172" t="s">
        <v>29</v>
      </c>
    </row>
    <row r="114" spans="1:24" ht="45">
      <c r="A114" s="106" t="s">
        <v>919</v>
      </c>
      <c r="B114" s="168" t="s">
        <v>920</v>
      </c>
      <c r="C114" s="168" t="s">
        <v>849</v>
      </c>
      <c r="D114" s="198" t="s">
        <v>921</v>
      </c>
      <c r="E114" s="81" t="s">
        <v>922</v>
      </c>
      <c r="F114" s="174">
        <v>2024</v>
      </c>
      <c r="G114" s="89"/>
      <c r="H114" s="106" t="s">
        <v>188</v>
      </c>
      <c r="I114" s="171">
        <v>0.55000000000000004</v>
      </c>
      <c r="J114" s="203">
        <v>0.46200000000000002</v>
      </c>
      <c r="K114" s="172"/>
      <c r="L114" s="175">
        <v>1400</v>
      </c>
      <c r="M114" s="145">
        <v>0</v>
      </c>
      <c r="N114" s="145">
        <f t="shared" si="11"/>
        <v>0.46200000000000002</v>
      </c>
      <c r="O114" s="145">
        <f t="shared" si="8"/>
        <v>0</v>
      </c>
      <c r="P114" s="145">
        <f t="shared" si="8"/>
        <v>0</v>
      </c>
      <c r="Q114" s="145">
        <f t="shared" si="9"/>
        <v>0</v>
      </c>
      <c r="R114" s="145">
        <f t="shared" si="9"/>
        <v>0.25410000000000005</v>
      </c>
      <c r="S114" s="145">
        <f t="shared" si="9"/>
        <v>0</v>
      </c>
      <c r="T114" s="145">
        <f t="shared" si="9"/>
        <v>0</v>
      </c>
      <c r="U114" s="168" t="s">
        <v>7</v>
      </c>
      <c r="V114" s="172" t="s">
        <v>30</v>
      </c>
    </row>
    <row r="115" spans="1:24" ht="22.5">
      <c r="A115" s="106" t="s">
        <v>923</v>
      </c>
      <c r="B115" s="168" t="s">
        <v>924</v>
      </c>
      <c r="C115" s="168" t="s">
        <v>925</v>
      </c>
      <c r="D115" s="169" t="s">
        <v>926</v>
      </c>
      <c r="E115" s="81"/>
      <c r="F115" s="174">
        <v>2028</v>
      </c>
      <c r="G115" s="89"/>
      <c r="H115" s="106" t="s">
        <v>188</v>
      </c>
      <c r="I115" s="171">
        <v>0.55000000000000004</v>
      </c>
      <c r="J115" s="175">
        <v>21.47</v>
      </c>
      <c r="K115" s="172"/>
      <c r="L115" s="175">
        <v>65000</v>
      </c>
      <c r="M115" s="145">
        <v>0</v>
      </c>
      <c r="N115" s="145">
        <f t="shared" si="11"/>
        <v>21.47</v>
      </c>
      <c r="O115" s="145">
        <f t="shared" si="8"/>
        <v>0</v>
      </c>
      <c r="P115" s="145">
        <f t="shared" si="8"/>
        <v>0</v>
      </c>
      <c r="Q115" s="145">
        <f t="shared" si="9"/>
        <v>0</v>
      </c>
      <c r="R115" s="145">
        <f t="shared" si="9"/>
        <v>11.8085</v>
      </c>
      <c r="S115" s="145">
        <f t="shared" si="9"/>
        <v>0</v>
      </c>
      <c r="T115" s="145">
        <f t="shared" si="9"/>
        <v>0</v>
      </c>
      <c r="U115" s="168" t="s">
        <v>396</v>
      </c>
      <c r="V115" s="172" t="s">
        <v>29</v>
      </c>
    </row>
    <row r="116" spans="1:24" ht="22.5">
      <c r="A116" s="106" t="s">
        <v>927</v>
      </c>
      <c r="B116" s="168" t="s">
        <v>928</v>
      </c>
      <c r="C116" s="168" t="s">
        <v>788</v>
      </c>
      <c r="D116" s="169" t="s">
        <v>929</v>
      </c>
      <c r="E116" s="81"/>
      <c r="F116" s="174">
        <v>2030</v>
      </c>
      <c r="G116" s="89"/>
      <c r="H116" s="106" t="s">
        <v>188</v>
      </c>
      <c r="I116" s="171">
        <v>0.55000000000000004</v>
      </c>
      <c r="J116" s="175">
        <v>33</v>
      </c>
      <c r="K116" s="172"/>
      <c r="L116" s="175">
        <v>100000</v>
      </c>
      <c r="M116" s="145">
        <v>0</v>
      </c>
      <c r="N116" s="145">
        <f t="shared" si="11"/>
        <v>33</v>
      </c>
      <c r="O116" s="145">
        <f t="shared" si="8"/>
        <v>0</v>
      </c>
      <c r="P116" s="145">
        <f t="shared" si="8"/>
        <v>0</v>
      </c>
      <c r="Q116" s="145">
        <f t="shared" si="9"/>
        <v>0</v>
      </c>
      <c r="R116" s="145">
        <f t="shared" si="9"/>
        <v>18.150000000000002</v>
      </c>
      <c r="S116" s="145">
        <f t="shared" si="9"/>
        <v>0</v>
      </c>
      <c r="T116" s="145">
        <f t="shared" si="9"/>
        <v>0</v>
      </c>
      <c r="U116" s="168" t="s">
        <v>396</v>
      </c>
      <c r="V116" s="172" t="s">
        <v>29</v>
      </c>
    </row>
    <row r="117" spans="1:24" ht="90">
      <c r="A117" s="106" t="s">
        <v>930</v>
      </c>
      <c r="B117" s="168" t="s">
        <v>931</v>
      </c>
      <c r="C117" s="168" t="s">
        <v>849</v>
      </c>
      <c r="D117" s="169" t="s">
        <v>932</v>
      </c>
      <c r="E117" s="81" t="s">
        <v>933</v>
      </c>
      <c r="F117" s="174">
        <v>2028</v>
      </c>
      <c r="G117" s="89"/>
      <c r="H117" s="106" t="s">
        <v>934</v>
      </c>
      <c r="I117" s="171">
        <v>0.55000000000000004</v>
      </c>
      <c r="J117" s="175">
        <v>66</v>
      </c>
      <c r="K117" s="172"/>
      <c r="L117" s="187">
        <v>200000</v>
      </c>
      <c r="M117" s="145">
        <f t="shared" ref="M117:N120" si="12">$J117/2</f>
        <v>33</v>
      </c>
      <c r="N117" s="145">
        <f t="shared" si="12"/>
        <v>33</v>
      </c>
      <c r="O117" s="145">
        <f t="shared" si="8"/>
        <v>0</v>
      </c>
      <c r="P117" s="145">
        <f t="shared" si="8"/>
        <v>0</v>
      </c>
      <c r="Q117" s="145">
        <f t="shared" si="9"/>
        <v>18.150000000000002</v>
      </c>
      <c r="R117" s="145">
        <f t="shared" si="9"/>
        <v>18.150000000000002</v>
      </c>
      <c r="S117" s="145">
        <f t="shared" si="9"/>
        <v>0</v>
      </c>
      <c r="T117" s="145">
        <f t="shared" si="9"/>
        <v>0</v>
      </c>
      <c r="U117" s="168" t="s">
        <v>5</v>
      </c>
      <c r="V117" s="172" t="s">
        <v>26</v>
      </c>
    </row>
    <row r="118" spans="1:24" ht="45">
      <c r="A118" s="106" t="s">
        <v>935</v>
      </c>
      <c r="B118" s="168"/>
      <c r="C118" s="168" t="s">
        <v>936</v>
      </c>
      <c r="D118" s="169" t="s">
        <v>937</v>
      </c>
      <c r="E118" s="81" t="s">
        <v>938</v>
      </c>
      <c r="F118" s="174">
        <v>2030</v>
      </c>
      <c r="G118" s="89"/>
      <c r="H118" s="106" t="s">
        <v>939</v>
      </c>
      <c r="I118" s="171">
        <v>0.55000000000000004</v>
      </c>
      <c r="J118" s="175">
        <v>33</v>
      </c>
      <c r="K118" s="172"/>
      <c r="L118" s="187">
        <v>100000</v>
      </c>
      <c r="M118" s="145">
        <f t="shared" si="12"/>
        <v>16.5</v>
      </c>
      <c r="N118" s="145">
        <f t="shared" si="12"/>
        <v>16.5</v>
      </c>
      <c r="O118" s="145">
        <f t="shared" si="8"/>
        <v>0</v>
      </c>
      <c r="P118" s="145">
        <f t="shared" si="8"/>
        <v>0</v>
      </c>
      <c r="Q118" s="145">
        <f t="shared" si="9"/>
        <v>9.0750000000000011</v>
      </c>
      <c r="R118" s="145">
        <f t="shared" si="9"/>
        <v>9.0750000000000011</v>
      </c>
      <c r="S118" s="145">
        <f t="shared" si="9"/>
        <v>0</v>
      </c>
      <c r="T118" s="145">
        <f t="shared" si="9"/>
        <v>0</v>
      </c>
      <c r="U118" s="168" t="s">
        <v>5</v>
      </c>
      <c r="V118" s="172" t="s">
        <v>26</v>
      </c>
    </row>
    <row r="119" spans="1:24" ht="105">
      <c r="A119" s="106" t="s">
        <v>940</v>
      </c>
      <c r="B119" s="168" t="s">
        <v>941</v>
      </c>
      <c r="C119" s="168" t="s">
        <v>936</v>
      </c>
      <c r="D119" s="169" t="s">
        <v>942</v>
      </c>
      <c r="E119" s="81" t="s">
        <v>943</v>
      </c>
      <c r="F119" s="174">
        <v>2029</v>
      </c>
      <c r="G119" s="89"/>
      <c r="H119" s="106" t="s">
        <v>188</v>
      </c>
      <c r="I119" s="171">
        <v>0.55000000000000004</v>
      </c>
      <c r="J119" s="175">
        <v>99</v>
      </c>
      <c r="K119" s="172"/>
      <c r="L119" s="175">
        <v>300000</v>
      </c>
      <c r="M119" s="145">
        <f t="shared" si="12"/>
        <v>49.5</v>
      </c>
      <c r="N119" s="145">
        <f t="shared" si="12"/>
        <v>49.5</v>
      </c>
      <c r="O119" s="145">
        <f t="shared" si="8"/>
        <v>0</v>
      </c>
      <c r="P119" s="145">
        <f t="shared" si="8"/>
        <v>0</v>
      </c>
      <c r="Q119" s="145">
        <f t="shared" si="9"/>
        <v>27.225000000000001</v>
      </c>
      <c r="R119" s="145">
        <f t="shared" si="9"/>
        <v>27.225000000000001</v>
      </c>
      <c r="S119" s="145">
        <f t="shared" si="9"/>
        <v>0</v>
      </c>
      <c r="T119" s="145">
        <f t="shared" si="9"/>
        <v>0</v>
      </c>
      <c r="U119" s="168" t="s">
        <v>503</v>
      </c>
      <c r="V119" s="172" t="s">
        <v>26</v>
      </c>
    </row>
    <row r="120" spans="1:24" ht="30">
      <c r="A120" s="106" t="s">
        <v>944</v>
      </c>
      <c r="B120" s="168" t="s">
        <v>945</v>
      </c>
      <c r="C120" s="168" t="s">
        <v>936</v>
      </c>
      <c r="D120" s="169" t="s">
        <v>946</v>
      </c>
      <c r="E120" s="81" t="s">
        <v>947</v>
      </c>
      <c r="F120" s="174">
        <v>2030</v>
      </c>
      <c r="G120" s="89"/>
      <c r="H120" s="106" t="s">
        <v>188</v>
      </c>
      <c r="I120" s="171">
        <v>0.01</v>
      </c>
      <c r="J120" s="175"/>
      <c r="K120" s="172"/>
      <c r="L120" s="175"/>
      <c r="M120" s="145">
        <f t="shared" si="12"/>
        <v>0</v>
      </c>
      <c r="N120" s="145">
        <f t="shared" si="12"/>
        <v>0</v>
      </c>
      <c r="O120" s="145">
        <f t="shared" si="8"/>
        <v>0</v>
      </c>
      <c r="P120" s="145">
        <f t="shared" si="8"/>
        <v>0</v>
      </c>
      <c r="Q120" s="145">
        <f t="shared" si="9"/>
        <v>0</v>
      </c>
      <c r="R120" s="145">
        <f t="shared" si="9"/>
        <v>0</v>
      </c>
      <c r="S120" s="145">
        <f t="shared" si="9"/>
        <v>0</v>
      </c>
      <c r="T120" s="145">
        <f t="shared" si="9"/>
        <v>0</v>
      </c>
      <c r="U120" s="168" t="s">
        <v>503</v>
      </c>
      <c r="V120" s="172" t="s">
        <v>26</v>
      </c>
    </row>
    <row r="121" spans="1:24" ht="75">
      <c r="A121" s="106" t="s">
        <v>948</v>
      </c>
      <c r="B121" s="168" t="s">
        <v>823</v>
      </c>
      <c r="C121" s="168" t="s">
        <v>824</v>
      </c>
      <c r="D121" s="169" t="s">
        <v>949</v>
      </c>
      <c r="E121" s="81" t="s">
        <v>950</v>
      </c>
      <c r="F121" s="174">
        <v>2033</v>
      </c>
      <c r="G121" s="89"/>
      <c r="H121" s="106" t="s">
        <v>188</v>
      </c>
      <c r="I121" s="171">
        <v>0.55000000000000004</v>
      </c>
      <c r="J121" s="175">
        <v>82.6</v>
      </c>
      <c r="K121" s="172"/>
      <c r="L121" s="175">
        <v>250000</v>
      </c>
      <c r="M121" s="145">
        <v>0</v>
      </c>
      <c r="N121" s="145">
        <f>$J121</f>
        <v>82.6</v>
      </c>
      <c r="O121" s="145">
        <f t="shared" si="8"/>
        <v>0</v>
      </c>
      <c r="P121" s="145">
        <f t="shared" si="8"/>
        <v>0</v>
      </c>
      <c r="Q121" s="145">
        <f t="shared" si="9"/>
        <v>0</v>
      </c>
      <c r="R121" s="145">
        <f t="shared" si="9"/>
        <v>45.43</v>
      </c>
      <c r="S121" s="145">
        <f t="shared" si="9"/>
        <v>0</v>
      </c>
      <c r="T121" s="145">
        <f t="shared" si="9"/>
        <v>0</v>
      </c>
      <c r="U121" s="168" t="s">
        <v>396</v>
      </c>
      <c r="V121" s="172" t="s">
        <v>29</v>
      </c>
    </row>
    <row r="122" spans="1:24" ht="60">
      <c r="A122" s="106" t="s">
        <v>951</v>
      </c>
      <c r="B122" s="168"/>
      <c r="C122" s="168" t="s">
        <v>952</v>
      </c>
      <c r="D122" s="169" t="s">
        <v>953</v>
      </c>
      <c r="E122" s="81" t="s">
        <v>954</v>
      </c>
      <c r="F122" s="174">
        <v>2028</v>
      </c>
      <c r="G122" s="89"/>
      <c r="H122" s="106" t="s">
        <v>488</v>
      </c>
      <c r="I122" s="171">
        <v>0.4</v>
      </c>
      <c r="J122" s="175">
        <v>99</v>
      </c>
      <c r="K122" s="172"/>
      <c r="L122" s="175">
        <v>300000</v>
      </c>
      <c r="M122" s="145">
        <f>$J122/2</f>
        <v>49.5</v>
      </c>
      <c r="N122" s="145">
        <f>$J122/2</f>
        <v>49.5</v>
      </c>
      <c r="O122" s="145">
        <f t="shared" si="8"/>
        <v>0</v>
      </c>
      <c r="P122" s="145">
        <f t="shared" si="8"/>
        <v>0</v>
      </c>
      <c r="Q122" s="145">
        <f t="shared" si="9"/>
        <v>19.8</v>
      </c>
      <c r="R122" s="145">
        <f t="shared" si="9"/>
        <v>19.8</v>
      </c>
      <c r="S122" s="145">
        <f t="shared" si="9"/>
        <v>0</v>
      </c>
      <c r="T122" s="145">
        <f t="shared" si="9"/>
        <v>0</v>
      </c>
      <c r="U122" s="168" t="s">
        <v>503</v>
      </c>
      <c r="V122" s="172" t="s">
        <v>26</v>
      </c>
    </row>
    <row r="123" spans="1:24" ht="60">
      <c r="A123" s="106" t="s">
        <v>955</v>
      </c>
      <c r="B123" s="168"/>
      <c r="C123" s="168" t="s">
        <v>952</v>
      </c>
      <c r="D123" s="169" t="s">
        <v>956</v>
      </c>
      <c r="E123" s="81" t="s">
        <v>957</v>
      </c>
      <c r="F123" s="174">
        <v>2028</v>
      </c>
      <c r="G123" s="89"/>
      <c r="H123" s="106" t="s">
        <v>488</v>
      </c>
      <c r="I123" s="171">
        <v>0.4</v>
      </c>
      <c r="J123" s="175">
        <v>20</v>
      </c>
      <c r="K123" s="172"/>
      <c r="L123" s="187">
        <v>60000</v>
      </c>
      <c r="M123" s="145">
        <v>0</v>
      </c>
      <c r="N123" s="145">
        <f>$J123</f>
        <v>20</v>
      </c>
      <c r="O123" s="145">
        <f t="shared" si="8"/>
        <v>0</v>
      </c>
      <c r="P123" s="145">
        <f t="shared" si="8"/>
        <v>0</v>
      </c>
      <c r="Q123" s="145">
        <f t="shared" si="9"/>
        <v>0</v>
      </c>
      <c r="R123" s="145">
        <f t="shared" si="9"/>
        <v>8</v>
      </c>
      <c r="S123" s="145">
        <f t="shared" si="9"/>
        <v>0</v>
      </c>
      <c r="T123" s="145">
        <f t="shared" si="9"/>
        <v>0</v>
      </c>
      <c r="U123" s="168" t="s">
        <v>6</v>
      </c>
      <c r="V123" s="172" t="s">
        <v>27</v>
      </c>
    </row>
    <row r="124" spans="1:24" ht="112.5">
      <c r="A124" s="106" t="s">
        <v>738</v>
      </c>
      <c r="B124" s="168" t="s">
        <v>958</v>
      </c>
      <c r="C124" s="168" t="s">
        <v>702</v>
      </c>
      <c r="D124" s="169" t="s">
        <v>959</v>
      </c>
      <c r="E124" s="81" t="s">
        <v>960</v>
      </c>
      <c r="F124" s="174">
        <v>2023</v>
      </c>
      <c r="G124" s="89">
        <v>2026</v>
      </c>
      <c r="H124" s="106" t="s">
        <v>318</v>
      </c>
      <c r="I124" s="171">
        <v>1</v>
      </c>
      <c r="J124" s="175"/>
      <c r="K124" s="172">
        <v>165</v>
      </c>
      <c r="L124" s="187">
        <v>500000</v>
      </c>
      <c r="M124" s="145">
        <f>$J124/2</f>
        <v>0</v>
      </c>
      <c r="N124" s="145">
        <f>$J124/2</f>
        <v>0</v>
      </c>
      <c r="O124" s="145">
        <f>$K124/2</f>
        <v>82.5</v>
      </c>
      <c r="P124" s="145">
        <f>$K124/2</f>
        <v>82.5</v>
      </c>
      <c r="Q124" s="145">
        <f t="shared" si="9"/>
        <v>0</v>
      </c>
      <c r="R124" s="145">
        <f t="shared" si="9"/>
        <v>0</v>
      </c>
      <c r="S124" s="145">
        <f t="shared" si="9"/>
        <v>82.5</v>
      </c>
      <c r="T124" s="145">
        <f t="shared" si="9"/>
        <v>82.5</v>
      </c>
      <c r="U124" s="168" t="s">
        <v>5</v>
      </c>
      <c r="V124" s="172" t="s">
        <v>26</v>
      </c>
    </row>
    <row r="125" spans="1:24">
      <c r="A125" s="106"/>
      <c r="B125" s="168"/>
      <c r="C125" s="168"/>
      <c r="D125" s="169"/>
      <c r="E125" s="81"/>
      <c r="F125" s="174"/>
      <c r="G125" s="89"/>
      <c r="H125" s="106"/>
      <c r="I125" s="171"/>
      <c r="J125" s="175"/>
      <c r="K125" s="172"/>
      <c r="L125" s="187"/>
      <c r="M125" s="145"/>
      <c r="N125" s="145"/>
      <c r="O125" s="145"/>
      <c r="P125" s="145"/>
      <c r="Q125" s="145"/>
      <c r="R125" s="145"/>
      <c r="S125" s="145"/>
      <c r="T125" s="145"/>
      <c r="U125" s="168"/>
      <c r="V125" s="172"/>
    </row>
    <row r="126" spans="1:24" s="129" customFormat="1" ht="24" customHeight="1">
      <c r="A126" s="396" t="s">
        <v>450</v>
      </c>
      <c r="B126" s="396"/>
      <c r="C126" s="396"/>
      <c r="D126" s="396"/>
      <c r="E126" s="396"/>
      <c r="F126" s="396"/>
      <c r="G126" s="396"/>
      <c r="H126" s="396"/>
      <c r="I126" s="396"/>
      <c r="J126" s="396"/>
      <c r="K126" s="396"/>
      <c r="L126" s="396"/>
      <c r="M126" s="396"/>
      <c r="N126" s="396"/>
      <c r="O126" s="396"/>
      <c r="P126" s="396"/>
      <c r="Q126" s="396"/>
      <c r="R126" s="396"/>
      <c r="S126" s="396"/>
      <c r="T126" s="396"/>
      <c r="U126" s="396"/>
      <c r="V126" s="396"/>
      <c r="W126" s="127"/>
      <c r="X126" s="127"/>
    </row>
  </sheetData>
  <autoFilter ref="A2:X126" xr:uid="{D9E68BCB-61C3-4DB9-AAE3-B6ECE5FBA81F}"/>
  <mergeCells count="4">
    <mergeCell ref="B1:C1"/>
    <mergeCell ref="D1:E1"/>
    <mergeCell ref="H1:I1"/>
    <mergeCell ref="A126:V126"/>
  </mergeCells>
  <hyperlinks>
    <hyperlink ref="D71" r:id="rId1" xr:uid="{10AE0962-DDD8-4E83-9835-8D27D4E3E7CE}"/>
    <hyperlink ref="D24" r:id="rId2" xr:uid="{0A1A81C2-0185-4032-99B9-5592864CDA48}"/>
  </hyperlinks>
  <pageMargins left="0.7" right="0.7" top="0.75" bottom="0.75" header="0.3" footer="0.3"/>
  <pageSetup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CE09E-F03D-4326-8AB5-E23202AED107}">
  <dimension ref="A1:V119"/>
  <sheetViews>
    <sheetView topLeftCell="A71" zoomScale="145" zoomScaleNormal="145" workbookViewId="0">
      <selection activeCell="C82" sqref="C82:Q89"/>
    </sheetView>
  </sheetViews>
  <sheetFormatPr defaultColWidth="9.140625" defaultRowHeight="15"/>
  <cols>
    <col min="1" max="1" width="23.140625" style="2" customWidth="1"/>
    <col min="2" max="16" width="8.85546875" style="2" customWidth="1"/>
    <col min="17" max="16384" width="9.140625" style="2"/>
  </cols>
  <sheetData>
    <row r="1" spans="1:17" ht="24" thickBot="1">
      <c r="A1" s="1" t="s">
        <v>961</v>
      </c>
      <c r="B1" s="1"/>
      <c r="C1" s="1"/>
      <c r="D1" s="1"/>
      <c r="E1" s="1"/>
      <c r="F1" s="1"/>
      <c r="G1" s="1"/>
      <c r="H1" s="1"/>
      <c r="I1" s="1"/>
      <c r="J1" s="1"/>
      <c r="K1" s="1"/>
      <c r="L1" s="1"/>
      <c r="M1" s="1"/>
      <c r="N1" s="1"/>
      <c r="O1" s="1"/>
      <c r="P1" s="1"/>
      <c r="Q1" s="1"/>
    </row>
    <row r="2" spans="1:17" ht="15" customHeight="1" thickBot="1">
      <c r="A2" s="3" t="s">
        <v>3</v>
      </c>
      <c r="B2" s="4" t="s">
        <v>4</v>
      </c>
      <c r="C2" s="5">
        <v>2021</v>
      </c>
      <c r="D2" s="5">
        <v>2022</v>
      </c>
      <c r="E2" s="5">
        <v>2023</v>
      </c>
      <c r="F2" s="5">
        <v>2024</v>
      </c>
      <c r="G2" s="5">
        <v>2025</v>
      </c>
      <c r="H2" s="5">
        <v>2026</v>
      </c>
      <c r="I2" s="5">
        <v>2027</v>
      </c>
      <c r="J2" s="5">
        <v>2028</v>
      </c>
      <c r="K2" s="5">
        <v>2029</v>
      </c>
      <c r="L2" s="5">
        <v>2030</v>
      </c>
      <c r="M2" s="5">
        <v>2031</v>
      </c>
      <c r="N2" s="5">
        <v>2032</v>
      </c>
      <c r="O2" s="5">
        <v>2033</v>
      </c>
      <c r="P2" s="5">
        <v>2034</v>
      </c>
      <c r="Q2" s="5">
        <v>2035</v>
      </c>
    </row>
    <row r="3" spans="1:17" ht="15" customHeight="1">
      <c r="A3" s="6" t="s">
        <v>5</v>
      </c>
      <c r="B3" s="7">
        <f>SUMIFS(Europe!$R$3:$R$123,Europe!$F$3:$F$123,"&lt;"&amp;'Europe Capacity Data'!C$2,Europe!$U$3:$U$123,'Europe Capacity Data'!$A3)+SUMIFS(Europe!$T$3:$T$123,Europe!$F$3:$F$123,"&lt;"&amp;'Europe Capacity Data'!C$2,Europe!$U$3:$U$123,'Europe Capacity Data'!$A3)</f>
        <v>165</v>
      </c>
      <c r="C3" s="133">
        <f>SUMIFS(Europe!$R$3:$R$123,Europe!$F$3:$F$123,'Europe Capacity Data'!C$2,Europe!$U$3:$U$123,'Europe Capacity Data'!$A3)+SUMIFS(Europe!$T$3:$T$123,Europe!$F$3:$F$123,'Europe Capacity Data'!C$22,Europe!$U$3:$U$123,'Europe Capacity Data'!$A3)</f>
        <v>0</v>
      </c>
      <c r="D3" s="133">
        <f>SUMIFS(Europe!$R$3:$R$123,Europe!$F$3:$F$123,'Europe Capacity Data'!D$2,Europe!$U$3:$U$123,'Europe Capacity Data'!$A3)+SUMIFS(Europe!$T$3:$T$123,Europe!$F$3:$F$123,'Europe Capacity Data'!D$22,Europe!$U$3:$U$123,'Europe Capacity Data'!$A3)</f>
        <v>1.65</v>
      </c>
      <c r="E3" s="133">
        <f>SUMIFS(Europe!$R$3:$R$123,Europe!$F$3:$F$123,'Europe Capacity Data'!E$2,Europe!$U$3:$U$123,'Europe Capacity Data'!$A3)+SUMIFS(Europe!$T$3:$T$123,Europe!$F$3:$F$123,'Europe Capacity Data'!E$22,Europe!$U$3:$U$123,'Europe Capacity Data'!$A3)</f>
        <v>0</v>
      </c>
      <c r="F3" s="134">
        <f>SUMIFS(Europe!$R$3:$R$123,Europe!$F$3:$F$123,'Europe Capacity Data'!F$2,Europe!$U$3:$U$123,'Europe Capacity Data'!$A3)+SUMIFS(Europe!$T$3:$T$123,Europe!$F$3:$F$123,'Europe Capacity Data'!F$22,Europe!$U$3:$U$123,'Europe Capacity Data'!$A3)</f>
        <v>89.291499999999999</v>
      </c>
      <c r="G3" s="134">
        <f>SUMIFS(Europe!$R$3:$R$123,Europe!$F$3:$F$123,'Europe Capacity Data'!G$2,Europe!$U$3:$U$123,'Europe Capacity Data'!$A3)+SUMIFS(Europe!$T$3:$T$123,Europe!$F$3:$F$123,'Europe Capacity Data'!G$22,Europe!$U$3:$U$123,'Europe Capacity Data'!$A3)</f>
        <v>734.34792500000003</v>
      </c>
      <c r="H3" s="134">
        <f>SUMIFS(Europe!$R$3:$R$123,Europe!$F$3:$F$123,'Europe Capacity Data'!H$2,Europe!$U$3:$U$123,'Europe Capacity Data'!$A3)+SUMIFS(Europe!$T$3:$T$123,Europe!$F$3:$F$123,'Europe Capacity Data'!H$22,Europe!$U$3:$U$123,'Europe Capacity Data'!$A3)</f>
        <v>129.3083</v>
      </c>
      <c r="I3" s="134">
        <f>SUMIFS(Europe!$R$3:$R$123,Europe!$F$3:$F$123,'Europe Capacity Data'!I$2,Europe!$U$3:$U$123,'Europe Capacity Data'!$A3)+SUMIFS(Europe!$T$3:$T$123,Europe!$F$3:$F$123,'Europe Capacity Data'!I$22,Europe!$U$3:$U$123,'Europe Capacity Data'!$A3)</f>
        <v>95.198125000000005</v>
      </c>
      <c r="J3" s="134">
        <f>SUMIFS(Europe!$R$3:$R$123,Europe!$F$3:$F$123,'Europe Capacity Data'!J$2,Europe!$U$3:$U$123,'Europe Capacity Data'!$A3)+SUMIFS(Europe!$T$3:$T$123,Europe!$F$3:$F$123,'Europe Capacity Data'!J$22,Europe!$U$3:$U$123,'Europe Capacity Data'!$A3)</f>
        <v>51.174000000000007</v>
      </c>
      <c r="K3" s="134">
        <f>SUMIFS(Europe!$R$3:$R$123,Europe!$F$3:$F$123,'Europe Capacity Data'!K$2,Europe!$U$3:$U$123,'Europe Capacity Data'!$A3)+SUMIFS(Europe!$T$3:$T$123,Europe!$F$3:$F$123,'Europe Capacity Data'!K$22,Europe!$U$3:$U$123,'Europe Capacity Data'!$A3)</f>
        <v>0</v>
      </c>
      <c r="L3" s="134">
        <f>SUMIFS(Europe!$R$3:$R$123,Europe!$F$3:$F$123,'Europe Capacity Data'!L$2,Europe!$U$3:$U$123,'Europe Capacity Data'!$A3)+SUMIFS(Europe!$T$3:$T$123,Europe!$F$3:$F$123,'Europe Capacity Data'!L$22,Europe!$U$3:$U$123,'Europe Capacity Data'!$A3)</f>
        <v>9.0750000000000011</v>
      </c>
      <c r="M3" s="134">
        <f>SUMIFS(Europe!$R$3:$R$123,Europe!$F$3:$F$123,'Europe Capacity Data'!M$2,Europe!$U$3:$U$123,'Europe Capacity Data'!$A3)+SUMIFS(Europe!$T$3:$T$123,Europe!$F$3:$F$123,'Europe Capacity Data'!M$22,Europe!$U$3:$U$123,'Europe Capacity Data'!$A3)</f>
        <v>0</v>
      </c>
      <c r="N3" s="134">
        <f>SUMIFS(Europe!$R$3:$R$123,Europe!$F$3:$F$123,'Europe Capacity Data'!N$2,Europe!$U$3:$U$123,'Europe Capacity Data'!$A3)+SUMIFS(Europe!$T$3:$T$123,Europe!$F$3:$F$123,'Europe Capacity Data'!N$22,Europe!$U$3:$U$123,'Europe Capacity Data'!$A3)</f>
        <v>0</v>
      </c>
      <c r="O3" s="134">
        <f>SUMIFS(Europe!$R$3:$R$123,Europe!$F$3:$F$123,'Europe Capacity Data'!O$2,Europe!$U$3:$U$123,'Europe Capacity Data'!$A3)+SUMIFS(Europe!$T$3:$T$123,Europe!$F$3:$F$123,'Europe Capacity Data'!O$22,Europe!$U$3:$U$123,'Europe Capacity Data'!$A3)</f>
        <v>0</v>
      </c>
      <c r="P3" s="134">
        <f>SUMIFS(Europe!$R$3:$R$123,Europe!$F$3:$F$123,'Europe Capacity Data'!P$2,Europe!$U$3:$U$123,'Europe Capacity Data'!$A3)+SUMIFS(Europe!$T$3:$T$123,Europe!$F$3:$F$123,'Europe Capacity Data'!P$22,Europe!$U$3:$U$123,'Europe Capacity Data'!$A3)</f>
        <v>0</v>
      </c>
      <c r="Q3" s="134">
        <f>SUMIFS(Europe!$R$3:$R$123,Europe!$F$3:$F$123,'Europe Capacity Data'!Q$2,Europe!$U$3:$U$123,'Europe Capacity Data'!$A3)+SUMIFS(Europe!$T$3:$T$123,Europe!$F$3:$F$123,'Europe Capacity Data'!Q$22,Europe!$U$3:$U$123,'Europe Capacity Data'!$A3)</f>
        <v>0</v>
      </c>
    </row>
    <row r="4" spans="1:17" ht="15" customHeight="1">
      <c r="A4" s="9" t="s">
        <v>6</v>
      </c>
      <c r="B4" s="10">
        <f>SUMIFS(Europe!$R$3:$R$123,Europe!$F$3:$F$123,"&lt;"&amp;'Europe Capacity Data'!C$2,Europe!$U$3:$U$123,'Europe Capacity Data'!$A4)+SUMIFS(Europe!$T$3:$T$123,Europe!$F$3:$F$123,"&lt;"&amp;'Europe Capacity Data'!C$2,Europe!$U$3:$U$123,'Europe Capacity Data'!$A4)</f>
        <v>0</v>
      </c>
      <c r="C4" s="10">
        <f>SUMIFS(Europe!$R$3:$R$123,Europe!$F$3:$F$123,'Europe Capacity Data'!C$2,Europe!$U$3:$U$123,'Europe Capacity Data'!$A4)+SUMIFS(Europe!$T$3:$T$123,Europe!$F$3:$F$123,'Europe Capacity Data'!C$22,Europe!$U$3:$U$123,'Europe Capacity Data'!$A4)</f>
        <v>0</v>
      </c>
      <c r="D4" s="10">
        <f>SUMIFS(Europe!$R$3:$R$123,Europe!$F$3:$F$123,'Europe Capacity Data'!D$2,Europe!$U$3:$U$123,'Europe Capacity Data'!$A4)+SUMIFS(Europe!$T$3:$T$123,Europe!$F$3:$F$123,'Europe Capacity Data'!D$22,Europe!$U$3:$U$123,'Europe Capacity Data'!$A4)</f>
        <v>0</v>
      </c>
      <c r="E4" s="10">
        <f>SUMIFS(Europe!$R$3:$R$123,Europe!$F$3:$F$123,'Europe Capacity Data'!E$2,Europe!$U$3:$U$123,'Europe Capacity Data'!$A4)+SUMIFS(Europe!$T$3:$T$123,Europe!$F$3:$F$123,'Europe Capacity Data'!E$22,Europe!$U$3:$U$123,'Europe Capacity Data'!$A4)</f>
        <v>0</v>
      </c>
      <c r="F4" s="8">
        <f>SUMIFS(Europe!$R$3:$R$123,Europe!$F$3:$F$123,'Europe Capacity Data'!F$2,Europe!$U$3:$U$123,'Europe Capacity Data'!$A4)+SUMIFS(Europe!$T$3:$T$123,Europe!$F$3:$F$123,'Europe Capacity Data'!F$22,Europe!$U$3:$U$123,'Europe Capacity Data'!$A4)</f>
        <v>0</v>
      </c>
      <c r="G4" s="8">
        <f>SUMIFS(Europe!$R$3:$R$123,Europe!$F$3:$F$123,'Europe Capacity Data'!G$2,Europe!$U$3:$U$123,'Europe Capacity Data'!$A4)+SUMIFS(Europe!$T$3:$T$123,Europe!$F$3:$F$123,'Europe Capacity Data'!G$22,Europe!$U$3:$U$123,'Europe Capacity Data'!$A4)</f>
        <v>72.655000000000001</v>
      </c>
      <c r="H4" s="8">
        <f>SUMIFS(Europe!$R$3:$R$123,Europe!$F$3:$F$123,'Europe Capacity Data'!H$2,Europe!$U$3:$U$123,'Europe Capacity Data'!$A4)+SUMIFS(Europe!$T$3:$T$123,Europe!$F$3:$F$123,'Europe Capacity Data'!H$22,Europe!$U$3:$U$123,'Europe Capacity Data'!$A4)</f>
        <v>32.19</v>
      </c>
      <c r="I4" s="8">
        <f>SUMIFS(Europe!$R$3:$R$123,Europe!$F$3:$F$123,'Europe Capacity Data'!I$2,Europe!$U$3:$U$123,'Europe Capacity Data'!$A4)+SUMIFS(Europe!$T$3:$T$123,Europe!$F$3:$F$123,'Europe Capacity Data'!I$22,Europe!$U$3:$U$123,'Europe Capacity Data'!$A4)</f>
        <v>3.0050000000000003</v>
      </c>
      <c r="J4" s="8">
        <f>SUMIFS(Europe!$R$3:$R$123,Europe!$F$3:$F$123,'Europe Capacity Data'!J$2,Europe!$U$3:$U$123,'Europe Capacity Data'!$A4)+SUMIFS(Europe!$T$3:$T$123,Europe!$F$3:$F$123,'Europe Capacity Data'!J$22,Europe!$U$3:$U$123,'Europe Capacity Data'!$A4)</f>
        <v>51.654450000000004</v>
      </c>
      <c r="K4" s="8">
        <f>SUMIFS(Europe!$R$3:$R$123,Europe!$F$3:$F$123,'Europe Capacity Data'!K$2,Europe!$U$3:$U$123,'Europe Capacity Data'!$A4)+SUMIFS(Europe!$T$3:$T$123,Europe!$F$3:$F$123,'Europe Capacity Data'!K$22,Europe!$U$3:$U$123,'Europe Capacity Data'!$A4)</f>
        <v>5.8124000000000002</v>
      </c>
      <c r="L4" s="8">
        <f>SUMIFS(Europe!$R$3:$R$123,Europe!$F$3:$F$123,'Europe Capacity Data'!L$2,Europe!$U$3:$U$123,'Europe Capacity Data'!$A4)+SUMIFS(Europe!$T$3:$T$123,Europe!$F$3:$F$123,'Europe Capacity Data'!L$22,Europe!$U$3:$U$123,'Europe Capacity Data'!$A4)</f>
        <v>5.5</v>
      </c>
      <c r="M4" s="8">
        <f>SUMIFS(Europe!$R$3:$R$123,Europe!$F$3:$F$123,'Europe Capacity Data'!M$2,Europe!$U$3:$U$123,'Europe Capacity Data'!$A4)+SUMIFS(Europe!$T$3:$T$123,Europe!$F$3:$F$123,'Europe Capacity Data'!M$22,Europe!$U$3:$U$123,'Europe Capacity Data'!$A4)</f>
        <v>0</v>
      </c>
      <c r="N4" s="8">
        <f>SUMIFS(Europe!$R$3:$R$123,Europe!$F$3:$F$123,'Europe Capacity Data'!N$2,Europe!$U$3:$U$123,'Europe Capacity Data'!$A4)+SUMIFS(Europe!$T$3:$T$123,Europe!$F$3:$F$123,'Europe Capacity Data'!N$22,Europe!$U$3:$U$123,'Europe Capacity Data'!$A4)</f>
        <v>0</v>
      </c>
      <c r="O4" s="8">
        <f>SUMIFS(Europe!$R$3:$R$123,Europe!$F$3:$F$123,'Europe Capacity Data'!O$2,Europe!$U$3:$U$123,'Europe Capacity Data'!$A4)+SUMIFS(Europe!$T$3:$T$123,Europe!$F$3:$F$123,'Europe Capacity Data'!O$22,Europe!$U$3:$U$123,'Europe Capacity Data'!$A4)</f>
        <v>0</v>
      </c>
      <c r="P4" s="8">
        <f>SUMIFS(Europe!$R$3:$R$123,Europe!$F$3:$F$123,'Europe Capacity Data'!P$2,Europe!$U$3:$U$123,'Europe Capacity Data'!$A4)+SUMIFS(Europe!$T$3:$T$123,Europe!$F$3:$F$123,'Europe Capacity Data'!P$22,Europe!$U$3:$U$123,'Europe Capacity Data'!$A4)</f>
        <v>0</v>
      </c>
      <c r="Q4" s="8">
        <f>SUMIFS(Europe!$R$3:$R$123,Europe!$F$3:$F$123,'Europe Capacity Data'!Q$2,Europe!$U$3:$U$123,'Europe Capacity Data'!$A4)+SUMIFS(Europe!$T$3:$T$123,Europe!$F$3:$F$123,'Europe Capacity Data'!Q$22,Europe!$U$3:$U$123,'Europe Capacity Data'!$A4)</f>
        <v>0</v>
      </c>
    </row>
    <row r="5" spans="1:17" ht="15" customHeight="1">
      <c r="A5" s="9" t="s">
        <v>7</v>
      </c>
      <c r="B5" s="10">
        <f>SUMIFS(Europe!$R$3:$R$123,Europe!$F$3:$F$123,"&lt;"&amp;'Europe Capacity Data'!C$2,Europe!$U$3:$U$123,'Europe Capacity Data'!$A5)+SUMIFS(Europe!$T$3:$T$123,Europe!$F$3:$F$123,"&lt;"&amp;'Europe Capacity Data'!C$2,Europe!$U$3:$U$123,'Europe Capacity Data'!$A5)</f>
        <v>0</v>
      </c>
      <c r="C5" s="10">
        <f>SUMIFS(Europe!$R$3:$R$123,Europe!$F$3:$F$123,'Europe Capacity Data'!C$2,Europe!$U$3:$U$123,'Europe Capacity Data'!$A5)+SUMIFS(Europe!$T$3:$T$123,Europe!$F$3:$F$123,'Europe Capacity Data'!C$22,Europe!$U$3:$U$123,'Europe Capacity Data'!$A5)</f>
        <v>0</v>
      </c>
      <c r="D5" s="10">
        <f>SUMIFS(Europe!$R$3:$R$123,Europe!$F$3:$F$123,'Europe Capacity Data'!D$2,Europe!$U$3:$U$123,'Europe Capacity Data'!$A5)+SUMIFS(Europe!$T$3:$T$123,Europe!$F$3:$F$123,'Europe Capacity Data'!D$22,Europe!$U$3:$U$123,'Europe Capacity Data'!$A5)</f>
        <v>0</v>
      </c>
      <c r="E5" s="10">
        <f>SUMIFS(Europe!$R$3:$R$123,Europe!$F$3:$F$123,'Europe Capacity Data'!E$2,Europe!$U$3:$U$123,'Europe Capacity Data'!$A5)+SUMIFS(Europe!$T$3:$T$123,Europe!$F$3:$F$123,'Europe Capacity Data'!E$22,Europe!$U$3:$U$123,'Europe Capacity Data'!$A5)</f>
        <v>0</v>
      </c>
      <c r="F5" s="8">
        <f>SUMIFS(Europe!$R$3:$R$123,Europe!$F$3:$F$123,'Europe Capacity Data'!F$2,Europe!$U$3:$U$123,'Europe Capacity Data'!$A5)+SUMIFS(Europe!$T$3:$T$123,Europe!$F$3:$F$123,'Europe Capacity Data'!F$22,Europe!$U$3:$U$123,'Europe Capacity Data'!$A5)</f>
        <v>0.25410000000000005</v>
      </c>
      <c r="G5" s="8">
        <f>SUMIFS(Europe!$R$3:$R$123,Europe!$F$3:$F$123,'Europe Capacity Data'!G$2,Europe!$U$3:$U$123,'Europe Capacity Data'!$A5)+SUMIFS(Europe!$T$3:$T$123,Europe!$F$3:$F$123,'Europe Capacity Data'!G$22,Europe!$U$3:$U$123,'Europe Capacity Data'!$A5)</f>
        <v>40.981400000000001</v>
      </c>
      <c r="H5" s="8">
        <f>SUMIFS(Europe!$R$3:$R$123,Europe!$F$3:$F$123,'Europe Capacity Data'!H$2,Europe!$U$3:$U$123,'Europe Capacity Data'!$A5)+SUMIFS(Europe!$T$3:$T$123,Europe!$F$3:$F$123,'Europe Capacity Data'!H$22,Europe!$U$3:$U$123,'Europe Capacity Data'!$A5)</f>
        <v>19.954000000000001</v>
      </c>
      <c r="I5" s="8">
        <f>SUMIFS(Europe!$R$3:$R$123,Europe!$F$3:$F$123,'Europe Capacity Data'!I$2,Europe!$U$3:$U$123,'Europe Capacity Data'!$A5)+SUMIFS(Europe!$T$3:$T$123,Europe!$F$3:$F$123,'Europe Capacity Data'!I$22,Europe!$U$3:$U$123,'Europe Capacity Data'!$A5)</f>
        <v>23.763999999999999</v>
      </c>
      <c r="J5" s="8">
        <f>SUMIFS(Europe!$R$3:$R$123,Europe!$F$3:$F$123,'Europe Capacity Data'!J$2,Europe!$U$3:$U$123,'Europe Capacity Data'!$A5)+SUMIFS(Europe!$T$3:$T$123,Europe!$F$3:$F$123,'Europe Capacity Data'!J$22,Europe!$U$3:$U$123,'Europe Capacity Data'!$A5)</f>
        <v>54.117500000000007</v>
      </c>
      <c r="K5" s="8">
        <f>SUMIFS(Europe!$R$3:$R$123,Europe!$F$3:$F$123,'Europe Capacity Data'!K$2,Europe!$U$3:$U$123,'Europe Capacity Data'!$A5)+SUMIFS(Europe!$T$3:$T$123,Europe!$F$3:$F$123,'Europe Capacity Data'!K$22,Europe!$U$3:$U$123,'Europe Capacity Data'!$A5)</f>
        <v>0</v>
      </c>
      <c r="L5" s="8">
        <f>SUMIFS(Europe!$R$3:$R$123,Europe!$F$3:$F$123,'Europe Capacity Data'!L$2,Europe!$U$3:$U$123,'Europe Capacity Data'!$A5)+SUMIFS(Europe!$T$3:$T$123,Europe!$F$3:$F$123,'Europe Capacity Data'!L$22,Europe!$U$3:$U$123,'Europe Capacity Data'!$A5)</f>
        <v>13.750000000000002</v>
      </c>
      <c r="M5" s="8">
        <f>SUMIFS(Europe!$R$3:$R$123,Europe!$F$3:$F$123,'Europe Capacity Data'!M$2,Europe!$U$3:$U$123,'Europe Capacity Data'!$A5)+SUMIFS(Europe!$T$3:$T$123,Europe!$F$3:$F$123,'Europe Capacity Data'!M$22,Europe!$U$3:$U$123,'Europe Capacity Data'!$A5)</f>
        <v>0</v>
      </c>
      <c r="N5" s="8">
        <f>SUMIFS(Europe!$R$3:$R$123,Europe!$F$3:$F$123,'Europe Capacity Data'!N$2,Europe!$U$3:$U$123,'Europe Capacity Data'!$A5)+SUMIFS(Europe!$T$3:$T$123,Europe!$F$3:$F$123,'Europe Capacity Data'!N$22,Europe!$U$3:$U$123,'Europe Capacity Data'!$A5)</f>
        <v>8.4315000000000015</v>
      </c>
      <c r="O5" s="8">
        <f>SUMIFS(Europe!$R$3:$R$123,Europe!$F$3:$F$123,'Europe Capacity Data'!O$2,Europe!$U$3:$U$123,'Europe Capacity Data'!$A5)+SUMIFS(Europe!$T$3:$T$123,Europe!$F$3:$F$123,'Europe Capacity Data'!O$22,Europe!$U$3:$U$123,'Europe Capacity Data'!$A5)</f>
        <v>0</v>
      </c>
      <c r="P5" s="8">
        <f>SUMIFS(Europe!$R$3:$R$123,Europe!$F$3:$F$123,'Europe Capacity Data'!P$2,Europe!$U$3:$U$123,'Europe Capacity Data'!$A5)+SUMIFS(Europe!$T$3:$T$123,Europe!$F$3:$F$123,'Europe Capacity Data'!P$22,Europe!$U$3:$U$123,'Europe Capacity Data'!$A5)</f>
        <v>0</v>
      </c>
      <c r="Q5" s="8">
        <f>SUMIFS(Europe!$R$3:$R$123,Europe!$F$3:$F$123,'Europe Capacity Data'!Q$2,Europe!$U$3:$U$123,'Europe Capacity Data'!$A5)+SUMIFS(Europe!$T$3:$T$123,Europe!$F$3:$F$123,'Europe Capacity Data'!Q$22,Europe!$U$3:$U$123,'Europe Capacity Data'!$A5)</f>
        <v>0</v>
      </c>
    </row>
    <row r="6" spans="1:17" ht="15" customHeight="1">
      <c r="A6" s="9" t="s">
        <v>8</v>
      </c>
      <c r="B6" s="10">
        <f>SUMIFS(Europe!$R$3:$R$123,Europe!$F$3:$F$123,"&lt;"&amp;'Europe Capacity Data'!C$2,Europe!$U$3:$U$123,'Europe Capacity Data'!$A6)+SUMIFS(Europe!$T$3:$T$123,Europe!$F$3:$F$123,"&lt;"&amp;'Europe Capacity Data'!C$2,Europe!$U$3:$U$123,'Europe Capacity Data'!$A6)</f>
        <v>0</v>
      </c>
      <c r="C6" s="10">
        <f>SUMIFS(Europe!$R$3:$R$123,Europe!$F$3:$F$123,'Europe Capacity Data'!C$2,Europe!$U$3:$U$123,'Europe Capacity Data'!$A6)+SUMIFS(Europe!$T$3:$T$123,Europe!$F$3:$F$123,'Europe Capacity Data'!C$22,Europe!$U$3:$U$123,'Europe Capacity Data'!$A6)</f>
        <v>6.6E-3</v>
      </c>
      <c r="D6" s="10">
        <f>SUMIFS(Europe!$R$3:$R$123,Europe!$F$3:$F$123,'Europe Capacity Data'!D$2,Europe!$U$3:$U$123,'Europe Capacity Data'!$A6)+SUMIFS(Europe!$T$3:$T$123,Europe!$F$3:$F$123,'Europe Capacity Data'!D$22,Europe!$U$3:$U$123,'Europe Capacity Data'!$A6)</f>
        <v>6.6000000000000003E-2</v>
      </c>
      <c r="E6" s="10">
        <f>SUMIFS(Europe!$R$3:$R$123,Europe!$F$3:$F$123,'Europe Capacity Data'!E$2,Europe!$U$3:$U$123,'Europe Capacity Data'!$A6)+SUMIFS(Europe!$T$3:$T$123,Europe!$F$3:$F$123,'Europe Capacity Data'!E$22,Europe!$U$3:$U$123,'Europe Capacity Data'!$A6)</f>
        <v>0</v>
      </c>
      <c r="F6" s="8">
        <f>SUMIFS(Europe!$R$3:$R$123,Europe!$F$3:$F$123,'Europe Capacity Data'!F$2,Europe!$U$3:$U$123,'Europe Capacity Data'!$A6)+SUMIFS(Europe!$T$3:$T$123,Europe!$F$3:$F$123,'Europe Capacity Data'!F$22,Europe!$U$3:$U$123,'Europe Capacity Data'!$A6)</f>
        <v>0.56531900000000002</v>
      </c>
      <c r="G6" s="8">
        <f>SUMIFS(Europe!$R$3:$R$123,Europe!$F$3:$F$123,'Europe Capacity Data'!G$2,Europe!$U$3:$U$123,'Europe Capacity Data'!$A6)+SUMIFS(Europe!$T$3:$T$123,Europe!$F$3:$F$123,'Europe Capacity Data'!G$22,Europe!$U$3:$U$123,'Europe Capacity Data'!$A6)</f>
        <v>0.84150000000000003</v>
      </c>
      <c r="H6" s="8">
        <f>SUMIFS(Europe!$R$3:$R$123,Europe!$F$3:$F$123,'Europe Capacity Data'!H$2,Europe!$U$3:$U$123,'Europe Capacity Data'!$A6)+SUMIFS(Europe!$T$3:$T$123,Europe!$F$3:$F$123,'Europe Capacity Data'!H$22,Europe!$U$3:$U$123,'Europe Capacity Data'!$A6)</f>
        <v>43.965949999999999</v>
      </c>
      <c r="I6" s="205">
        <v>45</v>
      </c>
      <c r="J6" s="8">
        <f>SUMIFS(Europe!$R$3:$R$123,Europe!$F$3:$F$123,'Europe Capacity Data'!J$2,Europe!$U$3:$U$123,'Europe Capacity Data'!$A6)+SUMIFS(Europe!$T$3:$T$123,Europe!$F$3:$F$123,'Europe Capacity Data'!J$22,Europe!$U$3:$U$123,'Europe Capacity Data'!$A6)</f>
        <v>92.384</v>
      </c>
      <c r="K6" s="8">
        <f>SUMIFS(Europe!$R$3:$R$123,Europe!$F$3:$F$123,'Europe Capacity Data'!K$2,Europe!$U$3:$U$123,'Europe Capacity Data'!$A6)+SUMIFS(Europe!$T$3:$T$123,Europe!$F$3:$F$123,'Europe Capacity Data'!K$22,Europe!$U$3:$U$123,'Europe Capacity Data'!$A6)</f>
        <v>14.1449</v>
      </c>
      <c r="L6" s="8">
        <f>SUMIFS(Europe!$R$3:$R$123,Europe!$F$3:$F$123,'Europe Capacity Data'!L$2,Europe!$U$3:$U$123,'Europe Capacity Data'!$A6)+SUMIFS(Europe!$T$3:$T$123,Europe!$F$3:$F$123,'Europe Capacity Data'!L$22,Europe!$U$3:$U$123,'Europe Capacity Data'!$A6)</f>
        <v>39.208399999999997</v>
      </c>
      <c r="M6" s="8">
        <f>SUMIFS(Europe!$R$3:$R$123,Europe!$F$3:$F$123,'Europe Capacity Data'!M$2,Europe!$U$3:$U$123,'Europe Capacity Data'!$A6)+SUMIFS(Europe!$T$3:$T$123,Europe!$F$3:$F$123,'Europe Capacity Data'!M$22,Europe!$U$3:$U$123,'Europe Capacity Data'!$A6)</f>
        <v>105.34975000000001</v>
      </c>
      <c r="N6" s="8">
        <f>SUMIFS(Europe!$R$3:$R$123,Europe!$F$3:$F$123,'Europe Capacity Data'!N$2,Europe!$U$3:$U$123,'Europe Capacity Data'!$A6)+SUMIFS(Europe!$T$3:$T$123,Europe!$F$3:$F$123,'Europe Capacity Data'!N$22,Europe!$U$3:$U$123,'Europe Capacity Data'!$A6)</f>
        <v>133.803</v>
      </c>
      <c r="O6" s="8">
        <f>SUMIFS(Europe!$R$3:$R$123,Europe!$F$3:$F$123,'Europe Capacity Data'!O$2,Europe!$U$3:$U$123,'Europe Capacity Data'!$A6)+SUMIFS(Europe!$T$3:$T$123,Europe!$F$3:$F$123,'Europe Capacity Data'!O$22,Europe!$U$3:$U$123,'Europe Capacity Data'!$A6)</f>
        <v>45.43</v>
      </c>
      <c r="P6" s="8">
        <f>SUMIFS(Europe!$R$3:$R$123,Europe!$F$3:$F$123,'Europe Capacity Data'!P$2,Europe!$U$3:$U$123,'Europe Capacity Data'!$A6)+SUMIFS(Europe!$T$3:$T$123,Europe!$F$3:$F$123,'Europe Capacity Data'!P$22,Europe!$U$3:$U$123,'Europe Capacity Data'!$A6)</f>
        <v>5.3020000000000005E-2</v>
      </c>
      <c r="Q6" s="8">
        <f>SUMIFS(Europe!$R$3:$R$123,Europe!$F$3:$F$123,'Europe Capacity Data'!Q$2,Europe!$U$3:$U$123,'Europe Capacity Data'!$A6)+SUMIFS(Europe!$T$3:$T$123,Europe!$F$3:$F$123,'Europe Capacity Data'!Q$22,Europe!$U$3:$U$123,'Europe Capacity Data'!$A6)</f>
        <v>2.0500000000000001E-2</v>
      </c>
    </row>
    <row r="7" spans="1:17" ht="15" customHeight="1">
      <c r="A7" s="9" t="s">
        <v>9</v>
      </c>
      <c r="B7" s="10">
        <f>SUMIFS(Europe!$R$3:$R$123,Europe!$F$3:$F$123,"&lt;"&amp;'Europe Capacity Data'!C$2,Europe!$U$3:$U$123,'Europe Capacity Data'!$A7)+SUMIFS(Europe!$T$3:$T$123,Europe!$F$3:$F$123,"&lt;"&amp;'Europe Capacity Data'!C$2,Europe!$U$3:$U$123,'Europe Capacity Data'!$A7)</f>
        <v>0</v>
      </c>
      <c r="C7" s="10">
        <f>SUMIFS(Europe!$R$3:$R$123,Europe!$F$3:$F$123,'Europe Capacity Data'!C$2,Europe!$U$3:$U$123,'Europe Capacity Data'!$A7)+SUMIFS(Europe!$T$3:$T$123,Europe!$F$3:$F$123,'Europe Capacity Data'!C$22,Europe!$U$3:$U$123,'Europe Capacity Data'!$A7)</f>
        <v>0</v>
      </c>
      <c r="D7" s="10">
        <f>SUMIFS(Europe!$R$3:$R$123,Europe!$F$3:$F$123,'Europe Capacity Data'!D$2,Europe!$U$3:$U$123,'Europe Capacity Data'!$A7)+SUMIFS(Europe!$T$3:$T$123,Europe!$F$3:$F$123,'Europe Capacity Data'!D$22,Europe!$U$3:$U$123,'Europe Capacity Data'!$A7)</f>
        <v>0</v>
      </c>
      <c r="E7" s="10">
        <f>SUMIFS(Europe!$R$3:$R$123,Europe!$F$3:$F$123,'Europe Capacity Data'!E$2,Europe!$U$3:$U$123,'Europe Capacity Data'!$A7)+SUMIFS(Europe!$T$3:$T$123,Europe!$F$3:$F$123,'Europe Capacity Data'!E$22,Europe!$U$3:$U$123,'Europe Capacity Data'!$A7)</f>
        <v>0</v>
      </c>
      <c r="F7" s="8">
        <f>SUMIFS(Europe!$R$3:$R$123,Europe!$F$3:$F$123,'Europe Capacity Data'!F$2,Europe!$U$3:$U$123,'Europe Capacity Data'!$A7)+SUMIFS(Europe!$T$3:$T$123,Europe!$F$3:$F$123,'Europe Capacity Data'!F$22,Europe!$U$3:$U$123,'Europe Capacity Data'!$A7)</f>
        <v>0</v>
      </c>
      <c r="G7" s="8">
        <f>SUMIFS(Europe!$R$3:$R$123,Europe!$F$3:$F$123,'Europe Capacity Data'!G$2,Europe!$U$3:$U$123,'Europe Capacity Data'!$A7)+SUMIFS(Europe!$T$3:$T$123,Europe!$F$3:$F$123,'Europe Capacity Data'!G$22,Europe!$U$3:$U$123,'Europe Capacity Data'!$A7)</f>
        <v>0</v>
      </c>
      <c r="H7" s="8">
        <f>SUMIFS(Europe!$R$3:$R$123,Europe!$F$3:$F$123,'Europe Capacity Data'!H$2,Europe!$U$3:$U$123,'Europe Capacity Data'!$A7)+SUMIFS(Europe!$T$3:$T$123,Europe!$F$3:$F$123,'Europe Capacity Data'!H$22,Europe!$U$3:$U$123,'Europe Capacity Data'!$A7)</f>
        <v>0.23622500000000002</v>
      </c>
      <c r="I7" s="8">
        <f>SUMIFS(Europe!$R$3:$R$123,Europe!$F$3:$F$123,'Europe Capacity Data'!I$2,Europe!$U$3:$U$123,'Europe Capacity Data'!$A7)+SUMIFS(Europe!$T$3:$T$123,Europe!$F$3:$F$123,'Europe Capacity Data'!I$22,Europe!$U$3:$U$123,'Europe Capacity Data'!$A7)</f>
        <v>0</v>
      </c>
      <c r="J7" s="8">
        <f>SUMIFS(Europe!$R$3:$R$123,Europe!$F$3:$F$123,'Europe Capacity Data'!J$2,Europe!$U$3:$U$123,'Europe Capacity Data'!$A7)+SUMIFS(Europe!$T$3:$T$123,Europe!$F$3:$F$123,'Europe Capacity Data'!J$22,Europe!$U$3:$U$123,'Europe Capacity Data'!$A7)</f>
        <v>0</v>
      </c>
      <c r="K7" s="8">
        <f>SUMIFS(Europe!$R$3:$R$123,Europe!$F$3:$F$123,'Europe Capacity Data'!K$2,Europe!$U$3:$U$123,'Europe Capacity Data'!$A7)+SUMIFS(Europe!$T$3:$T$123,Europe!$F$3:$F$123,'Europe Capacity Data'!K$22,Europe!$U$3:$U$123,'Europe Capacity Data'!$A7)</f>
        <v>0</v>
      </c>
      <c r="L7" s="8">
        <f>SUMIFS(Europe!$R$3:$R$123,Europe!$F$3:$F$123,'Europe Capacity Data'!L$2,Europe!$U$3:$U$123,'Europe Capacity Data'!$A7)+SUMIFS(Europe!$T$3:$T$123,Europe!$F$3:$F$123,'Europe Capacity Data'!L$22,Europe!$U$3:$U$123,'Europe Capacity Data'!$A7)</f>
        <v>0</v>
      </c>
      <c r="M7" s="8">
        <f>SUMIFS(Europe!$R$3:$R$123,Europe!$F$3:$F$123,'Europe Capacity Data'!M$2,Europe!$U$3:$U$123,'Europe Capacity Data'!$A7)+SUMIFS(Europe!$T$3:$T$123,Europe!$F$3:$F$123,'Europe Capacity Data'!M$22,Europe!$U$3:$U$123,'Europe Capacity Data'!$A7)</f>
        <v>0</v>
      </c>
      <c r="N7" s="8">
        <f>SUMIFS(Europe!$R$3:$R$123,Europe!$F$3:$F$123,'Europe Capacity Data'!N$2,Europe!$U$3:$U$123,'Europe Capacity Data'!$A7)+SUMIFS(Europe!$T$3:$T$123,Europe!$F$3:$F$123,'Europe Capacity Data'!N$22,Europe!$U$3:$U$123,'Europe Capacity Data'!$A7)</f>
        <v>18.150000000000002</v>
      </c>
      <c r="O7" s="8">
        <f>SUMIFS(Europe!$R$3:$R$123,Europe!$F$3:$F$123,'Europe Capacity Data'!O$2,Europe!$U$3:$U$123,'Europe Capacity Data'!$A7)+SUMIFS(Europe!$T$3:$T$123,Europe!$F$3:$F$123,'Europe Capacity Data'!O$22,Europe!$U$3:$U$123,'Europe Capacity Data'!$A7)</f>
        <v>0</v>
      </c>
      <c r="P7" s="8">
        <f>SUMIFS(Europe!$R$3:$R$123,Europe!$F$3:$F$123,'Europe Capacity Data'!P$2,Europe!$U$3:$U$123,'Europe Capacity Data'!$A7)+SUMIFS(Europe!$T$3:$T$123,Europe!$F$3:$F$123,'Europe Capacity Data'!P$22,Europe!$U$3:$U$123,'Europe Capacity Data'!$A7)</f>
        <v>0</v>
      </c>
      <c r="Q7" s="8">
        <f>SUMIFS(Europe!$R$3:$R$123,Europe!$F$3:$F$123,'Europe Capacity Data'!Q$2,Europe!$U$3:$U$123,'Europe Capacity Data'!$A7)+SUMIFS(Europe!$T$3:$T$123,Europe!$F$3:$F$123,'Europe Capacity Data'!Q$22,Europe!$U$3:$U$123,'Europe Capacity Data'!$A7)</f>
        <v>0</v>
      </c>
    </row>
    <row r="8" spans="1:17" ht="15" customHeight="1">
      <c r="A8" s="9" t="s">
        <v>10</v>
      </c>
      <c r="B8" s="10">
        <f>SUMIFS(Europe!$R$3:$R$123,Europe!$F$3:$F$123,"&lt;"&amp;'Europe Capacity Data'!C$2,Europe!$U$3:$U$123,'Europe Capacity Data'!$A8)+SUMIFS(Europe!$T$3:$T$123,Europe!$F$3:$F$123,"&lt;"&amp;'Europe Capacity Data'!C$2,Europe!$U$3:$U$123,'Europe Capacity Data'!$A8)</f>
        <v>15.33</v>
      </c>
      <c r="C8" s="10">
        <f>SUMIFS(Europe!$R$3:$R$123,Europe!$F$3:$F$123,'Europe Capacity Data'!C$2,Europe!$U$3:$U$123,'Europe Capacity Data'!$A8)+SUMIFS(Europe!$T$3:$T$123,Europe!$F$3:$F$123,'Europe Capacity Data'!C$22,Europe!$U$3:$U$123,'Europe Capacity Data'!$A8)</f>
        <v>30.66</v>
      </c>
      <c r="D8" s="10">
        <f>SUMIFS(Europe!$R$3:$R$123,Europe!$F$3:$F$123,'Europe Capacity Data'!D$2,Europe!$U$3:$U$123,'Europe Capacity Data'!$A8)+SUMIFS(Europe!$T$3:$T$123,Europe!$F$3:$F$123,'Europe Capacity Data'!D$22,Europe!$U$3:$U$123,'Europe Capacity Data'!$A8)</f>
        <v>242.63537500000001</v>
      </c>
      <c r="E8" s="10">
        <f>SUMIFS(Europe!$R$3:$R$123,Europe!$F$3:$F$123,'Europe Capacity Data'!E$2,Europe!$U$3:$U$123,'Europe Capacity Data'!$A8)+SUMIFS(Europe!$T$3:$T$123,Europe!$F$3:$F$123,'Europe Capacity Data'!E$22,Europe!$U$3:$U$123,'Europe Capacity Data'!$A8)</f>
        <v>0</v>
      </c>
      <c r="F8" s="8">
        <f>SUMIFS(Europe!$R$3:$R$123,Europe!$F$3:$F$123,'Europe Capacity Data'!F$2,Europe!$U$3:$U$123,'Europe Capacity Data'!$A8)+SUMIFS(Europe!$T$3:$T$123,Europe!$F$3:$F$123,'Europe Capacity Data'!F$22,Europe!$U$3:$U$123,'Europe Capacity Data'!$A8)</f>
        <v>7.665</v>
      </c>
      <c r="G8" s="8">
        <f>SUMIFS(Europe!$R$3:$R$123,Europe!$F$3:$F$123,'Europe Capacity Data'!G$2,Europe!$U$3:$U$123,'Europe Capacity Data'!$A8)+SUMIFS(Europe!$T$3:$T$123,Europe!$F$3:$F$123,'Europe Capacity Data'!G$22,Europe!$U$3:$U$123,'Europe Capacity Data'!$A8)</f>
        <v>12.664999999999999</v>
      </c>
      <c r="H8" s="8">
        <f>SUMIFS(Europe!$R$3:$R$123,Europe!$F$3:$F$123,'Europe Capacity Data'!H$2,Europe!$U$3:$U$123,'Europe Capacity Data'!$A8)+SUMIFS(Europe!$T$3:$T$123,Europe!$F$3:$F$123,'Europe Capacity Data'!H$22,Europe!$U$3:$U$123,'Europe Capacity Data'!$A8)</f>
        <v>4.2157500000000008</v>
      </c>
      <c r="I8" s="8">
        <f>SUMIFS(Europe!$R$3:$R$123,Europe!$F$3:$F$123,'Europe Capacity Data'!I$2,Europe!$U$3:$U$123,'Europe Capacity Data'!$A8)+SUMIFS(Europe!$T$3:$T$123,Europe!$F$3:$F$123,'Europe Capacity Data'!I$22,Europe!$U$3:$U$123,'Europe Capacity Data'!$A8)</f>
        <v>0</v>
      </c>
      <c r="J8" s="8">
        <f>SUMIFS(Europe!$R$3:$R$123,Europe!$F$3:$F$123,'Europe Capacity Data'!J$2,Europe!$U$3:$U$123,'Europe Capacity Data'!$A8)+SUMIFS(Europe!$T$3:$T$123,Europe!$F$3:$F$123,'Europe Capacity Data'!J$22,Europe!$U$3:$U$123,'Europe Capacity Data'!$A8)</f>
        <v>28.875</v>
      </c>
      <c r="K8" s="8">
        <f>SUMIFS(Europe!$R$3:$R$123,Europe!$F$3:$F$123,'Europe Capacity Data'!K$2,Europe!$U$3:$U$123,'Europe Capacity Data'!$A8)+SUMIFS(Europe!$T$3:$T$123,Europe!$F$3:$F$123,'Europe Capacity Data'!K$22,Europe!$U$3:$U$123,'Europe Capacity Data'!$A8)</f>
        <v>27.225000000000001</v>
      </c>
      <c r="L8" s="8">
        <f>SUMIFS(Europe!$R$3:$R$123,Europe!$F$3:$F$123,'Europe Capacity Data'!L$2,Europe!$U$3:$U$123,'Europe Capacity Data'!$A8)+SUMIFS(Europe!$T$3:$T$123,Europe!$F$3:$F$123,'Europe Capacity Data'!L$22,Europe!$U$3:$U$123,'Europe Capacity Data'!$A8)</f>
        <v>0</v>
      </c>
      <c r="M8" s="8">
        <f>SUMIFS(Europe!$R$3:$R$123,Europe!$F$3:$F$123,'Europe Capacity Data'!M$2,Europe!$U$3:$U$123,'Europe Capacity Data'!$A8)+SUMIFS(Europe!$T$3:$T$123,Europe!$F$3:$F$123,'Europe Capacity Data'!M$22,Europe!$U$3:$U$123,'Europe Capacity Data'!$A8)</f>
        <v>0</v>
      </c>
      <c r="N8" s="8">
        <f>SUMIFS(Europe!$R$3:$R$123,Europe!$F$3:$F$123,'Europe Capacity Data'!N$2,Europe!$U$3:$U$123,'Europe Capacity Data'!$A8)+SUMIFS(Europe!$T$3:$T$123,Europe!$F$3:$F$123,'Europe Capacity Data'!N$22,Europe!$U$3:$U$123,'Europe Capacity Data'!$A8)</f>
        <v>0</v>
      </c>
      <c r="O8" s="8">
        <f>SUMIFS(Europe!$R$3:$R$123,Europe!$F$3:$F$123,'Europe Capacity Data'!O$2,Europe!$U$3:$U$123,'Europe Capacity Data'!$A8)+SUMIFS(Europe!$T$3:$T$123,Europe!$F$3:$F$123,'Europe Capacity Data'!O$22,Europe!$U$3:$U$123,'Europe Capacity Data'!$A8)</f>
        <v>0</v>
      </c>
      <c r="P8" s="8">
        <f>SUMIFS(Europe!$R$3:$R$123,Europe!$F$3:$F$123,'Europe Capacity Data'!P$2,Europe!$U$3:$U$123,'Europe Capacity Data'!$A8)+SUMIFS(Europe!$T$3:$T$123,Europe!$F$3:$F$123,'Europe Capacity Data'!P$22,Europe!$U$3:$U$123,'Europe Capacity Data'!$A8)</f>
        <v>0</v>
      </c>
      <c r="Q8" s="8">
        <f>SUMIFS(Europe!$R$3:$R$123,Europe!$F$3:$F$123,'Europe Capacity Data'!Q$2,Europe!$U$3:$U$123,'Europe Capacity Data'!$A8)+SUMIFS(Europe!$T$3:$T$123,Europe!$F$3:$F$123,'Europe Capacity Data'!Q$22,Europe!$U$3:$U$123,'Europe Capacity Data'!$A8)</f>
        <v>0</v>
      </c>
    </row>
    <row r="9" spans="1:17" ht="15" customHeight="1" thickBot="1">
      <c r="A9" s="11" t="s">
        <v>11</v>
      </c>
      <c r="B9" s="12">
        <f>SUM(B3:B8)</f>
        <v>180.33</v>
      </c>
      <c r="C9" s="12">
        <f>SUM(C3:C8)</f>
        <v>30.666599999999999</v>
      </c>
      <c r="D9" s="12">
        <f t="shared" ref="D9:Q9" si="0">SUM(D3:D8)</f>
        <v>244.35137500000002</v>
      </c>
      <c r="E9" s="12">
        <f t="shared" si="0"/>
        <v>0</v>
      </c>
      <c r="F9" s="13">
        <f t="shared" si="0"/>
        <v>97.775919000000002</v>
      </c>
      <c r="G9" s="13">
        <f t="shared" si="0"/>
        <v>861.49082499999997</v>
      </c>
      <c r="H9" s="13">
        <f t="shared" si="0"/>
        <v>229.870225</v>
      </c>
      <c r="I9" s="13">
        <f t="shared" si="0"/>
        <v>166.96712500000001</v>
      </c>
      <c r="J9" s="13">
        <f t="shared" si="0"/>
        <v>278.20495</v>
      </c>
      <c r="K9" s="13">
        <f t="shared" si="0"/>
        <v>47.182299999999998</v>
      </c>
      <c r="L9" s="13">
        <f t="shared" si="0"/>
        <v>67.5334</v>
      </c>
      <c r="M9" s="13">
        <f t="shared" si="0"/>
        <v>105.34975000000001</v>
      </c>
      <c r="N9" s="13">
        <f t="shared" si="0"/>
        <v>160.3845</v>
      </c>
      <c r="O9" s="13">
        <f t="shared" si="0"/>
        <v>45.43</v>
      </c>
      <c r="P9" s="13">
        <f t="shared" si="0"/>
        <v>5.3020000000000005E-2</v>
      </c>
      <c r="Q9" s="13">
        <f t="shared" si="0"/>
        <v>2.0500000000000001E-2</v>
      </c>
    </row>
    <row r="10" spans="1:17" ht="15" customHeight="1">
      <c r="A10" s="14"/>
      <c r="B10" s="15"/>
      <c r="C10" s="15"/>
      <c r="D10" s="15"/>
      <c r="E10" s="15"/>
      <c r="F10" s="15"/>
      <c r="G10" s="15"/>
      <c r="H10" s="15"/>
      <c r="I10" s="15"/>
      <c r="J10" s="15"/>
      <c r="K10" s="15"/>
      <c r="L10" s="15"/>
      <c r="M10" s="15"/>
      <c r="N10" s="15"/>
      <c r="O10" s="15"/>
      <c r="P10" s="15"/>
      <c r="Q10" s="15"/>
    </row>
    <row r="11" spans="1:17" ht="15" customHeight="1" thickBot="1">
      <c r="A11" s="16" t="s">
        <v>962</v>
      </c>
      <c r="B11" s="15"/>
      <c r="C11" s="15"/>
      <c r="D11" s="15"/>
      <c r="E11" s="15"/>
      <c r="F11" s="15"/>
      <c r="G11" s="15"/>
      <c r="H11" s="15"/>
      <c r="I11" s="15"/>
      <c r="J11" s="15"/>
      <c r="K11" s="15"/>
      <c r="L11" s="15"/>
      <c r="M11" s="15"/>
      <c r="N11" s="15"/>
      <c r="O11" s="15"/>
      <c r="P11" s="15"/>
    </row>
    <row r="12" spans="1:17" ht="15" customHeight="1" thickBot="1">
      <c r="A12" s="17" t="s">
        <v>3</v>
      </c>
      <c r="B12" s="18" t="str">
        <f t="shared" ref="B12:B18" si="1">B2</f>
        <v>&lt; 2021</v>
      </c>
      <c r="C12" s="18">
        <f t="shared" ref="C12:Q12" si="2">C2</f>
        <v>2021</v>
      </c>
      <c r="D12" s="18">
        <f t="shared" si="2"/>
        <v>2022</v>
      </c>
      <c r="E12" s="18">
        <f t="shared" si="2"/>
        <v>2023</v>
      </c>
      <c r="F12" s="18">
        <f t="shared" si="2"/>
        <v>2024</v>
      </c>
      <c r="G12" s="18">
        <f t="shared" si="2"/>
        <v>2025</v>
      </c>
      <c r="H12" s="18">
        <f t="shared" si="2"/>
        <v>2026</v>
      </c>
      <c r="I12" s="18">
        <f t="shared" si="2"/>
        <v>2027</v>
      </c>
      <c r="J12" s="18">
        <f t="shared" si="2"/>
        <v>2028</v>
      </c>
      <c r="K12" s="18">
        <f t="shared" si="2"/>
        <v>2029</v>
      </c>
      <c r="L12" s="18">
        <f t="shared" si="2"/>
        <v>2030</v>
      </c>
      <c r="M12" s="18">
        <f t="shared" si="2"/>
        <v>2031</v>
      </c>
      <c r="N12" s="18">
        <f t="shared" si="2"/>
        <v>2032</v>
      </c>
      <c r="O12" s="18">
        <f t="shared" si="2"/>
        <v>2033</v>
      </c>
      <c r="P12" s="18">
        <f t="shared" si="2"/>
        <v>2034</v>
      </c>
      <c r="Q12" s="18">
        <f t="shared" si="2"/>
        <v>2035</v>
      </c>
    </row>
    <row r="13" spans="1:17" ht="15" customHeight="1">
      <c r="A13" s="19" t="s">
        <v>5</v>
      </c>
      <c r="B13" s="10">
        <f t="shared" si="1"/>
        <v>165</v>
      </c>
      <c r="C13" s="10">
        <f t="shared" ref="C13:Q13" si="3">B13+C3</f>
        <v>165</v>
      </c>
      <c r="D13" s="10">
        <f t="shared" si="3"/>
        <v>166.65</v>
      </c>
      <c r="E13" s="10">
        <f t="shared" si="3"/>
        <v>166.65</v>
      </c>
      <c r="F13" s="8">
        <f t="shared" si="3"/>
        <v>255.94150000000002</v>
      </c>
      <c r="G13" s="8">
        <f t="shared" si="3"/>
        <v>990.28942500000005</v>
      </c>
      <c r="H13" s="8">
        <f t="shared" si="3"/>
        <v>1119.5977250000001</v>
      </c>
      <c r="I13" s="8">
        <f t="shared" si="3"/>
        <v>1214.79585</v>
      </c>
      <c r="J13" s="8">
        <f t="shared" si="3"/>
        <v>1265.96985</v>
      </c>
      <c r="K13" s="8">
        <f t="shared" si="3"/>
        <v>1265.96985</v>
      </c>
      <c r="L13" s="8">
        <f t="shared" si="3"/>
        <v>1275.04485</v>
      </c>
      <c r="M13" s="8">
        <f t="shared" si="3"/>
        <v>1275.04485</v>
      </c>
      <c r="N13" s="8">
        <f t="shared" si="3"/>
        <v>1275.04485</v>
      </c>
      <c r="O13" s="8">
        <f t="shared" si="3"/>
        <v>1275.04485</v>
      </c>
      <c r="P13" s="8">
        <f t="shared" si="3"/>
        <v>1275.04485</v>
      </c>
      <c r="Q13" s="8">
        <f t="shared" si="3"/>
        <v>1275.04485</v>
      </c>
    </row>
    <row r="14" spans="1:17" ht="15" customHeight="1">
      <c r="A14" s="20" t="s">
        <v>6</v>
      </c>
      <c r="B14" s="10">
        <f t="shared" si="1"/>
        <v>0</v>
      </c>
      <c r="C14" s="10">
        <f t="shared" ref="C14:Q14" si="4">B14+C4</f>
        <v>0</v>
      </c>
      <c r="D14" s="10">
        <f t="shared" si="4"/>
        <v>0</v>
      </c>
      <c r="E14" s="10">
        <f t="shared" si="4"/>
        <v>0</v>
      </c>
      <c r="F14" s="8">
        <f t="shared" si="4"/>
        <v>0</v>
      </c>
      <c r="G14" s="8">
        <f t="shared" si="4"/>
        <v>72.655000000000001</v>
      </c>
      <c r="H14" s="8">
        <f t="shared" si="4"/>
        <v>104.845</v>
      </c>
      <c r="I14" s="8">
        <f t="shared" si="4"/>
        <v>107.85</v>
      </c>
      <c r="J14" s="8">
        <f t="shared" si="4"/>
        <v>159.50444999999999</v>
      </c>
      <c r="K14" s="8">
        <f t="shared" si="4"/>
        <v>165.31684999999999</v>
      </c>
      <c r="L14" s="8">
        <f t="shared" si="4"/>
        <v>170.81684999999999</v>
      </c>
      <c r="M14" s="8">
        <f t="shared" si="4"/>
        <v>170.81684999999999</v>
      </c>
      <c r="N14" s="8">
        <f t="shared" si="4"/>
        <v>170.81684999999999</v>
      </c>
      <c r="O14" s="8">
        <f t="shared" si="4"/>
        <v>170.81684999999999</v>
      </c>
      <c r="P14" s="8">
        <f t="shared" si="4"/>
        <v>170.81684999999999</v>
      </c>
      <c r="Q14" s="8">
        <f t="shared" si="4"/>
        <v>170.81684999999999</v>
      </c>
    </row>
    <row r="15" spans="1:17" ht="15" customHeight="1">
      <c r="A15" s="20" t="s">
        <v>7</v>
      </c>
      <c r="B15" s="10">
        <f t="shared" si="1"/>
        <v>0</v>
      </c>
      <c r="C15" s="10">
        <f t="shared" ref="C15:P18" si="5">B15+C5</f>
        <v>0</v>
      </c>
      <c r="D15" s="10">
        <f t="shared" si="5"/>
        <v>0</v>
      </c>
      <c r="E15" s="10">
        <f t="shared" si="5"/>
        <v>0</v>
      </c>
      <c r="F15" s="8">
        <f t="shared" si="5"/>
        <v>0.25410000000000005</v>
      </c>
      <c r="G15" s="8">
        <f t="shared" si="5"/>
        <v>41.235500000000002</v>
      </c>
      <c r="H15" s="8">
        <f t="shared" si="5"/>
        <v>61.189500000000002</v>
      </c>
      <c r="I15" s="8">
        <f t="shared" si="5"/>
        <v>84.953500000000005</v>
      </c>
      <c r="J15" s="8">
        <f t="shared" si="5"/>
        <v>139.07100000000003</v>
      </c>
      <c r="K15" s="8">
        <f t="shared" si="5"/>
        <v>139.07100000000003</v>
      </c>
      <c r="L15" s="8">
        <f t="shared" si="5"/>
        <v>152.82100000000003</v>
      </c>
      <c r="M15" s="8">
        <f t="shared" si="5"/>
        <v>152.82100000000003</v>
      </c>
      <c r="N15" s="8">
        <f t="shared" si="5"/>
        <v>161.25250000000003</v>
      </c>
      <c r="O15" s="8">
        <f t="shared" si="5"/>
        <v>161.25250000000003</v>
      </c>
      <c r="P15" s="8">
        <f t="shared" si="5"/>
        <v>161.25250000000003</v>
      </c>
      <c r="Q15" s="8">
        <f>P15+Q5</f>
        <v>161.25250000000003</v>
      </c>
    </row>
    <row r="16" spans="1:17" ht="15" customHeight="1">
      <c r="A16" s="20" t="s">
        <v>8</v>
      </c>
      <c r="B16" s="10">
        <f t="shared" si="1"/>
        <v>0</v>
      </c>
      <c r="C16" s="10">
        <f t="shared" si="5"/>
        <v>6.6E-3</v>
      </c>
      <c r="D16" s="10">
        <f t="shared" si="5"/>
        <v>7.2599999999999998E-2</v>
      </c>
      <c r="E16" s="10">
        <f t="shared" si="5"/>
        <v>7.2599999999999998E-2</v>
      </c>
      <c r="F16" s="8">
        <f t="shared" si="5"/>
        <v>0.63791900000000001</v>
      </c>
      <c r="G16" s="8">
        <f t="shared" si="5"/>
        <v>1.479419</v>
      </c>
      <c r="H16" s="8">
        <f t="shared" si="5"/>
        <v>45.445368999999999</v>
      </c>
      <c r="I16" s="8">
        <f t="shared" si="5"/>
        <v>90.445368999999999</v>
      </c>
      <c r="J16" s="8">
        <f t="shared" si="5"/>
        <v>182.82936899999999</v>
      </c>
      <c r="K16" s="8">
        <f t="shared" si="5"/>
        <v>196.97426899999999</v>
      </c>
      <c r="L16" s="8">
        <f t="shared" si="5"/>
        <v>236.18266899999998</v>
      </c>
      <c r="M16" s="8">
        <f t="shared" si="5"/>
        <v>341.532419</v>
      </c>
      <c r="N16" s="8">
        <f t="shared" si="5"/>
        <v>475.335419</v>
      </c>
      <c r="O16" s="8">
        <f t="shared" si="5"/>
        <v>520.76541899999995</v>
      </c>
      <c r="P16" s="8">
        <f t="shared" si="5"/>
        <v>520.8184389999999</v>
      </c>
      <c r="Q16" s="8">
        <f>P16+Q6</f>
        <v>520.83893899999987</v>
      </c>
    </row>
    <row r="17" spans="1:17" ht="15" customHeight="1">
      <c r="A17" s="20" t="s">
        <v>9</v>
      </c>
      <c r="B17" s="10">
        <f t="shared" si="1"/>
        <v>0</v>
      </c>
      <c r="C17" s="10">
        <f t="shared" si="5"/>
        <v>0</v>
      </c>
      <c r="D17" s="10">
        <f t="shared" si="5"/>
        <v>0</v>
      </c>
      <c r="E17" s="10">
        <f t="shared" si="5"/>
        <v>0</v>
      </c>
      <c r="F17" s="8">
        <f t="shared" si="5"/>
        <v>0</v>
      </c>
      <c r="G17" s="8">
        <f t="shared" si="5"/>
        <v>0</v>
      </c>
      <c r="H17" s="8">
        <f t="shared" si="5"/>
        <v>0.23622500000000002</v>
      </c>
      <c r="I17" s="8">
        <f t="shared" si="5"/>
        <v>0.23622500000000002</v>
      </c>
      <c r="J17" s="8">
        <f t="shared" si="5"/>
        <v>0.23622500000000002</v>
      </c>
      <c r="K17" s="8">
        <f t="shared" si="5"/>
        <v>0.23622500000000002</v>
      </c>
      <c r="L17" s="8">
        <f t="shared" si="5"/>
        <v>0.23622500000000002</v>
      </c>
      <c r="M17" s="8">
        <f t="shared" si="5"/>
        <v>0.23622500000000002</v>
      </c>
      <c r="N17" s="8">
        <f t="shared" si="5"/>
        <v>18.386225000000003</v>
      </c>
      <c r="O17" s="8">
        <f t="shared" si="5"/>
        <v>18.386225000000003</v>
      </c>
      <c r="P17" s="8">
        <f t="shared" si="5"/>
        <v>18.386225000000003</v>
      </c>
      <c r="Q17" s="8">
        <f>P17+Q7</f>
        <v>18.386225000000003</v>
      </c>
    </row>
    <row r="18" spans="1:17" ht="15" customHeight="1">
      <c r="A18" s="20" t="s">
        <v>10</v>
      </c>
      <c r="B18" s="10">
        <f t="shared" si="1"/>
        <v>15.33</v>
      </c>
      <c r="C18" s="10">
        <f t="shared" si="5"/>
        <v>45.99</v>
      </c>
      <c r="D18" s="10">
        <f t="shared" si="5"/>
        <v>288.62537500000002</v>
      </c>
      <c r="E18" s="10">
        <f t="shared" si="5"/>
        <v>288.62537500000002</v>
      </c>
      <c r="F18" s="8">
        <f t="shared" si="5"/>
        <v>296.29037500000004</v>
      </c>
      <c r="G18" s="8">
        <f t="shared" si="5"/>
        <v>308.95537500000006</v>
      </c>
      <c r="H18" s="8">
        <f t="shared" si="5"/>
        <v>313.17112500000007</v>
      </c>
      <c r="I18" s="8">
        <f t="shared" si="5"/>
        <v>313.17112500000007</v>
      </c>
      <c r="J18" s="8">
        <f t="shared" si="5"/>
        <v>342.04612500000007</v>
      </c>
      <c r="K18" s="8">
        <f t="shared" si="5"/>
        <v>369.2711250000001</v>
      </c>
      <c r="L18" s="8">
        <f t="shared" si="5"/>
        <v>369.2711250000001</v>
      </c>
      <c r="M18" s="8">
        <f t="shared" si="5"/>
        <v>369.2711250000001</v>
      </c>
      <c r="N18" s="8">
        <f t="shared" si="5"/>
        <v>369.2711250000001</v>
      </c>
      <c r="O18" s="8">
        <f t="shared" si="5"/>
        <v>369.2711250000001</v>
      </c>
      <c r="P18" s="8">
        <f t="shared" si="5"/>
        <v>369.2711250000001</v>
      </c>
      <c r="Q18" s="8">
        <f>P18+Q8</f>
        <v>369.2711250000001</v>
      </c>
    </row>
    <row r="19" spans="1:17" ht="15" customHeight="1" thickBot="1">
      <c r="A19" s="21" t="s">
        <v>11</v>
      </c>
      <c r="B19" s="12">
        <f>SUM(B13:B18)</f>
        <v>180.33</v>
      </c>
      <c r="C19" s="12">
        <f t="shared" ref="C19:Q19" si="6">SUM(C13:C18)</f>
        <v>210.9966</v>
      </c>
      <c r="D19" s="12">
        <f t="shared" si="6"/>
        <v>455.34797500000002</v>
      </c>
      <c r="E19" s="12">
        <f t="shared" si="6"/>
        <v>455.34797500000002</v>
      </c>
      <c r="F19" s="13">
        <f t="shared" si="6"/>
        <v>553.12389400000006</v>
      </c>
      <c r="G19" s="13">
        <f t="shared" si="6"/>
        <v>1414.6147190000002</v>
      </c>
      <c r="H19" s="13">
        <f t="shared" si="6"/>
        <v>1644.4849440000003</v>
      </c>
      <c r="I19" s="13">
        <f t="shared" si="6"/>
        <v>1811.4520690000002</v>
      </c>
      <c r="J19" s="13">
        <f t="shared" si="6"/>
        <v>2089.6570190000002</v>
      </c>
      <c r="K19" s="13">
        <f t="shared" si="6"/>
        <v>2136.8393190000002</v>
      </c>
      <c r="L19" s="13">
        <f t="shared" si="6"/>
        <v>2204.372719</v>
      </c>
      <c r="M19" s="13">
        <f t="shared" si="6"/>
        <v>2309.7224690000003</v>
      </c>
      <c r="N19" s="13">
        <f t="shared" si="6"/>
        <v>2470.1069690000004</v>
      </c>
      <c r="O19" s="13">
        <f t="shared" si="6"/>
        <v>2515.5369690000002</v>
      </c>
      <c r="P19" s="13">
        <f t="shared" si="6"/>
        <v>2515.5899890000001</v>
      </c>
      <c r="Q19" s="13">
        <f t="shared" si="6"/>
        <v>2515.6104890000001</v>
      </c>
    </row>
    <row r="20" spans="1:17" ht="15" customHeight="1">
      <c r="A20" s="14"/>
      <c r="B20" s="14"/>
      <c r="C20" s="14"/>
      <c r="D20" s="14"/>
      <c r="E20" s="14"/>
      <c r="F20" s="14"/>
      <c r="G20" s="14"/>
      <c r="H20" s="14"/>
      <c r="I20" s="14"/>
      <c r="J20" s="14"/>
      <c r="K20" s="14"/>
      <c r="L20" s="14"/>
      <c r="M20" s="14"/>
      <c r="N20" s="14"/>
      <c r="O20" s="14"/>
      <c r="P20" s="14"/>
      <c r="Q20" s="14"/>
    </row>
    <row r="21" spans="1:17" ht="15" customHeight="1" thickBot="1">
      <c r="A21" s="16" t="s">
        <v>963</v>
      </c>
      <c r="B21" s="15"/>
      <c r="C21" s="15"/>
      <c r="D21" s="15"/>
      <c r="E21" s="15"/>
      <c r="F21" s="15"/>
      <c r="G21" s="15"/>
      <c r="H21" s="15"/>
      <c r="I21" s="15"/>
      <c r="J21" s="15"/>
      <c r="K21" s="15"/>
      <c r="L21" s="15"/>
      <c r="M21" s="15"/>
      <c r="N21" s="15"/>
      <c r="O21" s="15"/>
      <c r="P21" s="15"/>
    </row>
    <row r="22" spans="1:17" ht="15.75" thickBot="1">
      <c r="A22" s="17" t="s">
        <v>3</v>
      </c>
      <c r="B22" s="18" t="str">
        <f>B2</f>
        <v>&lt; 2021</v>
      </c>
      <c r="C22" s="18">
        <f t="shared" ref="C22:Q22" si="7">C2</f>
        <v>2021</v>
      </c>
      <c r="D22" s="18">
        <f t="shared" si="7"/>
        <v>2022</v>
      </c>
      <c r="E22" s="18">
        <f t="shared" si="7"/>
        <v>2023</v>
      </c>
      <c r="F22" s="18">
        <f t="shared" si="7"/>
        <v>2024</v>
      </c>
      <c r="G22" s="18">
        <f t="shared" si="7"/>
        <v>2025</v>
      </c>
      <c r="H22" s="18">
        <f t="shared" si="7"/>
        <v>2026</v>
      </c>
      <c r="I22" s="18">
        <f t="shared" si="7"/>
        <v>2027</v>
      </c>
      <c r="J22" s="18">
        <f t="shared" si="7"/>
        <v>2028</v>
      </c>
      <c r="K22" s="18">
        <f t="shared" si="7"/>
        <v>2029</v>
      </c>
      <c r="L22" s="18">
        <f t="shared" si="7"/>
        <v>2030</v>
      </c>
      <c r="M22" s="18">
        <f t="shared" si="7"/>
        <v>2031</v>
      </c>
      <c r="N22" s="18">
        <f t="shared" si="7"/>
        <v>2032</v>
      </c>
      <c r="O22" s="18">
        <f t="shared" si="7"/>
        <v>2033</v>
      </c>
      <c r="P22" s="18">
        <f t="shared" si="7"/>
        <v>2034</v>
      </c>
      <c r="Q22" s="18">
        <f t="shared" si="7"/>
        <v>2035</v>
      </c>
    </row>
    <row r="23" spans="1:17">
      <c r="A23" s="19" t="s">
        <v>5</v>
      </c>
      <c r="B23" s="7">
        <f>SUMIFS(Europe!$N$3:$N$123,Europe!$F$3:$F$123,"&lt;"&amp;'Europe Capacity Data'!C$22,Europe!$U$3:$U$123,'Europe Capacity Data'!$A23)+SUMIFS(Europe!$P$3:$P$123,Europe!$F$3:$F$123,"&lt;"&amp;'Europe Capacity Data'!C$22,Europe!$U$3:$U$123,'Europe Capacity Data'!$A23)</f>
        <v>165</v>
      </c>
      <c r="C23" s="7">
        <f>SUMIFS(Europe!$N$3:$N$123,Europe!$F$3:$F$123,'Europe Capacity Data'!C$22,Europe!$U$3:$U$123,'Europe Capacity Data'!$A23)+SUMIFS(Europe!$P$3:$P$123,Europe!$F$3:$F$123,'Europe Capacity Data'!C$22,Europe!$U$3:$U$123,'Europe Capacity Data'!$A23)</f>
        <v>0</v>
      </c>
      <c r="D23" s="7">
        <f>SUMIFS(Europe!$N$3:$N$123,Europe!$F$3:$F$123,'Europe Capacity Data'!D$22,Europe!$U$3:$U$123,'Europe Capacity Data'!$A23)+SUMIFS(Europe!$P$3:$P$123,Europe!$F$3:$F$123,'Europe Capacity Data'!D$22,Europe!$U$3:$U$123,'Europe Capacity Data'!$A23)</f>
        <v>1.65</v>
      </c>
      <c r="E23" s="7">
        <f>SUMIFS(Europe!$N$3:$N$123,Europe!$F$3:$F$123,'Europe Capacity Data'!E$22,Europe!$U$3:$U$123,'Europe Capacity Data'!$A23)+SUMIFS(Europe!$P$3:$P$123,Europe!$F$3:$F$123,'Europe Capacity Data'!E$22,Europe!$U$3:$U$123,'Europe Capacity Data'!$A23)</f>
        <v>0</v>
      </c>
      <c r="F23" s="39">
        <f>SUMIFS(Europe!$N$3:$N$123,Europe!$F$3:$F$123,'Europe Capacity Data'!F$22,Europe!$U$3:$U$123,'Europe Capacity Data'!$A23)+SUMIFS(Europe!$P$3:$P$123,Europe!$F$3:$F$123,'Europe Capacity Data'!F$22,Europe!$U$3:$U$123,'Europe Capacity Data'!$A23)</f>
        <v>234.47499999999999</v>
      </c>
      <c r="G23" s="39">
        <f>SUMIFS(Europe!$N$3:$N$123,Europe!$F$3:$F$123,'Europe Capacity Data'!G$22,Europe!$U$3:$U$123,'Europe Capacity Data'!$A23)+SUMIFS(Europe!$P$3:$P$123,Europe!$F$3:$F$123,'Europe Capacity Data'!G$22,Europe!$U$3:$U$123,'Europe Capacity Data'!$A23)</f>
        <v>758.34849999999994</v>
      </c>
      <c r="H23" s="39">
        <f>SUMIFS(Europe!$N$3:$N$123,Europe!$F$3:$F$123,'Europe Capacity Data'!H$22,Europe!$U$3:$U$123,'Europe Capacity Data'!$A23)+SUMIFS(Europe!$P$3:$P$123,Europe!$F$3:$F$123,'Europe Capacity Data'!H$22,Europe!$U$3:$U$123,'Europe Capacity Data'!$A23)</f>
        <v>184.85599999999999</v>
      </c>
      <c r="I23" s="39">
        <f>SUMIFS(Europe!$N$3:$N$123,Europe!$F$3:$F$123,'Europe Capacity Data'!I$22,Europe!$U$3:$U$123,'Europe Capacity Data'!$A23)+SUMIFS(Europe!$P$3:$P$123,Europe!$F$3:$F$123,'Europe Capacity Data'!I$22,Europe!$U$3:$U$123,'Europe Capacity Data'!$A23)</f>
        <v>167.08749999999998</v>
      </c>
      <c r="J23" s="39">
        <f>SUMIFS(Europe!$N$3:$N$123,Europe!$F$3:$F$123,'Europe Capacity Data'!J$22,Europe!$U$3:$U$123,'Europe Capacity Data'!$A23)+SUMIFS(Europe!$P$3:$P$123,Europe!$F$3:$F$123,'Europe Capacity Data'!J$22,Europe!$U$3:$U$123,'Europe Capacity Data'!$A23)</f>
        <v>74.28</v>
      </c>
      <c r="K23" s="39">
        <f>SUMIFS(Europe!$N$3:$N$123,Europe!$F$3:$F$123,'Europe Capacity Data'!K$22,Europe!$U$3:$U$123,'Europe Capacity Data'!$A23)+SUMIFS(Europe!$P$3:$P$123,Europe!$F$3:$F$123,'Europe Capacity Data'!K$22,Europe!$U$3:$U$123,'Europe Capacity Data'!$A23)</f>
        <v>0</v>
      </c>
      <c r="L23" s="39">
        <f>SUMIFS(Europe!$N$3:$N$123,Europe!$F$3:$F$123,'Europe Capacity Data'!L$22,Europe!$U$3:$U$123,'Europe Capacity Data'!$A23)+SUMIFS(Europe!$P$3:$P$123,Europe!$F$3:$F$123,'Europe Capacity Data'!L$22,Europe!$U$3:$U$123,'Europe Capacity Data'!$A23)</f>
        <v>16.5</v>
      </c>
      <c r="M23" s="39">
        <f>SUMIFS(Europe!$N$3:$N$123,Europe!$F$3:$F$123,'Europe Capacity Data'!M$22,Europe!$U$3:$U$123,'Europe Capacity Data'!$A23)+SUMIFS(Europe!$P$3:$P$123,Europe!$F$3:$F$123,'Europe Capacity Data'!M$22,Europe!$U$3:$U$123,'Europe Capacity Data'!$A23)</f>
        <v>0</v>
      </c>
      <c r="N23" s="39">
        <f>SUMIFS(Europe!$N$3:$N$123,Europe!$F$3:$F$123,'Europe Capacity Data'!N$22,Europe!$U$3:$U$123,'Europe Capacity Data'!$A23)+SUMIFS(Europe!$P$3:$P$123,Europe!$F$3:$F$123,'Europe Capacity Data'!N$22,Europe!$U$3:$U$123,'Europe Capacity Data'!$A23)</f>
        <v>0</v>
      </c>
      <c r="O23" s="39">
        <f>SUMIFS(Europe!$N$3:$N$123,Europe!$F$3:$F$123,'Europe Capacity Data'!O$22,Europe!$U$3:$U$123,'Europe Capacity Data'!$A23)+SUMIFS(Europe!$P$3:$P$123,Europe!$F$3:$F$123,'Europe Capacity Data'!O$22,Europe!$U$3:$U$123,'Europe Capacity Data'!$A23)</f>
        <v>0</v>
      </c>
      <c r="P23" s="39">
        <f>SUMIFS(Europe!$N$3:$N$123,Europe!$F$3:$F$123,'Europe Capacity Data'!P$22,Europe!$U$3:$U$123,'Europe Capacity Data'!$A23)+SUMIFS(Europe!$P$3:$P$123,Europe!$F$3:$F$123,'Europe Capacity Data'!P$22,Europe!$U$3:$U$123,'Europe Capacity Data'!$A23)</f>
        <v>0</v>
      </c>
      <c r="Q23" s="39">
        <f>SUMIFS(Europe!$N$3:$N$123,Europe!$F$3:$F$123,'Europe Capacity Data'!Q$22,Europe!$U$3:$U$123,'Europe Capacity Data'!$A23)+SUMIFS(Europe!$P$3:$P$123,Europe!$F$3:$F$123,'Europe Capacity Data'!Q$22,Europe!$U$3:$U$123,'Europe Capacity Data'!$A23)</f>
        <v>0</v>
      </c>
    </row>
    <row r="24" spans="1:17">
      <c r="A24" s="20" t="s">
        <v>6</v>
      </c>
      <c r="B24" s="22">
        <f>SUMIFS(Europe!$N$3:$N$123,Europe!$F$3:$F$123,"&lt;"&amp;'Europe Capacity Data'!C$22,Europe!$U$3:$U$123,'Europe Capacity Data'!$A24)+SUMIFS(Europe!$P$3:$P$123,Europe!$F$3:$F$123,"&lt;"&amp;'Europe Capacity Data'!C$22,Europe!$U$3:$U$123,'Europe Capacity Data'!$A24)</f>
        <v>0</v>
      </c>
      <c r="C24" s="22">
        <f>SUMIFS(Europe!$N$3:$N$123,Europe!$F$3:$F$123,'Europe Capacity Data'!C$22,Europe!$U$3:$U$123,'Europe Capacity Data'!$A24)+SUMIFS(Europe!$P$3:$P$123,Europe!$F$3:$F$123,'Europe Capacity Data'!C$22,Europe!$U$3:$U$123,'Europe Capacity Data'!$A24)</f>
        <v>0</v>
      </c>
      <c r="D24" s="22">
        <f>SUMIFS(Europe!$N$3:$N$123,Europe!$F$3:$F$123,'Europe Capacity Data'!D$22,Europe!$U$3:$U$123,'Europe Capacity Data'!$A24)+SUMIFS(Europe!$P$3:$P$123,Europe!$F$3:$F$123,'Europe Capacity Data'!D$22,Europe!$U$3:$U$123,'Europe Capacity Data'!$A24)</f>
        <v>0</v>
      </c>
      <c r="E24" s="22">
        <f>SUMIFS(Europe!$N$3:$N$123,Europe!$F$3:$F$123,'Europe Capacity Data'!E$22,Europe!$U$3:$U$123,'Europe Capacity Data'!$A24)+SUMIFS(Europe!$P$3:$P$123,Europe!$F$3:$F$123,'Europe Capacity Data'!E$22,Europe!$U$3:$U$123,'Europe Capacity Data'!$A24)</f>
        <v>0</v>
      </c>
      <c r="F24" s="23">
        <f>SUMIFS(Europe!$N$3:$N$123,Europe!$F$3:$F$123,'Europe Capacity Data'!F$22,Europe!$U$3:$U$123,'Europe Capacity Data'!$A24)+SUMIFS(Europe!$P$3:$P$123,Europe!$F$3:$F$123,'Europe Capacity Data'!F$22,Europe!$U$3:$U$123,'Europe Capacity Data'!$A24)</f>
        <v>0</v>
      </c>
      <c r="G24" s="23">
        <f>SUMIFS(Europe!$N$3:$N$123,Europe!$F$3:$F$123,'Europe Capacity Data'!G$22,Europe!$U$3:$U$123,'Europe Capacity Data'!$A24)+SUMIFS(Europe!$P$3:$P$123,Europe!$F$3:$F$123,'Europe Capacity Data'!G$22,Europe!$U$3:$U$123,'Europe Capacity Data'!$A24)</f>
        <v>132.1</v>
      </c>
      <c r="H24" s="23">
        <f>SUMIFS(Europe!$N$3:$N$123,Europe!$F$3:$F$123,'Europe Capacity Data'!H$22,Europe!$U$3:$U$123,'Europe Capacity Data'!$A24)+SUMIFS(Europe!$P$3:$P$123,Europe!$F$3:$F$123,'Europe Capacity Data'!H$22,Europe!$U$3:$U$123,'Europe Capacity Data'!$A24)</f>
        <v>48.2</v>
      </c>
      <c r="I24" s="23">
        <f>SUMIFS(Europe!$N$3:$N$123,Europe!$F$3:$F$123,'Europe Capacity Data'!I$22,Europe!$U$3:$U$123,'Europe Capacity Data'!$A24)+SUMIFS(Europe!$P$3:$P$123,Europe!$F$3:$F$123,'Europe Capacity Data'!I$22,Europe!$U$3:$U$123,'Europe Capacity Data'!$A24)</f>
        <v>30.05</v>
      </c>
      <c r="J24" s="23">
        <f>SUMIFS(Europe!$N$3:$N$123,Europe!$F$3:$F$123,'Europe Capacity Data'!J$22,Europe!$U$3:$U$123,'Europe Capacity Data'!$A24)+SUMIFS(Europe!$P$3:$P$123,Europe!$F$3:$F$123,'Europe Capacity Data'!J$22,Europe!$U$3:$U$123,'Europe Capacity Data'!$A24)</f>
        <v>102.099</v>
      </c>
      <c r="K24" s="23">
        <f>SUMIFS(Europe!$N$3:$N$123,Europe!$F$3:$F$123,'Europe Capacity Data'!K$22,Europe!$U$3:$U$123,'Europe Capacity Data'!$A24)+SUMIFS(Europe!$P$3:$P$123,Europe!$F$3:$F$123,'Europe Capacity Data'!K$22,Europe!$U$3:$U$123,'Europe Capacity Data'!$A24)</f>
        <v>10.568</v>
      </c>
      <c r="L24" s="23">
        <f>SUMIFS(Europe!$N$3:$N$123,Europe!$F$3:$F$123,'Europe Capacity Data'!L$22,Europe!$U$3:$U$123,'Europe Capacity Data'!$A24)+SUMIFS(Europe!$P$3:$P$123,Europe!$F$3:$F$123,'Europe Capacity Data'!L$22,Europe!$U$3:$U$123,'Europe Capacity Data'!$A24)</f>
        <v>10</v>
      </c>
      <c r="M24" s="23">
        <f>SUMIFS(Europe!$N$3:$N$123,Europe!$F$3:$F$123,'Europe Capacity Data'!M$22,Europe!$U$3:$U$123,'Europe Capacity Data'!$A24)+SUMIFS(Europe!$P$3:$P$123,Europe!$F$3:$F$123,'Europe Capacity Data'!M$22,Europe!$U$3:$U$123,'Europe Capacity Data'!$A24)</f>
        <v>0</v>
      </c>
      <c r="N24" s="23">
        <f>SUMIFS(Europe!$N$3:$N$123,Europe!$F$3:$F$123,'Europe Capacity Data'!N$22,Europe!$U$3:$U$123,'Europe Capacity Data'!$A24)+SUMIFS(Europe!$P$3:$P$123,Europe!$F$3:$F$123,'Europe Capacity Data'!N$22,Europe!$U$3:$U$123,'Europe Capacity Data'!$A24)</f>
        <v>0</v>
      </c>
      <c r="O24" s="23">
        <f>SUMIFS(Europe!$N$3:$N$123,Europe!$F$3:$F$123,'Europe Capacity Data'!O$22,Europe!$U$3:$U$123,'Europe Capacity Data'!$A24)+SUMIFS(Europe!$P$3:$P$123,Europe!$F$3:$F$123,'Europe Capacity Data'!O$22,Europe!$U$3:$U$123,'Europe Capacity Data'!$A24)</f>
        <v>0</v>
      </c>
      <c r="P24" s="23">
        <f>SUMIFS(Europe!$N$3:$N$123,Europe!$F$3:$F$123,'Europe Capacity Data'!P$22,Europe!$U$3:$U$123,'Europe Capacity Data'!$A24)+SUMIFS(Europe!$P$3:$P$123,Europe!$F$3:$F$123,'Europe Capacity Data'!P$22,Europe!$U$3:$U$123,'Europe Capacity Data'!$A24)</f>
        <v>0</v>
      </c>
      <c r="Q24" s="23">
        <f>SUMIFS(Europe!$N$3:$N$123,Europe!$F$3:$F$123,'Europe Capacity Data'!Q$22,Europe!$U$3:$U$123,'Europe Capacity Data'!$A24)+SUMIFS(Europe!$P$3:$P$123,Europe!$F$3:$F$123,'Europe Capacity Data'!Q$22,Europe!$U$3:$U$123,'Europe Capacity Data'!$A24)</f>
        <v>0</v>
      </c>
    </row>
    <row r="25" spans="1:17">
      <c r="A25" s="20" t="s">
        <v>7</v>
      </c>
      <c r="B25" s="22">
        <f>SUMIFS(Europe!$N$3:$N$123,Europe!$F$3:$F$123,"&lt;"&amp;'Europe Capacity Data'!C$22,Europe!$U$3:$U$123,'Europe Capacity Data'!$A25)+SUMIFS(Europe!$P$3:$P$123,Europe!$F$3:$F$123,"&lt;"&amp;'Europe Capacity Data'!C$22,Europe!$U$3:$U$123,'Europe Capacity Data'!$A25)</f>
        <v>0</v>
      </c>
      <c r="C25" s="22">
        <f>SUMIFS(Europe!$N$3:$N$123,Europe!$F$3:$F$123,'Europe Capacity Data'!C$22,Europe!$U$3:$U$123,'Europe Capacity Data'!$A25)+SUMIFS(Europe!$P$3:$P$123,Europe!$F$3:$F$123,'Europe Capacity Data'!C$22,Europe!$U$3:$U$123,'Europe Capacity Data'!$A25)</f>
        <v>0</v>
      </c>
      <c r="D25" s="22">
        <f>SUMIFS(Europe!$N$3:$N$123,Europe!$F$3:$F$123,'Europe Capacity Data'!D$22,Europe!$U$3:$U$123,'Europe Capacity Data'!$A25)+SUMIFS(Europe!$P$3:$P$123,Europe!$F$3:$F$123,'Europe Capacity Data'!D$22,Europe!$U$3:$U$123,'Europe Capacity Data'!$A25)</f>
        <v>0</v>
      </c>
      <c r="E25" s="22">
        <f>SUMIFS(Europe!$N$3:$N$123,Europe!$F$3:$F$123,'Europe Capacity Data'!E$22,Europe!$U$3:$U$123,'Europe Capacity Data'!$A25)+SUMIFS(Europe!$P$3:$P$123,Europe!$F$3:$F$123,'Europe Capacity Data'!E$22,Europe!$U$3:$U$123,'Europe Capacity Data'!$A25)</f>
        <v>0</v>
      </c>
      <c r="F25" s="23">
        <f>SUMIFS(Europe!$N$3:$N$123,Europe!$F$3:$F$123,'Europe Capacity Data'!F$22,Europe!$U$3:$U$123,'Europe Capacity Data'!$A25)+SUMIFS(Europe!$P$3:$P$123,Europe!$F$3:$F$123,'Europe Capacity Data'!F$22,Europe!$U$3:$U$123,'Europe Capacity Data'!$A25)</f>
        <v>0.46200000000000002</v>
      </c>
      <c r="G25" s="23">
        <f>SUMIFS(Europe!$N$3:$N$123,Europe!$F$3:$F$123,'Europe Capacity Data'!G$22,Europe!$U$3:$U$123,'Europe Capacity Data'!$A25)+SUMIFS(Europe!$P$3:$P$123,Europe!$F$3:$F$123,'Europe Capacity Data'!G$22,Europe!$U$3:$U$123,'Europe Capacity Data'!$A25)</f>
        <v>96.085999999999999</v>
      </c>
      <c r="H25" s="23">
        <f>SUMIFS(Europe!$N$3:$N$123,Europe!$F$3:$F$123,'Europe Capacity Data'!H$22,Europe!$U$3:$U$123,'Europe Capacity Data'!$A25)+SUMIFS(Europe!$P$3:$P$123,Europe!$F$3:$F$123,'Europe Capacity Data'!H$22,Europe!$U$3:$U$123,'Europe Capacity Data'!$A25)</f>
        <v>36.28</v>
      </c>
      <c r="I25" s="23">
        <f>SUMIFS(Europe!$N$3:$N$123,Europe!$F$3:$F$123,'Europe Capacity Data'!I$22,Europe!$U$3:$U$123,'Europe Capacity Data'!$A25)+SUMIFS(Europe!$P$3:$P$123,Europe!$F$3:$F$123,'Europe Capacity Data'!I$22,Europe!$U$3:$U$123,'Europe Capacity Data'!$A25)</f>
        <v>65.239999999999995</v>
      </c>
      <c r="J25" s="23">
        <f>SUMIFS(Europe!$N$3:$N$123,Europe!$F$3:$F$123,'Europe Capacity Data'!J$22,Europe!$U$3:$U$123,'Europe Capacity Data'!$A25)+SUMIFS(Europe!$P$3:$P$123,Europe!$F$3:$F$123,'Europe Capacity Data'!J$22,Europe!$U$3:$U$123,'Europe Capacity Data'!$A25)</f>
        <v>79.849999999999994</v>
      </c>
      <c r="K25" s="23">
        <f>SUMIFS(Europe!$N$3:$N$123,Europe!$F$3:$F$123,'Europe Capacity Data'!K$22,Europe!$U$3:$U$123,'Europe Capacity Data'!$A25)+SUMIFS(Europe!$P$3:$P$123,Europe!$F$3:$F$123,'Europe Capacity Data'!K$22,Europe!$U$3:$U$123,'Europe Capacity Data'!$A25)</f>
        <v>0</v>
      </c>
      <c r="L25" s="23">
        <f>SUMIFS(Europe!$N$3:$N$123,Europe!$F$3:$F$123,'Europe Capacity Data'!L$22,Europe!$U$3:$U$123,'Europe Capacity Data'!$A25)+SUMIFS(Europe!$P$3:$P$123,Europe!$F$3:$F$123,'Europe Capacity Data'!L$22,Europe!$U$3:$U$123,'Europe Capacity Data'!$A25)</f>
        <v>25</v>
      </c>
      <c r="M25" s="23">
        <f>SUMIFS(Europe!$N$3:$N$123,Europe!$F$3:$F$123,'Europe Capacity Data'!M$22,Europe!$U$3:$U$123,'Europe Capacity Data'!$A25)+SUMIFS(Europe!$P$3:$P$123,Europe!$F$3:$F$123,'Europe Capacity Data'!M$22,Europe!$U$3:$U$123,'Europe Capacity Data'!$A25)</f>
        <v>0</v>
      </c>
      <c r="N25" s="23">
        <f>SUMIFS(Europe!$N$3:$N$123,Europe!$F$3:$F$123,'Europe Capacity Data'!N$22,Europe!$U$3:$U$123,'Europe Capacity Data'!$A25)+SUMIFS(Europe!$P$3:$P$123,Europe!$F$3:$F$123,'Europe Capacity Data'!N$22,Europe!$U$3:$U$123,'Europe Capacity Data'!$A25)</f>
        <v>15.33</v>
      </c>
      <c r="O25" s="23">
        <f>SUMIFS(Europe!$N$3:$N$123,Europe!$F$3:$F$123,'Europe Capacity Data'!O$22,Europe!$U$3:$U$123,'Europe Capacity Data'!$A25)+SUMIFS(Europe!$P$3:$P$123,Europe!$F$3:$F$123,'Europe Capacity Data'!O$22,Europe!$U$3:$U$123,'Europe Capacity Data'!$A25)</f>
        <v>0</v>
      </c>
      <c r="P25" s="23">
        <f>SUMIFS(Europe!$N$3:$N$123,Europe!$F$3:$F$123,'Europe Capacity Data'!P$22,Europe!$U$3:$U$123,'Europe Capacity Data'!$A25)+SUMIFS(Europe!$P$3:$P$123,Europe!$F$3:$F$123,'Europe Capacity Data'!P$22,Europe!$U$3:$U$123,'Europe Capacity Data'!$A25)</f>
        <v>0</v>
      </c>
      <c r="Q25" s="23">
        <f>SUMIFS(Europe!$N$3:$N$123,Europe!$F$3:$F$123,'Europe Capacity Data'!Q$22,Europe!$U$3:$U$123,'Europe Capacity Data'!$A25)+SUMIFS(Europe!$P$3:$P$123,Europe!$F$3:$F$123,'Europe Capacity Data'!Q$22,Europe!$U$3:$U$123,'Europe Capacity Data'!$A25)</f>
        <v>0</v>
      </c>
    </row>
    <row r="26" spans="1:17">
      <c r="A26" s="20" t="s">
        <v>8</v>
      </c>
      <c r="B26" s="22">
        <f>SUMIFS(Europe!$N$3:$N$123,Europe!$F$3:$F$123,"&lt;"&amp;'Europe Capacity Data'!C$22,Europe!$U$3:$U$123,'Europe Capacity Data'!$A26)+SUMIFS(Europe!$P$3:$P$123,Europe!$F$3:$F$123,"&lt;"&amp;'Europe Capacity Data'!C$22,Europe!$U$3:$U$123,'Europe Capacity Data'!$A26)</f>
        <v>0</v>
      </c>
      <c r="C26" s="22">
        <f>SUMIFS(Europe!$N$3:$N$123,Europe!$F$3:$F$123,'Europe Capacity Data'!C$22,Europe!$U$3:$U$123,'Europe Capacity Data'!$A26)+SUMIFS(Europe!$P$3:$P$123,Europe!$F$3:$F$123,'Europe Capacity Data'!C$22,Europe!$U$3:$U$123,'Europe Capacity Data'!$A26)</f>
        <v>6.6E-3</v>
      </c>
      <c r="D26" s="22">
        <f>SUMIFS(Europe!$N$3:$N$123,Europe!$F$3:$F$123,'Europe Capacity Data'!D$22,Europe!$U$3:$U$123,'Europe Capacity Data'!$A26)+SUMIFS(Europe!$P$3:$P$123,Europe!$F$3:$F$123,'Europe Capacity Data'!D$22,Europe!$U$3:$U$123,'Europe Capacity Data'!$A26)</f>
        <v>6.6000000000000003E-2</v>
      </c>
      <c r="E26" s="22">
        <f>SUMIFS(Europe!$N$3:$N$123,Europe!$F$3:$F$123,'Europe Capacity Data'!E$22,Europe!$U$3:$U$123,'Europe Capacity Data'!$A26)+SUMIFS(Europe!$P$3:$P$123,Europe!$F$3:$F$123,'Europe Capacity Data'!E$22,Europe!$U$3:$U$123,'Europe Capacity Data'!$A26)</f>
        <v>0</v>
      </c>
      <c r="F26" s="31">
        <f>SUMIFS(Europe!$N$3:$N$123,Europe!$F$3:$F$123,'Europe Capacity Data'!F$22,Europe!$U$3:$U$123,'Europe Capacity Data'!$A26)+SUMIFS(Europe!$P$3:$P$123,Europe!$F$3:$F$123,'Europe Capacity Data'!F$22,Europe!$U$3:$U$123,'Europe Capacity Data'!$A26)</f>
        <v>1.026119</v>
      </c>
      <c r="G26" s="31">
        <f>SUMIFS(Europe!$N$3:$N$123,Europe!$F$3:$F$123,'Europe Capacity Data'!G$22,Europe!$U$3:$U$123,'Europe Capacity Data'!$A26)+SUMIFS(Europe!$P$3:$P$123,Europe!$F$3:$F$123,'Europe Capacity Data'!G$22,Europe!$U$3:$U$123,'Europe Capacity Data'!$A26)</f>
        <v>1.155</v>
      </c>
      <c r="H26" s="23">
        <f>SUMIFS(Europe!$N$3:$N$123,Europe!$F$3:$F$123,'Europe Capacity Data'!H$22,Europe!$U$3:$U$123,'Europe Capacity Data'!$A26)+SUMIFS(Europe!$P$3:$P$123,Europe!$F$3:$F$123,'Europe Capacity Data'!H$22,Europe!$U$3:$U$123,'Europe Capacity Data'!$A26)</f>
        <v>75.900874999999999</v>
      </c>
      <c r="I26" s="23">
        <f>SUMIFS(Europe!$N$3:$N$123,Europe!$F$3:$F$123,'Europe Capacity Data'!I$22,Europe!$U$3:$U$123,'Europe Capacity Data'!$A26)+SUMIFS(Europe!$P$3:$P$123,Europe!$F$3:$F$123,'Europe Capacity Data'!I$22,Europe!$U$3:$U$123,'Europe Capacity Data'!$A26)</f>
        <v>62.663999999999994</v>
      </c>
      <c r="J26" s="23">
        <f>SUMIFS(Europe!$N$3:$N$123,Europe!$F$3:$F$123,'Europe Capacity Data'!J$22,Europe!$U$3:$U$123,'Europe Capacity Data'!$A26)+SUMIFS(Europe!$P$3:$P$123,Europe!$F$3:$F$123,'Europe Capacity Data'!J$22,Europe!$U$3:$U$123,'Europe Capacity Data'!$A26)</f>
        <v>157.63</v>
      </c>
      <c r="K26" s="23">
        <f>SUMIFS(Europe!$N$3:$N$123,Europe!$F$3:$F$123,'Europe Capacity Data'!K$22,Europe!$U$3:$U$123,'Europe Capacity Data'!$A26)+SUMIFS(Europe!$P$3:$P$123,Europe!$F$3:$F$123,'Europe Capacity Data'!K$22,Europe!$U$3:$U$123,'Europe Capacity Data'!$A26)</f>
        <v>25.718</v>
      </c>
      <c r="L26" s="23">
        <f>SUMIFS(Europe!$N$3:$N$123,Europe!$F$3:$F$123,'Europe Capacity Data'!L$22,Europe!$U$3:$U$123,'Europe Capacity Data'!$A26)+SUMIFS(Europe!$P$3:$P$123,Europe!$F$3:$F$123,'Europe Capacity Data'!L$22,Europe!$U$3:$U$123,'Europe Capacity Data'!$A26)</f>
        <v>93.528000000000006</v>
      </c>
      <c r="M26" s="23">
        <f>SUMIFS(Europe!$N$3:$N$123,Europe!$F$3:$F$123,'Europe Capacity Data'!M$22,Europe!$U$3:$U$123,'Europe Capacity Data'!$A26)+SUMIFS(Europe!$P$3:$P$123,Europe!$F$3:$F$123,'Europe Capacity Data'!M$22,Europe!$U$3:$U$123,'Europe Capacity Data'!$A26)</f>
        <v>191.54500000000002</v>
      </c>
      <c r="N26" s="23">
        <f>SUMIFS(Europe!$N$3:$N$123,Europe!$F$3:$F$123,'Europe Capacity Data'!N$22,Europe!$U$3:$U$123,'Europe Capacity Data'!$A26)+SUMIFS(Europe!$P$3:$P$123,Europe!$F$3:$F$123,'Europe Capacity Data'!N$22,Europe!$U$3:$U$123,'Europe Capacity Data'!$A26)</f>
        <v>341.07000000000005</v>
      </c>
      <c r="O26" s="23">
        <f>SUMIFS(Europe!$N$3:$N$123,Europe!$F$3:$F$123,'Europe Capacity Data'!O$22,Europe!$U$3:$U$123,'Europe Capacity Data'!$A26)+SUMIFS(Europe!$P$3:$P$123,Europe!$F$3:$F$123,'Europe Capacity Data'!O$22,Europe!$U$3:$U$123,'Europe Capacity Data'!$A26)</f>
        <v>82.6</v>
      </c>
      <c r="P26" s="23">
        <f>SUMIFS(Europe!$N$3:$N$123,Europe!$F$3:$F$123,'Europe Capacity Data'!P$22,Europe!$U$3:$U$123,'Europe Capacity Data'!$A26)+SUMIFS(Europe!$P$3:$P$123,Europe!$F$3:$F$123,'Europe Capacity Data'!P$22,Europe!$U$3:$U$123,'Europe Capacity Data'!$A26)</f>
        <v>9.64E-2</v>
      </c>
      <c r="Q26" s="23">
        <f>SUMIFS(Europe!$N$3:$N$123,Europe!$F$3:$F$123,'Europe Capacity Data'!Q$22,Europe!$U$3:$U$123,'Europe Capacity Data'!$A26)+SUMIFS(Europe!$P$3:$P$123,Europe!$F$3:$F$123,'Europe Capacity Data'!Q$22,Europe!$U$3:$U$123,'Europe Capacity Data'!$A26)</f>
        <v>8.2000000000000003E-2</v>
      </c>
    </row>
    <row r="27" spans="1:17">
      <c r="A27" s="20" t="s">
        <v>9</v>
      </c>
      <c r="B27" s="22">
        <f>SUMIFS(Europe!$N$3:$N$123,Europe!$F$3:$F$123,"&lt;"&amp;'Europe Capacity Data'!C$22,Europe!$U$3:$U$123,'Europe Capacity Data'!$A27)+SUMIFS(Europe!$P$3:$P$123,Europe!$F$3:$F$123,"&lt;"&amp;'Europe Capacity Data'!C$22,Europe!$U$3:$U$123,'Europe Capacity Data'!$A27)</f>
        <v>0</v>
      </c>
      <c r="C27" s="22">
        <f>SUMIFS(Europe!$N$3:$N$123,Europe!$F$3:$F$123,'Europe Capacity Data'!C$22,Europe!$U$3:$U$123,'Europe Capacity Data'!$A27)+SUMIFS(Europe!$P$3:$P$123,Europe!$F$3:$F$123,'Europe Capacity Data'!C$22,Europe!$U$3:$U$123,'Europe Capacity Data'!$A27)</f>
        <v>0</v>
      </c>
      <c r="D27" s="22">
        <f>SUMIFS(Europe!$N$3:$N$123,Europe!$F$3:$F$123,'Europe Capacity Data'!D$22,Europe!$U$3:$U$123,'Europe Capacity Data'!$A27)+SUMIFS(Europe!$P$3:$P$123,Europe!$F$3:$F$123,'Europe Capacity Data'!D$22,Europe!$U$3:$U$123,'Europe Capacity Data'!$A27)</f>
        <v>0</v>
      </c>
      <c r="E27" s="22">
        <f>SUMIFS(Europe!$N$3:$N$123,Europe!$F$3:$F$123,'Europe Capacity Data'!E$22,Europe!$U$3:$U$123,'Europe Capacity Data'!$A27)+SUMIFS(Europe!$P$3:$P$123,Europe!$F$3:$F$123,'Europe Capacity Data'!E$22,Europe!$U$3:$U$123,'Europe Capacity Data'!$A27)</f>
        <v>0</v>
      </c>
      <c r="F27" s="31">
        <f>SUMIFS(Europe!$N$3:$N$123,Europe!$F$3:$F$123,'Europe Capacity Data'!F$22,Europe!$U$3:$U$123,'Europe Capacity Data'!$A27)+SUMIFS(Europe!$P$3:$P$123,Europe!$F$3:$F$123,'Europe Capacity Data'!F$22,Europe!$U$3:$U$123,'Europe Capacity Data'!$A27)</f>
        <v>0</v>
      </c>
      <c r="G27" s="23">
        <f>SUMIFS(Europe!$N$3:$N$123,Europe!$F$3:$F$123,'Europe Capacity Data'!G$22,Europe!$U$3:$U$123,'Europe Capacity Data'!$A27)+SUMIFS(Europe!$P$3:$P$123,Europe!$F$3:$F$123,'Europe Capacity Data'!G$22,Europe!$U$3:$U$123,'Europe Capacity Data'!$A27)</f>
        <v>0</v>
      </c>
      <c r="H27" s="23">
        <f>SUMIFS(Europe!$N$3:$N$123,Europe!$F$3:$F$123,'Europe Capacity Data'!H$22,Europe!$U$3:$U$123,'Europe Capacity Data'!$A27)+SUMIFS(Europe!$P$3:$P$123,Europe!$F$3:$F$123,'Europe Capacity Data'!H$22,Europe!$U$3:$U$123,'Europe Capacity Data'!$A27)</f>
        <v>0.42949999999999999</v>
      </c>
      <c r="I27" s="23">
        <f>SUMIFS(Europe!$N$3:$N$123,Europe!$F$3:$F$123,'Europe Capacity Data'!I$22,Europe!$U$3:$U$123,'Europe Capacity Data'!$A27)+SUMIFS(Europe!$P$3:$P$123,Europe!$F$3:$F$123,'Europe Capacity Data'!I$22,Europe!$U$3:$U$123,'Europe Capacity Data'!$A27)</f>
        <v>0</v>
      </c>
      <c r="J27" s="23">
        <f>SUMIFS(Europe!$N$3:$N$123,Europe!$F$3:$F$123,'Europe Capacity Data'!J$22,Europe!$U$3:$U$123,'Europe Capacity Data'!$A27)+SUMIFS(Europe!$P$3:$P$123,Europe!$F$3:$F$123,'Europe Capacity Data'!J$22,Europe!$U$3:$U$123,'Europe Capacity Data'!$A27)</f>
        <v>0</v>
      </c>
      <c r="K27" s="23">
        <f>SUMIFS(Europe!$N$3:$N$123,Europe!$F$3:$F$123,'Europe Capacity Data'!K$22,Europe!$U$3:$U$123,'Europe Capacity Data'!$A27)+SUMIFS(Europe!$P$3:$P$123,Europe!$F$3:$F$123,'Europe Capacity Data'!K$22,Europe!$U$3:$U$123,'Europe Capacity Data'!$A27)</f>
        <v>0</v>
      </c>
      <c r="L27" s="23">
        <f>SUMIFS(Europe!$N$3:$N$123,Europe!$F$3:$F$123,'Europe Capacity Data'!L$22,Europe!$U$3:$U$123,'Europe Capacity Data'!$A27)+SUMIFS(Europe!$P$3:$P$123,Europe!$F$3:$F$123,'Europe Capacity Data'!L$22,Europe!$U$3:$U$123,'Europe Capacity Data'!$A27)</f>
        <v>0</v>
      </c>
      <c r="M27" s="23">
        <f>SUMIFS(Europe!$N$3:$N$123,Europe!$F$3:$F$123,'Europe Capacity Data'!M$22,Europe!$U$3:$U$123,'Europe Capacity Data'!$A27)+SUMIFS(Europe!$P$3:$P$123,Europe!$F$3:$F$123,'Europe Capacity Data'!M$22,Europe!$U$3:$U$123,'Europe Capacity Data'!$A27)</f>
        <v>0</v>
      </c>
      <c r="N27" s="23">
        <f>SUMIFS(Europe!$N$3:$N$123,Europe!$F$3:$F$123,'Europe Capacity Data'!N$22,Europe!$U$3:$U$123,'Europe Capacity Data'!$A27)+SUMIFS(Europe!$P$3:$P$123,Europe!$F$3:$F$123,'Europe Capacity Data'!N$22,Europe!$U$3:$U$123,'Europe Capacity Data'!$A27)</f>
        <v>33</v>
      </c>
      <c r="O27" s="23">
        <f>SUMIFS(Europe!$N$3:$N$123,Europe!$F$3:$F$123,'Europe Capacity Data'!O$22,Europe!$U$3:$U$123,'Europe Capacity Data'!$A27)+SUMIFS(Europe!$P$3:$P$123,Europe!$F$3:$F$123,'Europe Capacity Data'!O$22,Europe!$U$3:$U$123,'Europe Capacity Data'!$A27)</f>
        <v>0</v>
      </c>
      <c r="P27" s="23">
        <f>SUMIFS(Europe!$N$3:$N$123,Europe!$F$3:$F$123,'Europe Capacity Data'!P$22,Europe!$U$3:$U$123,'Europe Capacity Data'!$A27)+SUMIFS(Europe!$P$3:$P$123,Europe!$F$3:$F$123,'Europe Capacity Data'!P$22,Europe!$U$3:$U$123,'Europe Capacity Data'!$A27)</f>
        <v>0</v>
      </c>
      <c r="Q27" s="23">
        <f>SUMIFS(Europe!$N$3:$N$123,Europe!$F$3:$F$123,'Europe Capacity Data'!Q$22,Europe!$U$3:$U$123,'Europe Capacity Data'!$A27)+SUMIFS(Europe!$P$3:$P$123,Europe!$F$3:$F$123,'Europe Capacity Data'!Q$22,Europe!$U$3:$U$123,'Europe Capacity Data'!$A27)</f>
        <v>0</v>
      </c>
    </row>
    <row r="28" spans="1:17">
      <c r="A28" s="20" t="s">
        <v>10</v>
      </c>
      <c r="B28" s="22">
        <f>SUMIFS(Europe!$N$3:$N$123,Europe!$F$3:$F$123,"&lt;"&amp;'Europe Capacity Data'!C$22,Europe!$U$3:$U$123,'Europe Capacity Data'!$A28)+SUMIFS(Europe!$P$3:$P$123,Europe!$F$3:$F$123,"&lt;"&amp;'Europe Capacity Data'!C$22,Europe!$U$3:$U$123,'Europe Capacity Data'!$A28)</f>
        <v>15.33</v>
      </c>
      <c r="C28" s="22">
        <f>SUMIFS(Europe!$N$3:$N$123,Europe!$F$3:$F$123,'Europe Capacity Data'!C$22,Europe!$U$3:$U$123,'Europe Capacity Data'!$A28)+SUMIFS(Europe!$P$3:$P$123,Europe!$F$3:$F$123,'Europe Capacity Data'!C$22,Europe!$U$3:$U$123,'Europe Capacity Data'!$A28)</f>
        <v>30.66</v>
      </c>
      <c r="D28" s="22">
        <f>SUMIFS(Europe!$N$3:$N$123,Europe!$F$3:$F$123,'Europe Capacity Data'!D$22,Europe!$U$3:$U$123,'Europe Capacity Data'!$A28)+SUMIFS(Europe!$P$3:$P$123,Europe!$F$3:$F$123,'Europe Capacity Data'!D$22,Europe!$U$3:$U$123,'Europe Capacity Data'!$A28)</f>
        <v>242.63537500000001</v>
      </c>
      <c r="E28" s="22">
        <f>SUMIFS(Europe!$N$3:$N$123,Europe!$F$3:$F$123,'Europe Capacity Data'!E$22,Europe!$U$3:$U$123,'Europe Capacity Data'!$A28)+SUMIFS(Europe!$P$3:$P$123,Europe!$F$3:$F$123,'Europe Capacity Data'!E$22,Europe!$U$3:$U$123,'Europe Capacity Data'!$A28)</f>
        <v>0</v>
      </c>
      <c r="F28" s="23">
        <f>SUMIFS(Europe!$N$3:$N$123,Europe!$F$3:$F$123,'Europe Capacity Data'!F$22,Europe!$U$3:$U$123,'Europe Capacity Data'!$A28)+SUMIFS(Europe!$P$3:$P$123,Europe!$F$3:$F$123,'Europe Capacity Data'!F$22,Europe!$U$3:$U$123,'Europe Capacity Data'!$A28)</f>
        <v>7.665</v>
      </c>
      <c r="G28" s="23">
        <f>SUMIFS(Europe!$N$3:$N$123,Europe!$F$3:$F$123,'Europe Capacity Data'!G$22,Europe!$U$3:$U$123,'Europe Capacity Data'!$A28)+SUMIFS(Europe!$P$3:$P$123,Europe!$F$3:$F$123,'Europe Capacity Data'!G$22,Europe!$U$3:$U$123,'Europe Capacity Data'!$A28)</f>
        <v>12.664999999999999</v>
      </c>
      <c r="H28" s="23">
        <f>SUMIFS(Europe!$N$3:$N$123,Europe!$F$3:$F$123,'Europe Capacity Data'!H$22,Europe!$U$3:$U$123,'Europe Capacity Data'!$A28)+SUMIFS(Europe!$P$3:$P$123,Europe!$F$3:$F$123,'Europe Capacity Data'!H$22,Europe!$U$3:$U$123,'Europe Capacity Data'!$A28)</f>
        <v>7.665</v>
      </c>
      <c r="I28" s="23">
        <f>SUMIFS(Europe!$N$3:$N$123,Europe!$F$3:$F$123,'Europe Capacity Data'!I$22,Europe!$U$3:$U$123,'Europe Capacity Data'!$A28)+SUMIFS(Europe!$P$3:$P$123,Europe!$F$3:$F$123,'Europe Capacity Data'!I$22,Europe!$U$3:$U$123,'Europe Capacity Data'!$A28)</f>
        <v>0</v>
      </c>
      <c r="J28" s="23">
        <f>SUMIFS(Europe!$N$3:$N$123,Europe!$F$3:$F$123,'Europe Capacity Data'!J$22,Europe!$U$3:$U$123,'Europe Capacity Data'!$A28)+SUMIFS(Europe!$P$3:$P$123,Europe!$F$3:$F$123,'Europe Capacity Data'!J$22,Europe!$U$3:$U$123,'Europe Capacity Data'!$A28)</f>
        <v>66</v>
      </c>
      <c r="K28" s="23">
        <f>SUMIFS(Europe!$N$3:$N$123,Europe!$F$3:$F$123,'Europe Capacity Data'!K$22,Europe!$U$3:$U$123,'Europe Capacity Data'!$A28)+SUMIFS(Europe!$P$3:$P$123,Europe!$F$3:$F$123,'Europe Capacity Data'!K$22,Europe!$U$3:$U$123,'Europe Capacity Data'!$A28)</f>
        <v>49.5</v>
      </c>
      <c r="L28" s="23">
        <f>SUMIFS(Europe!$N$3:$N$123,Europe!$F$3:$F$123,'Europe Capacity Data'!L$22,Europe!$U$3:$U$123,'Europe Capacity Data'!$A28)+SUMIFS(Europe!$P$3:$P$123,Europe!$F$3:$F$123,'Europe Capacity Data'!L$22,Europe!$U$3:$U$123,'Europe Capacity Data'!$A28)</f>
        <v>0</v>
      </c>
      <c r="M28" s="23">
        <f>SUMIFS(Europe!$N$3:$N$123,Europe!$F$3:$F$123,'Europe Capacity Data'!M$22,Europe!$U$3:$U$123,'Europe Capacity Data'!$A28)+SUMIFS(Europe!$P$3:$P$123,Europe!$F$3:$F$123,'Europe Capacity Data'!M$22,Europe!$U$3:$U$123,'Europe Capacity Data'!$A28)</f>
        <v>0</v>
      </c>
      <c r="N28" s="23">
        <f>SUMIFS(Europe!$N$3:$N$123,Europe!$F$3:$F$123,'Europe Capacity Data'!N$22,Europe!$U$3:$U$123,'Europe Capacity Data'!$A28)+SUMIFS(Europe!$P$3:$P$123,Europe!$F$3:$F$123,'Europe Capacity Data'!N$22,Europe!$U$3:$U$123,'Europe Capacity Data'!$A28)</f>
        <v>0</v>
      </c>
      <c r="O28" s="23">
        <f>SUMIFS(Europe!$N$3:$N$123,Europe!$F$3:$F$123,'Europe Capacity Data'!O$22,Europe!$U$3:$U$123,'Europe Capacity Data'!$A28)+SUMIFS(Europe!$P$3:$P$123,Europe!$F$3:$F$123,'Europe Capacity Data'!O$22,Europe!$U$3:$U$123,'Europe Capacity Data'!$A28)</f>
        <v>0</v>
      </c>
      <c r="P28" s="23">
        <f>SUMIFS(Europe!$N$3:$N$123,Europe!$F$3:$F$123,'Europe Capacity Data'!P$22,Europe!$U$3:$U$123,'Europe Capacity Data'!$A28)+SUMIFS(Europe!$P$3:$P$123,Europe!$F$3:$F$123,'Europe Capacity Data'!P$22,Europe!$U$3:$U$123,'Europe Capacity Data'!$A28)</f>
        <v>0</v>
      </c>
      <c r="Q28" s="23">
        <f>SUMIFS(Europe!$N$3:$N$123,Europe!$F$3:$F$123,'Europe Capacity Data'!Q$22,Europe!$U$3:$U$123,'Europe Capacity Data'!$A28)+SUMIFS(Europe!$P$3:$P$123,Europe!$F$3:$F$123,'Europe Capacity Data'!Q$22,Europe!$U$3:$U$123,'Europe Capacity Data'!$A28)</f>
        <v>0</v>
      </c>
    </row>
    <row r="29" spans="1:17" ht="15.75" thickBot="1">
      <c r="A29" s="21" t="s">
        <v>11</v>
      </c>
      <c r="B29" s="24">
        <f>SUM(B23:B28)</f>
        <v>180.33</v>
      </c>
      <c r="C29" s="24">
        <f>B29+SUM(C23:C28)</f>
        <v>210.9966</v>
      </c>
      <c r="D29" s="24">
        <f>C29+SUM(D23:D28)</f>
        <v>455.34797500000002</v>
      </c>
      <c r="E29" s="24">
        <f t="shared" ref="E29:Q29" si="8">D29+SUM(E23:E28)</f>
        <v>455.34797500000002</v>
      </c>
      <c r="F29" s="25">
        <f t="shared" si="8"/>
        <v>698.97609399999999</v>
      </c>
      <c r="G29" s="25">
        <f t="shared" si="8"/>
        <v>1699.330594</v>
      </c>
      <c r="H29" s="25">
        <f t="shared" si="8"/>
        <v>2052.6619690000002</v>
      </c>
      <c r="I29" s="25">
        <f t="shared" si="8"/>
        <v>2377.703469</v>
      </c>
      <c r="J29" s="25">
        <f t="shared" si="8"/>
        <v>2857.562469</v>
      </c>
      <c r="K29" s="25">
        <f t="shared" si="8"/>
        <v>2943.348469</v>
      </c>
      <c r="L29" s="25">
        <f t="shared" si="8"/>
        <v>3088.3764689999998</v>
      </c>
      <c r="M29" s="25">
        <f t="shared" si="8"/>
        <v>3279.9214689999999</v>
      </c>
      <c r="N29" s="25">
        <f t="shared" si="8"/>
        <v>3669.321469</v>
      </c>
      <c r="O29" s="25">
        <f t="shared" si="8"/>
        <v>3751.9214689999999</v>
      </c>
      <c r="P29" s="25">
        <f t="shared" si="8"/>
        <v>3752.0178689999998</v>
      </c>
      <c r="Q29" s="25">
        <f t="shared" si="8"/>
        <v>3752.0998689999997</v>
      </c>
    </row>
    <row r="30" spans="1:17">
      <c r="A30" s="14"/>
      <c r="B30" s="26">
        <f>B19/B29</f>
        <v>1</v>
      </c>
      <c r="C30" s="26">
        <f t="shared" ref="C30:Q30" si="9">C19/C29</f>
        <v>1</v>
      </c>
      <c r="D30" s="26">
        <f t="shared" si="9"/>
        <v>1</v>
      </c>
      <c r="E30" s="26">
        <f t="shared" si="9"/>
        <v>1</v>
      </c>
      <c r="F30" s="26">
        <f t="shared" si="9"/>
        <v>0.79133449448129489</v>
      </c>
      <c r="G30" s="26">
        <f t="shared" si="9"/>
        <v>0.83245409927575287</v>
      </c>
      <c r="H30" s="26">
        <f t="shared" si="9"/>
        <v>0.80114747037533296</v>
      </c>
      <c r="I30" s="26">
        <f t="shared" si="9"/>
        <v>0.76184944532290633</v>
      </c>
      <c r="J30" s="26">
        <f t="shared" si="9"/>
        <v>0.73127255892721488</v>
      </c>
      <c r="K30" s="26">
        <f t="shared" si="9"/>
        <v>0.72598924031784429</v>
      </c>
      <c r="L30" s="26">
        <f t="shared" si="9"/>
        <v>0.71376425158224455</v>
      </c>
      <c r="M30" s="26">
        <f t="shared" si="9"/>
        <v>0.70420053980871711</v>
      </c>
      <c r="N30" s="26">
        <f t="shared" si="9"/>
        <v>0.67317813112547442</v>
      </c>
      <c r="O30" s="26">
        <f t="shared" si="9"/>
        <v>0.67046631700169002</v>
      </c>
      <c r="P30" s="26">
        <f t="shared" si="9"/>
        <v>0.67046322187971441</v>
      </c>
      <c r="Q30" s="26">
        <f t="shared" si="9"/>
        <v>0.67045403289610583</v>
      </c>
    </row>
    <row r="31" spans="1:17" ht="15.75" thickBot="1">
      <c r="A31" s="16" t="s">
        <v>964</v>
      </c>
      <c r="C31" s="27"/>
      <c r="D31" s="27"/>
      <c r="E31" s="27"/>
      <c r="F31" s="27"/>
      <c r="G31" s="27"/>
      <c r="H31" s="27"/>
      <c r="I31" s="27"/>
      <c r="J31" s="27"/>
      <c r="K31" s="27"/>
      <c r="L31" s="27"/>
      <c r="M31" s="27"/>
      <c r="N31" s="27"/>
      <c r="O31" s="27"/>
      <c r="P31" s="27"/>
    </row>
    <row r="32" spans="1:17" ht="15.75" thickBot="1">
      <c r="A32" s="17" t="s">
        <v>3</v>
      </c>
      <c r="B32" s="28" t="str">
        <f>B22</f>
        <v>&lt; 2021</v>
      </c>
      <c r="C32" s="18">
        <f>C22</f>
        <v>2021</v>
      </c>
      <c r="D32" s="18">
        <f t="shared" ref="D32:Q32" si="10">D22</f>
        <v>2022</v>
      </c>
      <c r="E32" s="18">
        <f t="shared" si="10"/>
        <v>2023</v>
      </c>
      <c r="F32" s="18">
        <f t="shared" si="10"/>
        <v>2024</v>
      </c>
      <c r="G32" s="18">
        <f t="shared" si="10"/>
        <v>2025</v>
      </c>
      <c r="H32" s="18">
        <f t="shared" si="10"/>
        <v>2026</v>
      </c>
      <c r="I32" s="18">
        <f t="shared" si="10"/>
        <v>2027</v>
      </c>
      <c r="J32" s="18">
        <f t="shared" si="10"/>
        <v>2028</v>
      </c>
      <c r="K32" s="18">
        <f t="shared" si="10"/>
        <v>2029</v>
      </c>
      <c r="L32" s="18">
        <f t="shared" si="10"/>
        <v>2030</v>
      </c>
      <c r="M32" s="18">
        <f t="shared" si="10"/>
        <v>2031</v>
      </c>
      <c r="N32" s="18">
        <f t="shared" si="10"/>
        <v>2032</v>
      </c>
      <c r="O32" s="18">
        <f t="shared" si="10"/>
        <v>2033</v>
      </c>
      <c r="P32" s="18">
        <f t="shared" si="10"/>
        <v>2034</v>
      </c>
      <c r="Q32" s="18">
        <f t="shared" si="10"/>
        <v>2035</v>
      </c>
    </row>
    <row r="33" spans="1:20">
      <c r="A33" s="20" t="s">
        <v>15</v>
      </c>
      <c r="B33" s="22">
        <f t="shared" ref="B33:B38" si="11">B23</f>
        <v>165</v>
      </c>
      <c r="C33" s="22">
        <f t="shared" ref="C33:Q35" si="12">B33+C23</f>
        <v>165</v>
      </c>
      <c r="D33" s="22">
        <f t="shared" si="12"/>
        <v>166.65</v>
      </c>
      <c r="E33" s="22">
        <f t="shared" si="12"/>
        <v>166.65</v>
      </c>
      <c r="F33" s="23">
        <f>E33+F23</f>
        <v>401.125</v>
      </c>
      <c r="G33" s="23">
        <f t="shared" si="12"/>
        <v>1159.4735000000001</v>
      </c>
      <c r="H33" s="23">
        <f t="shared" si="12"/>
        <v>1344.3295000000001</v>
      </c>
      <c r="I33" s="23">
        <f t="shared" si="12"/>
        <v>1511.4169999999999</v>
      </c>
      <c r="J33" s="23">
        <f t="shared" si="12"/>
        <v>1585.6969999999999</v>
      </c>
      <c r="K33" s="23">
        <f t="shared" si="12"/>
        <v>1585.6969999999999</v>
      </c>
      <c r="L33" s="23">
        <f t="shared" si="12"/>
        <v>1602.1969999999999</v>
      </c>
      <c r="M33" s="23">
        <f t="shared" si="12"/>
        <v>1602.1969999999999</v>
      </c>
      <c r="N33" s="23">
        <f t="shared" si="12"/>
        <v>1602.1969999999999</v>
      </c>
      <c r="O33" s="23">
        <f t="shared" si="12"/>
        <v>1602.1969999999999</v>
      </c>
      <c r="P33" s="23">
        <f t="shared" si="12"/>
        <v>1602.1969999999999</v>
      </c>
      <c r="Q33" s="23">
        <f t="shared" si="12"/>
        <v>1602.1969999999999</v>
      </c>
      <c r="R33" s="29">
        <f t="shared" ref="R33:R38" si="13">L33/$L$39</f>
        <v>0.51878293209466875</v>
      </c>
    </row>
    <row r="34" spans="1:20">
      <c r="A34" s="20" t="s">
        <v>16</v>
      </c>
      <c r="B34" s="22">
        <f t="shared" si="11"/>
        <v>0</v>
      </c>
      <c r="C34" s="22">
        <f t="shared" si="12"/>
        <v>0</v>
      </c>
      <c r="D34" s="22">
        <f t="shared" si="12"/>
        <v>0</v>
      </c>
      <c r="E34" s="22">
        <f t="shared" si="12"/>
        <v>0</v>
      </c>
      <c r="F34" s="23">
        <f t="shared" si="12"/>
        <v>0</v>
      </c>
      <c r="G34" s="23">
        <f t="shared" si="12"/>
        <v>132.1</v>
      </c>
      <c r="H34" s="23">
        <f t="shared" si="12"/>
        <v>180.3</v>
      </c>
      <c r="I34" s="23">
        <f t="shared" si="12"/>
        <v>210.35000000000002</v>
      </c>
      <c r="J34" s="23">
        <f t="shared" si="12"/>
        <v>312.44900000000001</v>
      </c>
      <c r="K34" s="23">
        <f t="shared" si="12"/>
        <v>323.017</v>
      </c>
      <c r="L34" s="23">
        <f t="shared" si="12"/>
        <v>333.017</v>
      </c>
      <c r="M34" s="23">
        <f t="shared" si="12"/>
        <v>333.017</v>
      </c>
      <c r="N34" s="23">
        <f t="shared" si="12"/>
        <v>333.017</v>
      </c>
      <c r="O34" s="23">
        <f t="shared" si="12"/>
        <v>333.017</v>
      </c>
      <c r="P34" s="23">
        <f t="shared" si="12"/>
        <v>333.017</v>
      </c>
      <c r="Q34" s="23">
        <f t="shared" si="12"/>
        <v>333.017</v>
      </c>
      <c r="R34" s="29">
        <f t="shared" si="13"/>
        <v>0.10782914691350083</v>
      </c>
    </row>
    <row r="35" spans="1:20">
      <c r="A35" s="20" t="s">
        <v>17</v>
      </c>
      <c r="B35" s="22">
        <f t="shared" si="11"/>
        <v>0</v>
      </c>
      <c r="C35" s="22">
        <f t="shared" si="12"/>
        <v>0</v>
      </c>
      <c r="D35" s="22">
        <f t="shared" si="12"/>
        <v>0</v>
      </c>
      <c r="E35" s="22">
        <f t="shared" si="12"/>
        <v>0</v>
      </c>
      <c r="F35" s="23">
        <f t="shared" si="12"/>
        <v>0.46200000000000002</v>
      </c>
      <c r="G35" s="23">
        <f t="shared" si="12"/>
        <v>96.548000000000002</v>
      </c>
      <c r="H35" s="23">
        <f t="shared" si="12"/>
        <v>132.828</v>
      </c>
      <c r="I35" s="23">
        <f t="shared" si="12"/>
        <v>198.06799999999998</v>
      </c>
      <c r="J35" s="23">
        <f t="shared" si="12"/>
        <v>277.91800000000001</v>
      </c>
      <c r="K35" s="23">
        <f t="shared" si="12"/>
        <v>277.91800000000001</v>
      </c>
      <c r="L35" s="23">
        <f t="shared" si="12"/>
        <v>302.91800000000001</v>
      </c>
      <c r="M35" s="23">
        <f t="shared" si="12"/>
        <v>302.91800000000001</v>
      </c>
      <c r="N35" s="23">
        <f t="shared" si="12"/>
        <v>318.24799999999999</v>
      </c>
      <c r="O35" s="23">
        <f t="shared" si="12"/>
        <v>318.24799999999999</v>
      </c>
      <c r="P35" s="23">
        <f t="shared" si="12"/>
        <v>318.24799999999999</v>
      </c>
      <c r="Q35" s="23">
        <f t="shared" si="12"/>
        <v>318.24799999999999</v>
      </c>
      <c r="R35" s="29">
        <f t="shared" si="13"/>
        <v>9.808324957808115E-2</v>
      </c>
    </row>
    <row r="36" spans="1:20">
      <c r="A36" s="20" t="s">
        <v>18</v>
      </c>
      <c r="B36" s="22">
        <f t="shared" si="11"/>
        <v>0</v>
      </c>
      <c r="C36" s="22">
        <f>C26+B36</f>
        <v>6.6E-3</v>
      </c>
      <c r="D36" s="30">
        <f>D26+C36</f>
        <v>7.2599999999999998E-2</v>
      </c>
      <c r="E36" s="30">
        <f t="shared" ref="E36:Q36" si="14">E26+D36</f>
        <v>7.2599999999999998E-2</v>
      </c>
      <c r="F36" s="31">
        <f t="shared" si="14"/>
        <v>1.098719</v>
      </c>
      <c r="G36" s="31">
        <f t="shared" si="14"/>
        <v>2.2537190000000002</v>
      </c>
      <c r="H36" s="23">
        <f t="shared" si="14"/>
        <v>78.154594000000003</v>
      </c>
      <c r="I36" s="23">
        <f t="shared" si="14"/>
        <v>140.81859399999999</v>
      </c>
      <c r="J36" s="23">
        <f t="shared" si="14"/>
        <v>298.44859399999996</v>
      </c>
      <c r="K36" s="23">
        <f t="shared" si="14"/>
        <v>324.16659399999998</v>
      </c>
      <c r="L36" s="23">
        <f t="shared" si="14"/>
        <v>417.694594</v>
      </c>
      <c r="M36" s="23">
        <f t="shared" si="14"/>
        <v>609.23959400000001</v>
      </c>
      <c r="N36" s="23">
        <f t="shared" si="14"/>
        <v>950.30959400000006</v>
      </c>
      <c r="O36" s="23">
        <f t="shared" si="14"/>
        <v>1032.909594</v>
      </c>
      <c r="P36" s="23">
        <f t="shared" si="14"/>
        <v>1033.0059939999999</v>
      </c>
      <c r="Q36" s="23">
        <f t="shared" si="14"/>
        <v>1033.087994</v>
      </c>
      <c r="R36" s="29">
        <f t="shared" si="13"/>
        <v>0.13524730491656908</v>
      </c>
    </row>
    <row r="37" spans="1:20">
      <c r="A37" s="20" t="s">
        <v>19</v>
      </c>
      <c r="B37" s="22">
        <f t="shared" si="11"/>
        <v>0</v>
      </c>
      <c r="C37" s="22">
        <f>B37+C27</f>
        <v>0</v>
      </c>
      <c r="D37" s="22">
        <f>C37+D27</f>
        <v>0</v>
      </c>
      <c r="E37" s="22">
        <f t="shared" ref="E37:Q38" si="15">D37+E27</f>
        <v>0</v>
      </c>
      <c r="F37" s="23">
        <f t="shared" si="15"/>
        <v>0</v>
      </c>
      <c r="G37" s="23">
        <f t="shared" si="15"/>
        <v>0</v>
      </c>
      <c r="H37" s="23">
        <f t="shared" si="15"/>
        <v>0.42949999999999999</v>
      </c>
      <c r="I37" s="23">
        <f t="shared" si="15"/>
        <v>0.42949999999999999</v>
      </c>
      <c r="J37" s="23">
        <f t="shared" si="15"/>
        <v>0.42949999999999999</v>
      </c>
      <c r="K37" s="23">
        <f t="shared" si="15"/>
        <v>0.42949999999999999</v>
      </c>
      <c r="L37" s="23">
        <f t="shared" si="15"/>
        <v>0.42949999999999999</v>
      </c>
      <c r="M37" s="23">
        <f t="shared" si="15"/>
        <v>0.42949999999999999</v>
      </c>
      <c r="N37" s="23">
        <f t="shared" si="15"/>
        <v>33.429499999999997</v>
      </c>
      <c r="O37" s="23">
        <f t="shared" si="15"/>
        <v>33.429499999999997</v>
      </c>
      <c r="P37" s="23">
        <f t="shared" si="15"/>
        <v>33.429499999999997</v>
      </c>
      <c r="Q37" s="23">
        <f t="shared" si="15"/>
        <v>33.429499999999997</v>
      </c>
      <c r="R37" s="29">
        <f t="shared" si="13"/>
        <v>1.390698330696289E-4</v>
      </c>
    </row>
    <row r="38" spans="1:20">
      <c r="A38" s="20" t="s">
        <v>20</v>
      </c>
      <c r="B38" s="22">
        <f t="shared" si="11"/>
        <v>15.33</v>
      </c>
      <c r="C38" s="22">
        <f>B38+C28</f>
        <v>45.99</v>
      </c>
      <c r="D38" s="22">
        <f>C38+D28</f>
        <v>288.62537500000002</v>
      </c>
      <c r="E38" s="22">
        <f t="shared" si="15"/>
        <v>288.62537500000002</v>
      </c>
      <c r="F38" s="23">
        <f t="shared" si="15"/>
        <v>296.29037500000004</v>
      </c>
      <c r="G38" s="23">
        <f t="shared" si="15"/>
        <v>308.95537500000006</v>
      </c>
      <c r="H38" s="23">
        <f t="shared" si="15"/>
        <v>316.62037500000008</v>
      </c>
      <c r="I38" s="23">
        <f t="shared" si="15"/>
        <v>316.62037500000008</v>
      </c>
      <c r="J38" s="23">
        <f t="shared" si="15"/>
        <v>382.62037500000008</v>
      </c>
      <c r="K38" s="23">
        <f t="shared" si="15"/>
        <v>432.12037500000008</v>
      </c>
      <c r="L38" s="23">
        <f t="shared" si="15"/>
        <v>432.12037500000008</v>
      </c>
      <c r="M38" s="23">
        <f t="shared" si="15"/>
        <v>432.12037500000008</v>
      </c>
      <c r="N38" s="23">
        <f t="shared" si="15"/>
        <v>432.12037500000008</v>
      </c>
      <c r="O38" s="23">
        <f t="shared" si="15"/>
        <v>432.12037500000008</v>
      </c>
      <c r="P38" s="23">
        <f t="shared" si="15"/>
        <v>432.12037500000008</v>
      </c>
      <c r="Q38" s="23">
        <f t="shared" si="15"/>
        <v>432.12037500000008</v>
      </c>
      <c r="R38" s="29">
        <f t="shared" si="13"/>
        <v>0.13991829666411049</v>
      </c>
    </row>
    <row r="39" spans="1:20" ht="15.75" thickBot="1">
      <c r="A39" s="32" t="s">
        <v>11</v>
      </c>
      <c r="B39" s="33">
        <f>SUM(B33:B38)</f>
        <v>180.33</v>
      </c>
      <c r="C39" s="33">
        <f>SUM(C33:C38)</f>
        <v>210.9966</v>
      </c>
      <c r="D39" s="33">
        <f t="shared" ref="D39:Q39" si="16">SUM(D33:D38)</f>
        <v>455.34797500000002</v>
      </c>
      <c r="E39" s="33">
        <f t="shared" si="16"/>
        <v>455.34797500000002</v>
      </c>
      <c r="F39" s="34">
        <f t="shared" si="16"/>
        <v>698.9760940000001</v>
      </c>
      <c r="G39" s="34">
        <f t="shared" si="16"/>
        <v>1699.330594</v>
      </c>
      <c r="H39" s="34">
        <f t="shared" si="16"/>
        <v>2052.6619690000002</v>
      </c>
      <c r="I39" s="34">
        <f t="shared" si="16"/>
        <v>2377.703469</v>
      </c>
      <c r="J39" s="34">
        <f t="shared" si="16"/>
        <v>2857.562469</v>
      </c>
      <c r="K39" s="34">
        <f t="shared" si="16"/>
        <v>2943.348469</v>
      </c>
      <c r="L39" s="34">
        <f t="shared" si="16"/>
        <v>3088.3764690000003</v>
      </c>
      <c r="M39" s="34">
        <f t="shared" si="16"/>
        <v>3279.9214690000003</v>
      </c>
      <c r="N39" s="34">
        <f t="shared" si="16"/>
        <v>3669.321469</v>
      </c>
      <c r="O39" s="34">
        <f t="shared" si="16"/>
        <v>3751.9214690000003</v>
      </c>
      <c r="P39" s="34">
        <f t="shared" si="16"/>
        <v>3752.0178689999998</v>
      </c>
      <c r="Q39" s="34">
        <f t="shared" si="16"/>
        <v>3752.0998690000001</v>
      </c>
    </row>
    <row r="40" spans="1:20">
      <c r="A40" s="26"/>
      <c r="B40" s="26"/>
      <c r="C40" s="26"/>
      <c r="D40" s="26"/>
      <c r="E40" s="26"/>
      <c r="F40" s="26"/>
      <c r="G40" s="26"/>
      <c r="H40" s="26"/>
      <c r="I40" s="26"/>
      <c r="J40" s="26"/>
      <c r="K40" s="26"/>
      <c r="L40" s="26"/>
      <c r="M40" s="26"/>
      <c r="N40" s="26"/>
      <c r="O40" s="26"/>
      <c r="P40" s="26"/>
      <c r="Q40" s="26"/>
    </row>
    <row r="41" spans="1:20" ht="15.75" thickBot="1">
      <c r="A41" s="16" t="s">
        <v>21</v>
      </c>
    </row>
    <row r="42" spans="1:20" ht="15.75" customHeight="1" thickBot="1">
      <c r="A42" s="17"/>
      <c r="B42" s="28" t="str">
        <f>B22</f>
        <v>&lt; 2021</v>
      </c>
      <c r="C42" s="18">
        <f t="shared" ref="C42:Q42" si="17">C22</f>
        <v>2021</v>
      </c>
      <c r="D42" s="18">
        <f t="shared" si="17"/>
        <v>2022</v>
      </c>
      <c r="E42" s="18">
        <f t="shared" si="17"/>
        <v>2023</v>
      </c>
      <c r="F42" s="18">
        <f t="shared" si="17"/>
        <v>2024</v>
      </c>
      <c r="G42" s="18">
        <f t="shared" si="17"/>
        <v>2025</v>
      </c>
      <c r="H42" s="18">
        <f t="shared" si="17"/>
        <v>2026</v>
      </c>
      <c r="I42" s="18">
        <f t="shared" si="17"/>
        <v>2027</v>
      </c>
      <c r="J42" s="18">
        <f t="shared" si="17"/>
        <v>2028</v>
      </c>
      <c r="K42" s="18">
        <f t="shared" si="17"/>
        <v>2029</v>
      </c>
      <c r="L42" s="18">
        <f t="shared" si="17"/>
        <v>2030</v>
      </c>
      <c r="M42" s="18">
        <f t="shared" si="17"/>
        <v>2031</v>
      </c>
      <c r="N42" s="18">
        <f t="shared" si="17"/>
        <v>2032</v>
      </c>
      <c r="O42" s="18">
        <f t="shared" si="17"/>
        <v>2033</v>
      </c>
      <c r="P42" s="18">
        <f t="shared" si="17"/>
        <v>2034</v>
      </c>
      <c r="Q42" s="18">
        <f t="shared" si="17"/>
        <v>2035</v>
      </c>
      <c r="R42" s="35" t="s">
        <v>22</v>
      </c>
      <c r="S42" s="35" t="s">
        <v>23</v>
      </c>
      <c r="T42" s="389" t="s">
        <v>456</v>
      </c>
    </row>
    <row r="43" spans="1:20">
      <c r="A43" s="19" t="s">
        <v>5</v>
      </c>
      <c r="B43" s="7">
        <f>COUNTIFS(Europe!$F$3:$F$123,"&lt;"&amp;'Europe Capacity Data'!C$22,Europe!$U$3:$U$123,$A43)</f>
        <v>1</v>
      </c>
      <c r="C43" s="22">
        <f>COUNTIFS(Europe!$F$3:$F$123,'Europe Capacity Data'!C$22,Europe!$U$3:$U$123,$A43)</f>
        <v>0</v>
      </c>
      <c r="D43" s="22">
        <f>COUNTIFS(Europe!$F$3:$F$123,'Europe Capacity Data'!D$22,Europe!$U$3:$U$123,$A43)</f>
        <v>1</v>
      </c>
      <c r="E43" s="22">
        <f>COUNTIFS(Europe!$F$3:$F$123,'Europe Capacity Data'!E$22,Europe!$U$3:$U$123,$A43)</f>
        <v>0</v>
      </c>
      <c r="F43" s="23">
        <f>COUNTIFS(Europe!$F$3:$F$123,'Europe Capacity Data'!F$22,Europe!$U$3:$U$123,$A43)</f>
        <v>4</v>
      </c>
      <c r="G43" s="23">
        <f>COUNTIFS(Europe!$F$3:$F$123,'Europe Capacity Data'!G$22,Europe!$U$3:$U$123,$A43)</f>
        <v>5</v>
      </c>
      <c r="H43" s="23">
        <f>COUNTIFS(Europe!$F$3:$F$123,'Europe Capacity Data'!H$22,Europe!$U$3:$U$123,$A43)</f>
        <v>3</v>
      </c>
      <c r="I43" s="23">
        <f>COUNTIFS(Europe!$F$3:$F$123,'Europe Capacity Data'!I$22,Europe!$U$3:$U$123,$A43)</f>
        <v>4</v>
      </c>
      <c r="J43" s="23">
        <f>COUNTIFS(Europe!$F$3:$F$123,'Europe Capacity Data'!J$22,Europe!$U$3:$U$123,$A43)</f>
        <v>2</v>
      </c>
      <c r="K43" s="23">
        <f>COUNTIFS(Europe!$F$3:$F$123,'Europe Capacity Data'!K$22,Europe!$U$3:$U$123,$A43)</f>
        <v>0</v>
      </c>
      <c r="L43" s="23">
        <f>COUNTIFS(Europe!$F$3:$F$123,'Europe Capacity Data'!L$22,Europe!$U$3:$U$123,$A43)</f>
        <v>1</v>
      </c>
      <c r="M43" s="23">
        <f>COUNTIFS(Europe!$F$3:$F$123,'Europe Capacity Data'!M$22,Europe!$U$3:$U$123,$A43)</f>
        <v>0</v>
      </c>
      <c r="N43" s="23">
        <f>COUNTIFS(Europe!$F$3:$F$123,'Europe Capacity Data'!N$22,Europe!$U$3:$U$123,$A43)</f>
        <v>0</v>
      </c>
      <c r="O43" s="23">
        <f>COUNTIFS(Europe!$F$3:$F$123,'Europe Capacity Data'!O$22,Europe!$U$3:$U$123,$A43)</f>
        <v>0</v>
      </c>
      <c r="P43" s="23">
        <f>COUNTIFS(Europe!$F$3:$F$123,'Europe Capacity Data'!P$22,Europe!$U$3:$U$123,$A43)</f>
        <v>0</v>
      </c>
      <c r="Q43" s="23">
        <f>COUNTIFS(Europe!$F$3:$F$123,'Europe Capacity Data'!Q$22,Europe!$U$3:$U$123,$A43)</f>
        <v>0</v>
      </c>
      <c r="R43" s="22">
        <f t="shared" ref="R43:R48" si="18">SUM(B43:P43)</f>
        <v>21</v>
      </c>
      <c r="S43" s="22">
        <f>R43-NAm!U87</f>
        <v>-13</v>
      </c>
      <c r="T43" s="389"/>
    </row>
    <row r="44" spans="1:20">
      <c r="A44" s="20" t="s">
        <v>6</v>
      </c>
      <c r="B44" s="22">
        <f>COUNTIFS(Europe!$F$3:$F$123,"&lt;"&amp;'Europe Capacity Data'!C$22,Europe!$U$3:$U$123,$A44)</f>
        <v>0</v>
      </c>
      <c r="C44" s="22">
        <f>COUNTIFS(Europe!$F$3:$F$123,'Europe Capacity Data'!C$22,Europe!$U$3:$U$123,$A44)</f>
        <v>0</v>
      </c>
      <c r="D44" s="22">
        <f>COUNTIFS(Europe!$F$3:$F$123,'Europe Capacity Data'!D$22,Europe!$U$3:$U$123,$A44)</f>
        <v>0</v>
      </c>
      <c r="E44" s="22">
        <f>COUNTIFS(Europe!$F$3:$F$123,'Europe Capacity Data'!E$22,Europe!$U$3:$U$123,$A44)</f>
        <v>0</v>
      </c>
      <c r="F44" s="23">
        <f>COUNTIFS(Europe!$F$3:$F$123,'Europe Capacity Data'!F$22,Europe!$U$3:$U$123,$A44)</f>
        <v>0</v>
      </c>
      <c r="G44" s="23">
        <f>COUNTIFS(Europe!$F$3:$F$123,'Europe Capacity Data'!G$22,Europe!$U$3:$U$123,$A44)</f>
        <v>1</v>
      </c>
      <c r="H44" s="23">
        <f>COUNTIFS(Europe!$F$3:$F$123,'Europe Capacity Data'!H$22,Europe!$U$3:$U$123,$A44)</f>
        <v>2</v>
      </c>
      <c r="I44" s="23">
        <f>COUNTIFS(Europe!$F$3:$F$123,'Europe Capacity Data'!I$22,Europe!$U$3:$U$123,$A44)</f>
        <v>1</v>
      </c>
      <c r="J44" s="23">
        <f>COUNTIFS(Europe!$F$3:$F$123,'Europe Capacity Data'!J$22,Europe!$U$3:$U$123,$A44)</f>
        <v>4</v>
      </c>
      <c r="K44" s="23">
        <f>COUNTIFS(Europe!$F$3:$F$123,'Europe Capacity Data'!K$22,Europe!$U$3:$U$123,$A44)</f>
        <v>1</v>
      </c>
      <c r="L44" s="23">
        <f>COUNTIFS(Europe!$F$3:$F$123,'Europe Capacity Data'!L$22,Europe!$U$3:$U$123,$A44)</f>
        <v>1</v>
      </c>
      <c r="M44" s="23">
        <f>COUNTIFS(Europe!$F$3:$F$123,'Europe Capacity Data'!M$22,Europe!$U$3:$U$123,$A44)</f>
        <v>0</v>
      </c>
      <c r="N44" s="23">
        <f>COUNTIFS(Europe!$F$3:$F$123,'Europe Capacity Data'!N$22,Europe!$U$3:$U$123,$A44)</f>
        <v>0</v>
      </c>
      <c r="O44" s="23">
        <f>COUNTIFS(Europe!$F$3:$F$123,'Europe Capacity Data'!O$22,Europe!$U$3:$U$123,$A44)</f>
        <v>0</v>
      </c>
      <c r="P44" s="23">
        <f>COUNTIFS(Europe!$F$3:$F$123,'Europe Capacity Data'!P$22,Europe!$U$3:$U$123,$A44)</f>
        <v>0</v>
      </c>
      <c r="Q44" s="23">
        <f>COUNTIFS(Europe!$F$3:$F$123,'Europe Capacity Data'!Q$22,Europe!$U$3:$U$123,$A44)</f>
        <v>0</v>
      </c>
      <c r="R44" s="22">
        <f t="shared" si="18"/>
        <v>10</v>
      </c>
      <c r="S44" s="22">
        <f>R44-NAm!U88</f>
        <v>-4</v>
      </c>
      <c r="T44" s="389"/>
    </row>
    <row r="45" spans="1:20">
      <c r="A45" s="20" t="s">
        <v>7</v>
      </c>
      <c r="B45" s="22">
        <f>COUNTIFS(Europe!$F$3:$F$123,"&lt;"&amp;'Europe Capacity Data'!C$22,Europe!$U$3:$U$123,$A45)</f>
        <v>0</v>
      </c>
      <c r="C45" s="22">
        <f>COUNTIFS(Europe!$F$3:$F$123,'Europe Capacity Data'!C$22,Europe!$U$3:$U$123,$A45)</f>
        <v>0</v>
      </c>
      <c r="D45" s="22">
        <f>COUNTIFS(Europe!$F$3:$F$123,'Europe Capacity Data'!D$22,Europe!$U$3:$U$123,$A45)</f>
        <v>0</v>
      </c>
      <c r="E45" s="22">
        <f>COUNTIFS(Europe!$F$3:$F$123,'Europe Capacity Data'!E$22,Europe!$U$3:$U$123,$A45)</f>
        <v>0</v>
      </c>
      <c r="F45" s="23">
        <f>COUNTIFS(Europe!$F$3:$F$123,'Europe Capacity Data'!F$22,Europe!$U$3:$U$123,$A45)</f>
        <v>1</v>
      </c>
      <c r="G45" s="23">
        <f>COUNTIFS(Europe!$F$3:$F$123,'Europe Capacity Data'!G$22,Europe!$U$3:$U$123,$A45)</f>
        <v>4</v>
      </c>
      <c r="H45" s="23">
        <f>COUNTIFS(Europe!$F$3:$F$123,'Europe Capacity Data'!H$22,Europe!$U$3:$U$123,$A45)</f>
        <v>3</v>
      </c>
      <c r="I45" s="23">
        <f>COUNTIFS(Europe!$F$3:$F$123,'Europe Capacity Data'!I$22,Europe!$U$3:$U$123,$A45)</f>
        <v>3</v>
      </c>
      <c r="J45" s="23">
        <f>COUNTIFS(Europe!$F$3:$F$123,'Europe Capacity Data'!J$22,Europe!$U$3:$U$123,$A45)</f>
        <v>4</v>
      </c>
      <c r="K45" s="23">
        <f>COUNTIFS(Europe!$F$3:$F$123,'Europe Capacity Data'!K$22,Europe!$U$3:$U$123,$A45)</f>
        <v>1</v>
      </c>
      <c r="L45" s="23">
        <f>COUNTIFS(Europe!$F$3:$F$123,'Europe Capacity Data'!L$22,Europe!$U$3:$U$123,$A45)</f>
        <v>1</v>
      </c>
      <c r="M45" s="23">
        <f>COUNTIFS(Europe!$F$3:$F$123,'Europe Capacity Data'!M$22,Europe!$U$3:$U$123,$A45)</f>
        <v>0</v>
      </c>
      <c r="N45" s="23">
        <f>COUNTIFS(Europe!$F$3:$F$123,'Europe Capacity Data'!N$22,Europe!$U$3:$U$123,$A45)</f>
        <v>1</v>
      </c>
      <c r="O45" s="23">
        <f>COUNTIFS(Europe!$F$3:$F$123,'Europe Capacity Data'!O$22,Europe!$U$3:$U$123,$A45)</f>
        <v>0</v>
      </c>
      <c r="P45" s="23">
        <f>COUNTIFS(Europe!$F$3:$F$123,'Europe Capacity Data'!P$22,Europe!$U$3:$U$123,$A45)</f>
        <v>0</v>
      </c>
      <c r="Q45" s="23">
        <f>COUNTIFS(Europe!$F$3:$F$123,'Europe Capacity Data'!Q$22,Europe!$U$3:$U$123,$A45)</f>
        <v>0</v>
      </c>
      <c r="R45" s="22">
        <f t="shared" si="18"/>
        <v>18</v>
      </c>
      <c r="S45" s="22">
        <f>R45-NAm!U89</f>
        <v>7</v>
      </c>
      <c r="T45" s="389"/>
    </row>
    <row r="46" spans="1:20">
      <c r="A46" s="20" t="s">
        <v>8</v>
      </c>
      <c r="B46" s="22">
        <f>COUNTIFS(Europe!$F$3:$F$123,"&lt;"&amp;'Europe Capacity Data'!C$22,Europe!$U$3:$U$123,$A46)</f>
        <v>0</v>
      </c>
      <c r="C46" s="22">
        <f>COUNTIFS(Europe!$F$3:$F$123,'Europe Capacity Data'!C$22,Europe!$U$3:$U$123,$A46)</f>
        <v>1</v>
      </c>
      <c r="D46" s="22">
        <f>COUNTIFS(Europe!$F$3:$F$123,'Europe Capacity Data'!D$22,Europe!$U$3:$U$123,$A46)</f>
        <v>1</v>
      </c>
      <c r="E46" s="22">
        <f>COUNTIFS(Europe!$F$3:$F$123,'Europe Capacity Data'!E$22,Europe!$U$3:$U$123,$A46)</f>
        <v>0</v>
      </c>
      <c r="F46" s="23">
        <f>COUNTIFS(Europe!$F$3:$F$123,'Europe Capacity Data'!F$22,Europe!$U$3:$U$123,$A46)</f>
        <v>4</v>
      </c>
      <c r="G46" s="23">
        <f>COUNTIFS(Europe!$F$3:$F$123,'Europe Capacity Data'!G$22,Europe!$U$3:$U$123,$A46)</f>
        <v>2</v>
      </c>
      <c r="H46" s="23">
        <f>COUNTIFS(Europe!$F$3:$F$123,'Europe Capacity Data'!H$22,Europe!$U$3:$U$123,$A46)</f>
        <v>9</v>
      </c>
      <c r="I46" s="23">
        <f>COUNTIFS(Europe!$F$3:$F$123,'Europe Capacity Data'!I$22,Europe!$U$3:$U$123,$A46)</f>
        <v>6</v>
      </c>
      <c r="J46" s="23">
        <f>COUNTIFS(Europe!$F$3:$F$123,'Europe Capacity Data'!J$22,Europe!$U$3:$U$123,$A46)</f>
        <v>7</v>
      </c>
      <c r="K46" s="23">
        <f>COUNTIFS(Europe!$F$3:$F$123,'Europe Capacity Data'!K$22,Europe!$U$3:$U$123,$A46)</f>
        <v>2</v>
      </c>
      <c r="L46" s="23">
        <f>COUNTIFS(Europe!$F$3:$F$123,'Europe Capacity Data'!L$22,Europe!$U$3:$U$123,$A46)</f>
        <v>6</v>
      </c>
      <c r="M46" s="23">
        <f>COUNTIFS(Europe!$F$3:$F$123,'Europe Capacity Data'!M$22,Europe!$U$3:$U$123,$A46)</f>
        <v>2</v>
      </c>
      <c r="N46" s="23">
        <f>COUNTIFS(Europe!$F$3:$F$123,'Europe Capacity Data'!N$22,Europe!$U$3:$U$123,$A46)</f>
        <v>4</v>
      </c>
      <c r="O46" s="23">
        <f>COUNTIFS(Europe!$F$3:$F$123,'Europe Capacity Data'!O$22,Europe!$U$3:$U$123,$A46)</f>
        <v>1</v>
      </c>
      <c r="P46" s="23">
        <f>COUNTIFS(Europe!$F$3:$F$123,'Europe Capacity Data'!P$22,Europe!$U$3:$U$123,$A46)</f>
        <v>1</v>
      </c>
      <c r="Q46" s="23">
        <f>COUNTIFS(Europe!$F$3:$F$123,'Europe Capacity Data'!Q$22,Europe!$U$3:$U$123,$A46)</f>
        <v>1</v>
      </c>
      <c r="R46" s="22">
        <f t="shared" si="18"/>
        <v>46</v>
      </c>
      <c r="S46" s="22">
        <f>R46-NAm!U90</f>
        <v>34</v>
      </c>
      <c r="T46" s="389"/>
    </row>
    <row r="47" spans="1:20">
      <c r="A47" s="20" t="s">
        <v>9</v>
      </c>
      <c r="B47" s="22">
        <f>COUNTIFS(Europe!$F$3:$F$123,"&lt;"&amp;'Europe Capacity Data'!C$22,Europe!$U$3:$U$123,$A47)</f>
        <v>0</v>
      </c>
      <c r="C47" s="22">
        <f>COUNTIFS(Europe!$F$3:$F$123,'Europe Capacity Data'!C$22,Europe!$U$3:$U$123,$A47)</f>
        <v>0</v>
      </c>
      <c r="D47" s="22">
        <f>COUNTIFS(Europe!$F$3:$F$123,'Europe Capacity Data'!D$22,Europe!$U$3:$U$123,$A47)</f>
        <v>0</v>
      </c>
      <c r="E47" s="22">
        <f>COUNTIFS(Europe!$F$3:$F$123,'Europe Capacity Data'!E$22,Europe!$U$3:$U$123,$A47)</f>
        <v>0</v>
      </c>
      <c r="F47" s="23">
        <f>COUNTIFS(Europe!$F$3:$F$123,'Europe Capacity Data'!F$22,Europe!$U$3:$U$123,$A47)</f>
        <v>0</v>
      </c>
      <c r="G47" s="23">
        <f>COUNTIFS(Europe!$F$3:$F$123,'Europe Capacity Data'!G$22,Europe!$U$3:$U$123,$A47)</f>
        <v>0</v>
      </c>
      <c r="H47" s="23">
        <f>COUNTIFS(Europe!$F$3:$F$123,'Europe Capacity Data'!H$22,Europe!$U$3:$U$123,$A47)</f>
        <v>1</v>
      </c>
      <c r="I47" s="23">
        <f>COUNTIFS(Europe!$F$3:$F$123,'Europe Capacity Data'!I$22,Europe!$U$3:$U$123,$A47)</f>
        <v>0</v>
      </c>
      <c r="J47" s="23">
        <f>COUNTIFS(Europe!$F$3:$F$123,'Europe Capacity Data'!J$22,Europe!$U$3:$U$123,$A47)</f>
        <v>0</v>
      </c>
      <c r="K47" s="23">
        <f>COUNTIFS(Europe!$F$3:$F$123,'Europe Capacity Data'!K$22,Europe!$U$3:$U$123,$A47)</f>
        <v>0</v>
      </c>
      <c r="L47" s="23">
        <f>COUNTIFS(Europe!$F$3:$F$123,'Europe Capacity Data'!L$22,Europe!$U$3:$U$123,$A47)</f>
        <v>0</v>
      </c>
      <c r="M47" s="23">
        <f>COUNTIFS(Europe!$F$3:$F$123,'Europe Capacity Data'!M$22,Europe!$U$3:$U$123,$A47)</f>
        <v>0</v>
      </c>
      <c r="N47" s="23">
        <f>COUNTIFS(Europe!$F$3:$F$123,'Europe Capacity Data'!N$22,Europe!$U$3:$U$123,$A47)</f>
        <v>1</v>
      </c>
      <c r="O47" s="23">
        <f>COUNTIFS(Europe!$F$3:$F$123,'Europe Capacity Data'!O$22,Europe!$U$3:$U$123,$A47)</f>
        <v>0</v>
      </c>
      <c r="P47" s="23">
        <f>COUNTIFS(Europe!$F$3:$F$123,'Europe Capacity Data'!P$22,Europe!$U$3:$U$123,$A47)</f>
        <v>0</v>
      </c>
      <c r="Q47" s="23">
        <f>COUNTIFS(Europe!$F$3:$F$123,'Europe Capacity Data'!Q$22,Europe!$U$3:$U$123,$A47)</f>
        <v>0</v>
      </c>
      <c r="R47" s="22">
        <f t="shared" si="18"/>
        <v>2</v>
      </c>
      <c r="S47" s="22">
        <f>R47-NAm!U91</f>
        <v>-1</v>
      </c>
      <c r="T47" s="389"/>
    </row>
    <row r="48" spans="1:20">
      <c r="A48" s="20" t="s">
        <v>10</v>
      </c>
      <c r="B48" s="22">
        <f>COUNTIFS(Europe!$F$3:$F$123,"&lt;"&amp;'Europe Capacity Data'!C$22,Europe!$U$3:$U$123,$A48)</f>
        <v>2</v>
      </c>
      <c r="C48" s="22">
        <f>COUNTIFS(Europe!$F$3:$F$123,'Europe Capacity Data'!C$22,Europe!$U$3:$U$123,$A48)</f>
        <v>4</v>
      </c>
      <c r="D48" s="22">
        <f>COUNTIFS(Europe!$F$3:$F$123,'Europe Capacity Data'!D$22,Europe!$U$3:$U$123,$A48)</f>
        <v>3</v>
      </c>
      <c r="E48" s="22">
        <f>COUNTIFS(Europe!$F$3:$F$123,'Europe Capacity Data'!E$22,Europe!$U$3:$U$123,$A48)</f>
        <v>0</v>
      </c>
      <c r="F48" s="23">
        <f>COUNTIFS(Europe!$F$3:$F$123,'Europe Capacity Data'!F$22,Europe!$U$3:$U$123,$A48)</f>
        <v>1</v>
      </c>
      <c r="G48" s="23">
        <f>COUNTIFS(Europe!$F$3:$F$123,'Europe Capacity Data'!G$22,Europe!$U$3:$U$123,$A48)</f>
        <v>2</v>
      </c>
      <c r="H48" s="23">
        <f>COUNTIFS(Europe!$F$3:$F$123,'Europe Capacity Data'!H$22,Europe!$U$3:$U$123,$A48)</f>
        <v>2</v>
      </c>
      <c r="I48" s="23">
        <f>COUNTIFS(Europe!$F$3:$F$123,'Europe Capacity Data'!I$22,Europe!$U$3:$U$123,$A48)</f>
        <v>0</v>
      </c>
      <c r="J48" s="23">
        <f>COUNTIFS(Europe!$F$3:$F$123,'Europe Capacity Data'!J$22,Europe!$U$3:$U$123,$A48)</f>
        <v>2</v>
      </c>
      <c r="K48" s="23">
        <f>COUNTIFS(Europe!$F$3:$F$123,'Europe Capacity Data'!K$22,Europe!$U$3:$U$123,$A48)</f>
        <v>1</v>
      </c>
      <c r="L48" s="23">
        <f>COUNTIFS(Europe!$F$3:$F$123,'Europe Capacity Data'!L$22,Europe!$U$3:$U$123,$A48)</f>
        <v>1</v>
      </c>
      <c r="M48" s="23">
        <f>COUNTIFS(Europe!$F$3:$F$123,'Europe Capacity Data'!M$22,Europe!$U$3:$U$123,$A48)</f>
        <v>0</v>
      </c>
      <c r="N48" s="23">
        <f>COUNTIFS(Europe!$F$3:$F$123,'Europe Capacity Data'!N$22,Europe!$U$3:$U$123,$A48)</f>
        <v>0</v>
      </c>
      <c r="O48" s="23">
        <f>COUNTIFS(Europe!$F$3:$F$123,'Europe Capacity Data'!O$22,Europe!$U$3:$U$123,$A48)</f>
        <v>0</v>
      </c>
      <c r="P48" s="23">
        <f>COUNTIFS(Europe!$F$3:$F$123,'Europe Capacity Data'!P$22,Europe!$U$3:$U$123,$A48)</f>
        <v>0</v>
      </c>
      <c r="Q48" s="23">
        <f>COUNTIFS(Europe!$F$3:$F$123,'Europe Capacity Data'!Q$22,Europe!$U$3:$U$123,$A48)</f>
        <v>0</v>
      </c>
      <c r="R48" s="22">
        <f t="shared" si="18"/>
        <v>18</v>
      </c>
      <c r="S48" s="22">
        <f>R48-NAm!U92</f>
        <v>13</v>
      </c>
      <c r="T48" s="389"/>
    </row>
    <row r="49" spans="1:20" ht="15.75" thickBot="1">
      <c r="A49" s="32" t="s">
        <v>24</v>
      </c>
      <c r="B49" s="36">
        <f>SUM(B43:B48)</f>
        <v>3</v>
      </c>
      <c r="C49" s="36">
        <f>B49+SUM(C43:C48)</f>
        <v>8</v>
      </c>
      <c r="D49" s="36">
        <f>C49+SUM(D43:D48)</f>
        <v>13</v>
      </c>
      <c r="E49" s="36">
        <f t="shared" ref="E49:Q49" si="19">D49+SUM(E43:E48)</f>
        <v>13</v>
      </c>
      <c r="F49" s="37">
        <f t="shared" si="19"/>
        <v>23</v>
      </c>
      <c r="G49" s="37">
        <f t="shared" si="19"/>
        <v>37</v>
      </c>
      <c r="H49" s="37">
        <f t="shared" si="19"/>
        <v>57</v>
      </c>
      <c r="I49" s="37">
        <f t="shared" si="19"/>
        <v>71</v>
      </c>
      <c r="J49" s="37">
        <f t="shared" si="19"/>
        <v>90</v>
      </c>
      <c r="K49" s="37">
        <f t="shared" si="19"/>
        <v>95</v>
      </c>
      <c r="L49" s="37">
        <f t="shared" si="19"/>
        <v>105</v>
      </c>
      <c r="M49" s="37">
        <f t="shared" si="19"/>
        <v>107</v>
      </c>
      <c r="N49" s="37">
        <f t="shared" si="19"/>
        <v>113</v>
      </c>
      <c r="O49" s="37">
        <f t="shared" si="19"/>
        <v>114</v>
      </c>
      <c r="P49" s="37">
        <f t="shared" si="19"/>
        <v>115</v>
      </c>
      <c r="Q49" s="37">
        <f t="shared" si="19"/>
        <v>116</v>
      </c>
      <c r="R49" s="36">
        <f>SUM(R43:R48)</f>
        <v>115</v>
      </c>
      <c r="S49" s="36"/>
      <c r="T49" s="389"/>
    </row>
    <row r="50" spans="1:20">
      <c r="A50" s="26"/>
      <c r="B50" s="26"/>
      <c r="C50" s="26"/>
      <c r="D50" s="26"/>
      <c r="E50" s="26"/>
      <c r="F50" s="26"/>
      <c r="G50" s="26"/>
      <c r="H50" s="26"/>
      <c r="I50" s="26"/>
      <c r="J50" s="26"/>
      <c r="K50" s="26"/>
      <c r="L50" s="26"/>
      <c r="M50" s="26"/>
      <c r="N50" s="26"/>
      <c r="O50" s="26"/>
      <c r="P50" s="26"/>
      <c r="Q50" s="26"/>
      <c r="R50" s="26"/>
    </row>
    <row r="51" spans="1:20" ht="15.75" thickBot="1">
      <c r="A51" s="38" t="s">
        <v>965</v>
      </c>
    </row>
    <row r="52" spans="1:20" ht="15.75" thickBot="1">
      <c r="A52" s="17" t="str">
        <f>A22</f>
        <v>(mil gal/yr)</v>
      </c>
      <c r="B52" s="28" t="str">
        <f>B22</f>
        <v>&lt; 2021</v>
      </c>
      <c r="C52" s="18">
        <f t="shared" ref="C52:Q52" si="20">C22</f>
        <v>2021</v>
      </c>
      <c r="D52" s="18">
        <f t="shared" si="20"/>
        <v>2022</v>
      </c>
      <c r="E52" s="18">
        <f t="shared" si="20"/>
        <v>2023</v>
      </c>
      <c r="F52" s="18">
        <f t="shared" si="20"/>
        <v>2024</v>
      </c>
      <c r="G52" s="18">
        <f t="shared" si="20"/>
        <v>2025</v>
      </c>
      <c r="H52" s="18">
        <f t="shared" si="20"/>
        <v>2026</v>
      </c>
      <c r="I52" s="18">
        <f t="shared" si="20"/>
        <v>2027</v>
      </c>
      <c r="J52" s="18">
        <f t="shared" si="20"/>
        <v>2028</v>
      </c>
      <c r="K52" s="18">
        <f t="shared" si="20"/>
        <v>2029</v>
      </c>
      <c r="L52" s="18">
        <f t="shared" si="20"/>
        <v>2030</v>
      </c>
      <c r="M52" s="18">
        <f t="shared" si="20"/>
        <v>2031</v>
      </c>
      <c r="N52" s="18">
        <f t="shared" si="20"/>
        <v>2032</v>
      </c>
      <c r="O52" s="18">
        <f t="shared" si="20"/>
        <v>2033</v>
      </c>
      <c r="P52" s="18">
        <f t="shared" si="20"/>
        <v>2034</v>
      </c>
      <c r="Q52" s="18">
        <f t="shared" si="20"/>
        <v>2035</v>
      </c>
    </row>
    <row r="53" spans="1:20">
      <c r="A53" s="20" t="s">
        <v>26</v>
      </c>
      <c r="B53" s="7">
        <f>SUMIFS(Europe!$N$3:$N$123,Europe!$F$3:$F$123,"&lt;"&amp;'Europe Capacity Data'!C$22,Europe!$V$3:$V$123,'Europe Capacity Data'!$A53)</f>
        <v>15.33</v>
      </c>
      <c r="C53" s="7">
        <f>SUMIFS(Europe!$N$3:$N$123,Europe!$F$3:$F$123,'Europe Capacity Data'!C$22,Europe!$V$3:$V$123,'Europe Capacity Data'!$A53)</f>
        <v>30.66</v>
      </c>
      <c r="D53" s="7">
        <f>SUMIFS(Europe!$N$3:$N$123,Europe!$F$3:$F$123,'Europe Capacity Data'!D$22,Europe!$V$3:$V$123,'Europe Capacity Data'!$A53)</f>
        <v>9.8103749999999987</v>
      </c>
      <c r="E53" s="7">
        <f>SUMIFS(Europe!$N$3:$N$123,Europe!$F$3:$F$123,'Europe Capacity Data'!E$22,Europe!$V$3:$V$123,'Europe Capacity Data'!$A53)</f>
        <v>0</v>
      </c>
      <c r="F53" s="39">
        <f>SUMIFS(Europe!$N$3:$N$123,Europe!$F$3:$F$123,'Europe Capacity Data'!F$22,Europe!$V$3:$V$123,'Europe Capacity Data'!$A53)</f>
        <v>242.14000000000001</v>
      </c>
      <c r="G53" s="39">
        <f>SUMIFS(Europe!$N$3:$N$123,Europe!$F$3:$F$123,'Europe Capacity Data'!G$22,Europe!$V$3:$V$123,'Europe Capacity Data'!$A53)</f>
        <v>724.01349999999991</v>
      </c>
      <c r="H53" s="39">
        <f>SUMIFS(Europe!$N$3:$N$123,Europe!$F$3:$F$123,'Europe Capacity Data'!H$22,Europe!$V$3:$V$123,'Europe Capacity Data'!$A53)</f>
        <v>192.52099999999999</v>
      </c>
      <c r="I53" s="39">
        <f>SUMIFS(Europe!$N$3:$N$123,Europe!$F$3:$F$123,'Europe Capacity Data'!I$22,Europe!$V$3:$V$123,'Europe Capacity Data'!$A53)</f>
        <v>130.76</v>
      </c>
      <c r="J53" s="39">
        <f>SUMIFS(Europe!$N$3:$N$123,Europe!$F$3:$F$123,'Europe Capacity Data'!J$22,Europe!$V$3:$V$123,'Europe Capacity Data'!$A53)</f>
        <v>140.28</v>
      </c>
      <c r="K53" s="39">
        <f>SUMIFS(Europe!$N$3:$N$123,Europe!$F$3:$F$123,'Europe Capacity Data'!K$22,Europe!$V$3:$V$123,'Europe Capacity Data'!$A53)</f>
        <v>49.5</v>
      </c>
      <c r="L53" s="39">
        <f>SUMIFS(Europe!$N$3:$N$123,Europe!$F$3:$F$123,'Europe Capacity Data'!L$22,Europe!$V$3:$V$123,'Europe Capacity Data'!$A53)</f>
        <v>16.5</v>
      </c>
      <c r="M53" s="39">
        <f>SUMIFS(Europe!$N$3:$N$123,Europe!$F$3:$F$123,'Europe Capacity Data'!M$22,Europe!$V$3:$V$123,'Europe Capacity Data'!$A53)</f>
        <v>0</v>
      </c>
      <c r="N53" s="39">
        <f>SUMIFS(Europe!$N$3:$N$123,Europe!$F$3:$F$123,'Europe Capacity Data'!N$22,Europe!$V$3:$V$123,'Europe Capacity Data'!$A53)</f>
        <v>0</v>
      </c>
      <c r="O53" s="39">
        <f>SUMIFS(Europe!$N$3:$N$123,Europe!$F$3:$F$123,'Europe Capacity Data'!O$22,Europe!$V$3:$V$123,'Europe Capacity Data'!$A53)</f>
        <v>0</v>
      </c>
      <c r="P53" s="39">
        <f>SUMIFS(Europe!$N$3:$N$123,Europe!$F$3:$F$123,'Europe Capacity Data'!P$22,Europe!$V$3:$V$123,'Europe Capacity Data'!$A53)</f>
        <v>0</v>
      </c>
      <c r="Q53" s="39">
        <f>SUMIFS(Europe!$N$3:$N$123,Europe!$F$3:$F$123,'Europe Capacity Data'!Q$22,Europe!$V$3:$V$123,'Europe Capacity Data'!$A53)</f>
        <v>0</v>
      </c>
    </row>
    <row r="54" spans="1:20">
      <c r="A54" s="20" t="s">
        <v>27</v>
      </c>
      <c r="B54" s="22">
        <f>SUMIFS(Europe!$N$3:$N$123,Europe!$F$3:$F$123,"&lt;"&amp;'Europe Capacity Data'!C$22,Europe!$V$3:$V$123,'Europe Capacity Data'!$A54)</f>
        <v>0</v>
      </c>
      <c r="C54" s="22">
        <f>SUMIFS(Europe!$N$3:$N$123,Europe!$F$3:$F$123,'Europe Capacity Data'!C$22,Europe!$V$3:$V$123,'Europe Capacity Data'!$A54)</f>
        <v>0</v>
      </c>
      <c r="D54" s="22">
        <f>SUMIFS(Europe!$N$3:$N$123,Europe!$F$3:$F$123,'Europe Capacity Data'!D$22,Europe!$V$3:$V$123,'Europe Capacity Data'!$A54)</f>
        <v>0</v>
      </c>
      <c r="E54" s="22">
        <f>SUMIFS(Europe!$N$3:$N$123,Europe!$F$3:$F$123,'Europe Capacity Data'!E$22,Europe!$V$3:$V$123,'Europe Capacity Data'!$A54)</f>
        <v>0</v>
      </c>
      <c r="F54" s="23">
        <f>SUMIFS(Europe!$N$3:$N$123,Europe!$F$3:$F$123,'Europe Capacity Data'!F$22,Europe!$V$3:$V$123,'Europe Capacity Data'!$A54)</f>
        <v>0</v>
      </c>
      <c r="G54" s="23">
        <f>SUMIFS(Europe!$N$3:$N$123,Europe!$F$3:$F$123,'Europe Capacity Data'!G$22,Europe!$V$3:$V$123,'Europe Capacity Data'!$A54)</f>
        <v>132.1</v>
      </c>
      <c r="H54" s="23">
        <f>SUMIFS(Europe!$N$3:$N$123,Europe!$F$3:$F$123,'Europe Capacity Data'!H$22,Europe!$V$3:$V$123,'Europe Capacity Data'!$A54)</f>
        <v>48.2</v>
      </c>
      <c r="I54" s="23">
        <f>SUMIFS(Europe!$N$3:$N$123,Europe!$F$3:$F$123,'Europe Capacity Data'!I$22,Europe!$V$3:$V$123,'Europe Capacity Data'!$A54)</f>
        <v>0</v>
      </c>
      <c r="J54" s="23">
        <f>SUMIFS(Europe!$N$3:$N$123,Europe!$F$3:$F$123,'Europe Capacity Data'!J$22,Europe!$V$3:$V$123,'Europe Capacity Data'!$A54)</f>
        <v>102.099</v>
      </c>
      <c r="K54" s="23">
        <f>SUMIFS(Europe!$N$3:$N$123,Europe!$F$3:$F$123,'Europe Capacity Data'!K$22,Europe!$V$3:$V$123,'Europe Capacity Data'!$A54)</f>
        <v>10.568</v>
      </c>
      <c r="L54" s="23">
        <f>SUMIFS(Europe!$N$3:$N$123,Europe!$F$3:$F$123,'Europe Capacity Data'!L$22,Europe!$V$3:$V$123,'Europe Capacity Data'!$A54)</f>
        <v>10</v>
      </c>
      <c r="M54" s="23">
        <f>SUMIFS(Europe!$N$3:$N$123,Europe!$F$3:$F$123,'Europe Capacity Data'!M$22,Europe!$V$3:$V$123,'Europe Capacity Data'!$A54)</f>
        <v>0</v>
      </c>
      <c r="N54" s="23">
        <f>SUMIFS(Europe!$N$3:$N$123,Europe!$F$3:$F$123,'Europe Capacity Data'!N$22,Europe!$V$3:$V$123,'Europe Capacity Data'!$A54)</f>
        <v>0</v>
      </c>
      <c r="O54" s="23">
        <f>SUMIFS(Europe!$N$3:$N$123,Europe!$F$3:$F$123,'Europe Capacity Data'!O$22,Europe!$V$3:$V$123,'Europe Capacity Data'!$A54)</f>
        <v>0</v>
      </c>
      <c r="P54" s="23">
        <f>SUMIFS(Europe!$N$3:$N$123,Europe!$F$3:$F$123,'Europe Capacity Data'!P$22,Europe!$V$3:$V$123,'Europe Capacity Data'!$A54)</f>
        <v>0</v>
      </c>
      <c r="Q54" s="23">
        <f>SUMIFS(Europe!$N$3:$N$123,Europe!$F$3:$F$123,'Europe Capacity Data'!Q$22,Europe!$V$3:$V$123,'Europe Capacity Data'!$A54)</f>
        <v>0</v>
      </c>
    </row>
    <row r="55" spans="1:20">
      <c r="A55" s="20" t="s">
        <v>28</v>
      </c>
      <c r="B55" s="22">
        <f>SUMIFS(Europe!$N$3:$N$123,Europe!$F$3:$F$123,"&lt;"&amp;'Europe Capacity Data'!C$22,Europe!$V$3:$V$123,'Europe Capacity Data'!$A55)</f>
        <v>0</v>
      </c>
      <c r="C55" s="22">
        <f>SUMIFS(Europe!$N$3:$N$123,Europe!$F$3:$F$123,'Europe Capacity Data'!C$22,Europe!$V$3:$V$123,'Europe Capacity Data'!$A55)</f>
        <v>0</v>
      </c>
      <c r="D55" s="22">
        <f>SUMIFS(Europe!$N$3:$N$123,Europe!$F$3:$F$123,'Europe Capacity Data'!D$22,Europe!$V$3:$V$123,'Europe Capacity Data'!$A55)</f>
        <v>0</v>
      </c>
      <c r="E55" s="22">
        <f>SUMIFS(Europe!$N$3:$N$123,Europe!$F$3:$F$123,'Europe Capacity Data'!E$22,Europe!$V$3:$V$123,'Europe Capacity Data'!$A55)</f>
        <v>0</v>
      </c>
      <c r="F55" s="23">
        <f>SUMIFS(Europe!$N$3:$N$123,Europe!$F$3:$F$123,'Europe Capacity Data'!F$22,Europe!$V$3:$V$123,'Europe Capacity Data'!$A55)</f>
        <v>0</v>
      </c>
      <c r="G55" s="23">
        <f>SUMIFS(Europe!$N$3:$N$123,Europe!$F$3:$F$123,'Europe Capacity Data'!G$22,Europe!$V$3:$V$123,'Europe Capacity Data'!$A55)</f>
        <v>66</v>
      </c>
      <c r="H55" s="23">
        <f>SUMIFS(Europe!$N$3:$N$123,Europe!$F$3:$F$123,'Europe Capacity Data'!H$22,Europe!$V$3:$V$123,'Europe Capacity Data'!$A55)</f>
        <v>32.109499999999997</v>
      </c>
      <c r="I55" s="23">
        <f>SUMIFS(Europe!$N$3:$N$123,Europe!$F$3:$F$123,'Europe Capacity Data'!I$22,Europe!$V$3:$V$123,'Europe Capacity Data'!$A55)</f>
        <v>36</v>
      </c>
      <c r="J55" s="23">
        <f>SUMIFS(Europe!$N$3:$N$123,Europe!$F$3:$F$123,'Europe Capacity Data'!J$22,Europe!$V$3:$V$123,'Europe Capacity Data'!$A55)</f>
        <v>0</v>
      </c>
      <c r="K55" s="23">
        <f>SUMIFS(Europe!$N$3:$N$123,Europe!$F$3:$F$123,'Europe Capacity Data'!K$22,Europe!$V$3:$V$123,'Europe Capacity Data'!$A55)</f>
        <v>0</v>
      </c>
      <c r="L55" s="23">
        <f>SUMIFS(Europe!$N$3:$N$123,Europe!$F$3:$F$123,'Europe Capacity Data'!L$22,Europe!$V$3:$V$123,'Europe Capacity Data'!$A55)</f>
        <v>0</v>
      </c>
      <c r="M55" s="23">
        <f>SUMIFS(Europe!$N$3:$N$123,Europe!$F$3:$F$123,'Europe Capacity Data'!M$22,Europe!$V$3:$V$123,'Europe Capacity Data'!$A55)</f>
        <v>0</v>
      </c>
      <c r="N55" s="23">
        <f>SUMIFS(Europe!$N$3:$N$123,Europe!$F$3:$F$123,'Europe Capacity Data'!N$22,Europe!$V$3:$V$123,'Europe Capacity Data'!$A55)</f>
        <v>0</v>
      </c>
      <c r="O55" s="23">
        <f>SUMIFS(Europe!$N$3:$N$123,Europe!$F$3:$F$123,'Europe Capacity Data'!O$22,Europe!$V$3:$V$123,'Europe Capacity Data'!$A55)</f>
        <v>0</v>
      </c>
      <c r="P55" s="23">
        <f>SUMIFS(Europe!$N$3:$N$123,Europe!$F$3:$F$123,'Europe Capacity Data'!P$22,Europe!$V$3:$V$123,'Europe Capacity Data'!$A55)</f>
        <v>0</v>
      </c>
      <c r="Q55" s="23">
        <f>SUMIFS(Europe!$N$3:$N$123,Europe!$F$3:$F$123,'Europe Capacity Data'!Q$22,Europe!$V$3:$V$123,'Europe Capacity Data'!$A55)</f>
        <v>0</v>
      </c>
    </row>
    <row r="56" spans="1:20">
      <c r="A56" s="20" t="s">
        <v>29</v>
      </c>
      <c r="B56" s="22">
        <f>SUMIFS(Europe!$N$3:$N$123,Europe!$F$3:$F$123,"&lt;"&amp;'Europe Capacity Data'!C$22,Europe!$V$3:$V$123,'Europe Capacity Data'!$A56)</f>
        <v>0</v>
      </c>
      <c r="C56" s="22">
        <f>SUMIFS(Europe!$N$3:$N$123,Europe!$F$3:$F$123,'Europe Capacity Data'!C$22,Europe!$V$3:$V$123,'Europe Capacity Data'!$A56)</f>
        <v>6.6E-3</v>
      </c>
      <c r="D56" s="22">
        <f>SUMIFS(Europe!$N$3:$N$123,Europe!$F$3:$F$123,'Europe Capacity Data'!D$22,Europe!$V$3:$V$123,'Europe Capacity Data'!$A56)</f>
        <v>6.6000000000000003E-2</v>
      </c>
      <c r="E56" s="22">
        <f>SUMIFS(Europe!$N$3:$N$123,Europe!$F$3:$F$123,'Europe Capacity Data'!E$22,Europe!$V$3:$V$123,'Europe Capacity Data'!$A56)</f>
        <v>0</v>
      </c>
      <c r="F56" s="23">
        <f>SUMIFS(Europe!$N$3:$N$123,Europe!$F$3:$F$123,'Europe Capacity Data'!F$22,Europe!$V$3:$V$123,'Europe Capacity Data'!$A56)</f>
        <v>1.026119</v>
      </c>
      <c r="G56" s="23">
        <f>SUMIFS(Europe!$N$3:$N$123,Europe!$F$3:$F$123,'Europe Capacity Data'!G$22,Europe!$V$3:$V$123,'Europe Capacity Data'!$A56)</f>
        <v>1.155</v>
      </c>
      <c r="H56" s="23">
        <f>SUMIFS(Europe!$N$3:$N$123,Europe!$F$3:$F$123,'Europe Capacity Data'!H$22,Europe!$V$3:$V$123,'Europe Capacity Data'!$A56)</f>
        <v>75.900874999999999</v>
      </c>
      <c r="I56" s="23">
        <f>SUMIFS(Europe!$N$3:$N$123,Europe!$F$3:$F$123,'Europe Capacity Data'!I$22,Europe!$V$3:$V$123,'Europe Capacity Data'!$A56)</f>
        <v>92.713999999999984</v>
      </c>
      <c r="J56" s="23">
        <f>SUMIFS(Europe!$N$3:$N$123,Europe!$F$3:$F$123,'Europe Capacity Data'!J$22,Europe!$V$3:$V$123,'Europe Capacity Data'!$A56)</f>
        <v>157.63</v>
      </c>
      <c r="K56" s="23">
        <f>SUMIFS(Europe!$N$3:$N$123,Europe!$F$3:$F$123,'Europe Capacity Data'!K$22,Europe!$V$3:$V$123,'Europe Capacity Data'!$A56)</f>
        <v>25.718</v>
      </c>
      <c r="L56" s="23">
        <f>SUMIFS(Europe!$N$3:$N$123,Europe!$F$3:$F$123,'Europe Capacity Data'!L$22,Europe!$V$3:$V$123,'Europe Capacity Data'!$A56)</f>
        <v>93.528000000000006</v>
      </c>
      <c r="M56" s="23">
        <f>SUMIFS(Europe!$N$3:$N$123,Europe!$F$3:$F$123,'Europe Capacity Data'!M$22,Europe!$V$3:$V$123,'Europe Capacity Data'!$A56)</f>
        <v>191.54500000000002</v>
      </c>
      <c r="N56" s="23">
        <f>SUMIFS(Europe!$N$3:$N$123,Europe!$F$3:$F$123,'Europe Capacity Data'!N$22,Europe!$V$3:$V$123,'Europe Capacity Data'!$A56)</f>
        <v>341.07000000000005</v>
      </c>
      <c r="O56" s="23">
        <f>SUMIFS(Europe!$N$3:$N$123,Europe!$F$3:$F$123,'Europe Capacity Data'!O$22,Europe!$V$3:$V$123,'Europe Capacity Data'!$A56)</f>
        <v>82.6</v>
      </c>
      <c r="P56" s="23">
        <f>SUMIFS(Europe!$N$3:$N$123,Europe!$F$3:$F$123,'Europe Capacity Data'!P$22,Europe!$V$3:$V$123,'Europe Capacity Data'!$A56)</f>
        <v>9.64E-2</v>
      </c>
      <c r="Q56" s="23">
        <f>SUMIFS(Europe!$N$3:$N$123,Europe!$F$3:$F$123,'Europe Capacity Data'!Q$22,Europe!$V$3:$V$123,'Europe Capacity Data'!$A56)</f>
        <v>8.2000000000000003E-2</v>
      </c>
    </row>
    <row r="57" spans="1:20">
      <c r="A57" s="20" t="s">
        <v>30</v>
      </c>
      <c r="B57" s="22">
        <f>SUMIFS(Europe!$N$3:$N$123,Europe!$F$3:$F$123,"&lt;"&amp;'Europe Capacity Data'!C$22,Europe!$V$3:$V$123,'Europe Capacity Data'!$A57)</f>
        <v>0</v>
      </c>
      <c r="C57" s="22">
        <f>SUMIFS(Europe!$N$3:$N$123,Europe!$F$3:$F$123,'Europe Capacity Data'!C$22,Europe!$V$3:$V$123,'Europe Capacity Data'!$A57)</f>
        <v>0</v>
      </c>
      <c r="D57" s="22">
        <f>SUMIFS(Europe!$N$3:$N$123,Europe!$F$3:$F$123,'Europe Capacity Data'!D$22,Europe!$V$3:$V$123,'Europe Capacity Data'!$A57)</f>
        <v>0</v>
      </c>
      <c r="E57" s="22">
        <f>SUMIFS(Europe!$N$3:$N$123,Europe!$F$3:$F$123,'Europe Capacity Data'!E$22,Europe!$V$3:$V$123,'Europe Capacity Data'!$A57)</f>
        <v>0</v>
      </c>
      <c r="F57" s="23">
        <f>SUMIFS(Europe!$N$3:$N$123,Europe!$F$3:$F$123,'Europe Capacity Data'!F$22,Europe!$V$3:$V$123,'Europe Capacity Data'!$A57)</f>
        <v>0.46200000000000002</v>
      </c>
      <c r="G57" s="23">
        <f>SUMIFS(Europe!$N$3:$N$123,Europe!$F$3:$F$123,'Europe Capacity Data'!G$22,Europe!$V$3:$V$123,'Europe Capacity Data'!$A57)</f>
        <v>30.086000000000002</v>
      </c>
      <c r="H57" s="23">
        <f>SUMIFS(Europe!$N$3:$N$123,Europe!$F$3:$F$123,'Europe Capacity Data'!H$22,Europe!$V$3:$V$123,'Europe Capacity Data'!$A57)</f>
        <v>4.5999999999999996</v>
      </c>
      <c r="I57" s="23">
        <f>SUMIFS(Europe!$N$3:$N$123,Europe!$F$3:$F$123,'Europe Capacity Data'!I$22,Europe!$V$3:$V$123,'Europe Capacity Data'!$A57)</f>
        <v>65.567499999999995</v>
      </c>
      <c r="J57" s="23">
        <f>SUMIFS(Europe!$N$3:$N$123,Europe!$F$3:$F$123,'Europe Capacity Data'!J$22,Europe!$V$3:$V$123,'Europe Capacity Data'!$A57)</f>
        <v>79.849999999999994</v>
      </c>
      <c r="K57" s="23">
        <f>SUMIFS(Europe!$N$3:$N$123,Europe!$F$3:$F$123,'Europe Capacity Data'!K$22,Europe!$V$3:$V$123,'Europe Capacity Data'!$A57)</f>
        <v>0</v>
      </c>
      <c r="L57" s="23">
        <f>SUMIFS(Europe!$N$3:$N$123,Europe!$F$3:$F$123,'Europe Capacity Data'!L$22,Europe!$V$3:$V$123,'Europe Capacity Data'!$A57)</f>
        <v>25</v>
      </c>
      <c r="M57" s="23">
        <f>SUMIFS(Europe!$N$3:$N$123,Europe!$F$3:$F$123,'Europe Capacity Data'!M$22,Europe!$V$3:$V$123,'Europe Capacity Data'!$A57)</f>
        <v>0</v>
      </c>
      <c r="N57" s="23">
        <f>SUMIFS(Europe!$N$3:$N$123,Europe!$F$3:$F$123,'Europe Capacity Data'!N$22,Europe!$V$3:$V$123,'Europe Capacity Data'!$A57)</f>
        <v>48.33</v>
      </c>
      <c r="O57" s="23">
        <f>SUMIFS(Europe!$N$3:$N$123,Europe!$F$3:$F$123,'Europe Capacity Data'!O$22,Europe!$V$3:$V$123,'Europe Capacity Data'!$A57)</f>
        <v>0</v>
      </c>
      <c r="P57" s="23">
        <f>SUMIFS(Europe!$N$3:$N$123,Europe!$F$3:$F$123,'Europe Capacity Data'!P$22,Europe!$V$3:$V$123,'Europe Capacity Data'!$A57)</f>
        <v>0</v>
      </c>
      <c r="Q57" s="23">
        <f>SUMIFS(Europe!$N$3:$N$123,Europe!$F$3:$F$123,'Europe Capacity Data'!Q$22,Europe!$V$3:$V$123,'Europe Capacity Data'!$A57)</f>
        <v>0</v>
      </c>
    </row>
    <row r="58" spans="1:20" ht="15.75" thickBot="1">
      <c r="A58" s="40" t="s">
        <v>11</v>
      </c>
      <c r="B58" s="41">
        <f>SUM(B53:B57)</f>
        <v>15.33</v>
      </c>
      <c r="C58" s="41">
        <f>B58+SUM(C53:C57)</f>
        <v>45.996600000000001</v>
      </c>
      <c r="D58" s="41">
        <f t="shared" ref="D58:Q58" si="21">C58+SUM(D53:D57)</f>
        <v>55.872974999999997</v>
      </c>
      <c r="E58" s="41">
        <f t="shared" si="21"/>
        <v>55.872974999999997</v>
      </c>
      <c r="F58" s="42">
        <f t="shared" si="21"/>
        <v>299.50109399999997</v>
      </c>
      <c r="G58" s="42">
        <f t="shared" si="21"/>
        <v>1252.8555939999999</v>
      </c>
      <c r="H58" s="42">
        <f t="shared" si="21"/>
        <v>1606.1869689999999</v>
      </c>
      <c r="I58" s="42">
        <f t="shared" si="21"/>
        <v>1931.2284689999999</v>
      </c>
      <c r="J58" s="42">
        <f t="shared" si="21"/>
        <v>2411.0874690000001</v>
      </c>
      <c r="K58" s="42">
        <f t="shared" si="21"/>
        <v>2496.8734690000001</v>
      </c>
      <c r="L58" s="42">
        <f t="shared" si="21"/>
        <v>2641.9014690000004</v>
      </c>
      <c r="M58" s="42">
        <f t="shared" si="21"/>
        <v>2833.4464690000004</v>
      </c>
      <c r="N58" s="42">
        <f t="shared" si="21"/>
        <v>3222.8464690000005</v>
      </c>
      <c r="O58" s="42">
        <f t="shared" si="21"/>
        <v>3305.4464690000004</v>
      </c>
      <c r="P58" s="42">
        <f t="shared" si="21"/>
        <v>3305.5428690000003</v>
      </c>
      <c r="Q58" s="42">
        <f t="shared" si="21"/>
        <v>3305.6248690000002</v>
      </c>
    </row>
    <row r="59" spans="1:20">
      <c r="A59" s="26"/>
      <c r="B59" s="26"/>
      <c r="C59" s="26"/>
      <c r="D59" s="26"/>
      <c r="E59" s="26"/>
      <c r="F59" s="26"/>
      <c r="G59" s="26"/>
      <c r="H59" s="26"/>
      <c r="I59" s="26"/>
      <c r="J59" s="26"/>
      <c r="K59" s="26"/>
      <c r="L59" s="26"/>
      <c r="M59" s="26"/>
      <c r="N59" s="26"/>
      <c r="O59" s="26"/>
      <c r="P59" s="26"/>
      <c r="Q59" s="26"/>
    </row>
    <row r="60" spans="1:20" ht="15.75" thickBot="1">
      <c r="A60" s="38" t="s">
        <v>966</v>
      </c>
    </row>
    <row r="61" spans="1:20" ht="15.75" thickBot="1">
      <c r="A61" s="17" t="str">
        <f>A22</f>
        <v>(mil gal/yr)</v>
      </c>
      <c r="B61" s="28" t="str">
        <f>B22</f>
        <v>&lt; 2021</v>
      </c>
      <c r="C61" s="18">
        <f t="shared" ref="C61:Q61" si="22">C22</f>
        <v>2021</v>
      </c>
      <c r="D61" s="18">
        <f t="shared" si="22"/>
        <v>2022</v>
      </c>
      <c r="E61" s="18">
        <f t="shared" si="22"/>
        <v>2023</v>
      </c>
      <c r="F61" s="18">
        <f t="shared" si="22"/>
        <v>2024</v>
      </c>
      <c r="G61" s="18">
        <f t="shared" si="22"/>
        <v>2025</v>
      </c>
      <c r="H61" s="18">
        <f t="shared" si="22"/>
        <v>2026</v>
      </c>
      <c r="I61" s="18">
        <f t="shared" si="22"/>
        <v>2027</v>
      </c>
      <c r="J61" s="18">
        <f t="shared" si="22"/>
        <v>2028</v>
      </c>
      <c r="K61" s="18">
        <f t="shared" si="22"/>
        <v>2029</v>
      </c>
      <c r="L61" s="18">
        <f t="shared" si="22"/>
        <v>2030</v>
      </c>
      <c r="M61" s="18">
        <f t="shared" si="22"/>
        <v>2031</v>
      </c>
      <c r="N61" s="18">
        <f t="shared" si="22"/>
        <v>2032</v>
      </c>
      <c r="O61" s="18">
        <f t="shared" si="22"/>
        <v>2033</v>
      </c>
      <c r="P61" s="18">
        <f t="shared" si="22"/>
        <v>2034</v>
      </c>
      <c r="Q61" s="18">
        <f t="shared" si="22"/>
        <v>2035</v>
      </c>
    </row>
    <row r="62" spans="1:20">
      <c r="A62" s="20" t="s">
        <v>26</v>
      </c>
      <c r="B62" s="7">
        <f>B53</f>
        <v>15.33</v>
      </c>
      <c r="C62" s="22">
        <f>B62+C53</f>
        <v>45.99</v>
      </c>
      <c r="D62" s="22">
        <f t="shared" ref="D62:Q63" si="23">C62+D53</f>
        <v>55.800375000000003</v>
      </c>
      <c r="E62" s="22">
        <f t="shared" si="23"/>
        <v>55.800375000000003</v>
      </c>
      <c r="F62" s="23">
        <f t="shared" si="23"/>
        <v>297.94037500000002</v>
      </c>
      <c r="G62" s="23">
        <f t="shared" si="23"/>
        <v>1021.9538749999999</v>
      </c>
      <c r="H62" s="23">
        <f t="shared" si="23"/>
        <v>1214.4748749999999</v>
      </c>
      <c r="I62" s="23">
        <f t="shared" si="23"/>
        <v>1345.2348749999999</v>
      </c>
      <c r="J62" s="23">
        <f t="shared" si="23"/>
        <v>1485.5148749999998</v>
      </c>
      <c r="K62" s="23">
        <f t="shared" si="23"/>
        <v>1535.0148749999998</v>
      </c>
      <c r="L62" s="23">
        <f t="shared" si="23"/>
        <v>1551.5148749999998</v>
      </c>
      <c r="M62" s="23">
        <f t="shared" si="23"/>
        <v>1551.5148749999998</v>
      </c>
      <c r="N62" s="23">
        <f t="shared" si="23"/>
        <v>1551.5148749999998</v>
      </c>
      <c r="O62" s="23">
        <f t="shared" si="23"/>
        <v>1551.5148749999998</v>
      </c>
      <c r="P62" s="23">
        <f t="shared" si="23"/>
        <v>1551.5148749999998</v>
      </c>
      <c r="Q62" s="23">
        <f t="shared" si="23"/>
        <v>1551.5148749999998</v>
      </c>
    </row>
    <row r="63" spans="1:20">
      <c r="A63" s="20" t="s">
        <v>27</v>
      </c>
      <c r="B63" s="22">
        <f>B54</f>
        <v>0</v>
      </c>
      <c r="C63" s="22">
        <f>B63+C54</f>
        <v>0</v>
      </c>
      <c r="D63" s="22">
        <f t="shared" si="23"/>
        <v>0</v>
      </c>
      <c r="E63" s="22">
        <f t="shared" si="23"/>
        <v>0</v>
      </c>
      <c r="F63" s="23">
        <f t="shared" si="23"/>
        <v>0</v>
      </c>
      <c r="G63" s="23">
        <f t="shared" si="23"/>
        <v>132.1</v>
      </c>
      <c r="H63" s="23">
        <f t="shared" si="23"/>
        <v>180.3</v>
      </c>
      <c r="I63" s="23">
        <f>H63+I54</f>
        <v>180.3</v>
      </c>
      <c r="J63" s="23">
        <f t="shared" si="23"/>
        <v>282.399</v>
      </c>
      <c r="K63" s="23">
        <f t="shared" si="23"/>
        <v>292.96699999999998</v>
      </c>
      <c r="L63" s="23">
        <f t="shared" si="23"/>
        <v>302.96699999999998</v>
      </c>
      <c r="M63" s="23">
        <f t="shared" si="23"/>
        <v>302.96699999999998</v>
      </c>
      <c r="N63" s="23">
        <f t="shared" si="23"/>
        <v>302.96699999999998</v>
      </c>
      <c r="O63" s="23">
        <f t="shared" si="23"/>
        <v>302.96699999999998</v>
      </c>
      <c r="P63" s="23">
        <f t="shared" si="23"/>
        <v>302.96699999999998</v>
      </c>
      <c r="Q63" s="23">
        <f t="shared" si="23"/>
        <v>302.96699999999998</v>
      </c>
    </row>
    <row r="64" spans="1:20">
      <c r="A64" s="20" t="s">
        <v>28</v>
      </c>
      <c r="B64" s="22">
        <f>B55</f>
        <v>0</v>
      </c>
      <c r="C64" s="22">
        <f t="shared" ref="C64:Q66" si="24">B64+C55</f>
        <v>0</v>
      </c>
      <c r="D64" s="22">
        <f t="shared" si="24"/>
        <v>0</v>
      </c>
      <c r="E64" s="22">
        <f t="shared" si="24"/>
        <v>0</v>
      </c>
      <c r="F64" s="23">
        <f t="shared" si="24"/>
        <v>0</v>
      </c>
      <c r="G64" s="23">
        <f t="shared" si="24"/>
        <v>66</v>
      </c>
      <c r="H64" s="23">
        <f t="shared" si="24"/>
        <v>98.109499999999997</v>
      </c>
      <c r="I64" s="23">
        <f t="shared" si="24"/>
        <v>134.1095</v>
      </c>
      <c r="J64" s="23">
        <f t="shared" si="24"/>
        <v>134.1095</v>
      </c>
      <c r="K64" s="23">
        <f t="shared" si="24"/>
        <v>134.1095</v>
      </c>
      <c r="L64" s="23">
        <f t="shared" si="24"/>
        <v>134.1095</v>
      </c>
      <c r="M64" s="23">
        <f t="shared" si="24"/>
        <v>134.1095</v>
      </c>
      <c r="N64" s="23">
        <f t="shared" si="24"/>
        <v>134.1095</v>
      </c>
      <c r="O64" s="23">
        <f t="shared" si="24"/>
        <v>134.1095</v>
      </c>
      <c r="P64" s="23">
        <f t="shared" si="24"/>
        <v>134.1095</v>
      </c>
      <c r="Q64" s="23">
        <f t="shared" si="24"/>
        <v>134.1095</v>
      </c>
    </row>
    <row r="65" spans="1:21">
      <c r="A65" s="20" t="s">
        <v>29</v>
      </c>
      <c r="B65" s="22">
        <f>B56</f>
        <v>0</v>
      </c>
      <c r="C65" s="22">
        <f t="shared" si="24"/>
        <v>6.6E-3</v>
      </c>
      <c r="D65" s="22">
        <f t="shared" si="24"/>
        <v>7.2599999999999998E-2</v>
      </c>
      <c r="E65" s="22">
        <f t="shared" si="24"/>
        <v>7.2599999999999998E-2</v>
      </c>
      <c r="F65" s="23">
        <f t="shared" si="24"/>
        <v>1.098719</v>
      </c>
      <c r="G65" s="23">
        <f t="shared" si="24"/>
        <v>2.2537190000000002</v>
      </c>
      <c r="H65" s="23">
        <f t="shared" si="24"/>
        <v>78.154594000000003</v>
      </c>
      <c r="I65" s="23">
        <f t="shared" si="24"/>
        <v>170.86859399999997</v>
      </c>
      <c r="J65" s="23">
        <f t="shared" si="24"/>
        <v>328.49859399999997</v>
      </c>
      <c r="K65" s="23">
        <f t="shared" si="24"/>
        <v>354.21659399999999</v>
      </c>
      <c r="L65" s="23">
        <f t="shared" si="24"/>
        <v>447.74459400000001</v>
      </c>
      <c r="M65" s="23">
        <f t="shared" si="24"/>
        <v>639.28959400000008</v>
      </c>
      <c r="N65" s="23">
        <f t="shared" si="24"/>
        <v>980.35959400000013</v>
      </c>
      <c r="O65" s="23">
        <f t="shared" si="24"/>
        <v>1062.9595940000002</v>
      </c>
      <c r="P65" s="23">
        <f t="shared" si="24"/>
        <v>1063.0559940000001</v>
      </c>
      <c r="Q65" s="23">
        <f t="shared" si="24"/>
        <v>1063.1379940000002</v>
      </c>
    </row>
    <row r="66" spans="1:21">
      <c r="A66" s="20" t="s">
        <v>30</v>
      </c>
      <c r="B66" s="22">
        <f>B57</f>
        <v>0</v>
      </c>
      <c r="C66" s="22">
        <f t="shared" si="24"/>
        <v>0</v>
      </c>
      <c r="D66" s="22">
        <f t="shared" si="24"/>
        <v>0</v>
      </c>
      <c r="E66" s="22">
        <f t="shared" si="24"/>
        <v>0</v>
      </c>
      <c r="F66" s="23">
        <f t="shared" si="24"/>
        <v>0.46200000000000002</v>
      </c>
      <c r="G66" s="23">
        <f t="shared" si="24"/>
        <v>30.548000000000002</v>
      </c>
      <c r="H66" s="23">
        <f t="shared" si="24"/>
        <v>35.148000000000003</v>
      </c>
      <c r="I66" s="23">
        <f t="shared" si="24"/>
        <v>100.71549999999999</v>
      </c>
      <c r="J66" s="23">
        <f t="shared" si="24"/>
        <v>180.56549999999999</v>
      </c>
      <c r="K66" s="23">
        <f t="shared" si="24"/>
        <v>180.56549999999999</v>
      </c>
      <c r="L66" s="23">
        <f t="shared" si="24"/>
        <v>205.56549999999999</v>
      </c>
      <c r="M66" s="23">
        <f t="shared" si="24"/>
        <v>205.56549999999999</v>
      </c>
      <c r="N66" s="23">
        <f t="shared" si="24"/>
        <v>253.89549999999997</v>
      </c>
      <c r="O66" s="23">
        <f t="shared" si="24"/>
        <v>253.89549999999997</v>
      </c>
      <c r="P66" s="23">
        <f t="shared" si="24"/>
        <v>253.89549999999997</v>
      </c>
      <c r="Q66" s="23">
        <f t="shared" si="24"/>
        <v>253.89549999999997</v>
      </c>
    </row>
    <row r="67" spans="1:21" ht="15.75" thickBot="1">
      <c r="A67" s="40" t="s">
        <v>11</v>
      </c>
      <c r="B67" s="41">
        <f>SUM(B62:B66)</f>
        <v>15.33</v>
      </c>
      <c r="C67" s="41">
        <f>SUM(C62:C66)</f>
        <v>45.996600000000001</v>
      </c>
      <c r="D67" s="41">
        <f t="shared" ref="D67:Q67" si="25">SUM(D62:D66)</f>
        <v>55.872975000000004</v>
      </c>
      <c r="E67" s="41">
        <f t="shared" si="25"/>
        <v>55.872975000000004</v>
      </c>
      <c r="F67" s="42">
        <f t="shared" si="25"/>
        <v>299.50109400000002</v>
      </c>
      <c r="G67" s="42">
        <f t="shared" si="25"/>
        <v>1252.8555939999999</v>
      </c>
      <c r="H67" s="42">
        <f t="shared" si="25"/>
        <v>1606.1869689999999</v>
      </c>
      <c r="I67" s="42">
        <f t="shared" si="25"/>
        <v>1931.2284689999999</v>
      </c>
      <c r="J67" s="42">
        <f t="shared" si="25"/>
        <v>2411.0874690000001</v>
      </c>
      <c r="K67" s="42">
        <f t="shared" si="25"/>
        <v>2496.8734690000001</v>
      </c>
      <c r="L67" s="42">
        <f t="shared" si="25"/>
        <v>2641.9014689999999</v>
      </c>
      <c r="M67" s="42">
        <f t="shared" si="25"/>
        <v>2833.446469</v>
      </c>
      <c r="N67" s="42">
        <f t="shared" si="25"/>
        <v>3222.8464690000001</v>
      </c>
      <c r="O67" s="42">
        <f t="shared" si="25"/>
        <v>3305.446469</v>
      </c>
      <c r="P67" s="42">
        <f t="shared" si="25"/>
        <v>3305.5428690000003</v>
      </c>
      <c r="Q67" s="42">
        <f t="shared" si="25"/>
        <v>3305.6248690000002</v>
      </c>
    </row>
    <row r="68" spans="1:21">
      <c r="A68" s="26"/>
      <c r="B68" s="26"/>
      <c r="C68" s="26"/>
      <c r="D68" s="26"/>
      <c r="E68" s="26"/>
      <c r="F68" s="26"/>
      <c r="G68" s="26"/>
      <c r="H68" s="26"/>
      <c r="I68" s="26"/>
      <c r="J68" s="26"/>
      <c r="K68" s="26"/>
      <c r="L68" s="26"/>
      <c r="M68" s="26"/>
      <c r="N68" s="26"/>
      <c r="O68" s="26"/>
      <c r="P68" s="26"/>
      <c r="Q68" s="26"/>
    </row>
    <row r="69" spans="1:21" ht="15.75" customHeight="1" thickBot="1">
      <c r="A69" s="38" t="s">
        <v>32</v>
      </c>
      <c r="S69" s="390" t="s">
        <v>33</v>
      </c>
      <c r="T69" s="390"/>
      <c r="U69" s="392" t="s">
        <v>34</v>
      </c>
    </row>
    <row r="70" spans="1:21" ht="15.75" thickBot="1">
      <c r="A70" s="17" t="str">
        <f>A22</f>
        <v>(mil gal/yr)</v>
      </c>
      <c r="B70" s="28" t="str">
        <f t="shared" ref="B70:Q70" si="26">B22</f>
        <v>&lt; 2021</v>
      </c>
      <c r="C70" s="18">
        <f t="shared" si="26"/>
        <v>2021</v>
      </c>
      <c r="D70" s="18">
        <f t="shared" si="26"/>
        <v>2022</v>
      </c>
      <c r="E70" s="18">
        <f t="shared" si="26"/>
        <v>2023</v>
      </c>
      <c r="F70" s="18">
        <f t="shared" si="26"/>
        <v>2024</v>
      </c>
      <c r="G70" s="18">
        <f t="shared" si="26"/>
        <v>2025</v>
      </c>
      <c r="H70" s="18">
        <f t="shared" si="26"/>
        <v>2026</v>
      </c>
      <c r="I70" s="18">
        <f t="shared" si="26"/>
        <v>2027</v>
      </c>
      <c r="J70" s="18">
        <f t="shared" si="26"/>
        <v>2028</v>
      </c>
      <c r="K70" s="18">
        <f t="shared" si="26"/>
        <v>2029</v>
      </c>
      <c r="L70" s="18">
        <f t="shared" si="26"/>
        <v>2030</v>
      </c>
      <c r="M70" s="18">
        <f t="shared" si="26"/>
        <v>2031</v>
      </c>
      <c r="N70" s="18">
        <f t="shared" si="26"/>
        <v>2032</v>
      </c>
      <c r="O70" s="18">
        <f t="shared" si="26"/>
        <v>2033</v>
      </c>
      <c r="P70" s="18">
        <f t="shared" si="26"/>
        <v>2034</v>
      </c>
      <c r="Q70" s="18">
        <f t="shared" si="26"/>
        <v>2035</v>
      </c>
      <c r="S70" s="391"/>
      <c r="T70" s="391"/>
      <c r="U70" s="392"/>
    </row>
    <row r="71" spans="1:21">
      <c r="A71" s="43" t="s">
        <v>36</v>
      </c>
      <c r="B71" s="48">
        <f t="shared" ref="B71:Q71" si="27">B62*$S71</f>
        <v>126.4725</v>
      </c>
      <c r="C71" s="48">
        <f t="shared" si="27"/>
        <v>379.41750000000002</v>
      </c>
      <c r="D71" s="48">
        <f t="shared" si="27"/>
        <v>460.35309375000003</v>
      </c>
      <c r="E71" s="48">
        <f t="shared" si="27"/>
        <v>460.35309375000003</v>
      </c>
      <c r="F71" s="49">
        <f t="shared" si="27"/>
        <v>2458.0080937500002</v>
      </c>
      <c r="G71" s="49">
        <f t="shared" si="27"/>
        <v>8431.1194687499992</v>
      </c>
      <c r="H71" s="49">
        <f t="shared" si="27"/>
        <v>10019.417718749999</v>
      </c>
      <c r="I71" s="49">
        <f t="shared" si="27"/>
        <v>11098.187718749999</v>
      </c>
      <c r="J71" s="49">
        <f t="shared" si="27"/>
        <v>12255.497718749999</v>
      </c>
      <c r="K71" s="49">
        <f t="shared" si="27"/>
        <v>12663.872718749999</v>
      </c>
      <c r="L71" s="49">
        <f t="shared" si="27"/>
        <v>12799.997718749999</v>
      </c>
      <c r="M71" s="49">
        <f t="shared" si="27"/>
        <v>12799.997718749999</v>
      </c>
      <c r="N71" s="49">
        <f t="shared" si="27"/>
        <v>12799.997718749999</v>
      </c>
      <c r="O71" s="49">
        <f t="shared" si="27"/>
        <v>12799.997718749999</v>
      </c>
      <c r="P71" s="49">
        <f t="shared" si="27"/>
        <v>12799.997718749999</v>
      </c>
      <c r="Q71" s="49">
        <f t="shared" si="27"/>
        <v>12799.997718749999</v>
      </c>
      <c r="S71" s="44">
        <v>8.25</v>
      </c>
      <c r="T71" s="45" t="s">
        <v>37</v>
      </c>
      <c r="U71" s="45" t="s">
        <v>38</v>
      </c>
    </row>
    <row r="72" spans="1:21">
      <c r="A72" s="43" t="s">
        <v>39</v>
      </c>
      <c r="B72" s="48">
        <f t="shared" ref="B72:Q72" si="28">B79*$S72</f>
        <v>0</v>
      </c>
      <c r="C72" s="48">
        <f t="shared" si="28"/>
        <v>0</v>
      </c>
      <c r="D72" s="48">
        <f t="shared" si="28"/>
        <v>0</v>
      </c>
      <c r="E72" s="48">
        <f t="shared" si="28"/>
        <v>0</v>
      </c>
      <c r="F72" s="49">
        <f t="shared" si="28"/>
        <v>0</v>
      </c>
      <c r="G72" s="49">
        <f t="shared" si="28"/>
        <v>4476.0840579710148</v>
      </c>
      <c r="H72" s="49">
        <f t="shared" si="28"/>
        <v>6109.2956521739143</v>
      </c>
      <c r="I72" s="49">
        <f t="shared" si="28"/>
        <v>6109.2956521739143</v>
      </c>
      <c r="J72" s="49">
        <f t="shared" si="28"/>
        <v>9568.8240869565234</v>
      </c>
      <c r="K72" s="49">
        <f t="shared" si="28"/>
        <v>9926.9108115942036</v>
      </c>
      <c r="L72" s="49">
        <f t="shared" si="28"/>
        <v>10265.751391304349</v>
      </c>
      <c r="M72" s="49">
        <f t="shared" si="28"/>
        <v>10265.751391304349</v>
      </c>
      <c r="N72" s="49">
        <f t="shared" si="28"/>
        <v>10265.751391304349</v>
      </c>
      <c r="O72" s="49">
        <f t="shared" si="28"/>
        <v>10265.751391304349</v>
      </c>
      <c r="P72" s="49">
        <f t="shared" si="28"/>
        <v>10265.751391304349</v>
      </c>
      <c r="Q72" s="49">
        <f t="shared" si="28"/>
        <v>10265.751391304349</v>
      </c>
      <c r="S72" s="44">
        <f>S80*56</f>
        <v>20.289855072463773</v>
      </c>
      <c r="T72" s="45" t="s">
        <v>37</v>
      </c>
    </row>
    <row r="73" spans="1:21">
      <c r="A73" s="43" t="s">
        <v>40</v>
      </c>
      <c r="B73" s="48">
        <f t="shared" ref="B73:Q75" si="29">B64*$S73</f>
        <v>0</v>
      </c>
      <c r="C73" s="48">
        <f t="shared" si="29"/>
        <v>0</v>
      </c>
      <c r="D73" s="48">
        <f t="shared" si="29"/>
        <v>0</v>
      </c>
      <c r="E73" s="48">
        <f t="shared" si="29"/>
        <v>0</v>
      </c>
      <c r="F73" s="49">
        <f t="shared" si="29"/>
        <v>0</v>
      </c>
      <c r="G73" s="49">
        <f t="shared" si="29"/>
        <v>2310</v>
      </c>
      <c r="H73" s="49">
        <f t="shared" si="29"/>
        <v>3433.8325</v>
      </c>
      <c r="I73" s="49">
        <f t="shared" si="29"/>
        <v>4693.8324999999995</v>
      </c>
      <c r="J73" s="49">
        <f t="shared" si="29"/>
        <v>4693.8324999999995</v>
      </c>
      <c r="K73" s="49">
        <f t="shared" si="29"/>
        <v>4693.8324999999995</v>
      </c>
      <c r="L73" s="49">
        <f t="shared" si="29"/>
        <v>4693.8324999999995</v>
      </c>
      <c r="M73" s="49">
        <f t="shared" si="29"/>
        <v>4693.8324999999995</v>
      </c>
      <c r="N73" s="49">
        <f t="shared" si="29"/>
        <v>4693.8324999999995</v>
      </c>
      <c r="O73" s="49">
        <f t="shared" si="29"/>
        <v>4693.8324999999995</v>
      </c>
      <c r="P73" s="49">
        <f t="shared" si="29"/>
        <v>4693.8324999999995</v>
      </c>
      <c r="Q73" s="49">
        <f t="shared" si="29"/>
        <v>4693.8324999999995</v>
      </c>
      <c r="S73" s="44">
        <v>35</v>
      </c>
      <c r="T73" s="45" t="s">
        <v>37</v>
      </c>
      <c r="U73" s="45" t="s">
        <v>41</v>
      </c>
    </row>
    <row r="74" spans="1:21">
      <c r="A74" s="43" t="s">
        <v>42</v>
      </c>
      <c r="B74" s="48">
        <f t="shared" si="29"/>
        <v>0</v>
      </c>
      <c r="C74" s="48">
        <f t="shared" si="29"/>
        <v>0.12687356660655597</v>
      </c>
      <c r="D74" s="48">
        <f t="shared" si="29"/>
        <v>1.3956092326721157</v>
      </c>
      <c r="E74" s="48">
        <f t="shared" si="29"/>
        <v>1.3956092326721157</v>
      </c>
      <c r="F74" s="49">
        <f t="shared" si="29"/>
        <v>21.120969428543724</v>
      </c>
      <c r="G74" s="49">
        <f t="shared" si="29"/>
        <v>43.323843584691026</v>
      </c>
      <c r="H74" s="49">
        <f t="shared" si="29"/>
        <v>1502.386679919294</v>
      </c>
      <c r="I74" s="49">
        <f t="shared" si="29"/>
        <v>3284.6527184587226</v>
      </c>
      <c r="J74" s="49">
        <f t="shared" si="29"/>
        <v>6314.8164009119673</v>
      </c>
      <c r="K74" s="49">
        <f t="shared" si="29"/>
        <v>6809.2003987888475</v>
      </c>
      <c r="L74" s="49">
        <f t="shared" si="29"/>
        <v>8607.1141772097526</v>
      </c>
      <c r="M74" s="49">
        <f t="shared" si="29"/>
        <v>12289.234982611688</v>
      </c>
      <c r="N74" s="49">
        <f t="shared" si="29"/>
        <v>18845.714886020483</v>
      </c>
      <c r="O74" s="49">
        <f t="shared" si="29"/>
        <v>20433.556795369201</v>
      </c>
      <c r="P74" s="49">
        <f t="shared" si="29"/>
        <v>20435.409918372359</v>
      </c>
      <c r="Q74" s="49">
        <f t="shared" si="29"/>
        <v>20436.986226321111</v>
      </c>
      <c r="S74" s="44">
        <v>19.223267667659997</v>
      </c>
      <c r="T74" s="45" t="s">
        <v>37</v>
      </c>
      <c r="U74" s="46" t="s">
        <v>43</v>
      </c>
    </row>
    <row r="75" spans="1:21" ht="15.75" thickBot="1">
      <c r="A75" s="43" t="s">
        <v>44</v>
      </c>
      <c r="B75" s="48">
        <f t="shared" si="29"/>
        <v>0</v>
      </c>
      <c r="C75" s="48">
        <f t="shared" si="29"/>
        <v>0</v>
      </c>
      <c r="D75" s="48">
        <f t="shared" si="29"/>
        <v>0</v>
      </c>
      <c r="E75" s="48">
        <f t="shared" si="29"/>
        <v>0</v>
      </c>
      <c r="F75" s="49">
        <f t="shared" si="29"/>
        <v>18.387599999999999</v>
      </c>
      <c r="G75" s="49">
        <f t="shared" si="29"/>
        <v>1215.8104000000001</v>
      </c>
      <c r="H75" s="49">
        <f t="shared" si="29"/>
        <v>1398.8904</v>
      </c>
      <c r="I75" s="49">
        <f t="shared" si="29"/>
        <v>4008.4768999999992</v>
      </c>
      <c r="J75" s="49">
        <f t="shared" si="29"/>
        <v>7186.5068999999985</v>
      </c>
      <c r="K75" s="49">
        <f t="shared" si="29"/>
        <v>7186.5068999999985</v>
      </c>
      <c r="L75" s="49">
        <f t="shared" si="29"/>
        <v>8181.5068999999985</v>
      </c>
      <c r="M75" s="49">
        <f t="shared" si="29"/>
        <v>8181.5068999999985</v>
      </c>
      <c r="N75" s="49">
        <f t="shared" si="29"/>
        <v>10105.040899999998</v>
      </c>
      <c r="O75" s="49">
        <f t="shared" si="29"/>
        <v>10105.040899999998</v>
      </c>
      <c r="P75" s="49">
        <f t="shared" si="29"/>
        <v>10105.040899999998</v>
      </c>
      <c r="Q75" s="49">
        <f t="shared" si="29"/>
        <v>10105.040899999998</v>
      </c>
      <c r="S75" s="44">
        <v>39.799999999999997</v>
      </c>
      <c r="T75" s="45" t="s">
        <v>37</v>
      </c>
    </row>
    <row r="76" spans="1:21">
      <c r="A76" s="26"/>
      <c r="B76" s="26"/>
      <c r="C76" s="26"/>
      <c r="D76" s="26"/>
      <c r="E76" s="26"/>
      <c r="F76" s="26"/>
      <c r="G76" s="26"/>
      <c r="H76" s="26"/>
      <c r="I76" s="26"/>
      <c r="J76" s="26"/>
      <c r="K76" s="26"/>
      <c r="L76" s="26"/>
      <c r="M76" s="26"/>
      <c r="N76" s="26"/>
      <c r="O76" s="26"/>
      <c r="P76" s="26"/>
      <c r="Q76" s="26"/>
    </row>
    <row r="77" spans="1:21">
      <c r="A77" s="38" t="s">
        <v>45</v>
      </c>
    </row>
    <row r="78" spans="1:21">
      <c r="A78" s="43" t="s">
        <v>46</v>
      </c>
      <c r="B78" s="48">
        <f t="shared" ref="B78:Q78" si="30">B79*$S78</f>
        <v>0</v>
      </c>
      <c r="C78" s="48">
        <f t="shared" si="30"/>
        <v>0</v>
      </c>
      <c r="D78" s="48">
        <f t="shared" si="30"/>
        <v>0</v>
      </c>
      <c r="E78" s="49">
        <f t="shared" si="30"/>
        <v>0</v>
      </c>
      <c r="F78" s="49">
        <f t="shared" si="30"/>
        <v>0</v>
      </c>
      <c r="G78" s="49">
        <f t="shared" si="30"/>
        <v>1453.8001299999999</v>
      </c>
      <c r="H78" s="49">
        <f t="shared" si="30"/>
        <v>1984.25559</v>
      </c>
      <c r="I78" s="49">
        <f t="shared" si="30"/>
        <v>1984.25559</v>
      </c>
      <c r="J78" s="49">
        <f t="shared" si="30"/>
        <v>3107.8857146999994</v>
      </c>
      <c r="K78" s="49">
        <f t="shared" si="30"/>
        <v>3224.1897250999996</v>
      </c>
      <c r="L78" s="49">
        <f t="shared" si="30"/>
        <v>3334.2427250999999</v>
      </c>
      <c r="M78" s="49">
        <f t="shared" si="30"/>
        <v>3334.2427250999999</v>
      </c>
      <c r="N78" s="49">
        <f t="shared" si="30"/>
        <v>3334.2427250999999</v>
      </c>
      <c r="O78" s="49">
        <f t="shared" si="30"/>
        <v>3334.2427250999999</v>
      </c>
      <c r="P78" s="49">
        <f t="shared" si="30"/>
        <v>3334.2427250999999</v>
      </c>
      <c r="Q78" s="49">
        <f t="shared" si="30"/>
        <v>3334.2427250999999</v>
      </c>
      <c r="S78" s="44">
        <v>6.59</v>
      </c>
      <c r="T78" s="45" t="s">
        <v>37</v>
      </c>
      <c r="U78" s="45"/>
    </row>
    <row r="79" spans="1:21">
      <c r="A79" s="43" t="s">
        <v>47</v>
      </c>
      <c r="B79" s="48">
        <f t="shared" ref="B79:Q79" si="31">B63*$S79</f>
        <v>0</v>
      </c>
      <c r="C79" s="48">
        <f t="shared" si="31"/>
        <v>0</v>
      </c>
      <c r="D79" s="48">
        <f t="shared" si="31"/>
        <v>0</v>
      </c>
      <c r="E79" s="49">
        <f t="shared" si="31"/>
        <v>0</v>
      </c>
      <c r="F79" s="49">
        <f t="shared" si="31"/>
        <v>0</v>
      </c>
      <c r="G79" s="49">
        <f t="shared" si="31"/>
        <v>220.60699999999997</v>
      </c>
      <c r="H79" s="49">
        <f t="shared" si="31"/>
        <v>301.101</v>
      </c>
      <c r="I79" s="49">
        <f t="shared" si="31"/>
        <v>301.101</v>
      </c>
      <c r="J79" s="49">
        <f t="shared" si="31"/>
        <v>471.60632999999996</v>
      </c>
      <c r="K79" s="49">
        <f t="shared" si="31"/>
        <v>489.25488999999993</v>
      </c>
      <c r="L79" s="49">
        <f t="shared" si="31"/>
        <v>505.95488999999998</v>
      </c>
      <c r="M79" s="49">
        <f t="shared" si="31"/>
        <v>505.95488999999998</v>
      </c>
      <c r="N79" s="49">
        <f t="shared" si="31"/>
        <v>505.95488999999998</v>
      </c>
      <c r="O79" s="49">
        <f t="shared" si="31"/>
        <v>505.95488999999998</v>
      </c>
      <c r="P79" s="49">
        <f t="shared" si="31"/>
        <v>505.95488999999998</v>
      </c>
      <c r="Q79" s="49">
        <f t="shared" si="31"/>
        <v>505.95488999999998</v>
      </c>
      <c r="S79" s="44">
        <v>1.67</v>
      </c>
      <c r="T79" s="45" t="s">
        <v>48</v>
      </c>
      <c r="U79" s="45" t="s">
        <v>49</v>
      </c>
    </row>
    <row r="80" spans="1:21">
      <c r="A80" s="43" t="s">
        <v>50</v>
      </c>
      <c r="B80" s="48">
        <f t="shared" ref="B80:Q80" si="32">B79*$S80</f>
        <v>0</v>
      </c>
      <c r="C80" s="48">
        <f t="shared" si="32"/>
        <v>0</v>
      </c>
      <c r="D80" s="48">
        <f t="shared" si="32"/>
        <v>0</v>
      </c>
      <c r="E80" s="49">
        <f t="shared" si="32"/>
        <v>0</v>
      </c>
      <c r="F80" s="49">
        <f t="shared" si="32"/>
        <v>0</v>
      </c>
      <c r="G80" s="49">
        <f t="shared" si="32"/>
        <v>79.930072463768113</v>
      </c>
      <c r="H80" s="49">
        <f t="shared" si="32"/>
        <v>109.09456521739132</v>
      </c>
      <c r="I80" s="49">
        <f t="shared" si="32"/>
        <v>109.09456521739132</v>
      </c>
      <c r="J80" s="49">
        <f t="shared" si="32"/>
        <v>170.87185869565218</v>
      </c>
      <c r="K80" s="49">
        <f t="shared" si="32"/>
        <v>177.26626449275363</v>
      </c>
      <c r="L80" s="49">
        <f t="shared" si="32"/>
        <v>183.31698913043479</v>
      </c>
      <c r="M80" s="49">
        <f t="shared" si="32"/>
        <v>183.31698913043479</v>
      </c>
      <c r="N80" s="49">
        <f t="shared" si="32"/>
        <v>183.31698913043479</v>
      </c>
      <c r="O80" s="49">
        <f t="shared" si="32"/>
        <v>183.31698913043479</v>
      </c>
      <c r="P80" s="49">
        <f t="shared" si="32"/>
        <v>183.31698913043479</v>
      </c>
      <c r="Q80" s="49">
        <f t="shared" si="32"/>
        <v>183.31698913043479</v>
      </c>
      <c r="S80" s="50">
        <f>1/S81</f>
        <v>0.3623188405797102</v>
      </c>
      <c r="T80" s="45" t="s">
        <v>51</v>
      </c>
      <c r="U80" s="20" t="s">
        <v>52</v>
      </c>
    </row>
    <row r="81" spans="1:22">
      <c r="S81" s="51">
        <v>2.76</v>
      </c>
      <c r="T81" s="45" t="s">
        <v>53</v>
      </c>
      <c r="U81" s="45" t="s">
        <v>54</v>
      </c>
    </row>
    <row r="82" spans="1:22">
      <c r="A82" s="43" t="s">
        <v>55</v>
      </c>
      <c r="C82" s="48"/>
      <c r="D82" s="48"/>
      <c r="E82" s="49"/>
      <c r="F82" s="49"/>
      <c r="G82" s="49"/>
      <c r="H82" s="49"/>
      <c r="I82" s="49"/>
      <c r="J82" s="49"/>
      <c r="K82" s="49"/>
      <c r="L82" s="49"/>
      <c r="M82" s="49"/>
      <c r="N82" s="49"/>
      <c r="O82" s="49"/>
      <c r="P82" s="49"/>
      <c r="Q82" s="49"/>
    </row>
    <row r="83" spans="1:22">
      <c r="A83" s="43" t="s">
        <v>56</v>
      </c>
      <c r="C83" s="52"/>
      <c r="D83" s="52"/>
      <c r="E83" s="53"/>
      <c r="F83" s="53"/>
      <c r="G83" s="53"/>
      <c r="H83" s="53"/>
      <c r="I83" s="53"/>
      <c r="J83" s="53"/>
      <c r="K83" s="53"/>
      <c r="L83" s="53"/>
      <c r="M83" s="53"/>
      <c r="N83" s="53"/>
      <c r="O83" s="53"/>
      <c r="P83" s="53"/>
      <c r="Q83" s="53"/>
    </row>
    <row r="84" spans="1:22">
      <c r="A84" s="43" t="s">
        <v>57</v>
      </c>
    </row>
    <row r="85" spans="1:22">
      <c r="A85" s="43" t="s">
        <v>58</v>
      </c>
    </row>
    <row r="86" spans="1:22">
      <c r="A86" s="43" t="s">
        <v>59</v>
      </c>
      <c r="C86" s="54"/>
      <c r="D86" s="54"/>
      <c r="E86" s="55"/>
      <c r="F86" s="55"/>
      <c r="G86" s="55"/>
      <c r="H86" s="55"/>
      <c r="I86" s="55"/>
      <c r="J86" s="55"/>
      <c r="K86" s="55"/>
      <c r="L86" s="55"/>
      <c r="M86" s="55"/>
      <c r="N86" s="55"/>
      <c r="O86" s="55"/>
      <c r="P86" s="55"/>
      <c r="Q86" s="55"/>
    </row>
    <row r="88" spans="1:22">
      <c r="A88" s="43" t="s">
        <v>60</v>
      </c>
      <c r="C88" s="48"/>
      <c r="D88" s="48"/>
      <c r="E88" s="49"/>
      <c r="F88" s="49"/>
      <c r="G88" s="49"/>
      <c r="H88" s="49"/>
      <c r="I88" s="49"/>
      <c r="J88" s="49"/>
      <c r="K88" s="49"/>
      <c r="L88" s="49"/>
      <c r="M88" s="49"/>
      <c r="N88" s="49"/>
      <c r="O88" s="49"/>
      <c r="P88" s="49"/>
      <c r="Q88" s="49"/>
    </row>
    <row r="89" spans="1:22">
      <c r="A89" s="43" t="s">
        <v>61</v>
      </c>
      <c r="C89" s="48"/>
      <c r="D89" s="48"/>
      <c r="E89" s="49"/>
      <c r="F89" s="49"/>
      <c r="G89" s="49"/>
      <c r="H89" s="49"/>
      <c r="I89" s="49"/>
      <c r="J89" s="49"/>
      <c r="K89" s="49"/>
      <c r="L89" s="49"/>
      <c r="M89" s="49"/>
      <c r="N89" s="49"/>
      <c r="O89" s="49"/>
      <c r="P89" s="49"/>
      <c r="Q89" s="49"/>
    </row>
    <row r="90" spans="1:22">
      <c r="A90" s="56"/>
      <c r="B90" s="56"/>
      <c r="C90" s="56"/>
      <c r="D90" s="56"/>
      <c r="E90" s="56"/>
      <c r="F90" s="56"/>
      <c r="G90" s="56"/>
      <c r="H90" s="56"/>
      <c r="I90" s="56"/>
      <c r="J90" s="56"/>
      <c r="K90" s="56"/>
      <c r="L90" s="56"/>
      <c r="M90" s="56"/>
      <c r="N90" s="56"/>
      <c r="O90" s="56"/>
      <c r="P90" s="56"/>
      <c r="Q90" s="56"/>
      <c r="R90" s="56"/>
    </row>
    <row r="91" spans="1:22" ht="15.75" thickBot="1">
      <c r="A91" s="57" t="s">
        <v>459</v>
      </c>
      <c r="B91" s="56"/>
      <c r="C91" s="56"/>
      <c r="D91" s="56"/>
      <c r="E91" s="56"/>
      <c r="F91" s="56"/>
      <c r="G91" s="56"/>
      <c r="H91" s="56"/>
      <c r="I91" s="56"/>
      <c r="J91" s="56"/>
      <c r="K91" s="56"/>
      <c r="L91" s="56"/>
      <c r="M91" s="56"/>
      <c r="N91" s="56"/>
      <c r="O91" s="56"/>
      <c r="P91" s="56"/>
      <c r="Q91" s="56"/>
      <c r="R91" s="56"/>
      <c r="S91" s="56"/>
      <c r="T91" s="56"/>
      <c r="U91" s="56"/>
      <c r="V91" s="56"/>
    </row>
    <row r="92" spans="1:22" ht="15.75" thickBot="1">
      <c r="A92" s="58" t="str">
        <f>A22</f>
        <v>(mil gal/yr)</v>
      </c>
      <c r="B92" s="59" t="str">
        <f>B22</f>
        <v>&lt; 2021</v>
      </c>
      <c r="C92" s="59">
        <f t="shared" ref="C92:Q92" si="33">C22</f>
        <v>2021</v>
      </c>
      <c r="D92" s="59">
        <f t="shared" si="33"/>
        <v>2022</v>
      </c>
      <c r="E92" s="59">
        <f t="shared" si="33"/>
        <v>2023</v>
      </c>
      <c r="F92" s="59">
        <f t="shared" si="33"/>
        <v>2024</v>
      </c>
      <c r="G92" s="59">
        <f t="shared" si="33"/>
        <v>2025</v>
      </c>
      <c r="H92" s="59">
        <f t="shared" si="33"/>
        <v>2026</v>
      </c>
      <c r="I92" s="59">
        <f t="shared" si="33"/>
        <v>2027</v>
      </c>
      <c r="J92" s="59">
        <f t="shared" si="33"/>
        <v>2028</v>
      </c>
      <c r="K92" s="59">
        <f t="shared" si="33"/>
        <v>2029</v>
      </c>
      <c r="L92" s="59">
        <f t="shared" si="33"/>
        <v>2030</v>
      </c>
      <c r="M92" s="59">
        <f t="shared" si="33"/>
        <v>2031</v>
      </c>
      <c r="N92" s="59">
        <f t="shared" si="33"/>
        <v>2032</v>
      </c>
      <c r="O92" s="59">
        <f t="shared" si="33"/>
        <v>2033</v>
      </c>
      <c r="P92" s="59">
        <f t="shared" si="33"/>
        <v>2034</v>
      </c>
      <c r="Q92" s="59">
        <f t="shared" si="33"/>
        <v>2035</v>
      </c>
      <c r="R92" s="59">
        <v>2050</v>
      </c>
      <c r="S92" s="56"/>
      <c r="T92" s="60" t="s">
        <v>63</v>
      </c>
      <c r="U92" s="61"/>
      <c r="V92" s="61"/>
    </row>
    <row r="93" spans="1:22">
      <c r="A93" s="393" t="s">
        <v>64</v>
      </c>
      <c r="B93" s="393"/>
      <c r="C93" s="393"/>
      <c r="D93" s="393"/>
      <c r="E93" s="393"/>
      <c r="F93" s="393"/>
      <c r="G93" s="393"/>
      <c r="H93" s="393"/>
      <c r="I93" s="393"/>
      <c r="J93" s="393"/>
      <c r="K93" s="393"/>
      <c r="L93" s="393"/>
      <c r="M93" s="393"/>
      <c r="N93" s="393"/>
      <c r="O93" s="393"/>
      <c r="P93" s="393"/>
      <c r="Q93" s="393"/>
      <c r="R93" s="393"/>
      <c r="S93" s="56"/>
      <c r="T93" s="62" t="s">
        <v>65</v>
      </c>
      <c r="U93" s="63"/>
      <c r="V93" s="63"/>
    </row>
    <row r="94" spans="1:22">
      <c r="A94" s="64" t="s">
        <v>66</v>
      </c>
      <c r="B94" s="65"/>
      <c r="C94" s="65"/>
      <c r="D94" s="65"/>
      <c r="E94" s="65"/>
      <c r="F94" s="65"/>
      <c r="G94" s="65"/>
      <c r="H94" s="65"/>
      <c r="I94" s="65"/>
      <c r="J94" s="65"/>
      <c r="K94" s="65"/>
      <c r="L94" s="66">
        <v>3000</v>
      </c>
      <c r="M94" s="65"/>
      <c r="N94" s="65"/>
      <c r="O94" s="65"/>
      <c r="P94" s="65"/>
      <c r="Q94" s="65"/>
      <c r="R94" s="66">
        <v>35000</v>
      </c>
      <c r="S94" s="56"/>
      <c r="T94" s="386" t="s">
        <v>67</v>
      </c>
      <c r="U94" s="386"/>
      <c r="V94" s="386"/>
    </row>
    <row r="95" spans="1:22">
      <c r="A95" s="394" t="s">
        <v>68</v>
      </c>
      <c r="B95" s="394"/>
      <c r="C95" s="394"/>
      <c r="D95" s="394"/>
      <c r="E95" s="394"/>
      <c r="F95" s="394"/>
      <c r="G95" s="394"/>
      <c r="H95" s="394"/>
      <c r="I95" s="394"/>
      <c r="J95" s="394"/>
      <c r="K95" s="394"/>
      <c r="L95" s="394"/>
      <c r="M95" s="394"/>
      <c r="N95" s="394"/>
      <c r="O95" s="394"/>
      <c r="P95" s="394"/>
      <c r="Q95" s="394"/>
      <c r="R95" s="394"/>
      <c r="S95" s="56"/>
      <c r="T95" s="386"/>
      <c r="U95" s="386"/>
      <c r="V95" s="386"/>
    </row>
    <row r="96" spans="1:22" ht="18" customHeight="1">
      <c r="A96" s="64" t="s">
        <v>69</v>
      </c>
      <c r="B96" s="65"/>
      <c r="C96" s="65"/>
      <c r="D96" s="65"/>
      <c r="E96" s="65"/>
      <c r="F96" s="65"/>
      <c r="G96" s="65"/>
      <c r="H96" s="65"/>
      <c r="I96" s="65"/>
      <c r="J96" s="65"/>
      <c r="K96" s="65"/>
      <c r="L96" s="65"/>
      <c r="M96" s="65"/>
      <c r="N96" s="65"/>
      <c r="O96" s="65"/>
      <c r="P96" s="65"/>
      <c r="Q96" s="65"/>
      <c r="R96" s="65"/>
      <c r="S96" s="56"/>
      <c r="T96" s="62" t="s">
        <v>70</v>
      </c>
      <c r="U96" s="67"/>
      <c r="V96" s="67"/>
    </row>
    <row r="97" spans="1:22" ht="15" customHeight="1">
      <c r="A97" s="64" t="s">
        <v>71</v>
      </c>
      <c r="B97" s="65"/>
      <c r="C97" s="65"/>
      <c r="D97" s="65"/>
      <c r="E97" s="65"/>
      <c r="F97" s="65"/>
      <c r="G97" s="65"/>
      <c r="H97" s="65"/>
      <c r="I97" s="65"/>
      <c r="J97" s="65"/>
      <c r="K97" s="65"/>
      <c r="L97" s="65"/>
      <c r="M97" s="65"/>
      <c r="N97" s="65"/>
      <c r="O97" s="65"/>
      <c r="P97" s="65"/>
      <c r="Q97" s="65"/>
      <c r="R97" s="65"/>
      <c r="S97" s="56"/>
      <c r="T97" s="386" t="s">
        <v>72</v>
      </c>
      <c r="U97" s="386"/>
      <c r="V97" s="386"/>
    </row>
    <row r="98" spans="1:22">
      <c r="A98" s="64" t="s">
        <v>73</v>
      </c>
      <c r="B98" s="65"/>
      <c r="C98" s="65"/>
      <c r="D98" s="65"/>
      <c r="E98" s="65"/>
      <c r="F98" s="65"/>
      <c r="G98" s="65"/>
      <c r="H98" s="65"/>
      <c r="I98" s="65"/>
      <c r="J98" s="65"/>
      <c r="K98" s="65"/>
      <c r="L98" s="65"/>
      <c r="M98" s="65"/>
      <c r="N98" s="65"/>
      <c r="O98" s="65"/>
      <c r="P98" s="65"/>
      <c r="Q98" s="65"/>
      <c r="R98" s="65"/>
      <c r="S98" s="56"/>
      <c r="T98" s="386"/>
      <c r="U98" s="386"/>
      <c r="V98" s="386"/>
    </row>
    <row r="99" spans="1:22">
      <c r="A99" s="387" t="s">
        <v>74</v>
      </c>
      <c r="B99" s="387"/>
      <c r="C99" s="387"/>
      <c r="D99" s="387"/>
      <c r="E99" s="387"/>
      <c r="F99" s="387"/>
      <c r="G99" s="387"/>
      <c r="H99" s="387"/>
      <c r="I99" s="387"/>
      <c r="J99" s="387"/>
      <c r="K99" s="387"/>
      <c r="L99" s="387"/>
      <c r="M99" s="387"/>
      <c r="N99" s="387"/>
      <c r="O99" s="387"/>
      <c r="P99" s="387"/>
      <c r="Q99" s="387"/>
      <c r="R99" s="387"/>
      <c r="S99" s="56"/>
      <c r="T99" s="386"/>
      <c r="U99" s="386"/>
      <c r="V99" s="386"/>
    </row>
    <row r="100" spans="1:22">
      <c r="A100" s="64" t="s">
        <v>75</v>
      </c>
      <c r="B100" s="65"/>
      <c r="C100" s="65"/>
      <c r="D100" s="65"/>
      <c r="E100" s="65"/>
      <c r="F100" s="65"/>
      <c r="G100" s="65"/>
      <c r="H100" s="65"/>
      <c r="I100" s="65"/>
      <c r="J100" s="65"/>
      <c r="K100" s="65"/>
      <c r="L100" s="68">
        <f>MROUND(1000/3.78541,5)</f>
        <v>265</v>
      </c>
      <c r="M100" s="65"/>
      <c r="N100" s="65"/>
      <c r="O100" s="65"/>
      <c r="P100" s="65"/>
      <c r="Q100" s="65"/>
      <c r="R100" s="68">
        <f>MROUND(8000/3.78541,5)</f>
        <v>2115</v>
      </c>
      <c r="S100" s="56"/>
      <c r="T100" s="67"/>
      <c r="U100" s="67"/>
      <c r="V100" s="67"/>
    </row>
    <row r="101" spans="1:22">
      <c r="A101" s="388" t="s">
        <v>76</v>
      </c>
      <c r="B101" s="388"/>
      <c r="C101" s="388"/>
      <c r="D101" s="388"/>
      <c r="E101" s="388"/>
      <c r="F101" s="388"/>
      <c r="G101" s="388"/>
      <c r="H101" s="388"/>
      <c r="I101" s="388"/>
      <c r="J101" s="388"/>
      <c r="K101" s="388"/>
      <c r="L101" s="388"/>
      <c r="M101" s="388"/>
      <c r="N101" s="388"/>
      <c r="O101" s="388"/>
      <c r="P101" s="388"/>
      <c r="Q101" s="388"/>
      <c r="R101" s="388"/>
      <c r="S101" s="56"/>
      <c r="T101" s="67"/>
      <c r="U101" s="67"/>
      <c r="V101" s="67"/>
    </row>
    <row r="102" spans="1:22">
      <c r="A102" s="64" t="s">
        <v>77</v>
      </c>
      <c r="B102" s="65"/>
      <c r="C102" s="65"/>
      <c r="D102" s="65"/>
      <c r="E102" s="65"/>
      <c r="F102" s="65"/>
      <c r="G102" s="65"/>
      <c r="H102" s="65"/>
      <c r="I102" s="65"/>
      <c r="J102" s="65"/>
      <c r="K102" s="65"/>
      <c r="L102" s="68"/>
      <c r="M102" s="65"/>
      <c r="N102" s="65"/>
      <c r="O102" s="65"/>
      <c r="P102" s="65"/>
      <c r="Q102" s="65"/>
      <c r="R102" s="68"/>
      <c r="S102" s="56"/>
      <c r="T102" s="67"/>
      <c r="U102" s="67"/>
      <c r="V102" s="67"/>
    </row>
    <row r="103" spans="1:22">
      <c r="A103" s="388" t="s">
        <v>78</v>
      </c>
      <c r="B103" s="388"/>
      <c r="C103" s="388"/>
      <c r="D103" s="388"/>
      <c r="E103" s="388"/>
      <c r="F103" s="388"/>
      <c r="G103" s="388"/>
      <c r="H103" s="388"/>
      <c r="I103" s="388"/>
      <c r="J103" s="388"/>
      <c r="K103" s="388"/>
      <c r="L103" s="388"/>
      <c r="M103" s="388"/>
      <c r="N103" s="388"/>
      <c r="O103" s="388"/>
      <c r="P103" s="388"/>
      <c r="Q103" s="388"/>
      <c r="R103" s="388"/>
      <c r="S103" s="56"/>
      <c r="T103" s="67"/>
      <c r="U103" s="67"/>
      <c r="V103" s="67"/>
    </row>
    <row r="104" spans="1:22">
      <c r="A104" s="64" t="s">
        <v>66</v>
      </c>
      <c r="B104" s="65"/>
      <c r="C104" s="65"/>
      <c r="D104" s="65"/>
      <c r="E104" s="65"/>
      <c r="F104" s="65"/>
      <c r="G104" s="65"/>
      <c r="H104" s="65"/>
      <c r="I104" s="65"/>
      <c r="J104" s="65"/>
      <c r="K104" s="65"/>
      <c r="L104" s="68"/>
      <c r="M104" s="65"/>
      <c r="N104" s="65"/>
      <c r="O104" s="65"/>
      <c r="P104" s="65"/>
      <c r="Q104" s="65"/>
      <c r="R104" s="68"/>
      <c r="S104" s="56"/>
      <c r="T104" s="67"/>
      <c r="U104" s="67"/>
      <c r="V104" s="67"/>
    </row>
    <row r="105" spans="1:22" ht="15.75" thickBot="1">
      <c r="A105" s="69" t="s">
        <v>79</v>
      </c>
      <c r="B105" s="70">
        <f>SUM(B100,B96:B98,B94)</f>
        <v>0</v>
      </c>
      <c r="C105" s="70">
        <f t="shared" ref="C105:R105" si="34">SUM(C100,C96:C98,C94)</f>
        <v>0</v>
      </c>
      <c r="D105" s="70">
        <f t="shared" si="34"/>
        <v>0</v>
      </c>
      <c r="E105" s="70">
        <f t="shared" si="34"/>
        <v>0</v>
      </c>
      <c r="F105" s="70">
        <f t="shared" si="34"/>
        <v>0</v>
      </c>
      <c r="G105" s="70">
        <f t="shared" si="34"/>
        <v>0</v>
      </c>
      <c r="H105" s="70">
        <f t="shared" si="34"/>
        <v>0</v>
      </c>
      <c r="I105" s="70">
        <f t="shared" si="34"/>
        <v>0</v>
      </c>
      <c r="J105" s="70">
        <f t="shared" si="34"/>
        <v>0</v>
      </c>
      <c r="K105" s="70">
        <f t="shared" si="34"/>
        <v>0</v>
      </c>
      <c r="L105" s="70">
        <f t="shared" si="34"/>
        <v>3265</v>
      </c>
      <c r="M105" s="70">
        <f t="shared" si="34"/>
        <v>0</v>
      </c>
      <c r="N105" s="70">
        <f t="shared" si="34"/>
        <v>0</v>
      </c>
      <c r="O105" s="70">
        <f t="shared" si="34"/>
        <v>0</v>
      </c>
      <c r="P105" s="70">
        <f t="shared" si="34"/>
        <v>0</v>
      </c>
      <c r="Q105" s="70">
        <f t="shared" si="34"/>
        <v>0</v>
      </c>
      <c r="R105" s="70">
        <f t="shared" si="34"/>
        <v>37115</v>
      </c>
      <c r="S105" s="56"/>
      <c r="T105" s="67"/>
      <c r="U105" s="67"/>
      <c r="V105" s="67"/>
    </row>
    <row r="106" spans="1:22">
      <c r="A106" s="71" t="s">
        <v>80</v>
      </c>
      <c r="B106" s="72"/>
      <c r="C106" s="72"/>
      <c r="D106" s="72"/>
      <c r="E106" s="72"/>
      <c r="F106" s="72"/>
      <c r="G106" s="72"/>
      <c r="H106" s="72"/>
      <c r="I106" s="72"/>
      <c r="J106" s="72"/>
      <c r="K106" s="72"/>
      <c r="L106" s="72"/>
      <c r="M106" s="72"/>
      <c r="N106" s="72"/>
      <c r="O106" s="72"/>
      <c r="P106" s="72"/>
      <c r="Q106" s="72"/>
      <c r="R106" s="72"/>
      <c r="S106" s="56"/>
      <c r="T106" s="56"/>
      <c r="U106" s="56"/>
      <c r="V106" s="56"/>
    </row>
    <row r="107" spans="1:22">
      <c r="A107" s="73" t="s">
        <v>81</v>
      </c>
      <c r="B107" s="56"/>
      <c r="C107" s="56"/>
      <c r="D107" s="56"/>
      <c r="E107" s="56"/>
      <c r="F107" s="56"/>
      <c r="G107" s="56"/>
      <c r="H107" s="56"/>
      <c r="I107" s="56"/>
      <c r="J107" s="56"/>
      <c r="K107" s="56"/>
      <c r="L107" s="56"/>
      <c r="M107" s="56"/>
      <c r="N107" s="56"/>
      <c r="O107" s="56"/>
      <c r="P107" s="56"/>
      <c r="Q107" s="56"/>
      <c r="R107" s="56"/>
      <c r="S107" s="56"/>
      <c r="T107" s="56"/>
      <c r="U107" s="56"/>
      <c r="V107" s="56"/>
    </row>
    <row r="108" spans="1:22">
      <c r="A108" s="73" t="s">
        <v>82</v>
      </c>
      <c r="B108" s="56"/>
      <c r="C108" s="56"/>
      <c r="D108" s="56"/>
      <c r="E108" s="56"/>
      <c r="F108" s="56"/>
      <c r="G108" s="56"/>
      <c r="H108" s="56"/>
      <c r="I108" s="56"/>
      <c r="J108" s="56"/>
      <c r="K108" s="56"/>
      <c r="L108" s="56"/>
      <c r="M108" s="56"/>
      <c r="N108" s="56"/>
      <c r="O108" s="56"/>
      <c r="P108" s="56"/>
      <c r="Q108" s="56"/>
      <c r="R108" s="56"/>
      <c r="S108" s="56"/>
      <c r="T108" s="56"/>
      <c r="U108" s="56"/>
      <c r="V108" s="56"/>
    </row>
    <row r="109" spans="1:22">
      <c r="A109" s="73" t="s">
        <v>83</v>
      </c>
      <c r="B109" s="56"/>
      <c r="C109" s="56"/>
      <c r="D109" s="56"/>
      <c r="E109" s="56"/>
      <c r="F109" s="56"/>
      <c r="G109" s="56"/>
      <c r="H109" s="56"/>
      <c r="I109" s="56"/>
      <c r="J109" s="56"/>
      <c r="K109" s="56"/>
      <c r="L109" s="56"/>
      <c r="M109" s="56"/>
      <c r="N109" s="56"/>
      <c r="O109" s="56"/>
      <c r="P109" s="56"/>
      <c r="Q109" s="56"/>
      <c r="R109" s="56"/>
      <c r="S109" s="56"/>
      <c r="T109" s="56"/>
      <c r="U109" s="56"/>
      <c r="V109" s="56"/>
    </row>
    <row r="112" spans="1:22">
      <c r="A112" s="74" t="s">
        <v>84</v>
      </c>
    </row>
    <row r="114" spans="1:1">
      <c r="A114" s="20" t="s">
        <v>85</v>
      </c>
    </row>
    <row r="115" spans="1:1">
      <c r="A115" s="20" t="s">
        <v>86</v>
      </c>
    </row>
    <row r="116" spans="1:1">
      <c r="A116" s="20" t="s">
        <v>87</v>
      </c>
    </row>
    <row r="117" spans="1:1">
      <c r="A117" s="20" t="s">
        <v>88</v>
      </c>
    </row>
    <row r="118" spans="1:1">
      <c r="A118" s="20" t="s">
        <v>89</v>
      </c>
    </row>
    <row r="119" spans="1:1">
      <c r="A119" s="20" t="s">
        <v>90</v>
      </c>
    </row>
  </sheetData>
  <mergeCells count="10">
    <mergeCell ref="T97:V99"/>
    <mergeCell ref="A99:R99"/>
    <mergeCell ref="A101:R101"/>
    <mergeCell ref="A103:R103"/>
    <mergeCell ref="T42:T49"/>
    <mergeCell ref="S69:T70"/>
    <mergeCell ref="U69:U70"/>
    <mergeCell ref="A93:R93"/>
    <mergeCell ref="T94:V95"/>
    <mergeCell ref="A95:R9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8A39-1B33-4C04-83B4-1A72A03815E1}">
  <sheetPr filterMode="1"/>
  <dimension ref="A1:X58"/>
  <sheetViews>
    <sheetView topLeftCell="B1" workbookViewId="0">
      <selection activeCell="L58" sqref="L58"/>
    </sheetView>
  </sheetViews>
  <sheetFormatPr defaultColWidth="9.140625" defaultRowHeight="15.75"/>
  <cols>
    <col min="1" max="1" width="29.28515625" style="204" customWidth="1"/>
    <col min="2" max="2" width="21.7109375" style="130" bestFit="1" customWidth="1"/>
    <col min="3" max="3" width="14.5703125" style="130" customWidth="1"/>
    <col min="4" max="4" width="24.42578125" style="130" customWidth="1"/>
    <col min="5" max="5" width="44" style="90" customWidth="1"/>
    <col min="6" max="6" width="14.42578125" style="130" customWidth="1"/>
    <col min="7" max="7" width="22.42578125" style="130" hidden="1" customWidth="1"/>
    <col min="8" max="11" width="15.140625" style="130" customWidth="1"/>
    <col min="12" max="12" width="15.28515625" style="130" customWidth="1"/>
    <col min="13" max="13" width="16.5703125" style="91" customWidth="1"/>
    <col min="14" max="20" width="12.28515625" style="91" customWidth="1"/>
    <col min="21" max="21" width="14" style="91" bestFit="1" customWidth="1"/>
    <col min="22" max="16384" width="9.140625" style="91"/>
  </cols>
  <sheetData>
    <row r="1" spans="1:24" s="77" customFormat="1">
      <c r="A1" s="166"/>
      <c r="B1" s="395" t="s">
        <v>91</v>
      </c>
      <c r="C1" s="395"/>
      <c r="D1" s="395" t="s">
        <v>92</v>
      </c>
      <c r="E1" s="395"/>
      <c r="F1" s="76"/>
      <c r="G1" s="76"/>
      <c r="H1" s="395" t="s">
        <v>94</v>
      </c>
      <c r="I1" s="395"/>
      <c r="J1" s="75"/>
      <c r="K1" s="75"/>
      <c r="L1" s="76"/>
    </row>
    <row r="2" spans="1:24" s="79" customFormat="1" ht="60">
      <c r="A2" s="79" t="s">
        <v>95</v>
      </c>
      <c r="B2" s="79" t="s">
        <v>96</v>
      </c>
      <c r="C2" s="79" t="s">
        <v>97</v>
      </c>
      <c r="D2" s="79" t="s">
        <v>98</v>
      </c>
      <c r="E2" s="79" t="s">
        <v>99</v>
      </c>
      <c r="F2" s="79" t="s">
        <v>100</v>
      </c>
      <c r="G2" s="137" t="s">
        <v>101</v>
      </c>
      <c r="H2" s="79" t="s">
        <v>102</v>
      </c>
      <c r="I2" s="79" t="s">
        <v>103</v>
      </c>
      <c r="J2" s="79" t="s">
        <v>104</v>
      </c>
      <c r="K2" s="79" t="s">
        <v>105</v>
      </c>
      <c r="L2" s="79" t="s">
        <v>106</v>
      </c>
      <c r="M2" s="79" t="s">
        <v>107</v>
      </c>
      <c r="N2" s="79" t="s">
        <v>108</v>
      </c>
      <c r="O2" s="79" t="s">
        <v>109</v>
      </c>
      <c r="P2" s="79" t="s">
        <v>110</v>
      </c>
      <c r="Q2" s="79" t="s">
        <v>111</v>
      </c>
      <c r="R2" s="79" t="s">
        <v>112</v>
      </c>
      <c r="S2" s="79" t="s">
        <v>113</v>
      </c>
      <c r="T2" s="79" t="s">
        <v>114</v>
      </c>
      <c r="U2" s="79" t="s">
        <v>115</v>
      </c>
      <c r="V2" s="79" t="s">
        <v>116</v>
      </c>
      <c r="W2" s="79" t="s">
        <v>460</v>
      </c>
      <c r="X2" s="79" t="s">
        <v>118</v>
      </c>
    </row>
    <row r="3" spans="1:24" ht="23.25" hidden="1">
      <c r="A3" s="204" t="s">
        <v>967</v>
      </c>
      <c r="B3" s="130" t="s">
        <v>968</v>
      </c>
      <c r="C3" s="130" t="s">
        <v>969</v>
      </c>
      <c r="D3" s="206" t="s">
        <v>970</v>
      </c>
      <c r="F3" s="130">
        <v>2030</v>
      </c>
      <c r="G3" s="207"/>
      <c r="H3" s="130" t="s">
        <v>488</v>
      </c>
      <c r="I3" s="208">
        <v>0.4</v>
      </c>
      <c r="J3" s="209">
        <v>33</v>
      </c>
      <c r="K3" s="210"/>
      <c r="L3" s="211">
        <v>100000</v>
      </c>
      <c r="M3" s="145">
        <f t="shared" ref="M3:N5" si="0">$J3/2</f>
        <v>16.5</v>
      </c>
      <c r="N3" s="145">
        <f t="shared" si="0"/>
        <v>16.5</v>
      </c>
      <c r="O3" s="145">
        <f t="shared" ref="O3:P18" si="1">$K3/2</f>
        <v>0</v>
      </c>
      <c r="P3" s="145">
        <f t="shared" si="1"/>
        <v>0</v>
      </c>
      <c r="Q3" s="145">
        <f t="shared" ref="Q3:T18" si="2">M3*$I3</f>
        <v>6.6000000000000005</v>
      </c>
      <c r="R3" s="145">
        <f t="shared" si="2"/>
        <v>6.6000000000000005</v>
      </c>
      <c r="S3" s="145">
        <f t="shared" si="2"/>
        <v>0</v>
      </c>
      <c r="T3" s="145">
        <f t="shared" si="2"/>
        <v>0</v>
      </c>
      <c r="U3" s="130" t="s">
        <v>971</v>
      </c>
      <c r="V3" s="89" t="s">
        <v>26</v>
      </c>
    </row>
    <row r="4" spans="1:24" ht="30" hidden="1">
      <c r="A4" s="204" t="s">
        <v>375</v>
      </c>
      <c r="B4" s="130" t="s">
        <v>972</v>
      </c>
      <c r="C4" s="130" t="s">
        <v>969</v>
      </c>
      <c r="D4" s="206" t="s">
        <v>970</v>
      </c>
      <c r="E4" s="90" t="s">
        <v>973</v>
      </c>
      <c r="F4" s="130">
        <v>2028</v>
      </c>
      <c r="G4" s="207"/>
      <c r="H4" s="130" t="s">
        <v>800</v>
      </c>
      <c r="I4" s="208">
        <v>1E-3</v>
      </c>
      <c r="J4" s="209">
        <v>82.56</v>
      </c>
      <c r="K4" s="210"/>
      <c r="L4" s="211">
        <v>250000</v>
      </c>
      <c r="M4" s="145">
        <f t="shared" si="0"/>
        <v>41.28</v>
      </c>
      <c r="N4" s="145">
        <f t="shared" si="0"/>
        <v>41.28</v>
      </c>
      <c r="O4" s="145">
        <f t="shared" si="1"/>
        <v>0</v>
      </c>
      <c r="P4" s="145">
        <f t="shared" si="1"/>
        <v>0</v>
      </c>
      <c r="Q4" s="145">
        <f t="shared" si="2"/>
        <v>4.1280000000000004E-2</v>
      </c>
      <c r="R4" s="145">
        <f t="shared" si="2"/>
        <v>4.1280000000000004E-2</v>
      </c>
      <c r="S4" s="145">
        <f t="shared" si="2"/>
        <v>0</v>
      </c>
      <c r="T4" s="145">
        <f t="shared" si="2"/>
        <v>0</v>
      </c>
      <c r="U4" s="130" t="s">
        <v>5</v>
      </c>
      <c r="V4" s="89" t="s">
        <v>26</v>
      </c>
    </row>
    <row r="5" spans="1:24" ht="30" hidden="1">
      <c r="A5" s="204" t="s">
        <v>974</v>
      </c>
      <c r="B5" s="130" t="s">
        <v>975</v>
      </c>
      <c r="C5" s="130" t="s">
        <v>969</v>
      </c>
      <c r="D5" s="206" t="s">
        <v>976</v>
      </c>
      <c r="F5" s="130">
        <v>2030</v>
      </c>
      <c r="G5" s="207"/>
      <c r="H5" s="130" t="s">
        <v>188</v>
      </c>
      <c r="I5" s="208">
        <v>0.55000000000000004</v>
      </c>
      <c r="J5" s="212">
        <v>247.69</v>
      </c>
      <c r="K5" s="210"/>
      <c r="L5" s="213">
        <v>750000</v>
      </c>
      <c r="M5" s="145">
        <f t="shared" si="0"/>
        <v>123.845</v>
      </c>
      <c r="N5" s="145">
        <f t="shared" si="0"/>
        <v>123.845</v>
      </c>
      <c r="O5" s="145">
        <f t="shared" si="1"/>
        <v>0</v>
      </c>
      <c r="P5" s="145">
        <f t="shared" si="1"/>
        <v>0</v>
      </c>
      <c r="Q5" s="145">
        <f t="shared" si="2"/>
        <v>68.114750000000001</v>
      </c>
      <c r="R5" s="145">
        <f t="shared" si="2"/>
        <v>68.114750000000001</v>
      </c>
      <c r="S5" s="145">
        <f t="shared" si="2"/>
        <v>0</v>
      </c>
      <c r="T5" s="145">
        <f t="shared" si="2"/>
        <v>0</v>
      </c>
      <c r="U5" s="130" t="s">
        <v>6</v>
      </c>
      <c r="V5" s="89" t="s">
        <v>28</v>
      </c>
    </row>
    <row r="6" spans="1:24" ht="75" hidden="1">
      <c r="A6" s="204" t="s">
        <v>977</v>
      </c>
      <c r="B6" s="130" t="s">
        <v>978</v>
      </c>
      <c r="C6" s="130" t="s">
        <v>969</v>
      </c>
      <c r="D6" s="206" t="s">
        <v>979</v>
      </c>
      <c r="E6" s="90" t="s">
        <v>980</v>
      </c>
      <c r="F6" s="130">
        <v>2030</v>
      </c>
      <c r="G6" s="207"/>
      <c r="H6" s="130" t="s">
        <v>188</v>
      </c>
      <c r="I6" s="208">
        <v>0.25</v>
      </c>
      <c r="J6" s="212">
        <v>40</v>
      </c>
      <c r="K6" s="210"/>
      <c r="L6" s="213">
        <v>120000</v>
      </c>
      <c r="M6" s="145">
        <v>0</v>
      </c>
      <c r="N6" s="145">
        <f>$J6</f>
        <v>40</v>
      </c>
      <c r="O6" s="145">
        <f t="shared" si="1"/>
        <v>0</v>
      </c>
      <c r="P6" s="145">
        <f t="shared" si="1"/>
        <v>0</v>
      </c>
      <c r="Q6" s="145">
        <f t="shared" si="2"/>
        <v>0</v>
      </c>
      <c r="R6" s="145">
        <f t="shared" si="2"/>
        <v>10</v>
      </c>
      <c r="S6" s="145">
        <f t="shared" si="2"/>
        <v>0</v>
      </c>
      <c r="T6" s="145">
        <f t="shared" si="2"/>
        <v>0</v>
      </c>
      <c r="U6" s="130" t="s">
        <v>5</v>
      </c>
      <c r="V6" s="89" t="s">
        <v>26</v>
      </c>
    </row>
    <row r="7" spans="1:24" ht="34.5" hidden="1">
      <c r="A7" s="204" t="s">
        <v>981</v>
      </c>
      <c r="B7" s="130" t="s">
        <v>968</v>
      </c>
      <c r="C7" s="130" t="s">
        <v>969</v>
      </c>
      <c r="D7" s="206" t="s">
        <v>982</v>
      </c>
      <c r="E7" s="90" t="s">
        <v>983</v>
      </c>
      <c r="F7" s="130">
        <v>2028</v>
      </c>
      <c r="G7" s="207"/>
      <c r="H7" s="130" t="s">
        <v>984</v>
      </c>
      <c r="I7" s="208">
        <v>0.4</v>
      </c>
      <c r="J7" s="212">
        <v>237.78</v>
      </c>
      <c r="K7" s="210"/>
      <c r="L7" s="213">
        <v>720000</v>
      </c>
      <c r="M7" s="145">
        <f>$J7/2</f>
        <v>118.89</v>
      </c>
      <c r="N7" s="145">
        <f>$J7/2</f>
        <v>118.89</v>
      </c>
      <c r="O7" s="145">
        <f t="shared" si="1"/>
        <v>0</v>
      </c>
      <c r="P7" s="145">
        <f t="shared" si="1"/>
        <v>0</v>
      </c>
      <c r="Q7" s="145">
        <f t="shared" si="2"/>
        <v>47.556000000000004</v>
      </c>
      <c r="R7" s="145">
        <f t="shared" si="2"/>
        <v>47.556000000000004</v>
      </c>
      <c r="S7" s="145">
        <f t="shared" si="2"/>
        <v>0</v>
      </c>
      <c r="T7" s="145">
        <f t="shared" si="2"/>
        <v>0</v>
      </c>
      <c r="U7" s="130" t="s">
        <v>971</v>
      </c>
      <c r="V7" s="89" t="s">
        <v>26</v>
      </c>
    </row>
    <row r="8" spans="1:24" ht="23.25" hidden="1">
      <c r="A8" s="204" t="s">
        <v>985</v>
      </c>
      <c r="B8" s="130" t="s">
        <v>986</v>
      </c>
      <c r="C8" s="130" t="s">
        <v>969</v>
      </c>
      <c r="D8" s="206" t="s">
        <v>970</v>
      </c>
      <c r="E8" s="90" t="s">
        <v>987</v>
      </c>
      <c r="F8" s="130">
        <v>2030</v>
      </c>
      <c r="G8" s="207"/>
      <c r="H8" s="130" t="s">
        <v>488</v>
      </c>
      <c r="I8" s="208">
        <v>0.4</v>
      </c>
      <c r="J8" s="209">
        <v>3.96</v>
      </c>
      <c r="K8" s="210"/>
      <c r="L8" s="211">
        <v>12000</v>
      </c>
      <c r="M8" s="145">
        <v>0</v>
      </c>
      <c r="N8" s="145">
        <f>$J8</f>
        <v>3.96</v>
      </c>
      <c r="O8" s="145">
        <f t="shared" si="1"/>
        <v>0</v>
      </c>
      <c r="P8" s="145">
        <f t="shared" si="1"/>
        <v>0</v>
      </c>
      <c r="Q8" s="145">
        <f t="shared" si="2"/>
        <v>0</v>
      </c>
      <c r="R8" s="145">
        <f t="shared" si="2"/>
        <v>1.5840000000000001</v>
      </c>
      <c r="S8" s="145">
        <f t="shared" si="2"/>
        <v>0</v>
      </c>
      <c r="T8" s="145">
        <f t="shared" si="2"/>
        <v>0</v>
      </c>
      <c r="U8" s="130" t="s">
        <v>396</v>
      </c>
      <c r="V8" s="89" t="s">
        <v>29</v>
      </c>
    </row>
    <row r="9" spans="1:24" hidden="1">
      <c r="A9" s="204" t="s">
        <v>988</v>
      </c>
      <c r="B9" s="130" t="s">
        <v>989</v>
      </c>
      <c r="C9" s="130" t="s">
        <v>969</v>
      </c>
      <c r="D9" s="206" t="s">
        <v>976</v>
      </c>
      <c r="F9" s="130">
        <v>2030</v>
      </c>
      <c r="G9" s="207"/>
      <c r="H9" s="130" t="s">
        <v>188</v>
      </c>
      <c r="I9" s="208">
        <v>0.55000000000000004</v>
      </c>
      <c r="J9" s="212">
        <v>82.56</v>
      </c>
      <c r="K9" s="210"/>
      <c r="L9" s="213">
        <v>250000</v>
      </c>
      <c r="M9" s="145">
        <f t="shared" ref="M9:N13" si="3">$J9/2</f>
        <v>41.28</v>
      </c>
      <c r="N9" s="145">
        <f t="shared" si="3"/>
        <v>41.28</v>
      </c>
      <c r="O9" s="145">
        <f t="shared" si="1"/>
        <v>0</v>
      </c>
      <c r="P9" s="145">
        <f t="shared" si="1"/>
        <v>0</v>
      </c>
      <c r="Q9" s="145">
        <f t="shared" si="2"/>
        <v>22.704000000000004</v>
      </c>
      <c r="R9" s="145">
        <f t="shared" si="2"/>
        <v>22.704000000000004</v>
      </c>
      <c r="S9" s="145">
        <f t="shared" si="2"/>
        <v>0</v>
      </c>
      <c r="T9" s="145">
        <f t="shared" si="2"/>
        <v>0</v>
      </c>
      <c r="U9" s="130" t="s">
        <v>6</v>
      </c>
      <c r="V9" s="89" t="s">
        <v>27</v>
      </c>
    </row>
    <row r="10" spans="1:24" ht="23.25" hidden="1">
      <c r="A10" s="204" t="s">
        <v>990</v>
      </c>
      <c r="B10" s="130" t="s">
        <v>991</v>
      </c>
      <c r="C10" s="130" t="s">
        <v>969</v>
      </c>
      <c r="D10" s="206" t="s">
        <v>970</v>
      </c>
      <c r="F10" s="214">
        <v>2028</v>
      </c>
      <c r="G10" s="207"/>
      <c r="H10" s="130" t="s">
        <v>488</v>
      </c>
      <c r="I10" s="208">
        <v>0.4</v>
      </c>
      <c r="J10" s="209">
        <v>33</v>
      </c>
      <c r="K10" s="210"/>
      <c r="L10" s="211">
        <v>100000</v>
      </c>
      <c r="M10" s="145">
        <f t="shared" si="3"/>
        <v>16.5</v>
      </c>
      <c r="N10" s="145">
        <f t="shared" si="3"/>
        <v>16.5</v>
      </c>
      <c r="O10" s="145">
        <f t="shared" si="1"/>
        <v>0</v>
      </c>
      <c r="P10" s="145">
        <f t="shared" si="1"/>
        <v>0</v>
      </c>
      <c r="Q10" s="145">
        <f t="shared" si="2"/>
        <v>6.6000000000000005</v>
      </c>
      <c r="R10" s="145">
        <f t="shared" si="2"/>
        <v>6.6000000000000005</v>
      </c>
      <c r="S10" s="145">
        <f t="shared" si="2"/>
        <v>0</v>
      </c>
      <c r="T10" s="145">
        <f t="shared" si="2"/>
        <v>0</v>
      </c>
      <c r="U10" s="130" t="s">
        <v>5</v>
      </c>
      <c r="V10" s="89" t="s">
        <v>26</v>
      </c>
    </row>
    <row r="11" spans="1:24" s="120" customFormat="1" ht="23.25" hidden="1">
      <c r="A11" s="215" t="s">
        <v>992</v>
      </c>
      <c r="B11" s="216" t="s">
        <v>986</v>
      </c>
      <c r="C11" s="216" t="s">
        <v>969</v>
      </c>
      <c r="D11" s="217" t="s">
        <v>970</v>
      </c>
      <c r="E11" s="119"/>
      <c r="F11" s="218">
        <v>2030</v>
      </c>
      <c r="G11" s="219"/>
      <c r="H11" s="216" t="s">
        <v>993</v>
      </c>
      <c r="I11" s="208">
        <v>1E-3</v>
      </c>
      <c r="J11" s="220">
        <v>3.96</v>
      </c>
      <c r="K11" s="221"/>
      <c r="L11" s="211">
        <v>12000</v>
      </c>
      <c r="M11" s="184">
        <f t="shared" si="3"/>
        <v>1.98</v>
      </c>
      <c r="N11" s="184">
        <f t="shared" si="3"/>
        <v>1.98</v>
      </c>
      <c r="O11" s="184">
        <f t="shared" si="1"/>
        <v>0</v>
      </c>
      <c r="P11" s="184">
        <f t="shared" si="1"/>
        <v>0</v>
      </c>
      <c r="Q11" s="184">
        <f t="shared" si="2"/>
        <v>1.98E-3</v>
      </c>
      <c r="R11" s="184">
        <f t="shared" si="2"/>
        <v>1.98E-3</v>
      </c>
      <c r="S11" s="184">
        <f t="shared" si="2"/>
        <v>0</v>
      </c>
      <c r="T11" s="184">
        <f t="shared" si="2"/>
        <v>0</v>
      </c>
      <c r="U11" s="216" t="s">
        <v>396</v>
      </c>
      <c r="V11" s="118" t="s">
        <v>29</v>
      </c>
    </row>
    <row r="12" spans="1:24" ht="75" hidden="1">
      <c r="A12" s="204" t="s">
        <v>994</v>
      </c>
      <c r="B12" s="130" t="s">
        <v>995</v>
      </c>
      <c r="C12" s="130" t="s">
        <v>969</v>
      </c>
      <c r="D12" s="206" t="s">
        <v>996</v>
      </c>
      <c r="E12" s="90" t="s">
        <v>997</v>
      </c>
      <c r="F12" s="214">
        <v>2030</v>
      </c>
      <c r="G12" s="207"/>
      <c r="H12" s="130" t="s">
        <v>488</v>
      </c>
      <c r="I12" s="208">
        <v>0.4</v>
      </c>
      <c r="J12" s="209">
        <v>33</v>
      </c>
      <c r="K12" s="210"/>
      <c r="L12" s="211">
        <v>100000</v>
      </c>
      <c r="M12" s="145">
        <f t="shared" si="3"/>
        <v>16.5</v>
      </c>
      <c r="N12" s="145">
        <f t="shared" si="3"/>
        <v>16.5</v>
      </c>
      <c r="O12" s="145">
        <f t="shared" si="1"/>
        <v>0</v>
      </c>
      <c r="P12" s="145">
        <f t="shared" si="1"/>
        <v>0</v>
      </c>
      <c r="Q12" s="145">
        <f t="shared" si="2"/>
        <v>6.6000000000000005</v>
      </c>
      <c r="R12" s="145">
        <f t="shared" si="2"/>
        <v>6.6000000000000005</v>
      </c>
      <c r="S12" s="145">
        <f t="shared" si="2"/>
        <v>0</v>
      </c>
      <c r="T12" s="145">
        <f t="shared" si="2"/>
        <v>0</v>
      </c>
      <c r="U12" s="130" t="s">
        <v>5</v>
      </c>
      <c r="V12" s="89" t="s">
        <v>26</v>
      </c>
    </row>
    <row r="13" spans="1:24" hidden="1">
      <c r="A13" s="204" t="s">
        <v>998</v>
      </c>
      <c r="B13" s="130" t="s">
        <v>999</v>
      </c>
      <c r="C13" s="130" t="s">
        <v>969</v>
      </c>
      <c r="D13" s="206" t="s">
        <v>976</v>
      </c>
      <c r="F13" s="130">
        <v>2030</v>
      </c>
      <c r="G13" s="207"/>
      <c r="H13" s="130" t="s">
        <v>188</v>
      </c>
      <c r="I13" s="208">
        <v>0.55000000000000004</v>
      </c>
      <c r="J13" s="212">
        <v>82.56</v>
      </c>
      <c r="K13" s="210"/>
      <c r="L13" s="213">
        <v>250000</v>
      </c>
      <c r="M13" s="145">
        <f t="shared" si="3"/>
        <v>41.28</v>
      </c>
      <c r="N13" s="145">
        <f t="shared" si="3"/>
        <v>41.28</v>
      </c>
      <c r="O13" s="145">
        <f t="shared" si="1"/>
        <v>0</v>
      </c>
      <c r="P13" s="145">
        <f t="shared" si="1"/>
        <v>0</v>
      </c>
      <c r="Q13" s="145">
        <f t="shared" si="2"/>
        <v>22.704000000000004</v>
      </c>
      <c r="R13" s="145">
        <f t="shared" si="2"/>
        <v>22.704000000000004</v>
      </c>
      <c r="S13" s="145">
        <f t="shared" si="2"/>
        <v>0</v>
      </c>
      <c r="T13" s="145">
        <f t="shared" si="2"/>
        <v>0</v>
      </c>
      <c r="U13" s="130" t="s">
        <v>6</v>
      </c>
      <c r="V13" s="89" t="s">
        <v>27</v>
      </c>
    </row>
    <row r="14" spans="1:24" ht="79.5" hidden="1">
      <c r="A14" s="204" t="s">
        <v>1000</v>
      </c>
      <c r="B14" s="204" t="s">
        <v>1001</v>
      </c>
      <c r="C14" s="130" t="s">
        <v>969</v>
      </c>
      <c r="D14" s="206" t="s">
        <v>1002</v>
      </c>
      <c r="E14" s="83" t="s">
        <v>1003</v>
      </c>
      <c r="F14" s="130">
        <v>2029</v>
      </c>
      <c r="G14" s="207"/>
      <c r="H14" s="130" t="s">
        <v>1004</v>
      </c>
      <c r="I14" s="208">
        <v>0.4</v>
      </c>
      <c r="J14" s="212">
        <v>25.363</v>
      </c>
      <c r="K14" s="210"/>
      <c r="L14" s="213">
        <v>77</v>
      </c>
      <c r="M14" s="145">
        <v>0</v>
      </c>
      <c r="N14" s="145">
        <f>$J14</f>
        <v>25.363</v>
      </c>
      <c r="O14" s="145">
        <f t="shared" si="1"/>
        <v>0</v>
      </c>
      <c r="P14" s="145">
        <f t="shared" si="1"/>
        <v>0</v>
      </c>
      <c r="Q14" s="145">
        <f t="shared" si="2"/>
        <v>0</v>
      </c>
      <c r="R14" s="145">
        <f t="shared" si="2"/>
        <v>10.145200000000001</v>
      </c>
      <c r="S14" s="145">
        <f t="shared" si="2"/>
        <v>0</v>
      </c>
      <c r="T14" s="145">
        <f t="shared" si="2"/>
        <v>0</v>
      </c>
      <c r="U14" s="130" t="s">
        <v>6</v>
      </c>
      <c r="V14" s="89" t="s">
        <v>27</v>
      </c>
    </row>
    <row r="15" spans="1:24" ht="68.25" hidden="1">
      <c r="A15" s="204" t="s">
        <v>1005</v>
      </c>
      <c r="B15" s="130" t="s">
        <v>1006</v>
      </c>
      <c r="C15" s="130" t="s">
        <v>969</v>
      </c>
      <c r="D15" s="206" t="s">
        <v>1007</v>
      </c>
      <c r="E15" s="90" t="s">
        <v>1008</v>
      </c>
      <c r="F15" s="214">
        <v>2032</v>
      </c>
      <c r="G15" s="207"/>
      <c r="H15" s="130" t="s">
        <v>488</v>
      </c>
      <c r="I15" s="208">
        <v>0.4</v>
      </c>
      <c r="J15" s="212">
        <v>30</v>
      </c>
      <c r="K15" s="210"/>
      <c r="L15" s="213">
        <v>90400</v>
      </c>
      <c r="M15" s="145">
        <f>$J15*0.1</f>
        <v>3</v>
      </c>
      <c r="N15" s="145">
        <f>$J15*0.9</f>
        <v>27</v>
      </c>
      <c r="O15" s="145">
        <f t="shared" si="1"/>
        <v>0</v>
      </c>
      <c r="P15" s="145">
        <f t="shared" si="1"/>
        <v>0</v>
      </c>
      <c r="Q15" s="145">
        <f t="shared" si="2"/>
        <v>1.2000000000000002</v>
      </c>
      <c r="R15" s="145">
        <f t="shared" si="2"/>
        <v>10.8</v>
      </c>
      <c r="S15" s="145">
        <f t="shared" si="2"/>
        <v>0</v>
      </c>
      <c r="T15" s="145">
        <f t="shared" si="2"/>
        <v>0</v>
      </c>
      <c r="U15" s="130" t="s">
        <v>6</v>
      </c>
      <c r="V15" s="89" t="s">
        <v>27</v>
      </c>
    </row>
    <row r="16" spans="1:24" ht="67.5">
      <c r="A16" s="204" t="s">
        <v>1009</v>
      </c>
      <c r="B16" s="130" t="s">
        <v>1010</v>
      </c>
      <c r="C16" s="130" t="s">
        <v>1011</v>
      </c>
      <c r="D16" s="206" t="s">
        <v>1012</v>
      </c>
      <c r="E16" s="83" t="s">
        <v>1013</v>
      </c>
      <c r="F16" s="130">
        <v>2027</v>
      </c>
      <c r="G16" s="207"/>
      <c r="H16" s="130" t="s">
        <v>188</v>
      </c>
      <c r="I16" s="271">
        <v>0.55000000000000004</v>
      </c>
      <c r="J16" s="212">
        <v>99</v>
      </c>
      <c r="K16" s="212"/>
      <c r="L16" s="213">
        <v>300000</v>
      </c>
      <c r="M16" s="142">
        <v>0</v>
      </c>
      <c r="N16" s="142">
        <f>$J16</f>
        <v>99</v>
      </c>
      <c r="O16" s="142">
        <f t="shared" si="1"/>
        <v>0</v>
      </c>
      <c r="P16" s="142">
        <f t="shared" si="1"/>
        <v>0</v>
      </c>
      <c r="Q16" s="142">
        <f t="shared" si="2"/>
        <v>0</v>
      </c>
      <c r="R16" s="142">
        <f t="shared" si="2"/>
        <v>54.45</v>
      </c>
      <c r="S16" s="142">
        <f t="shared" si="2"/>
        <v>0</v>
      </c>
      <c r="T16" s="142">
        <f t="shared" si="2"/>
        <v>0</v>
      </c>
      <c r="U16" s="130" t="s">
        <v>6</v>
      </c>
      <c r="V16" s="85" t="s">
        <v>27</v>
      </c>
    </row>
    <row r="17" spans="1:22" ht="90.75">
      <c r="A17" s="204" t="s">
        <v>1014</v>
      </c>
      <c r="B17" s="130" t="s">
        <v>1015</v>
      </c>
      <c r="C17" s="130" t="s">
        <v>1011</v>
      </c>
      <c r="D17" s="206" t="s">
        <v>1016</v>
      </c>
      <c r="E17" s="83" t="s">
        <v>1017</v>
      </c>
      <c r="F17" s="130">
        <v>2025</v>
      </c>
      <c r="G17" s="207"/>
      <c r="H17" s="130" t="s">
        <v>318</v>
      </c>
      <c r="I17" s="271">
        <v>1</v>
      </c>
      <c r="J17" s="212">
        <v>125</v>
      </c>
      <c r="K17" s="212"/>
      <c r="L17" s="222">
        <f>370000</f>
        <v>370000</v>
      </c>
      <c r="M17" s="142">
        <v>0</v>
      </c>
      <c r="N17" s="142">
        <f>$J17</f>
        <v>125</v>
      </c>
      <c r="O17" s="142">
        <f t="shared" si="1"/>
        <v>0</v>
      </c>
      <c r="P17" s="142">
        <f t="shared" si="1"/>
        <v>0</v>
      </c>
      <c r="Q17" s="142">
        <f t="shared" si="2"/>
        <v>0</v>
      </c>
      <c r="R17" s="142">
        <f t="shared" si="2"/>
        <v>125</v>
      </c>
      <c r="S17" s="142">
        <f t="shared" si="2"/>
        <v>0</v>
      </c>
      <c r="T17" s="142">
        <f t="shared" si="2"/>
        <v>0</v>
      </c>
      <c r="U17" s="130" t="s">
        <v>5</v>
      </c>
      <c r="V17" s="85" t="s">
        <v>26</v>
      </c>
    </row>
    <row r="18" spans="1:22" ht="45.75">
      <c r="A18" s="204" t="s">
        <v>1018</v>
      </c>
      <c r="B18" s="130" t="s">
        <v>1019</v>
      </c>
      <c r="C18" s="130" t="s">
        <v>1011</v>
      </c>
      <c r="D18" s="206" t="s">
        <v>1020</v>
      </c>
      <c r="E18" s="270" t="s">
        <v>1021</v>
      </c>
      <c r="F18" s="130">
        <v>2022</v>
      </c>
      <c r="G18" s="207"/>
      <c r="H18" s="130" t="s">
        <v>318</v>
      </c>
      <c r="I18" s="271">
        <v>1</v>
      </c>
      <c r="J18" s="212">
        <v>55.5</v>
      </c>
      <c r="K18" s="212"/>
      <c r="L18" s="213">
        <v>168000</v>
      </c>
      <c r="M18" s="142">
        <v>0</v>
      </c>
      <c r="N18" s="142">
        <f>$J18</f>
        <v>55.5</v>
      </c>
      <c r="O18" s="142">
        <f t="shared" si="1"/>
        <v>0</v>
      </c>
      <c r="P18" s="142">
        <f t="shared" si="1"/>
        <v>0</v>
      </c>
      <c r="Q18" s="142">
        <f t="shared" si="2"/>
        <v>0</v>
      </c>
      <c r="R18" s="142">
        <f t="shared" si="2"/>
        <v>55.5</v>
      </c>
      <c r="S18" s="142">
        <f t="shared" si="2"/>
        <v>0</v>
      </c>
      <c r="T18" s="142">
        <f t="shared" si="2"/>
        <v>0</v>
      </c>
      <c r="U18" s="130" t="s">
        <v>5</v>
      </c>
      <c r="V18" s="85" t="s">
        <v>26</v>
      </c>
    </row>
    <row r="19" spans="1:22" ht="45.75">
      <c r="A19" s="204" t="s">
        <v>1022</v>
      </c>
      <c r="B19" s="130" t="s">
        <v>1023</v>
      </c>
      <c r="C19" s="130" t="s">
        <v>1011</v>
      </c>
      <c r="D19" s="206" t="s">
        <v>1024</v>
      </c>
      <c r="E19" s="83" t="s">
        <v>1025</v>
      </c>
      <c r="F19" s="130">
        <v>2022</v>
      </c>
      <c r="G19" s="207"/>
      <c r="H19" s="130" t="s">
        <v>318</v>
      </c>
      <c r="I19" s="271">
        <v>1</v>
      </c>
      <c r="J19" s="212">
        <v>33</v>
      </c>
      <c r="K19" s="212"/>
      <c r="L19" s="213">
        <v>100000</v>
      </c>
      <c r="M19" s="142">
        <f t="shared" ref="M19:N23" si="4">$J19/2</f>
        <v>16.5</v>
      </c>
      <c r="N19" s="142">
        <f t="shared" si="4"/>
        <v>16.5</v>
      </c>
      <c r="O19" s="142">
        <f t="shared" ref="O19:P34" si="5">$K19/2</f>
        <v>0</v>
      </c>
      <c r="P19" s="142">
        <f t="shared" si="5"/>
        <v>0</v>
      </c>
      <c r="Q19" s="142">
        <f t="shared" ref="Q19:T56" si="6">M19*$I19</f>
        <v>16.5</v>
      </c>
      <c r="R19" s="142">
        <f t="shared" si="6"/>
        <v>16.5</v>
      </c>
      <c r="S19" s="142">
        <f t="shared" si="6"/>
        <v>0</v>
      </c>
      <c r="T19" s="142">
        <f t="shared" si="6"/>
        <v>0</v>
      </c>
      <c r="U19" s="130" t="s">
        <v>5</v>
      </c>
      <c r="V19" s="85" t="s">
        <v>26</v>
      </c>
    </row>
    <row r="20" spans="1:22" ht="15.75" customHeight="1">
      <c r="A20" s="204" t="s">
        <v>1026</v>
      </c>
      <c r="C20" s="130" t="s">
        <v>1011</v>
      </c>
      <c r="D20" s="206"/>
      <c r="E20" s="83"/>
      <c r="G20" s="207"/>
      <c r="I20" s="271"/>
      <c r="J20" s="212">
        <v>75.959999999999994</v>
      </c>
      <c r="K20" s="212"/>
      <c r="L20" s="213">
        <v>230000</v>
      </c>
      <c r="M20" s="142">
        <f t="shared" si="4"/>
        <v>37.979999999999997</v>
      </c>
      <c r="N20" s="142">
        <f t="shared" si="4"/>
        <v>37.979999999999997</v>
      </c>
      <c r="O20" s="142">
        <f t="shared" si="5"/>
        <v>0</v>
      </c>
      <c r="P20" s="142">
        <f t="shared" si="5"/>
        <v>0</v>
      </c>
      <c r="Q20" s="142">
        <f t="shared" si="6"/>
        <v>0</v>
      </c>
      <c r="R20" s="142">
        <f t="shared" si="6"/>
        <v>0</v>
      </c>
      <c r="S20" s="142">
        <f t="shared" si="6"/>
        <v>0</v>
      </c>
      <c r="T20" s="142">
        <f t="shared" si="6"/>
        <v>0</v>
      </c>
      <c r="U20" s="130" t="s">
        <v>5</v>
      </c>
      <c r="V20" s="85" t="s">
        <v>26</v>
      </c>
    </row>
    <row r="21" spans="1:22" ht="40.5">
      <c r="A21" s="90" t="s">
        <v>1027</v>
      </c>
      <c r="B21" s="130" t="s">
        <v>1028</v>
      </c>
      <c r="C21" s="130" t="s">
        <v>1011</v>
      </c>
      <c r="D21" s="206" t="s">
        <v>1029</v>
      </c>
      <c r="E21" s="83" t="s">
        <v>1030</v>
      </c>
      <c r="G21" s="207"/>
      <c r="H21" s="130" t="s">
        <v>188</v>
      </c>
      <c r="I21" s="271">
        <v>0.4</v>
      </c>
      <c r="J21" s="212">
        <v>165</v>
      </c>
      <c r="K21" s="212"/>
      <c r="L21" s="213">
        <v>500000</v>
      </c>
      <c r="M21" s="142">
        <v>0</v>
      </c>
      <c r="N21" s="142">
        <f>$J21</f>
        <v>165</v>
      </c>
      <c r="O21" s="142">
        <f t="shared" si="5"/>
        <v>0</v>
      </c>
      <c r="P21" s="142">
        <f t="shared" si="5"/>
        <v>0</v>
      </c>
      <c r="Q21" s="142">
        <f t="shared" si="6"/>
        <v>0</v>
      </c>
      <c r="R21" s="142">
        <f t="shared" si="6"/>
        <v>66</v>
      </c>
      <c r="S21" s="142">
        <f t="shared" si="6"/>
        <v>0</v>
      </c>
      <c r="T21" s="142">
        <f t="shared" si="6"/>
        <v>0</v>
      </c>
      <c r="U21" s="130" t="s">
        <v>5</v>
      </c>
      <c r="V21" s="85" t="s">
        <v>26</v>
      </c>
    </row>
    <row r="22" spans="1:22" ht="23.25" hidden="1">
      <c r="A22" s="204" t="s">
        <v>1031</v>
      </c>
      <c r="C22" s="130" t="s">
        <v>1032</v>
      </c>
      <c r="D22" s="206" t="s">
        <v>1033</v>
      </c>
      <c r="F22" s="214">
        <v>2028</v>
      </c>
      <c r="G22" s="207"/>
      <c r="H22" s="130" t="s">
        <v>188</v>
      </c>
      <c r="I22" s="208">
        <v>0.55000000000000004</v>
      </c>
      <c r="J22" s="187">
        <f>1000*365*42/1000000</f>
        <v>15.33</v>
      </c>
      <c r="K22" s="210"/>
      <c r="L22" s="211">
        <v>46000</v>
      </c>
      <c r="M22" s="145">
        <f t="shared" si="4"/>
        <v>7.665</v>
      </c>
      <c r="N22" s="145">
        <f t="shared" si="4"/>
        <v>7.665</v>
      </c>
      <c r="O22" s="145">
        <f t="shared" si="5"/>
        <v>0</v>
      </c>
      <c r="P22" s="145">
        <f t="shared" si="5"/>
        <v>0</v>
      </c>
      <c r="Q22" s="145">
        <f t="shared" si="6"/>
        <v>4.2157500000000008</v>
      </c>
      <c r="R22" s="145">
        <f t="shared" si="6"/>
        <v>4.2157500000000008</v>
      </c>
      <c r="S22" s="145">
        <f t="shared" si="6"/>
        <v>0</v>
      </c>
      <c r="T22" s="145">
        <f t="shared" si="6"/>
        <v>0</v>
      </c>
      <c r="U22" s="204" t="s">
        <v>503</v>
      </c>
      <c r="V22" s="89" t="s">
        <v>26</v>
      </c>
    </row>
    <row r="23" spans="1:22" ht="23.25" hidden="1">
      <c r="A23" s="204" t="s">
        <v>1034</v>
      </c>
      <c r="C23" s="130" t="s">
        <v>1032</v>
      </c>
      <c r="D23" s="206" t="s">
        <v>1035</v>
      </c>
      <c r="F23" s="214">
        <v>2030</v>
      </c>
      <c r="G23" s="207"/>
      <c r="H23" s="130" t="s">
        <v>488</v>
      </c>
      <c r="I23" s="208">
        <v>0.4</v>
      </c>
      <c r="J23" s="209">
        <v>33</v>
      </c>
      <c r="K23" s="210"/>
      <c r="L23" s="211">
        <v>100000</v>
      </c>
      <c r="M23" s="145">
        <f t="shared" si="4"/>
        <v>16.5</v>
      </c>
      <c r="N23" s="145">
        <f t="shared" si="4"/>
        <v>16.5</v>
      </c>
      <c r="O23" s="145">
        <f t="shared" si="5"/>
        <v>0</v>
      </c>
      <c r="P23" s="145">
        <f t="shared" si="5"/>
        <v>0</v>
      </c>
      <c r="Q23" s="145">
        <f t="shared" si="6"/>
        <v>6.6000000000000005</v>
      </c>
      <c r="R23" s="145">
        <f t="shared" si="6"/>
        <v>6.6000000000000005</v>
      </c>
      <c r="S23" s="145">
        <f t="shared" si="6"/>
        <v>0</v>
      </c>
      <c r="T23" s="145">
        <f t="shared" si="6"/>
        <v>0</v>
      </c>
      <c r="U23" s="214" t="s">
        <v>5</v>
      </c>
      <c r="V23" s="89" t="s">
        <v>26</v>
      </c>
    </row>
    <row r="24" spans="1:22" ht="34.5" hidden="1">
      <c r="A24" s="204" t="s">
        <v>1036</v>
      </c>
      <c r="C24" s="130" t="s">
        <v>1032</v>
      </c>
      <c r="D24" s="206" t="s">
        <v>1037</v>
      </c>
      <c r="E24" s="90" t="s">
        <v>1038</v>
      </c>
      <c r="F24" s="130">
        <v>2030</v>
      </c>
      <c r="G24" s="207"/>
      <c r="H24" s="130" t="s">
        <v>188</v>
      </c>
      <c r="I24" s="208">
        <v>0.55000000000000004</v>
      </c>
      <c r="J24" s="212">
        <v>7.9</v>
      </c>
      <c r="K24" s="210"/>
      <c r="L24" s="213">
        <v>24000</v>
      </c>
      <c r="M24" s="145">
        <v>0</v>
      </c>
      <c r="N24" s="145">
        <f>$J24</f>
        <v>7.9</v>
      </c>
      <c r="O24" s="145">
        <f t="shared" si="5"/>
        <v>0</v>
      </c>
      <c r="P24" s="145">
        <f t="shared" si="5"/>
        <v>0</v>
      </c>
      <c r="Q24" s="145">
        <f t="shared" si="6"/>
        <v>0</v>
      </c>
      <c r="R24" s="145">
        <f t="shared" si="6"/>
        <v>4.3450000000000006</v>
      </c>
      <c r="S24" s="145">
        <f t="shared" si="6"/>
        <v>0</v>
      </c>
      <c r="T24" s="145">
        <f t="shared" si="6"/>
        <v>0</v>
      </c>
      <c r="U24" s="130" t="s">
        <v>7</v>
      </c>
      <c r="V24" s="89" t="s">
        <v>30</v>
      </c>
    </row>
    <row r="25" spans="1:22" ht="30" hidden="1">
      <c r="A25" s="204" t="s">
        <v>1039</v>
      </c>
      <c r="C25" s="130" t="s">
        <v>1032</v>
      </c>
      <c r="D25" s="206" t="s">
        <v>1040</v>
      </c>
      <c r="E25" s="90" t="s">
        <v>1041</v>
      </c>
      <c r="F25" s="130">
        <v>2027</v>
      </c>
      <c r="G25" s="207"/>
      <c r="H25" s="130" t="s">
        <v>188</v>
      </c>
      <c r="I25" s="208">
        <v>0.55000000000000004</v>
      </c>
      <c r="J25" s="212">
        <v>165.125</v>
      </c>
      <c r="K25" s="210"/>
      <c r="L25" s="213">
        <v>500000</v>
      </c>
      <c r="M25" s="145">
        <f t="shared" ref="M25:N29" si="7">$J25/2</f>
        <v>82.5625</v>
      </c>
      <c r="N25" s="145">
        <f t="shared" si="7"/>
        <v>82.5625</v>
      </c>
      <c r="O25" s="145">
        <f t="shared" si="5"/>
        <v>0</v>
      </c>
      <c r="P25" s="145">
        <f t="shared" si="5"/>
        <v>0</v>
      </c>
      <c r="Q25" s="145">
        <f t="shared" si="6"/>
        <v>45.409375000000004</v>
      </c>
      <c r="R25" s="145">
        <f t="shared" si="6"/>
        <v>45.409375000000004</v>
      </c>
      <c r="S25" s="145">
        <f t="shared" si="6"/>
        <v>0</v>
      </c>
      <c r="T25" s="145">
        <f t="shared" si="6"/>
        <v>0</v>
      </c>
      <c r="U25" s="130" t="s">
        <v>6</v>
      </c>
      <c r="V25" s="89" t="s">
        <v>27</v>
      </c>
    </row>
    <row r="26" spans="1:22" hidden="1">
      <c r="A26" s="204" t="s">
        <v>1042</v>
      </c>
      <c r="C26" s="130" t="s">
        <v>1032</v>
      </c>
      <c r="D26" s="206" t="s">
        <v>1043</v>
      </c>
      <c r="E26" s="90" t="s">
        <v>1044</v>
      </c>
      <c r="F26" s="130">
        <v>2030</v>
      </c>
      <c r="G26" s="207"/>
      <c r="H26" s="130" t="s">
        <v>188</v>
      </c>
      <c r="I26" s="208">
        <v>0.25</v>
      </c>
      <c r="J26" s="212">
        <v>26.42</v>
      </c>
      <c r="K26" s="210"/>
      <c r="L26" s="213">
        <v>80000</v>
      </c>
      <c r="M26" s="145">
        <f t="shared" si="7"/>
        <v>13.21</v>
      </c>
      <c r="N26" s="145">
        <f t="shared" si="7"/>
        <v>13.21</v>
      </c>
      <c r="O26" s="145">
        <f t="shared" si="5"/>
        <v>0</v>
      </c>
      <c r="P26" s="145">
        <f t="shared" si="5"/>
        <v>0</v>
      </c>
      <c r="Q26" s="145">
        <f t="shared" si="6"/>
        <v>3.3025000000000002</v>
      </c>
      <c r="R26" s="145">
        <f t="shared" si="6"/>
        <v>3.3025000000000002</v>
      </c>
      <c r="S26" s="145">
        <f t="shared" si="6"/>
        <v>0</v>
      </c>
      <c r="T26" s="145">
        <f t="shared" si="6"/>
        <v>0</v>
      </c>
      <c r="U26" s="130" t="s">
        <v>6</v>
      </c>
      <c r="V26" s="89" t="s">
        <v>27</v>
      </c>
    </row>
    <row r="27" spans="1:22" ht="60" hidden="1">
      <c r="A27" s="204" t="s">
        <v>1045</v>
      </c>
      <c r="C27" s="130" t="s">
        <v>1032</v>
      </c>
      <c r="D27" s="206" t="s">
        <v>1046</v>
      </c>
      <c r="E27" s="90" t="s">
        <v>1047</v>
      </c>
      <c r="F27" s="214">
        <v>2030</v>
      </c>
      <c r="G27" s="207"/>
      <c r="H27" s="130" t="s">
        <v>488</v>
      </c>
      <c r="I27" s="208">
        <v>0.4</v>
      </c>
      <c r="J27" s="209">
        <v>33</v>
      </c>
      <c r="K27" s="210"/>
      <c r="L27" s="211">
        <v>100000</v>
      </c>
      <c r="M27" s="145">
        <f t="shared" si="7"/>
        <v>16.5</v>
      </c>
      <c r="N27" s="145">
        <f t="shared" si="7"/>
        <v>16.5</v>
      </c>
      <c r="O27" s="145">
        <f t="shared" si="5"/>
        <v>0</v>
      </c>
      <c r="P27" s="145">
        <f t="shared" si="5"/>
        <v>0</v>
      </c>
      <c r="Q27" s="145">
        <f t="shared" si="6"/>
        <v>6.6000000000000005</v>
      </c>
      <c r="R27" s="145">
        <f t="shared" si="6"/>
        <v>6.6000000000000005</v>
      </c>
      <c r="S27" s="145">
        <f t="shared" si="6"/>
        <v>0</v>
      </c>
      <c r="T27" s="145">
        <f t="shared" si="6"/>
        <v>0</v>
      </c>
      <c r="U27" s="214" t="s">
        <v>5</v>
      </c>
      <c r="V27" s="89" t="s">
        <v>26</v>
      </c>
    </row>
    <row r="28" spans="1:22" ht="23.25" hidden="1">
      <c r="A28" s="204" t="s">
        <v>1048</v>
      </c>
      <c r="B28" s="130" t="s">
        <v>1049</v>
      </c>
      <c r="C28" s="130" t="s">
        <v>1050</v>
      </c>
      <c r="D28" s="206" t="s">
        <v>1051</v>
      </c>
      <c r="E28" s="90" t="s">
        <v>1052</v>
      </c>
      <c r="F28" s="214">
        <v>2032</v>
      </c>
      <c r="G28" s="207"/>
      <c r="H28" s="130" t="s">
        <v>488</v>
      </c>
      <c r="I28" s="208">
        <v>0.4</v>
      </c>
      <c r="J28" s="212">
        <v>19.8</v>
      </c>
      <c r="K28" s="210"/>
      <c r="L28" s="213">
        <v>60000</v>
      </c>
      <c r="M28" s="145">
        <f t="shared" si="7"/>
        <v>9.9</v>
      </c>
      <c r="N28" s="145">
        <f t="shared" si="7"/>
        <v>9.9</v>
      </c>
      <c r="O28" s="145">
        <f t="shared" si="5"/>
        <v>0</v>
      </c>
      <c r="P28" s="145">
        <f t="shared" si="5"/>
        <v>0</v>
      </c>
      <c r="Q28" s="145">
        <f t="shared" si="6"/>
        <v>3.9600000000000004</v>
      </c>
      <c r="R28" s="145">
        <f t="shared" si="6"/>
        <v>3.9600000000000004</v>
      </c>
      <c r="S28" s="145">
        <f t="shared" si="6"/>
        <v>0</v>
      </c>
      <c r="T28" s="145">
        <f t="shared" si="6"/>
        <v>0</v>
      </c>
      <c r="U28" s="130" t="s">
        <v>5</v>
      </c>
      <c r="V28" s="89" t="s">
        <v>26</v>
      </c>
    </row>
    <row r="29" spans="1:22" ht="90" hidden="1">
      <c r="A29" s="204" t="s">
        <v>1053</v>
      </c>
      <c r="B29" s="130" t="s">
        <v>1054</v>
      </c>
      <c r="C29" s="130" t="s">
        <v>1050</v>
      </c>
      <c r="D29" s="206" t="s">
        <v>1055</v>
      </c>
      <c r="E29" s="90" t="s">
        <v>1056</v>
      </c>
      <c r="F29" s="214">
        <v>2028</v>
      </c>
      <c r="G29" s="207"/>
      <c r="H29" s="130" t="s">
        <v>1057</v>
      </c>
      <c r="I29" s="208">
        <v>0.55000000000000004</v>
      </c>
      <c r="J29" s="212">
        <v>45</v>
      </c>
      <c r="K29" s="210"/>
      <c r="L29" s="213">
        <v>120000</v>
      </c>
      <c r="M29" s="145">
        <f t="shared" si="7"/>
        <v>22.5</v>
      </c>
      <c r="N29" s="145">
        <f t="shared" si="7"/>
        <v>22.5</v>
      </c>
      <c r="O29" s="145">
        <f t="shared" si="5"/>
        <v>0</v>
      </c>
      <c r="P29" s="145">
        <f t="shared" si="5"/>
        <v>0</v>
      </c>
      <c r="Q29" s="145">
        <f t="shared" si="6"/>
        <v>12.375000000000002</v>
      </c>
      <c r="R29" s="145">
        <f t="shared" si="6"/>
        <v>12.375000000000002</v>
      </c>
      <c r="S29" s="145">
        <f t="shared" si="6"/>
        <v>0</v>
      </c>
      <c r="T29" s="145">
        <f t="shared" si="6"/>
        <v>0</v>
      </c>
      <c r="U29" s="130" t="s">
        <v>5</v>
      </c>
      <c r="V29" s="89" t="s">
        <v>26</v>
      </c>
    </row>
    <row r="30" spans="1:22" ht="195" hidden="1">
      <c r="A30" s="204" t="s">
        <v>1058</v>
      </c>
      <c r="B30" s="130" t="s">
        <v>1054</v>
      </c>
      <c r="C30" s="130" t="s">
        <v>1050</v>
      </c>
      <c r="D30" s="206" t="s">
        <v>1059</v>
      </c>
      <c r="E30" s="90" t="s">
        <v>1060</v>
      </c>
      <c r="F30" s="214">
        <v>2022</v>
      </c>
      <c r="G30" s="207">
        <v>2025</v>
      </c>
      <c r="H30" s="130" t="s">
        <v>123</v>
      </c>
      <c r="I30" s="208">
        <v>1</v>
      </c>
      <c r="J30" s="212">
        <v>48</v>
      </c>
      <c r="K30" s="210">
        <f>9000*42*365/1000000*0.03</f>
        <v>4.1391</v>
      </c>
      <c r="L30" s="213">
        <v>140000</v>
      </c>
      <c r="M30" s="145">
        <f>$J30*0.95</f>
        <v>45.599999999999994</v>
      </c>
      <c r="N30" s="145">
        <f>$J30*0.05</f>
        <v>2.4000000000000004</v>
      </c>
      <c r="O30" s="145">
        <v>0</v>
      </c>
      <c r="P30" s="145">
        <f>$K30</f>
        <v>4.1391</v>
      </c>
      <c r="Q30" s="145">
        <f t="shared" si="6"/>
        <v>45.599999999999994</v>
      </c>
      <c r="R30" s="145">
        <f t="shared" si="6"/>
        <v>2.4000000000000004</v>
      </c>
      <c r="S30" s="145">
        <f t="shared" si="6"/>
        <v>0</v>
      </c>
      <c r="T30" s="145">
        <f t="shared" si="6"/>
        <v>4.1391</v>
      </c>
      <c r="U30" s="130" t="s">
        <v>503</v>
      </c>
      <c r="V30" s="89" t="s">
        <v>26</v>
      </c>
    </row>
    <row r="31" spans="1:22" ht="120" hidden="1">
      <c r="A31" s="204" t="s">
        <v>1061</v>
      </c>
      <c r="B31" s="130" t="s">
        <v>1062</v>
      </c>
      <c r="C31" s="130" t="s">
        <v>1063</v>
      </c>
      <c r="D31" s="206" t="s">
        <v>1064</v>
      </c>
      <c r="E31" s="90" t="s">
        <v>1065</v>
      </c>
      <c r="F31" s="214">
        <v>2029</v>
      </c>
      <c r="G31" s="207"/>
      <c r="H31" s="130" t="s">
        <v>188</v>
      </c>
      <c r="I31" s="208">
        <v>0.4</v>
      </c>
      <c r="J31" s="212">
        <v>40</v>
      </c>
      <c r="K31" s="210"/>
      <c r="L31" s="213">
        <v>120000</v>
      </c>
      <c r="M31" s="145">
        <v>5</v>
      </c>
      <c r="N31" s="145">
        <f>$J31</f>
        <v>40</v>
      </c>
      <c r="O31" s="145">
        <f t="shared" si="5"/>
        <v>0</v>
      </c>
      <c r="P31" s="145">
        <f t="shared" si="5"/>
        <v>0</v>
      </c>
      <c r="Q31" s="145">
        <f t="shared" si="6"/>
        <v>2</v>
      </c>
      <c r="R31" s="145">
        <f t="shared" si="6"/>
        <v>16</v>
      </c>
      <c r="S31" s="145">
        <f t="shared" si="6"/>
        <v>0</v>
      </c>
      <c r="T31" s="145">
        <f t="shared" si="6"/>
        <v>0</v>
      </c>
      <c r="U31" s="130" t="s">
        <v>6</v>
      </c>
      <c r="V31" s="89" t="s">
        <v>27</v>
      </c>
    </row>
    <row r="32" spans="1:22" ht="90" hidden="1">
      <c r="A32" s="204" t="s">
        <v>1066</v>
      </c>
      <c r="B32" s="130" t="s">
        <v>1067</v>
      </c>
      <c r="C32" s="130" t="s">
        <v>1063</v>
      </c>
      <c r="D32" s="206" t="s">
        <v>1068</v>
      </c>
      <c r="E32" s="90" t="s">
        <v>1069</v>
      </c>
      <c r="F32" s="130">
        <v>2028</v>
      </c>
      <c r="G32" s="207"/>
      <c r="H32" s="130" t="s">
        <v>1070</v>
      </c>
      <c r="I32" s="208">
        <v>0.5</v>
      </c>
      <c r="J32" s="212">
        <v>105</v>
      </c>
      <c r="K32" s="210"/>
      <c r="L32" s="213">
        <v>300000</v>
      </c>
      <c r="M32" s="145">
        <f>0.1*J32</f>
        <v>10.5</v>
      </c>
      <c r="N32" s="145">
        <f>J32</f>
        <v>105</v>
      </c>
      <c r="O32" s="145">
        <f t="shared" si="5"/>
        <v>0</v>
      </c>
      <c r="P32" s="145">
        <f t="shared" si="5"/>
        <v>0</v>
      </c>
      <c r="Q32" s="145">
        <f t="shared" si="6"/>
        <v>5.25</v>
      </c>
      <c r="R32" s="145">
        <f t="shared" si="6"/>
        <v>52.5</v>
      </c>
      <c r="S32" s="145">
        <f t="shared" si="6"/>
        <v>0</v>
      </c>
      <c r="T32" s="145">
        <f t="shared" si="6"/>
        <v>0</v>
      </c>
      <c r="U32" s="130" t="s">
        <v>5</v>
      </c>
      <c r="V32" s="89" t="s">
        <v>26</v>
      </c>
    </row>
    <row r="33" spans="1:22" ht="45.75" hidden="1">
      <c r="A33" s="204" t="s">
        <v>977</v>
      </c>
      <c r="B33" s="130" t="s">
        <v>1071</v>
      </c>
      <c r="C33" s="130" t="s">
        <v>1063</v>
      </c>
      <c r="D33" s="206" t="s">
        <v>1072</v>
      </c>
      <c r="E33" s="90" t="s">
        <v>1073</v>
      </c>
      <c r="F33" s="130">
        <v>2030</v>
      </c>
      <c r="G33" s="207"/>
      <c r="H33" s="130" t="s">
        <v>188</v>
      </c>
      <c r="I33" s="208">
        <v>0.4</v>
      </c>
      <c r="J33" s="212">
        <v>26.42</v>
      </c>
      <c r="K33" s="210"/>
      <c r="L33" s="213">
        <v>80000</v>
      </c>
      <c r="M33" s="145">
        <v>0</v>
      </c>
      <c r="N33" s="145">
        <f>$J33</f>
        <v>26.42</v>
      </c>
      <c r="O33" s="145">
        <f t="shared" si="5"/>
        <v>0</v>
      </c>
      <c r="P33" s="145">
        <f t="shared" si="5"/>
        <v>0</v>
      </c>
      <c r="Q33" s="145">
        <f t="shared" si="6"/>
        <v>0</v>
      </c>
      <c r="R33" s="145">
        <f t="shared" si="6"/>
        <v>10.568000000000001</v>
      </c>
      <c r="S33" s="145">
        <f t="shared" si="6"/>
        <v>0</v>
      </c>
      <c r="T33" s="145">
        <f t="shared" si="6"/>
        <v>0</v>
      </c>
      <c r="U33" s="130" t="s">
        <v>6</v>
      </c>
      <c r="V33" s="89" t="s">
        <v>27</v>
      </c>
    </row>
    <row r="34" spans="1:22" ht="79.5" hidden="1">
      <c r="A34" s="204" t="s">
        <v>977</v>
      </c>
      <c r="B34" s="130" t="s">
        <v>1074</v>
      </c>
      <c r="C34" s="130" t="s">
        <v>1063</v>
      </c>
      <c r="D34" s="206" t="s">
        <v>1075</v>
      </c>
      <c r="E34" s="90" t="s">
        <v>1076</v>
      </c>
      <c r="F34" s="130">
        <v>2028</v>
      </c>
      <c r="G34" s="207"/>
      <c r="H34" s="130" t="s">
        <v>1070</v>
      </c>
      <c r="I34" s="208">
        <v>0.75</v>
      </c>
      <c r="J34" s="212">
        <v>66</v>
      </c>
      <c r="K34" s="210"/>
      <c r="L34" s="213">
        <v>200000</v>
      </c>
      <c r="M34" s="145">
        <v>0</v>
      </c>
      <c r="N34" s="145">
        <f>$J34</f>
        <v>66</v>
      </c>
      <c r="O34" s="145">
        <f t="shared" si="5"/>
        <v>0</v>
      </c>
      <c r="P34" s="145">
        <f t="shared" si="5"/>
        <v>0</v>
      </c>
      <c r="Q34" s="145">
        <f t="shared" si="6"/>
        <v>0</v>
      </c>
      <c r="R34" s="145">
        <f t="shared" si="6"/>
        <v>49.5</v>
      </c>
      <c r="S34" s="145">
        <f t="shared" si="6"/>
        <v>0</v>
      </c>
      <c r="T34" s="145">
        <f t="shared" si="6"/>
        <v>0</v>
      </c>
      <c r="U34" s="130" t="s">
        <v>971</v>
      </c>
      <c r="V34" s="89" t="s">
        <v>26</v>
      </c>
    </row>
    <row r="35" spans="1:22" ht="102" hidden="1">
      <c r="A35" s="204" t="s">
        <v>1077</v>
      </c>
      <c r="B35" s="130" t="s">
        <v>1078</v>
      </c>
      <c r="C35" s="130" t="s">
        <v>1063</v>
      </c>
      <c r="D35" s="206" t="s">
        <v>1079</v>
      </c>
      <c r="E35" s="90" t="s">
        <v>1080</v>
      </c>
      <c r="F35" s="130">
        <v>2025</v>
      </c>
      <c r="G35" s="207"/>
      <c r="H35" s="204" t="s">
        <v>318</v>
      </c>
      <c r="I35" s="208">
        <v>1</v>
      </c>
      <c r="J35" s="212">
        <v>7.93</v>
      </c>
      <c r="K35" s="210"/>
      <c r="L35" s="213">
        <v>24000</v>
      </c>
      <c r="M35" s="145">
        <v>0</v>
      </c>
      <c r="N35" s="145">
        <f>$J35</f>
        <v>7.93</v>
      </c>
      <c r="O35" s="145">
        <f t="shared" ref="O35:P56" si="8">$K35/2</f>
        <v>0</v>
      </c>
      <c r="P35" s="145">
        <f t="shared" si="8"/>
        <v>0</v>
      </c>
      <c r="Q35" s="145">
        <f t="shared" si="6"/>
        <v>0</v>
      </c>
      <c r="R35" s="145">
        <f t="shared" si="6"/>
        <v>7.93</v>
      </c>
      <c r="S35" s="145">
        <f t="shared" si="6"/>
        <v>0</v>
      </c>
      <c r="T35" s="145">
        <f t="shared" si="6"/>
        <v>0</v>
      </c>
      <c r="U35" s="130" t="s">
        <v>971</v>
      </c>
      <c r="V35" s="89" t="s">
        <v>26</v>
      </c>
    </row>
    <row r="36" spans="1:22" ht="45.75" hidden="1">
      <c r="A36" s="204" t="s">
        <v>1081</v>
      </c>
      <c r="C36" s="130" t="s">
        <v>952</v>
      </c>
      <c r="D36" s="206" t="s">
        <v>1082</v>
      </c>
      <c r="E36" s="90" t="s">
        <v>1083</v>
      </c>
      <c r="F36" s="214"/>
      <c r="G36" s="207"/>
      <c r="H36" s="130" t="s">
        <v>488</v>
      </c>
      <c r="I36" s="208">
        <v>0.4</v>
      </c>
      <c r="J36" s="209">
        <v>26.4</v>
      </c>
      <c r="K36" s="210"/>
      <c r="L36" s="211">
        <v>80000</v>
      </c>
      <c r="M36" s="145">
        <v>0</v>
      </c>
      <c r="N36" s="145">
        <f>$J36</f>
        <v>26.4</v>
      </c>
      <c r="O36" s="145">
        <f t="shared" si="8"/>
        <v>0</v>
      </c>
      <c r="P36" s="145">
        <f t="shared" si="8"/>
        <v>0</v>
      </c>
      <c r="Q36" s="145">
        <f t="shared" si="6"/>
        <v>0</v>
      </c>
      <c r="R36" s="145">
        <f t="shared" si="6"/>
        <v>10.56</v>
      </c>
      <c r="S36" s="145">
        <f t="shared" si="6"/>
        <v>0</v>
      </c>
      <c r="T36" s="145">
        <f t="shared" si="6"/>
        <v>0</v>
      </c>
      <c r="U36" s="130" t="s">
        <v>6</v>
      </c>
      <c r="V36" s="89" t="s">
        <v>27</v>
      </c>
    </row>
    <row r="37" spans="1:22" ht="23.25" hidden="1">
      <c r="A37" s="204" t="s">
        <v>1084</v>
      </c>
      <c r="C37" s="130" t="s">
        <v>952</v>
      </c>
      <c r="D37" s="206" t="s">
        <v>1085</v>
      </c>
      <c r="F37" s="214"/>
      <c r="G37" s="207"/>
      <c r="H37" s="130" t="s">
        <v>488</v>
      </c>
      <c r="I37" s="208">
        <v>0.4</v>
      </c>
      <c r="J37" s="209">
        <v>26.4</v>
      </c>
      <c r="K37" s="210"/>
      <c r="L37" s="211">
        <v>80000</v>
      </c>
      <c r="M37" s="145">
        <v>0</v>
      </c>
      <c r="N37" s="145">
        <f>$J37</f>
        <v>26.4</v>
      </c>
      <c r="O37" s="145">
        <f t="shared" si="8"/>
        <v>0</v>
      </c>
      <c r="P37" s="145">
        <f t="shared" si="8"/>
        <v>0</v>
      </c>
      <c r="Q37" s="145">
        <f t="shared" si="6"/>
        <v>0</v>
      </c>
      <c r="R37" s="145">
        <f t="shared" si="6"/>
        <v>10.56</v>
      </c>
      <c r="S37" s="145">
        <f t="shared" si="6"/>
        <v>0</v>
      </c>
      <c r="T37" s="145">
        <f t="shared" si="6"/>
        <v>0</v>
      </c>
      <c r="U37" s="130" t="s">
        <v>6</v>
      </c>
      <c r="V37" s="89" t="s">
        <v>27</v>
      </c>
    </row>
    <row r="38" spans="1:22" ht="113.25" hidden="1">
      <c r="A38" s="204" t="s">
        <v>1086</v>
      </c>
      <c r="B38" s="130" t="s">
        <v>1087</v>
      </c>
      <c r="C38" s="130" t="s">
        <v>1088</v>
      </c>
      <c r="D38" s="206" t="s">
        <v>1089</v>
      </c>
      <c r="E38" s="90" t="s">
        <v>1090</v>
      </c>
      <c r="F38" s="214"/>
      <c r="G38" s="207"/>
      <c r="I38" s="208"/>
      <c r="J38" s="209"/>
      <c r="K38" s="210"/>
      <c r="L38" s="211"/>
      <c r="M38" s="145"/>
      <c r="N38" s="145"/>
      <c r="O38" s="145"/>
      <c r="P38" s="145"/>
      <c r="Q38" s="145"/>
      <c r="R38" s="145"/>
      <c r="S38" s="145"/>
      <c r="T38" s="145"/>
      <c r="U38" s="130" t="s">
        <v>971</v>
      </c>
      <c r="V38" s="89" t="s">
        <v>26</v>
      </c>
    </row>
    <row r="39" spans="1:22" ht="90.75" hidden="1">
      <c r="A39" s="204" t="s">
        <v>1091</v>
      </c>
      <c r="B39" s="130" t="s">
        <v>1092</v>
      </c>
      <c r="C39" s="130" t="s">
        <v>1088</v>
      </c>
      <c r="D39" s="206" t="s">
        <v>1093</v>
      </c>
      <c r="E39" s="90" t="s">
        <v>1094</v>
      </c>
      <c r="F39" s="130">
        <v>2028</v>
      </c>
      <c r="G39" s="207"/>
      <c r="H39" s="130" t="s">
        <v>1057</v>
      </c>
      <c r="I39" s="208">
        <v>0.75</v>
      </c>
      <c r="J39" s="209">
        <v>66</v>
      </c>
      <c r="K39" s="210"/>
      <c r="L39" s="211">
        <v>200000</v>
      </c>
      <c r="M39" s="145">
        <f t="shared" ref="M39:N42" si="9">$J39/2</f>
        <v>33</v>
      </c>
      <c r="N39" s="145">
        <f t="shared" si="9"/>
        <v>33</v>
      </c>
      <c r="O39" s="145">
        <f t="shared" si="8"/>
        <v>0</v>
      </c>
      <c r="P39" s="145">
        <f t="shared" si="8"/>
        <v>0</v>
      </c>
      <c r="Q39" s="145">
        <f t="shared" si="6"/>
        <v>24.75</v>
      </c>
      <c r="R39" s="145">
        <f t="shared" si="6"/>
        <v>24.75</v>
      </c>
      <c r="S39" s="145">
        <f t="shared" si="6"/>
        <v>0</v>
      </c>
      <c r="T39" s="145">
        <f t="shared" si="6"/>
        <v>0</v>
      </c>
      <c r="U39" s="130" t="s">
        <v>971</v>
      </c>
      <c r="V39" s="89" t="s">
        <v>26</v>
      </c>
    </row>
    <row r="40" spans="1:22" ht="45" hidden="1">
      <c r="A40" s="204" t="s">
        <v>1095</v>
      </c>
      <c r="B40" s="130" t="s">
        <v>1096</v>
      </c>
      <c r="C40" s="130" t="s">
        <v>1088</v>
      </c>
      <c r="D40" s="206" t="s">
        <v>1097</v>
      </c>
      <c r="E40" s="90" t="s">
        <v>1098</v>
      </c>
      <c r="F40" s="130">
        <v>2025</v>
      </c>
      <c r="G40" s="207"/>
      <c r="H40" s="130" t="s">
        <v>1057</v>
      </c>
      <c r="I40" s="208">
        <v>0.75</v>
      </c>
      <c r="J40" s="209"/>
      <c r="K40" s="210"/>
      <c r="L40" s="211"/>
      <c r="M40" s="145">
        <f t="shared" si="9"/>
        <v>0</v>
      </c>
      <c r="N40" s="145">
        <f t="shared" si="9"/>
        <v>0</v>
      </c>
      <c r="O40" s="145">
        <f t="shared" si="8"/>
        <v>0</v>
      </c>
      <c r="P40" s="145">
        <f t="shared" si="8"/>
        <v>0</v>
      </c>
      <c r="Q40" s="145">
        <f t="shared" si="6"/>
        <v>0</v>
      </c>
      <c r="R40" s="145">
        <f t="shared" si="6"/>
        <v>0</v>
      </c>
      <c r="S40" s="145">
        <f t="shared" si="6"/>
        <v>0</v>
      </c>
      <c r="T40" s="145">
        <f t="shared" si="6"/>
        <v>0</v>
      </c>
      <c r="U40" s="130" t="s">
        <v>971</v>
      </c>
      <c r="V40" s="89" t="s">
        <v>26</v>
      </c>
    </row>
    <row r="41" spans="1:22" ht="102" hidden="1">
      <c r="A41" s="204" t="s">
        <v>1018</v>
      </c>
      <c r="B41" s="130" t="s">
        <v>1092</v>
      </c>
      <c r="C41" s="130" t="s">
        <v>1088</v>
      </c>
      <c r="D41" s="206" t="s">
        <v>1099</v>
      </c>
      <c r="E41" s="90" t="s">
        <v>1100</v>
      </c>
      <c r="F41" s="214">
        <v>2025</v>
      </c>
      <c r="G41" s="207"/>
      <c r="I41" s="208">
        <v>0.75</v>
      </c>
      <c r="J41" s="212">
        <v>116</v>
      </c>
      <c r="K41" s="210"/>
      <c r="L41" s="213">
        <v>350000</v>
      </c>
      <c r="M41" s="145">
        <v>43</v>
      </c>
      <c r="N41" s="145">
        <v>73</v>
      </c>
      <c r="O41" s="145">
        <f t="shared" si="8"/>
        <v>0</v>
      </c>
      <c r="P41" s="145">
        <f t="shared" si="8"/>
        <v>0</v>
      </c>
      <c r="Q41" s="145">
        <f t="shared" si="6"/>
        <v>32.25</v>
      </c>
      <c r="R41" s="145">
        <f t="shared" si="6"/>
        <v>54.75</v>
      </c>
      <c r="S41" s="145">
        <f t="shared" si="6"/>
        <v>0</v>
      </c>
      <c r="T41" s="145">
        <f t="shared" si="6"/>
        <v>0</v>
      </c>
      <c r="U41" s="130" t="s">
        <v>5</v>
      </c>
      <c r="V41" s="89" t="s">
        <v>26</v>
      </c>
    </row>
    <row r="42" spans="1:22" ht="30" hidden="1">
      <c r="A42" s="204" t="s">
        <v>1101</v>
      </c>
      <c r="B42" s="130" t="s">
        <v>1102</v>
      </c>
      <c r="C42" s="130" t="s">
        <v>1103</v>
      </c>
      <c r="D42" s="206" t="s">
        <v>1104</v>
      </c>
      <c r="E42" s="90" t="s">
        <v>1105</v>
      </c>
      <c r="F42" s="130">
        <v>2030</v>
      </c>
      <c r="G42" s="207"/>
      <c r="H42" s="130" t="s">
        <v>654</v>
      </c>
      <c r="I42" s="208">
        <v>0.55000000000000004</v>
      </c>
      <c r="J42" s="209">
        <v>33</v>
      </c>
      <c r="K42" s="210"/>
      <c r="L42" s="211">
        <v>100000</v>
      </c>
      <c r="M42" s="145">
        <f t="shared" si="9"/>
        <v>16.5</v>
      </c>
      <c r="N42" s="145">
        <f t="shared" si="9"/>
        <v>16.5</v>
      </c>
      <c r="O42" s="145">
        <f t="shared" si="8"/>
        <v>0</v>
      </c>
      <c r="P42" s="145">
        <f t="shared" si="8"/>
        <v>0</v>
      </c>
      <c r="Q42" s="145">
        <f t="shared" si="6"/>
        <v>9.0750000000000011</v>
      </c>
      <c r="R42" s="145">
        <f t="shared" si="6"/>
        <v>9.0750000000000011</v>
      </c>
      <c r="S42" s="145">
        <f t="shared" si="6"/>
        <v>0</v>
      </c>
      <c r="T42" s="145">
        <f t="shared" si="6"/>
        <v>0</v>
      </c>
      <c r="U42" s="130" t="s">
        <v>5</v>
      </c>
      <c r="V42" s="89" t="s">
        <v>26</v>
      </c>
    </row>
    <row r="43" spans="1:22" ht="57" hidden="1">
      <c r="A43" s="204" t="s">
        <v>1106</v>
      </c>
      <c r="B43" s="130" t="s">
        <v>1102</v>
      </c>
      <c r="C43" s="130" t="s">
        <v>1103</v>
      </c>
      <c r="D43" s="206" t="s">
        <v>1107</v>
      </c>
      <c r="E43" s="90" t="s">
        <v>1108</v>
      </c>
      <c r="F43" s="130">
        <v>2030</v>
      </c>
      <c r="G43" s="207"/>
      <c r="H43" s="130" t="s">
        <v>188</v>
      </c>
      <c r="I43" s="208">
        <v>0.55000000000000004</v>
      </c>
      <c r="J43" s="212">
        <v>15.85</v>
      </c>
      <c r="K43" s="210"/>
      <c r="L43" s="213">
        <v>48000</v>
      </c>
      <c r="M43" s="145">
        <v>0</v>
      </c>
      <c r="N43" s="145">
        <f>$J43</f>
        <v>15.85</v>
      </c>
      <c r="O43" s="145">
        <f t="shared" si="8"/>
        <v>0</v>
      </c>
      <c r="P43" s="145">
        <f t="shared" si="8"/>
        <v>0</v>
      </c>
      <c r="Q43" s="145">
        <f t="shared" si="6"/>
        <v>0</v>
      </c>
      <c r="R43" s="145">
        <f t="shared" si="6"/>
        <v>8.7175000000000011</v>
      </c>
      <c r="S43" s="145">
        <f t="shared" si="6"/>
        <v>0</v>
      </c>
      <c r="T43" s="145">
        <f t="shared" si="6"/>
        <v>0</v>
      </c>
      <c r="U43" s="130" t="s">
        <v>396</v>
      </c>
      <c r="V43" s="89" t="s">
        <v>29</v>
      </c>
    </row>
    <row r="44" spans="1:22" ht="105" hidden="1">
      <c r="A44" s="204" t="s">
        <v>1109</v>
      </c>
      <c r="B44" s="130" t="s">
        <v>1110</v>
      </c>
      <c r="C44" s="130" t="s">
        <v>1111</v>
      </c>
      <c r="D44" s="206" t="s">
        <v>1112</v>
      </c>
      <c r="E44" s="90" t="s">
        <v>1113</v>
      </c>
      <c r="F44" s="130">
        <v>2030</v>
      </c>
      <c r="G44" s="207"/>
      <c r="H44" s="130" t="s">
        <v>188</v>
      </c>
      <c r="I44" s="208">
        <v>0.55000000000000004</v>
      </c>
      <c r="J44" s="212">
        <v>48</v>
      </c>
      <c r="K44" s="210"/>
      <c r="L44" s="213">
        <v>145000</v>
      </c>
      <c r="M44" s="145">
        <v>0</v>
      </c>
      <c r="N44" s="145">
        <f>$J44</f>
        <v>48</v>
      </c>
      <c r="O44" s="145">
        <f t="shared" si="8"/>
        <v>0</v>
      </c>
      <c r="P44" s="145">
        <f t="shared" si="8"/>
        <v>0</v>
      </c>
      <c r="Q44" s="145">
        <f t="shared" si="6"/>
        <v>0</v>
      </c>
      <c r="R44" s="145">
        <f t="shared" si="6"/>
        <v>26.400000000000002</v>
      </c>
      <c r="S44" s="145">
        <f t="shared" si="6"/>
        <v>0</v>
      </c>
      <c r="T44" s="145">
        <f t="shared" si="6"/>
        <v>0</v>
      </c>
      <c r="U44" s="130" t="s">
        <v>5</v>
      </c>
      <c r="V44" s="89" t="s">
        <v>26</v>
      </c>
    </row>
    <row r="45" spans="1:22" ht="45.75" hidden="1">
      <c r="A45" s="204" t="s">
        <v>559</v>
      </c>
      <c r="B45" s="130" t="s">
        <v>1114</v>
      </c>
      <c r="C45" s="130" t="s">
        <v>1115</v>
      </c>
      <c r="D45" s="206" t="s">
        <v>1116</v>
      </c>
      <c r="E45" s="90" t="s">
        <v>1117</v>
      </c>
      <c r="F45" s="130">
        <v>2023</v>
      </c>
      <c r="G45" s="223"/>
      <c r="H45" s="130" t="s">
        <v>318</v>
      </c>
      <c r="I45" s="208">
        <v>1</v>
      </c>
      <c r="J45" s="212">
        <v>858</v>
      </c>
      <c r="K45" s="210"/>
      <c r="L45" s="213">
        <v>2600000</v>
      </c>
      <c r="M45" s="145">
        <f>J45-N45</f>
        <v>528</v>
      </c>
      <c r="N45" s="145">
        <v>330</v>
      </c>
      <c r="O45" s="145">
        <f t="shared" si="8"/>
        <v>0</v>
      </c>
      <c r="P45" s="145">
        <f t="shared" si="8"/>
        <v>0</v>
      </c>
      <c r="Q45" s="145">
        <f t="shared" si="6"/>
        <v>528</v>
      </c>
      <c r="R45" s="145">
        <f t="shared" si="6"/>
        <v>330</v>
      </c>
      <c r="S45" s="145">
        <f t="shared" si="6"/>
        <v>0</v>
      </c>
      <c r="T45" s="145">
        <f t="shared" si="6"/>
        <v>0</v>
      </c>
      <c r="U45" s="130" t="s">
        <v>5</v>
      </c>
      <c r="V45" s="89" t="s">
        <v>26</v>
      </c>
    </row>
    <row r="46" spans="1:22" ht="68.25" hidden="1">
      <c r="A46" s="204" t="s">
        <v>1118</v>
      </c>
      <c r="B46" s="130" t="s">
        <v>1119</v>
      </c>
      <c r="C46" s="130" t="s">
        <v>1120</v>
      </c>
      <c r="D46" s="206" t="s">
        <v>1121</v>
      </c>
      <c r="E46" s="90" t="s">
        <v>1122</v>
      </c>
      <c r="F46" s="130">
        <v>2026</v>
      </c>
      <c r="G46" s="207"/>
      <c r="H46" s="130" t="s">
        <v>188</v>
      </c>
      <c r="I46" s="208">
        <v>0.75</v>
      </c>
      <c r="J46" s="212">
        <v>148.6</v>
      </c>
      <c r="K46" s="210"/>
      <c r="L46" s="213">
        <v>400000</v>
      </c>
      <c r="M46" s="145">
        <f>J46-N46</f>
        <v>35.664000000000001</v>
      </c>
      <c r="N46" s="145">
        <f>$J46*0.76</f>
        <v>112.93599999999999</v>
      </c>
      <c r="O46" s="145">
        <f t="shared" si="8"/>
        <v>0</v>
      </c>
      <c r="P46" s="145">
        <f t="shared" si="8"/>
        <v>0</v>
      </c>
      <c r="Q46" s="145">
        <f t="shared" si="6"/>
        <v>26.748000000000001</v>
      </c>
      <c r="R46" s="145">
        <f t="shared" si="6"/>
        <v>84.701999999999998</v>
      </c>
      <c r="S46" s="145">
        <f t="shared" si="6"/>
        <v>0</v>
      </c>
      <c r="T46" s="145">
        <f t="shared" si="6"/>
        <v>0</v>
      </c>
      <c r="U46" s="130" t="s">
        <v>5</v>
      </c>
      <c r="V46" s="89" t="s">
        <v>26</v>
      </c>
    </row>
    <row r="47" spans="1:22" hidden="1">
      <c r="A47" s="204" t="s">
        <v>1123</v>
      </c>
      <c r="B47" s="130" t="s">
        <v>1119</v>
      </c>
      <c r="C47" s="130" t="s">
        <v>1120</v>
      </c>
      <c r="D47" s="206"/>
      <c r="F47" s="130">
        <v>2025</v>
      </c>
      <c r="G47" s="207"/>
      <c r="H47" s="130" t="s">
        <v>188</v>
      </c>
      <c r="I47" s="208">
        <v>0.55000000000000004</v>
      </c>
      <c r="J47" s="213">
        <v>99</v>
      </c>
      <c r="K47" s="210"/>
      <c r="L47" s="213">
        <v>300000</v>
      </c>
      <c r="M47" s="145">
        <f t="shared" ref="M47:N56" si="10">$J47/2</f>
        <v>49.5</v>
      </c>
      <c r="N47" s="145">
        <f t="shared" si="10"/>
        <v>49.5</v>
      </c>
      <c r="O47" s="145">
        <f t="shared" si="8"/>
        <v>0</v>
      </c>
      <c r="P47" s="145">
        <f t="shared" si="8"/>
        <v>0</v>
      </c>
      <c r="Q47" s="145">
        <f t="shared" si="6"/>
        <v>27.225000000000001</v>
      </c>
      <c r="R47" s="145">
        <f t="shared" si="6"/>
        <v>27.225000000000001</v>
      </c>
      <c r="S47" s="145">
        <f t="shared" si="6"/>
        <v>0</v>
      </c>
      <c r="T47" s="145">
        <f t="shared" si="6"/>
        <v>0</v>
      </c>
      <c r="U47" s="130" t="s">
        <v>5</v>
      </c>
      <c r="V47" s="89" t="s">
        <v>26</v>
      </c>
    </row>
    <row r="48" spans="1:22" hidden="1">
      <c r="A48" s="204" t="s">
        <v>1124</v>
      </c>
      <c r="B48" s="130" t="s">
        <v>1119</v>
      </c>
      <c r="C48" s="130" t="s">
        <v>1120</v>
      </c>
      <c r="D48" s="206"/>
      <c r="F48" s="130">
        <v>2024</v>
      </c>
      <c r="G48" s="207"/>
      <c r="H48" s="130" t="s">
        <v>188</v>
      </c>
      <c r="I48" s="208">
        <v>0.55000000000000004</v>
      </c>
      <c r="J48" s="213">
        <v>165.125</v>
      </c>
      <c r="K48" s="210"/>
      <c r="L48" s="213">
        <v>500000</v>
      </c>
      <c r="M48" s="145">
        <f t="shared" si="10"/>
        <v>82.5625</v>
      </c>
      <c r="N48" s="145">
        <f t="shared" si="10"/>
        <v>82.5625</v>
      </c>
      <c r="O48" s="145">
        <f t="shared" si="8"/>
        <v>0</v>
      </c>
      <c r="P48" s="145">
        <f t="shared" si="8"/>
        <v>0</v>
      </c>
      <c r="Q48" s="145">
        <f t="shared" si="6"/>
        <v>45.409375000000004</v>
      </c>
      <c r="R48" s="145">
        <f t="shared" si="6"/>
        <v>45.409375000000004</v>
      </c>
      <c r="S48" s="145">
        <f t="shared" si="6"/>
        <v>0</v>
      </c>
      <c r="T48" s="145">
        <f t="shared" si="6"/>
        <v>0</v>
      </c>
      <c r="U48" s="130" t="s">
        <v>5</v>
      </c>
      <c r="V48" s="89" t="s">
        <v>26</v>
      </c>
    </row>
    <row r="49" spans="1:24" hidden="1">
      <c r="A49" s="204" t="s">
        <v>1124</v>
      </c>
      <c r="B49" s="130" t="s">
        <v>1119</v>
      </c>
      <c r="C49" s="130" t="s">
        <v>1120</v>
      </c>
      <c r="D49" s="206"/>
      <c r="F49" s="130">
        <v>2024</v>
      </c>
      <c r="G49" s="207"/>
      <c r="H49" s="130" t="s">
        <v>188</v>
      </c>
      <c r="I49" s="208">
        <v>0.55000000000000004</v>
      </c>
      <c r="J49" s="211">
        <v>165.125</v>
      </c>
      <c r="K49" s="210"/>
      <c r="L49" s="211">
        <v>500000</v>
      </c>
      <c r="M49" s="145">
        <f t="shared" si="10"/>
        <v>82.5625</v>
      </c>
      <c r="N49" s="145">
        <f t="shared" si="10"/>
        <v>82.5625</v>
      </c>
      <c r="O49" s="145">
        <f t="shared" si="8"/>
        <v>0</v>
      </c>
      <c r="P49" s="145">
        <f t="shared" si="8"/>
        <v>0</v>
      </c>
      <c r="Q49" s="145">
        <f t="shared" si="6"/>
        <v>45.409375000000004</v>
      </c>
      <c r="R49" s="145">
        <f t="shared" si="6"/>
        <v>45.409375000000004</v>
      </c>
      <c r="S49" s="145">
        <f t="shared" si="6"/>
        <v>0</v>
      </c>
      <c r="T49" s="145">
        <f t="shared" si="6"/>
        <v>0</v>
      </c>
      <c r="U49" s="130" t="s">
        <v>503</v>
      </c>
      <c r="V49" s="89" t="s">
        <v>26</v>
      </c>
    </row>
    <row r="50" spans="1:24" hidden="1">
      <c r="A50" s="204" t="s">
        <v>1125</v>
      </c>
      <c r="B50" s="130" t="s">
        <v>1119</v>
      </c>
      <c r="C50" s="130" t="s">
        <v>1120</v>
      </c>
      <c r="D50" s="206"/>
      <c r="F50" s="130">
        <v>2026</v>
      </c>
      <c r="G50" s="207"/>
      <c r="H50" s="130" t="s">
        <v>188</v>
      </c>
      <c r="I50" s="208">
        <v>0.55000000000000004</v>
      </c>
      <c r="J50" s="213">
        <v>148.6</v>
      </c>
      <c r="K50" s="210"/>
      <c r="L50" s="213">
        <v>450000</v>
      </c>
      <c r="M50" s="145">
        <f t="shared" si="10"/>
        <v>74.3</v>
      </c>
      <c r="N50" s="145">
        <f t="shared" si="10"/>
        <v>74.3</v>
      </c>
      <c r="O50" s="145">
        <f t="shared" si="8"/>
        <v>0</v>
      </c>
      <c r="P50" s="145">
        <f t="shared" si="8"/>
        <v>0</v>
      </c>
      <c r="Q50" s="145">
        <f t="shared" si="6"/>
        <v>40.865000000000002</v>
      </c>
      <c r="R50" s="145">
        <f t="shared" si="6"/>
        <v>40.865000000000002</v>
      </c>
      <c r="S50" s="145">
        <f t="shared" si="6"/>
        <v>0</v>
      </c>
      <c r="T50" s="145">
        <f t="shared" si="6"/>
        <v>0</v>
      </c>
      <c r="U50" s="130" t="s">
        <v>5</v>
      </c>
      <c r="V50" s="89" t="s">
        <v>26</v>
      </c>
    </row>
    <row r="51" spans="1:24" hidden="1">
      <c r="A51" s="204" t="s">
        <v>1123</v>
      </c>
      <c r="B51" s="130" t="s">
        <v>1126</v>
      </c>
      <c r="C51" s="130" t="s">
        <v>1120</v>
      </c>
      <c r="D51" s="206"/>
      <c r="F51" s="130">
        <v>2024</v>
      </c>
      <c r="G51" s="207"/>
      <c r="H51" s="130" t="s">
        <v>188</v>
      </c>
      <c r="I51" s="208">
        <v>0.55000000000000004</v>
      </c>
      <c r="J51" s="213">
        <v>99</v>
      </c>
      <c r="K51" s="210"/>
      <c r="L51" s="213">
        <v>300000</v>
      </c>
      <c r="M51" s="145">
        <f t="shared" si="10"/>
        <v>49.5</v>
      </c>
      <c r="N51" s="145">
        <f t="shared" si="10"/>
        <v>49.5</v>
      </c>
      <c r="O51" s="145">
        <f t="shared" si="8"/>
        <v>0</v>
      </c>
      <c r="P51" s="145">
        <f t="shared" si="8"/>
        <v>0</v>
      </c>
      <c r="Q51" s="145">
        <f t="shared" si="6"/>
        <v>27.225000000000001</v>
      </c>
      <c r="R51" s="145">
        <f t="shared" si="6"/>
        <v>27.225000000000001</v>
      </c>
      <c r="S51" s="145">
        <f t="shared" si="6"/>
        <v>0</v>
      </c>
      <c r="T51" s="145">
        <f t="shared" si="6"/>
        <v>0</v>
      </c>
      <c r="U51" s="130" t="s">
        <v>5</v>
      </c>
      <c r="V51" s="89" t="s">
        <v>26</v>
      </c>
    </row>
    <row r="52" spans="1:24" hidden="1">
      <c r="A52" s="204" t="s">
        <v>1127</v>
      </c>
      <c r="B52" s="130" t="s">
        <v>1128</v>
      </c>
      <c r="C52" s="130" t="s">
        <v>1120</v>
      </c>
      <c r="D52" s="206"/>
      <c r="F52" s="130">
        <v>2026</v>
      </c>
      <c r="G52" s="207"/>
      <c r="H52" s="130" t="s">
        <v>188</v>
      </c>
      <c r="I52" s="208">
        <v>0.55000000000000004</v>
      </c>
      <c r="J52" s="213">
        <v>165.125</v>
      </c>
      <c r="K52" s="210"/>
      <c r="L52" s="213">
        <v>500000</v>
      </c>
      <c r="M52" s="145">
        <f t="shared" si="10"/>
        <v>82.5625</v>
      </c>
      <c r="N52" s="145">
        <f t="shared" si="10"/>
        <v>82.5625</v>
      </c>
      <c r="O52" s="145">
        <f t="shared" si="8"/>
        <v>0</v>
      </c>
      <c r="P52" s="145">
        <f t="shared" si="8"/>
        <v>0</v>
      </c>
      <c r="Q52" s="145">
        <f t="shared" si="6"/>
        <v>45.409375000000004</v>
      </c>
      <c r="R52" s="145">
        <f t="shared" si="6"/>
        <v>45.409375000000004</v>
      </c>
      <c r="S52" s="145">
        <f t="shared" si="6"/>
        <v>0</v>
      </c>
      <c r="T52" s="145">
        <f t="shared" si="6"/>
        <v>0</v>
      </c>
      <c r="U52" s="130" t="s">
        <v>5</v>
      </c>
      <c r="V52" s="89" t="s">
        <v>26</v>
      </c>
    </row>
    <row r="53" spans="1:24" hidden="1">
      <c r="A53" s="204" t="s">
        <v>1127</v>
      </c>
      <c r="B53" s="130" t="s">
        <v>1128</v>
      </c>
      <c r="C53" s="130" t="s">
        <v>1120</v>
      </c>
      <c r="D53" s="206"/>
      <c r="E53" s="224">
        <v>45566</v>
      </c>
      <c r="F53" s="130">
        <v>2024</v>
      </c>
      <c r="G53" s="225"/>
      <c r="H53" s="130" t="s">
        <v>318</v>
      </c>
      <c r="I53" s="208">
        <v>1</v>
      </c>
      <c r="J53" s="213">
        <v>39.630000000000003</v>
      </c>
      <c r="K53" s="210"/>
      <c r="L53" s="213">
        <v>120000</v>
      </c>
      <c r="M53" s="145">
        <f t="shared" si="10"/>
        <v>19.815000000000001</v>
      </c>
      <c r="N53" s="145">
        <f t="shared" si="10"/>
        <v>19.815000000000001</v>
      </c>
      <c r="O53" s="145">
        <f t="shared" si="8"/>
        <v>0</v>
      </c>
      <c r="P53" s="145">
        <f t="shared" si="8"/>
        <v>0</v>
      </c>
      <c r="Q53" s="145">
        <f t="shared" si="6"/>
        <v>19.815000000000001</v>
      </c>
      <c r="R53" s="145">
        <f t="shared" si="6"/>
        <v>19.815000000000001</v>
      </c>
      <c r="S53" s="145">
        <f t="shared" si="6"/>
        <v>0</v>
      </c>
      <c r="T53" s="145">
        <f t="shared" si="6"/>
        <v>0</v>
      </c>
      <c r="U53" s="130" t="s">
        <v>503</v>
      </c>
      <c r="V53" s="89" t="s">
        <v>26</v>
      </c>
    </row>
    <row r="54" spans="1:24" hidden="1">
      <c r="A54" s="204" t="s">
        <v>1129</v>
      </c>
      <c r="B54" s="130" t="s">
        <v>1128</v>
      </c>
      <c r="C54" s="130" t="s">
        <v>1120</v>
      </c>
      <c r="D54" s="206"/>
      <c r="F54" s="130">
        <v>2024</v>
      </c>
      <c r="G54" s="207"/>
      <c r="H54" s="130" t="s">
        <v>318</v>
      </c>
      <c r="I54" s="208">
        <v>1</v>
      </c>
      <c r="J54" s="213">
        <v>1.65</v>
      </c>
      <c r="K54" s="210"/>
      <c r="L54" s="213">
        <v>5000</v>
      </c>
      <c r="M54" s="145">
        <f t="shared" si="10"/>
        <v>0.82499999999999996</v>
      </c>
      <c r="N54" s="145">
        <f t="shared" si="10"/>
        <v>0.82499999999999996</v>
      </c>
      <c r="O54" s="145">
        <f t="shared" si="8"/>
        <v>0</v>
      </c>
      <c r="P54" s="145">
        <f t="shared" si="8"/>
        <v>0</v>
      </c>
      <c r="Q54" s="145">
        <f t="shared" si="6"/>
        <v>0.82499999999999996</v>
      </c>
      <c r="R54" s="145">
        <f t="shared" si="6"/>
        <v>0.82499999999999996</v>
      </c>
      <c r="S54" s="145">
        <f t="shared" si="6"/>
        <v>0</v>
      </c>
      <c r="T54" s="145">
        <f t="shared" si="6"/>
        <v>0</v>
      </c>
      <c r="U54" s="130" t="s">
        <v>503</v>
      </c>
      <c r="V54" s="89" t="s">
        <v>26</v>
      </c>
    </row>
    <row r="55" spans="1:24" ht="124.5" hidden="1">
      <c r="A55" s="204" t="s">
        <v>1130</v>
      </c>
      <c r="B55" s="130" t="s">
        <v>1131</v>
      </c>
      <c r="C55" s="130" t="s">
        <v>1132</v>
      </c>
      <c r="D55" s="206" t="s">
        <v>1133</v>
      </c>
      <c r="E55" s="90" t="s">
        <v>1134</v>
      </c>
      <c r="F55" s="130">
        <v>2025</v>
      </c>
      <c r="G55" s="207"/>
      <c r="H55" s="130" t="s">
        <v>188</v>
      </c>
      <c r="I55" s="208">
        <v>0.55000000000000004</v>
      </c>
      <c r="J55" s="213">
        <v>96.43</v>
      </c>
      <c r="K55" s="210"/>
      <c r="L55" s="213">
        <v>292000</v>
      </c>
      <c r="M55" s="145">
        <f t="shared" si="10"/>
        <v>48.215000000000003</v>
      </c>
      <c r="N55" s="145">
        <f t="shared" si="10"/>
        <v>48.215000000000003</v>
      </c>
      <c r="O55" s="145">
        <f t="shared" si="8"/>
        <v>0</v>
      </c>
      <c r="P55" s="145">
        <f t="shared" si="8"/>
        <v>0</v>
      </c>
      <c r="Q55" s="145">
        <f t="shared" si="6"/>
        <v>26.518250000000005</v>
      </c>
      <c r="R55" s="145">
        <f t="shared" si="6"/>
        <v>26.518250000000005</v>
      </c>
      <c r="S55" s="145">
        <f t="shared" si="6"/>
        <v>0</v>
      </c>
      <c r="T55" s="145">
        <f t="shared" si="6"/>
        <v>0</v>
      </c>
      <c r="U55" s="130" t="s">
        <v>5</v>
      </c>
      <c r="V55" s="89" t="s">
        <v>26</v>
      </c>
    </row>
    <row r="56" spans="1:24" ht="75" hidden="1">
      <c r="A56" s="204" t="s">
        <v>1135</v>
      </c>
      <c r="C56" s="130" t="s">
        <v>1132</v>
      </c>
      <c r="D56" s="206" t="s">
        <v>1136</v>
      </c>
      <c r="E56" s="90" t="s">
        <v>1137</v>
      </c>
      <c r="F56" s="130">
        <v>2025</v>
      </c>
      <c r="G56" s="207">
        <v>2026</v>
      </c>
      <c r="H56" s="130" t="s">
        <v>188</v>
      </c>
      <c r="I56" s="208">
        <v>0.55000000000000004</v>
      </c>
      <c r="J56" s="213">
        <v>3.17</v>
      </c>
      <c r="K56" s="210">
        <v>12.682</v>
      </c>
      <c r="L56" s="213">
        <v>50000</v>
      </c>
      <c r="M56" s="145">
        <f t="shared" si="10"/>
        <v>1.585</v>
      </c>
      <c r="N56" s="145">
        <f t="shared" si="10"/>
        <v>1.585</v>
      </c>
      <c r="O56" s="145">
        <f t="shared" si="8"/>
        <v>6.3410000000000002</v>
      </c>
      <c r="P56" s="145">
        <f t="shared" si="8"/>
        <v>6.3410000000000002</v>
      </c>
      <c r="Q56" s="145">
        <f t="shared" si="6"/>
        <v>0.87175000000000002</v>
      </c>
      <c r="R56" s="145">
        <f t="shared" si="6"/>
        <v>0.87175000000000002</v>
      </c>
      <c r="S56" s="145">
        <f t="shared" si="6"/>
        <v>3.4875500000000006</v>
      </c>
      <c r="T56" s="145">
        <f t="shared" si="6"/>
        <v>3.4875500000000006</v>
      </c>
      <c r="U56" s="130" t="s">
        <v>5</v>
      </c>
      <c r="V56" s="89" t="s">
        <v>26</v>
      </c>
    </row>
    <row r="57" spans="1:24" s="129" customFormat="1" ht="24" hidden="1">
      <c r="A57" s="396" t="s">
        <v>450</v>
      </c>
      <c r="B57" s="396"/>
      <c r="C57" s="396"/>
      <c r="D57" s="396"/>
      <c r="E57" s="396"/>
      <c r="F57" s="396"/>
      <c r="G57" s="396"/>
      <c r="H57" s="396"/>
      <c r="I57" s="396"/>
      <c r="J57" s="396"/>
      <c r="K57" s="396"/>
      <c r="L57" s="396"/>
      <c r="M57" s="396"/>
      <c r="N57" s="396"/>
      <c r="O57" s="396"/>
      <c r="P57" s="396"/>
      <c r="Q57" s="396"/>
      <c r="R57" s="396"/>
      <c r="S57" s="396"/>
      <c r="T57" s="396"/>
      <c r="U57" s="396"/>
      <c r="V57" s="396"/>
      <c r="W57" s="127"/>
      <c r="X57" s="127"/>
    </row>
    <row r="58" spans="1:24" ht="30">
      <c r="A58" s="204" t="s">
        <v>1208</v>
      </c>
      <c r="B58" s="130" t="s">
        <v>1207</v>
      </c>
      <c r="C58" s="130" t="s">
        <v>1011</v>
      </c>
      <c r="E58" s="90" t="s">
        <v>1209</v>
      </c>
      <c r="F58" s="130">
        <v>2026</v>
      </c>
      <c r="H58" s="204" t="s">
        <v>1210</v>
      </c>
      <c r="I58" s="272">
        <v>0.5</v>
      </c>
      <c r="J58" s="273">
        <v>85</v>
      </c>
      <c r="L58" s="213">
        <f>300000/7.5</f>
        <v>40000</v>
      </c>
      <c r="M58" s="130">
        <v>10</v>
      </c>
      <c r="N58" s="130">
        <v>75</v>
      </c>
      <c r="O58" s="130">
        <v>0</v>
      </c>
      <c r="P58" s="91">
        <v>0</v>
      </c>
      <c r="Q58" s="142">
        <f>M58*$I58</f>
        <v>5</v>
      </c>
      <c r="R58" s="142">
        <f>N58*$I58</f>
        <v>37.5</v>
      </c>
      <c r="S58" s="142">
        <f>O58*$I58</f>
        <v>0</v>
      </c>
      <c r="T58" s="142">
        <f>P58*$I58</f>
        <v>0</v>
      </c>
      <c r="U58" s="91" t="s">
        <v>5</v>
      </c>
      <c r="V58" s="91" t="s">
        <v>26</v>
      </c>
    </row>
  </sheetData>
  <autoFilter ref="A2:X57" xr:uid="{10F00720-0DCB-46CC-84E2-C4C08172145B}">
    <filterColumn colId="2">
      <filters>
        <filter val="China"/>
      </filters>
    </filterColumn>
  </autoFilter>
  <mergeCells count="4">
    <mergeCell ref="B1:C1"/>
    <mergeCell ref="D1:E1"/>
    <mergeCell ref="H1:I1"/>
    <mergeCell ref="A57:V5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41422-E5BC-449B-BE13-2FB527D450C1}">
  <dimension ref="A1:V119"/>
  <sheetViews>
    <sheetView topLeftCell="A21" zoomScale="145" zoomScaleNormal="145" workbookViewId="0">
      <selection activeCell="C82" sqref="C82:Q89"/>
    </sheetView>
  </sheetViews>
  <sheetFormatPr defaultColWidth="9.140625" defaultRowHeight="15"/>
  <cols>
    <col min="1" max="1" width="23.140625" style="2" customWidth="1"/>
    <col min="2" max="16" width="8.85546875" style="2" customWidth="1"/>
    <col min="17" max="16384" width="9.140625" style="2"/>
  </cols>
  <sheetData>
    <row r="1" spans="1:17" ht="24" thickBot="1">
      <c r="A1" s="1" t="s">
        <v>1138</v>
      </c>
      <c r="B1" s="1"/>
      <c r="C1" s="1"/>
      <c r="D1" s="1"/>
      <c r="E1" s="1"/>
      <c r="F1" s="1"/>
      <c r="G1" s="1"/>
      <c r="H1" s="1"/>
      <c r="I1" s="1"/>
      <c r="J1" s="1"/>
      <c r="K1" s="1"/>
      <c r="L1" s="1"/>
      <c r="M1" s="1"/>
      <c r="N1" s="1"/>
      <c r="O1" s="1"/>
      <c r="P1" s="1"/>
      <c r="Q1" s="1"/>
    </row>
    <row r="2" spans="1:17" ht="15" customHeight="1" thickBot="1">
      <c r="A2" s="3" t="s">
        <v>3</v>
      </c>
      <c r="B2" s="4" t="s">
        <v>4</v>
      </c>
      <c r="C2" s="5">
        <v>2021</v>
      </c>
      <c r="D2" s="5">
        <v>2022</v>
      </c>
      <c r="E2" s="5">
        <v>2023</v>
      </c>
      <c r="F2" s="5">
        <v>2024</v>
      </c>
      <c r="G2" s="5">
        <v>2025</v>
      </c>
      <c r="H2" s="5">
        <v>2026</v>
      </c>
      <c r="I2" s="5">
        <v>2027</v>
      </c>
      <c r="J2" s="5">
        <v>2028</v>
      </c>
      <c r="K2" s="5">
        <v>2029</v>
      </c>
      <c r="L2" s="5">
        <v>2030</v>
      </c>
      <c r="M2" s="5">
        <v>2031</v>
      </c>
      <c r="N2" s="5">
        <v>2032</v>
      </c>
      <c r="O2" s="5">
        <v>2033</v>
      </c>
      <c r="P2" s="5">
        <v>2034</v>
      </c>
      <c r="Q2" s="5">
        <v>2035</v>
      </c>
    </row>
    <row r="3" spans="1:17" ht="15" customHeight="1">
      <c r="A3" s="6" t="s">
        <v>5</v>
      </c>
      <c r="B3" s="7">
        <f>SUMIFS(Asia!$R$3:$R$87,Asia!$F$3:$F$87,"&lt;"&amp;'Asia Capacity Data'!C$2,Asia!$U$3:$U$87,'Asia Capacity Data'!$A3)+SUMIFS(Asia!$T$3:$T$87,Asia!$F$3:$F$87,"&lt;"&amp;'Asia Capacity Data'!C$2,Asia!$U$3:$U$87,'Asia Capacity Data'!$A3)</f>
        <v>0</v>
      </c>
      <c r="C3" s="133">
        <f>SUMIFS(Asia!$R$3:$R$87,Asia!$F$3:$F$87,'Asia Capacity Data'!C$2,Asia!$U$3:$U$87,'Asia Capacity Data'!$A3)+SUMIFS(Asia!$T$3:$T$87,Asia!$F$3:$F$87,'Asia Capacity Data'!C$22,Asia!$U$3:$U$87,'Asia Capacity Data'!$A3)</f>
        <v>0</v>
      </c>
      <c r="D3" s="133">
        <f>SUMIFS(Asia!$R$3:$R$87,Asia!$F$3:$F$87,'Asia Capacity Data'!D$2,Asia!$U$3:$U$87,'Asia Capacity Data'!$A3)+SUMIFS(Asia!$T$3:$T$87,Asia!$F$3:$F$87,'Asia Capacity Data'!D$22,Asia!$U$3:$U$87,'Asia Capacity Data'!$A3)</f>
        <v>72</v>
      </c>
      <c r="E3" s="133">
        <f>SUMIFS(Asia!$R$3:$R$87,Asia!$F$3:$F$87,'Asia Capacity Data'!E$2,Asia!$U$3:$U$87,'Asia Capacity Data'!$A3)+SUMIFS(Asia!$T$3:$T$87,Asia!$F$3:$F$87,'Asia Capacity Data'!E$22,Asia!$U$3:$U$87,'Asia Capacity Data'!$A3)</f>
        <v>330</v>
      </c>
      <c r="F3" s="134">
        <f>SUMIFS(Asia!$R$3:$R$87,Asia!$F$3:$F$87,'Asia Capacity Data'!F$2,Asia!$U$3:$U$87,'Asia Capacity Data'!$A3)+SUMIFS(Asia!$T$3:$T$87,Asia!$F$3:$F$87,'Asia Capacity Data'!F$22,Asia!$U$3:$U$87,'Asia Capacity Data'!$A3)</f>
        <v>72.634375000000006</v>
      </c>
      <c r="G3" s="134">
        <f>SUMIFS(Asia!$R$3:$R$87,Asia!$F$3:$F$87,'Asia Capacity Data'!G$2,Asia!$U$3:$U$87,'Asia Capacity Data'!$A3)+SUMIFS(Asia!$T$3:$T$87,Asia!$F$3:$F$87,'Asia Capacity Data'!G$22,Asia!$U$3:$U$87,'Asia Capacity Data'!$A3)</f>
        <v>237.85254999999998</v>
      </c>
      <c r="H3" s="134">
        <f>SUMIFS(Asia!$R$3:$R$87,Asia!$F$3:$F$87,'Asia Capacity Data'!H$2,Asia!$U$3:$U$87,'Asia Capacity Data'!$A3)+SUMIFS(Asia!$T$3:$T$87,Asia!$F$3:$F$87,'Asia Capacity Data'!H$22,Asia!$U$3:$U$87,'Asia Capacity Data'!$A3)</f>
        <v>208.47637500000002</v>
      </c>
      <c r="I3" s="134">
        <f>SUMIFS(Asia!$R$3:$R$87,Asia!$F$3:$F$87,'Asia Capacity Data'!I$2,Asia!$U$3:$U$87,'Asia Capacity Data'!$A3)+SUMIFS(Asia!$T$3:$T$87,Asia!$F$3:$F$87,'Asia Capacity Data'!I$22,Asia!$U$3:$U$87,'Asia Capacity Data'!$A3)</f>
        <v>0</v>
      </c>
      <c r="J3" s="134">
        <f>SUMIFS(Asia!$R$3:$R$87,Asia!$F$3:$F$87,'Asia Capacity Data'!J$2,Asia!$U$3:$U$87,'Asia Capacity Data'!$A3)+SUMIFS(Asia!$T$3:$T$87,Asia!$F$3:$F$87,'Asia Capacity Data'!J$22,Asia!$U$3:$U$87,'Asia Capacity Data'!$A3)</f>
        <v>71.516279999999995</v>
      </c>
      <c r="K3" s="134">
        <f>SUMIFS(Asia!$R$3:$R$87,Asia!$F$3:$F$87,'Asia Capacity Data'!K$2,Asia!$U$3:$U$87,'Asia Capacity Data'!$A3)+SUMIFS(Asia!$T$3:$T$87,Asia!$F$3:$F$87,'Asia Capacity Data'!K$22,Asia!$U$3:$U$87,'Asia Capacity Data'!$A3)</f>
        <v>0</v>
      </c>
      <c r="L3" s="134">
        <f>SUMIFS(Asia!$R$3:$R$87,Asia!$F$3:$F$87,'Asia Capacity Data'!L$2,Asia!$U$3:$U$87,'Asia Capacity Data'!$A3)+SUMIFS(Asia!$T$3:$T$87,Asia!$F$3:$F$87,'Asia Capacity Data'!L$22,Asia!$U$3:$U$87,'Asia Capacity Data'!$A3)</f>
        <v>65.275000000000006</v>
      </c>
      <c r="M3" s="134">
        <f>SUMIFS(Asia!$R$3:$R$87,Asia!$F$3:$F$87,'Asia Capacity Data'!M$2,Asia!$U$3:$U$87,'Asia Capacity Data'!$A3)+SUMIFS(Asia!$T$3:$T$87,Asia!$F$3:$F$87,'Asia Capacity Data'!M$22,Asia!$U$3:$U$87,'Asia Capacity Data'!$A3)</f>
        <v>0</v>
      </c>
      <c r="N3" s="134">
        <f>SUMIFS(Asia!$R$3:$R$87,Asia!$F$3:$F$87,'Asia Capacity Data'!N$2,Asia!$U$3:$U$87,'Asia Capacity Data'!$A3)+SUMIFS(Asia!$T$3:$T$87,Asia!$F$3:$F$87,'Asia Capacity Data'!N$22,Asia!$U$3:$U$87,'Asia Capacity Data'!$A3)</f>
        <v>3.9600000000000004</v>
      </c>
      <c r="O3" s="134">
        <f>SUMIFS(Asia!$R$3:$R$87,Asia!$F$3:$F$87,'Asia Capacity Data'!O$2,Asia!$U$3:$U$87,'Asia Capacity Data'!$A3)+SUMIFS(Asia!$T$3:$T$87,Asia!$F$3:$F$87,'Asia Capacity Data'!O$22,Asia!$U$3:$U$87,'Asia Capacity Data'!$A3)</f>
        <v>0</v>
      </c>
      <c r="P3" s="134">
        <f>SUMIFS(Asia!$R$3:$R$87,Asia!$F$3:$F$87,'Asia Capacity Data'!P$2,Asia!$U$3:$U$87,'Asia Capacity Data'!$A3)+SUMIFS(Asia!$T$3:$T$87,Asia!$F$3:$F$87,'Asia Capacity Data'!P$22,Asia!$U$3:$U$87,'Asia Capacity Data'!$A3)</f>
        <v>0</v>
      </c>
      <c r="Q3" s="134">
        <f>SUMIFS(Asia!$R$3:$R$87,Asia!$F$3:$F$87,'Asia Capacity Data'!Q$2,Asia!$U$3:$U$87,'Asia Capacity Data'!$A3)+SUMIFS(Asia!$T$3:$T$87,Asia!$F$3:$F$87,'Asia Capacity Data'!Q$22,Asia!$U$3:$U$87,'Asia Capacity Data'!$A3)</f>
        <v>0</v>
      </c>
    </row>
    <row r="4" spans="1:17" ht="15" customHeight="1">
      <c r="A4" s="9" t="s">
        <v>6</v>
      </c>
      <c r="B4" s="10">
        <f>SUMIFS(Asia!$R$3:$R$87,Asia!$F$3:$F$87,"&lt;"&amp;'Asia Capacity Data'!C$2,Asia!$U$3:$U$87,'Asia Capacity Data'!$A4)+SUMIFS(Asia!$T$3:$T$87,Asia!$F$3:$F$87,"&lt;"&amp;'Asia Capacity Data'!C$2,Asia!$U$3:$U$87,'Asia Capacity Data'!$A4)</f>
        <v>0</v>
      </c>
      <c r="C4" s="10">
        <f>SUMIFS(Asia!$R$3:$R$87,Asia!$F$3:$F$87,'Asia Capacity Data'!C$2,Asia!$U$3:$U$87,'Asia Capacity Data'!$A4)+SUMIFS(Asia!$T$3:$T$87,Asia!$F$3:$F$87,'Asia Capacity Data'!C$22,Asia!$U$3:$U$87,'Asia Capacity Data'!$A4)</f>
        <v>0</v>
      </c>
      <c r="D4" s="10">
        <f>SUMIFS(Asia!$R$3:$R$87,Asia!$F$3:$F$87,'Asia Capacity Data'!D$2,Asia!$U$3:$U$87,'Asia Capacity Data'!$A4)+SUMIFS(Asia!$T$3:$T$87,Asia!$F$3:$F$87,'Asia Capacity Data'!D$22,Asia!$U$3:$U$87,'Asia Capacity Data'!$A4)</f>
        <v>0</v>
      </c>
      <c r="E4" s="10">
        <f>SUMIFS(Asia!$R$3:$R$87,Asia!$F$3:$F$87,'Asia Capacity Data'!E$2,Asia!$U$3:$U$87,'Asia Capacity Data'!$A4)+SUMIFS(Asia!$T$3:$T$87,Asia!$F$3:$F$87,'Asia Capacity Data'!E$22,Asia!$U$3:$U$87,'Asia Capacity Data'!$A4)</f>
        <v>0</v>
      </c>
      <c r="F4" s="8">
        <f>SUMIFS(Asia!$R$3:$R$87,Asia!$F$3:$F$87,'Asia Capacity Data'!F$2,Asia!$U$3:$U$87,'Asia Capacity Data'!$A4)+SUMIFS(Asia!$T$3:$T$87,Asia!$F$3:$F$87,'Asia Capacity Data'!F$22,Asia!$U$3:$U$87,'Asia Capacity Data'!$A4)</f>
        <v>0</v>
      </c>
      <c r="G4" s="8">
        <f>SUMIFS(Asia!$R$3:$R$87,Asia!$F$3:$F$87,'Asia Capacity Data'!G$2,Asia!$U$3:$U$87,'Asia Capacity Data'!$A4)+SUMIFS(Asia!$T$3:$T$87,Asia!$F$3:$F$87,'Asia Capacity Data'!G$22,Asia!$U$3:$U$87,'Asia Capacity Data'!$A4)</f>
        <v>0</v>
      </c>
      <c r="H4" s="8">
        <f>SUMIFS(Asia!$R$3:$R$87,Asia!$F$3:$F$87,'Asia Capacity Data'!H$2,Asia!$U$3:$U$87,'Asia Capacity Data'!$A4)+SUMIFS(Asia!$T$3:$T$87,Asia!$F$3:$F$87,'Asia Capacity Data'!H$22,Asia!$U$3:$U$87,'Asia Capacity Data'!$A4)</f>
        <v>0</v>
      </c>
      <c r="I4" s="8">
        <f>SUMIFS(Asia!$R$3:$R$87,Asia!$F$3:$F$87,'Asia Capacity Data'!I$2,Asia!$U$3:$U$87,'Asia Capacity Data'!$A4)+SUMIFS(Asia!$T$3:$T$87,Asia!$F$3:$F$87,'Asia Capacity Data'!I$22,Asia!$U$3:$U$87,'Asia Capacity Data'!$A4)</f>
        <v>99.859375</v>
      </c>
      <c r="J4" s="8">
        <f>SUMIFS(Asia!$R$3:$R$87,Asia!$F$3:$F$87,'Asia Capacity Data'!J$2,Asia!$U$3:$U$87,'Asia Capacity Data'!$A4)+SUMIFS(Asia!$T$3:$T$87,Asia!$F$3:$F$87,'Asia Capacity Data'!J$22,Asia!$U$3:$U$87,'Asia Capacity Data'!$A4)</f>
        <v>0</v>
      </c>
      <c r="K4" s="8">
        <f>SUMIFS(Asia!$R$3:$R$87,Asia!$F$3:$F$87,'Asia Capacity Data'!K$2,Asia!$U$3:$U$87,'Asia Capacity Data'!$A4)+SUMIFS(Asia!$T$3:$T$87,Asia!$F$3:$F$87,'Asia Capacity Data'!K$22,Asia!$U$3:$U$87,'Asia Capacity Data'!$A4)</f>
        <v>26.145200000000003</v>
      </c>
      <c r="L4" s="8">
        <f>SUMIFS(Asia!$R$3:$R$87,Asia!$F$3:$F$87,'Asia Capacity Data'!L$2,Asia!$U$3:$U$87,'Asia Capacity Data'!$A4)+SUMIFS(Asia!$T$3:$T$87,Asia!$F$3:$F$87,'Asia Capacity Data'!L$22,Asia!$U$3:$U$87,'Asia Capacity Data'!$A4)</f>
        <v>127.39325000000001</v>
      </c>
      <c r="M4" s="8">
        <f>SUMIFS(Asia!$R$3:$R$87,Asia!$F$3:$F$87,'Asia Capacity Data'!M$2,Asia!$U$3:$U$87,'Asia Capacity Data'!$A4)+SUMIFS(Asia!$T$3:$T$87,Asia!$F$3:$F$87,'Asia Capacity Data'!M$22,Asia!$U$3:$U$87,'Asia Capacity Data'!$A4)</f>
        <v>0</v>
      </c>
      <c r="N4" s="8">
        <f>SUMIFS(Asia!$R$3:$R$87,Asia!$F$3:$F$87,'Asia Capacity Data'!N$2,Asia!$U$3:$U$87,'Asia Capacity Data'!$A4)+SUMIFS(Asia!$T$3:$T$87,Asia!$F$3:$F$87,'Asia Capacity Data'!N$22,Asia!$U$3:$U$87,'Asia Capacity Data'!$A4)</f>
        <v>10.8</v>
      </c>
      <c r="O4" s="8">
        <f>SUMIFS(Asia!$R$3:$R$87,Asia!$F$3:$F$87,'Asia Capacity Data'!O$2,Asia!$U$3:$U$87,'Asia Capacity Data'!$A4)+SUMIFS(Asia!$T$3:$T$87,Asia!$F$3:$F$87,'Asia Capacity Data'!O$22,Asia!$U$3:$U$87,'Asia Capacity Data'!$A4)</f>
        <v>0</v>
      </c>
      <c r="P4" s="8">
        <f>SUMIFS(Asia!$R$3:$R$87,Asia!$F$3:$F$87,'Asia Capacity Data'!P$2,Asia!$U$3:$U$87,'Asia Capacity Data'!$A4)+SUMIFS(Asia!$T$3:$T$87,Asia!$F$3:$F$87,'Asia Capacity Data'!P$22,Asia!$U$3:$U$87,'Asia Capacity Data'!$A4)</f>
        <v>0</v>
      </c>
      <c r="Q4" s="8">
        <f>SUMIFS(Asia!$R$3:$R$87,Asia!$F$3:$F$87,'Asia Capacity Data'!Q$2,Asia!$U$3:$U$87,'Asia Capacity Data'!$A4)+SUMIFS(Asia!$T$3:$T$87,Asia!$F$3:$F$87,'Asia Capacity Data'!Q$22,Asia!$U$3:$U$87,'Asia Capacity Data'!$A4)</f>
        <v>0</v>
      </c>
    </row>
    <row r="5" spans="1:17" ht="15" customHeight="1">
      <c r="A5" s="9" t="s">
        <v>7</v>
      </c>
      <c r="B5" s="10">
        <f>SUMIFS(Asia!$R$3:$R$87,Asia!$F$3:$F$87,"&lt;"&amp;'Asia Capacity Data'!C$2,Asia!$U$3:$U$87,'Asia Capacity Data'!$A5)+SUMIFS(Asia!$T$3:$T$87,Asia!$F$3:$F$87,"&lt;"&amp;'Asia Capacity Data'!C$2,Asia!$U$3:$U$87,'Asia Capacity Data'!$A5)</f>
        <v>0</v>
      </c>
      <c r="C5" s="10">
        <f>SUMIFS(Asia!$R$3:$R$87,Asia!$F$3:$F$87,'Asia Capacity Data'!C$2,Asia!$U$3:$U$87,'Asia Capacity Data'!$A5)+SUMIFS(Asia!$T$3:$T$87,Asia!$F$3:$F$87,'Asia Capacity Data'!C$22,Asia!$U$3:$U$87,'Asia Capacity Data'!$A5)</f>
        <v>0</v>
      </c>
      <c r="D5" s="10">
        <f>SUMIFS(Asia!$R$3:$R$87,Asia!$F$3:$F$87,'Asia Capacity Data'!D$2,Asia!$U$3:$U$87,'Asia Capacity Data'!$A5)+SUMIFS(Asia!$T$3:$T$87,Asia!$F$3:$F$87,'Asia Capacity Data'!D$22,Asia!$U$3:$U$87,'Asia Capacity Data'!$A5)</f>
        <v>0</v>
      </c>
      <c r="E5" s="10">
        <f>SUMIFS(Asia!$R$3:$R$87,Asia!$F$3:$F$87,'Asia Capacity Data'!E$2,Asia!$U$3:$U$87,'Asia Capacity Data'!$A5)+SUMIFS(Asia!$T$3:$T$87,Asia!$F$3:$F$87,'Asia Capacity Data'!E$22,Asia!$U$3:$U$87,'Asia Capacity Data'!$A5)</f>
        <v>0</v>
      </c>
      <c r="F5" s="8">
        <f>SUMIFS(Asia!$R$3:$R$87,Asia!$F$3:$F$87,'Asia Capacity Data'!F$2,Asia!$U$3:$U$87,'Asia Capacity Data'!$A5)+SUMIFS(Asia!$T$3:$T$87,Asia!$F$3:$F$87,'Asia Capacity Data'!F$22,Asia!$U$3:$U$87,'Asia Capacity Data'!$A5)</f>
        <v>0</v>
      </c>
      <c r="G5" s="8">
        <f>SUMIFS(Asia!$R$3:$R$87,Asia!$F$3:$F$87,'Asia Capacity Data'!G$2,Asia!$U$3:$U$87,'Asia Capacity Data'!$A5)+SUMIFS(Asia!$T$3:$T$87,Asia!$F$3:$F$87,'Asia Capacity Data'!G$22,Asia!$U$3:$U$87,'Asia Capacity Data'!$A5)</f>
        <v>0</v>
      </c>
      <c r="H5" s="8">
        <f>SUMIFS(Asia!$R$3:$R$87,Asia!$F$3:$F$87,'Asia Capacity Data'!H$2,Asia!$U$3:$U$87,'Asia Capacity Data'!$A5)+SUMIFS(Asia!$T$3:$T$87,Asia!$F$3:$F$87,'Asia Capacity Data'!H$22,Asia!$U$3:$U$87,'Asia Capacity Data'!$A5)</f>
        <v>0</v>
      </c>
      <c r="I5" s="8">
        <f>SUMIFS(Asia!$R$3:$R$87,Asia!$F$3:$F$87,'Asia Capacity Data'!I$2,Asia!$U$3:$U$87,'Asia Capacity Data'!$A5)+SUMIFS(Asia!$T$3:$T$87,Asia!$F$3:$F$87,'Asia Capacity Data'!I$22,Asia!$U$3:$U$87,'Asia Capacity Data'!$A5)</f>
        <v>0</v>
      </c>
      <c r="J5" s="8">
        <f>SUMIFS(Asia!$R$3:$R$87,Asia!$F$3:$F$87,'Asia Capacity Data'!J$2,Asia!$U$3:$U$87,'Asia Capacity Data'!$A5)+SUMIFS(Asia!$T$3:$T$87,Asia!$F$3:$F$87,'Asia Capacity Data'!J$22,Asia!$U$3:$U$87,'Asia Capacity Data'!$A5)</f>
        <v>0</v>
      </c>
      <c r="K5" s="8">
        <f>SUMIFS(Asia!$R$3:$R$87,Asia!$F$3:$F$87,'Asia Capacity Data'!K$2,Asia!$U$3:$U$87,'Asia Capacity Data'!$A5)+SUMIFS(Asia!$T$3:$T$87,Asia!$F$3:$F$87,'Asia Capacity Data'!K$22,Asia!$U$3:$U$87,'Asia Capacity Data'!$A5)</f>
        <v>0</v>
      </c>
      <c r="L5" s="8">
        <f>SUMIFS(Asia!$R$3:$R$87,Asia!$F$3:$F$87,'Asia Capacity Data'!L$2,Asia!$U$3:$U$87,'Asia Capacity Data'!$A5)+SUMIFS(Asia!$T$3:$T$87,Asia!$F$3:$F$87,'Asia Capacity Data'!L$22,Asia!$U$3:$U$87,'Asia Capacity Data'!$A5)</f>
        <v>4.3450000000000006</v>
      </c>
      <c r="M5" s="8">
        <f>SUMIFS(Asia!$R$3:$R$87,Asia!$F$3:$F$87,'Asia Capacity Data'!M$2,Asia!$U$3:$U$87,'Asia Capacity Data'!$A5)+SUMIFS(Asia!$T$3:$T$87,Asia!$F$3:$F$87,'Asia Capacity Data'!M$22,Asia!$U$3:$U$87,'Asia Capacity Data'!$A5)</f>
        <v>0</v>
      </c>
      <c r="N5" s="8">
        <f>SUMIFS(Asia!$R$3:$R$87,Asia!$F$3:$F$87,'Asia Capacity Data'!N$2,Asia!$U$3:$U$87,'Asia Capacity Data'!$A5)+SUMIFS(Asia!$T$3:$T$87,Asia!$F$3:$F$87,'Asia Capacity Data'!N$22,Asia!$U$3:$U$87,'Asia Capacity Data'!$A5)</f>
        <v>0</v>
      </c>
      <c r="O5" s="8">
        <f>SUMIFS(Asia!$R$3:$R$87,Asia!$F$3:$F$87,'Asia Capacity Data'!O$2,Asia!$U$3:$U$87,'Asia Capacity Data'!$A5)+SUMIFS(Asia!$T$3:$T$87,Asia!$F$3:$F$87,'Asia Capacity Data'!O$22,Asia!$U$3:$U$87,'Asia Capacity Data'!$A5)</f>
        <v>0</v>
      </c>
      <c r="P5" s="8">
        <f>SUMIFS(Asia!$R$3:$R$87,Asia!$F$3:$F$87,'Asia Capacity Data'!P$2,Asia!$U$3:$U$87,'Asia Capacity Data'!$A5)+SUMIFS(Asia!$T$3:$T$87,Asia!$F$3:$F$87,'Asia Capacity Data'!P$22,Asia!$U$3:$U$87,'Asia Capacity Data'!$A5)</f>
        <v>0</v>
      </c>
      <c r="Q5" s="8">
        <f>SUMIFS(Asia!$R$3:$R$87,Asia!$F$3:$F$87,'Asia Capacity Data'!Q$2,Asia!$U$3:$U$87,'Asia Capacity Data'!$A5)+SUMIFS(Asia!$T$3:$T$87,Asia!$F$3:$F$87,'Asia Capacity Data'!Q$22,Asia!$U$3:$U$87,'Asia Capacity Data'!$A5)</f>
        <v>0</v>
      </c>
    </row>
    <row r="6" spans="1:17" ht="15" customHeight="1">
      <c r="A6" s="9" t="s">
        <v>8</v>
      </c>
      <c r="B6" s="10">
        <f>SUMIFS(Asia!$R$3:$R$87,Asia!$F$3:$F$87,"&lt;"&amp;'Asia Capacity Data'!C$2,Asia!$U$3:$U$87,'Asia Capacity Data'!$A6)+SUMIFS(Asia!$T$3:$T$87,Asia!$F$3:$F$87,"&lt;"&amp;'Asia Capacity Data'!C$2,Asia!$U$3:$U$87,'Asia Capacity Data'!$A6)</f>
        <v>0</v>
      </c>
      <c r="C6" s="10">
        <f>SUMIFS(Asia!$R$3:$R$87,Asia!$F$3:$F$87,'Asia Capacity Data'!C$2,Asia!$U$3:$U$87,'Asia Capacity Data'!$A6)+SUMIFS(Asia!$T$3:$T$87,Asia!$F$3:$F$87,'Asia Capacity Data'!C$22,Asia!$U$3:$U$87,'Asia Capacity Data'!$A6)</f>
        <v>0</v>
      </c>
      <c r="D6" s="10">
        <f>SUMIFS(Asia!$R$3:$R$87,Asia!$F$3:$F$87,'Asia Capacity Data'!D$2,Asia!$U$3:$U$87,'Asia Capacity Data'!$A6)+SUMIFS(Asia!$T$3:$T$87,Asia!$F$3:$F$87,'Asia Capacity Data'!D$22,Asia!$U$3:$U$87,'Asia Capacity Data'!$A6)</f>
        <v>0</v>
      </c>
      <c r="E6" s="10">
        <f>SUMIFS(Asia!$R$3:$R$87,Asia!$F$3:$F$87,'Asia Capacity Data'!E$2,Asia!$U$3:$U$87,'Asia Capacity Data'!$A6)+SUMIFS(Asia!$T$3:$T$87,Asia!$F$3:$F$87,'Asia Capacity Data'!E$22,Asia!$U$3:$U$87,'Asia Capacity Data'!$A6)</f>
        <v>0</v>
      </c>
      <c r="F6" s="8">
        <f>SUMIFS(Asia!$R$3:$R$87,Asia!$F$3:$F$87,'Asia Capacity Data'!F$2,Asia!$U$3:$U$87,'Asia Capacity Data'!$A6)+SUMIFS(Asia!$T$3:$T$87,Asia!$F$3:$F$87,'Asia Capacity Data'!F$22,Asia!$U$3:$U$87,'Asia Capacity Data'!$A6)</f>
        <v>0</v>
      </c>
      <c r="G6" s="8">
        <f>SUMIFS(Asia!$R$3:$R$87,Asia!$F$3:$F$87,'Asia Capacity Data'!G$2,Asia!$U$3:$U$87,'Asia Capacity Data'!$A6)+SUMIFS(Asia!$T$3:$T$87,Asia!$F$3:$F$87,'Asia Capacity Data'!G$22,Asia!$U$3:$U$87,'Asia Capacity Data'!$A6)</f>
        <v>0</v>
      </c>
      <c r="H6" s="8">
        <f>SUMIFS(Asia!$R$3:$R$87,Asia!$F$3:$F$87,'Asia Capacity Data'!H$2,Asia!$U$3:$U$87,'Asia Capacity Data'!$A6)+SUMIFS(Asia!$T$3:$T$87,Asia!$F$3:$F$87,'Asia Capacity Data'!H$22,Asia!$U$3:$U$87,'Asia Capacity Data'!$A6)</f>
        <v>0</v>
      </c>
      <c r="I6" s="8">
        <f>SUMIFS(Asia!$R$3:$R$87,Asia!$F$3:$F$87,'Asia Capacity Data'!I$2,Asia!$U$3:$U$87,'Asia Capacity Data'!$A6)+SUMIFS(Asia!$T$3:$T$87,Asia!$F$3:$F$87,'Asia Capacity Data'!I$22,Asia!$U$3:$U$87,'Asia Capacity Data'!$A6)</f>
        <v>0</v>
      </c>
      <c r="J6" s="8">
        <f>SUMIFS(Asia!$R$3:$R$87,Asia!$F$3:$F$87,'Asia Capacity Data'!J$2,Asia!$U$3:$U$87,'Asia Capacity Data'!$A6)+SUMIFS(Asia!$T$3:$T$87,Asia!$F$3:$F$87,'Asia Capacity Data'!J$22,Asia!$U$3:$U$87,'Asia Capacity Data'!$A6)</f>
        <v>0</v>
      </c>
      <c r="K6" s="8">
        <f>SUMIFS(Asia!$R$3:$R$87,Asia!$F$3:$F$87,'Asia Capacity Data'!K$2,Asia!$U$3:$U$87,'Asia Capacity Data'!$A6)+SUMIFS(Asia!$T$3:$T$87,Asia!$F$3:$F$87,'Asia Capacity Data'!K$22,Asia!$U$3:$U$87,'Asia Capacity Data'!$A6)</f>
        <v>0</v>
      </c>
      <c r="L6" s="8">
        <f>SUMIFS(Asia!$R$3:$R$87,Asia!$F$3:$F$87,'Asia Capacity Data'!L$2,Asia!$U$3:$U$87,'Asia Capacity Data'!$A6)+SUMIFS(Asia!$T$3:$T$87,Asia!$F$3:$F$87,'Asia Capacity Data'!L$22,Asia!$U$3:$U$87,'Asia Capacity Data'!$A6)</f>
        <v>10.30348</v>
      </c>
      <c r="M6" s="8">
        <f>SUMIFS(Asia!$R$3:$R$87,Asia!$F$3:$F$87,'Asia Capacity Data'!M$2,Asia!$U$3:$U$87,'Asia Capacity Data'!$A6)+SUMIFS(Asia!$T$3:$T$87,Asia!$F$3:$F$87,'Asia Capacity Data'!M$22,Asia!$U$3:$U$87,'Asia Capacity Data'!$A6)</f>
        <v>0</v>
      </c>
      <c r="N6" s="8">
        <f>SUMIFS(Asia!$R$3:$R$87,Asia!$F$3:$F$87,'Asia Capacity Data'!N$2,Asia!$U$3:$U$87,'Asia Capacity Data'!$A6)+SUMIFS(Asia!$T$3:$T$87,Asia!$F$3:$F$87,'Asia Capacity Data'!N$22,Asia!$U$3:$U$87,'Asia Capacity Data'!$A6)</f>
        <v>0</v>
      </c>
      <c r="O6" s="8">
        <f>SUMIFS(Asia!$R$3:$R$87,Asia!$F$3:$F$87,'Asia Capacity Data'!O$2,Asia!$U$3:$U$87,'Asia Capacity Data'!$A6)+SUMIFS(Asia!$T$3:$T$87,Asia!$F$3:$F$87,'Asia Capacity Data'!O$22,Asia!$U$3:$U$87,'Asia Capacity Data'!$A6)</f>
        <v>0</v>
      </c>
      <c r="P6" s="8">
        <f>SUMIFS(Asia!$R$3:$R$87,Asia!$F$3:$F$87,'Asia Capacity Data'!P$2,Asia!$U$3:$U$87,'Asia Capacity Data'!$A6)+SUMIFS(Asia!$T$3:$T$87,Asia!$F$3:$F$87,'Asia Capacity Data'!P$22,Asia!$U$3:$U$87,'Asia Capacity Data'!$A6)</f>
        <v>0</v>
      </c>
      <c r="Q6" s="8">
        <f>SUMIFS(Asia!$R$3:$R$87,Asia!$F$3:$F$87,'Asia Capacity Data'!Q$2,Asia!$U$3:$U$87,'Asia Capacity Data'!$A6)+SUMIFS(Asia!$T$3:$T$87,Asia!$F$3:$F$87,'Asia Capacity Data'!Q$22,Asia!$U$3:$U$87,'Asia Capacity Data'!$A6)</f>
        <v>0</v>
      </c>
    </row>
    <row r="7" spans="1:17" ht="15" customHeight="1">
      <c r="A7" s="9" t="s">
        <v>9</v>
      </c>
      <c r="B7" s="10">
        <f>SUMIFS(Asia!$R$3:$R$87,Asia!$F$3:$F$87,"&lt;"&amp;'Asia Capacity Data'!C$2,Asia!$U$3:$U$87,'Asia Capacity Data'!$A7)+SUMIFS(Asia!$T$3:$T$87,Asia!$F$3:$F$87,"&lt;"&amp;'Asia Capacity Data'!C$2,Asia!$U$3:$U$87,'Asia Capacity Data'!$A7)</f>
        <v>0</v>
      </c>
      <c r="C7" s="10">
        <f>SUMIFS(Asia!$R$3:$R$87,Asia!$F$3:$F$87,'Asia Capacity Data'!C$2,Asia!$U$3:$U$87,'Asia Capacity Data'!$A7)+SUMIFS(Asia!$T$3:$T$87,Asia!$F$3:$F$87,'Asia Capacity Data'!C$22,Asia!$U$3:$U$87,'Asia Capacity Data'!$A7)</f>
        <v>0</v>
      </c>
      <c r="D7" s="10">
        <f>SUMIFS(Asia!$R$3:$R$87,Asia!$F$3:$F$87,'Asia Capacity Data'!D$2,Asia!$U$3:$U$87,'Asia Capacity Data'!$A7)+SUMIFS(Asia!$T$3:$T$87,Asia!$F$3:$F$87,'Asia Capacity Data'!D$22,Asia!$U$3:$U$87,'Asia Capacity Data'!$A7)</f>
        <v>0</v>
      </c>
      <c r="E7" s="10">
        <f>SUMIFS(Asia!$R$3:$R$87,Asia!$F$3:$F$87,'Asia Capacity Data'!E$2,Asia!$U$3:$U$87,'Asia Capacity Data'!$A7)+SUMIFS(Asia!$T$3:$T$87,Asia!$F$3:$F$87,'Asia Capacity Data'!E$22,Asia!$U$3:$U$87,'Asia Capacity Data'!$A7)</f>
        <v>0</v>
      </c>
      <c r="F7" s="8">
        <f>SUMIFS(Asia!$R$3:$R$87,Asia!$F$3:$F$87,'Asia Capacity Data'!F$2,Asia!$U$3:$U$87,'Asia Capacity Data'!$A7)+SUMIFS(Asia!$T$3:$T$87,Asia!$F$3:$F$87,'Asia Capacity Data'!F$22,Asia!$U$3:$U$87,'Asia Capacity Data'!$A7)</f>
        <v>0</v>
      </c>
      <c r="G7" s="8">
        <f>SUMIFS(Asia!$R$3:$R$87,Asia!$F$3:$F$87,'Asia Capacity Data'!G$2,Asia!$U$3:$U$87,'Asia Capacity Data'!$A7)+SUMIFS(Asia!$T$3:$T$87,Asia!$F$3:$F$87,'Asia Capacity Data'!G$22,Asia!$U$3:$U$87,'Asia Capacity Data'!$A7)</f>
        <v>0</v>
      </c>
      <c r="H7" s="8">
        <f>SUMIFS(Asia!$R$3:$R$87,Asia!$F$3:$F$87,'Asia Capacity Data'!H$2,Asia!$U$3:$U$87,'Asia Capacity Data'!$A7)+SUMIFS(Asia!$T$3:$T$87,Asia!$F$3:$F$87,'Asia Capacity Data'!H$22,Asia!$U$3:$U$87,'Asia Capacity Data'!$A7)</f>
        <v>0</v>
      </c>
      <c r="I7" s="8">
        <f>SUMIFS(Asia!$R$3:$R$87,Asia!$F$3:$F$87,'Asia Capacity Data'!I$2,Asia!$U$3:$U$87,'Asia Capacity Data'!$A7)+SUMIFS(Asia!$T$3:$T$87,Asia!$F$3:$F$87,'Asia Capacity Data'!I$22,Asia!$U$3:$U$87,'Asia Capacity Data'!$A7)</f>
        <v>0</v>
      </c>
      <c r="J7" s="8">
        <f>SUMIFS(Asia!$R$3:$R$87,Asia!$F$3:$F$87,'Asia Capacity Data'!J$2,Asia!$U$3:$U$87,'Asia Capacity Data'!$A7)+SUMIFS(Asia!$T$3:$T$87,Asia!$F$3:$F$87,'Asia Capacity Data'!J$22,Asia!$U$3:$U$87,'Asia Capacity Data'!$A7)</f>
        <v>0</v>
      </c>
      <c r="K7" s="8">
        <f>SUMIFS(Asia!$R$3:$R$87,Asia!$F$3:$F$87,'Asia Capacity Data'!K$2,Asia!$U$3:$U$87,'Asia Capacity Data'!$A7)+SUMIFS(Asia!$T$3:$T$87,Asia!$F$3:$F$87,'Asia Capacity Data'!K$22,Asia!$U$3:$U$87,'Asia Capacity Data'!$A7)</f>
        <v>0</v>
      </c>
      <c r="L7" s="8">
        <f>SUMIFS(Asia!$R$3:$R$87,Asia!$F$3:$F$87,'Asia Capacity Data'!L$2,Asia!$U$3:$U$87,'Asia Capacity Data'!$A7)+SUMIFS(Asia!$T$3:$T$87,Asia!$F$3:$F$87,'Asia Capacity Data'!L$22,Asia!$U$3:$U$87,'Asia Capacity Data'!$A7)</f>
        <v>0</v>
      </c>
      <c r="M7" s="8">
        <f>SUMIFS(Asia!$R$3:$R$87,Asia!$F$3:$F$87,'Asia Capacity Data'!M$2,Asia!$U$3:$U$87,'Asia Capacity Data'!$A7)+SUMIFS(Asia!$T$3:$T$87,Asia!$F$3:$F$87,'Asia Capacity Data'!M$22,Asia!$U$3:$U$87,'Asia Capacity Data'!$A7)</f>
        <v>0</v>
      </c>
      <c r="N7" s="8">
        <f>SUMIFS(Asia!$R$3:$R$87,Asia!$F$3:$F$87,'Asia Capacity Data'!N$2,Asia!$U$3:$U$87,'Asia Capacity Data'!$A7)+SUMIFS(Asia!$T$3:$T$87,Asia!$F$3:$F$87,'Asia Capacity Data'!N$22,Asia!$U$3:$U$87,'Asia Capacity Data'!$A7)</f>
        <v>0</v>
      </c>
      <c r="O7" s="8">
        <f>SUMIFS(Asia!$R$3:$R$87,Asia!$F$3:$F$87,'Asia Capacity Data'!O$2,Asia!$U$3:$U$87,'Asia Capacity Data'!$A7)+SUMIFS(Asia!$T$3:$T$87,Asia!$F$3:$F$87,'Asia Capacity Data'!O$22,Asia!$U$3:$U$87,'Asia Capacity Data'!$A7)</f>
        <v>0</v>
      </c>
      <c r="P7" s="8">
        <f>SUMIFS(Asia!$R$3:$R$87,Asia!$F$3:$F$87,'Asia Capacity Data'!P$2,Asia!$U$3:$U$87,'Asia Capacity Data'!$A7)+SUMIFS(Asia!$T$3:$T$87,Asia!$F$3:$F$87,'Asia Capacity Data'!P$22,Asia!$U$3:$U$87,'Asia Capacity Data'!$A7)</f>
        <v>0</v>
      </c>
      <c r="Q7" s="8">
        <f>SUMIFS(Asia!$R$3:$R$87,Asia!$F$3:$F$87,'Asia Capacity Data'!Q$2,Asia!$U$3:$U$87,'Asia Capacity Data'!$A7)+SUMIFS(Asia!$T$3:$T$87,Asia!$F$3:$F$87,'Asia Capacity Data'!Q$22,Asia!$U$3:$U$87,'Asia Capacity Data'!$A7)</f>
        <v>0</v>
      </c>
    </row>
    <row r="8" spans="1:17" ht="15" customHeight="1">
      <c r="A8" s="9" t="s">
        <v>10</v>
      </c>
      <c r="B8" s="10">
        <f>SUMIFS(Asia!$R$3:$R$87,Asia!$F$3:$F$87,"&lt;"&amp;'Asia Capacity Data'!C$2,Asia!$U$3:$U$87,'Asia Capacity Data'!$A8)+SUMIFS(Asia!$T$3:$T$87,Asia!$F$3:$F$87,"&lt;"&amp;'Asia Capacity Data'!C$2,Asia!$U$3:$U$87,'Asia Capacity Data'!$A8)</f>
        <v>0</v>
      </c>
      <c r="C8" s="10">
        <f>SUMIFS(Asia!$R$3:$R$87,Asia!$F$3:$F$87,'Asia Capacity Data'!C$2,Asia!$U$3:$U$87,'Asia Capacity Data'!$A8)+SUMIFS(Asia!$T$3:$T$87,Asia!$F$3:$F$87,'Asia Capacity Data'!C$22,Asia!$U$3:$U$87,'Asia Capacity Data'!$A8)</f>
        <v>0</v>
      </c>
      <c r="D8" s="10">
        <f>SUMIFS(Asia!$R$3:$R$87,Asia!$F$3:$F$87,'Asia Capacity Data'!D$2,Asia!$U$3:$U$87,'Asia Capacity Data'!$A8)+SUMIFS(Asia!$T$3:$T$87,Asia!$F$3:$F$87,'Asia Capacity Data'!D$22,Asia!$U$3:$U$87,'Asia Capacity Data'!$A8)</f>
        <v>6.5391000000000004</v>
      </c>
      <c r="E8" s="10">
        <f>SUMIFS(Asia!$R$3:$R$87,Asia!$F$3:$F$87,'Asia Capacity Data'!E$2,Asia!$U$3:$U$87,'Asia Capacity Data'!$A8)+SUMIFS(Asia!$T$3:$T$87,Asia!$F$3:$F$87,'Asia Capacity Data'!E$22,Asia!$U$3:$U$87,'Asia Capacity Data'!$A8)</f>
        <v>0</v>
      </c>
      <c r="F8" s="8">
        <f>SUMIFS(Asia!$R$3:$R$87,Asia!$F$3:$F$87,'Asia Capacity Data'!F$2,Asia!$U$3:$U$87,'Asia Capacity Data'!$A8)+SUMIFS(Asia!$T$3:$T$87,Asia!$F$3:$F$87,'Asia Capacity Data'!F$22,Asia!$U$3:$U$87,'Asia Capacity Data'!$A8)</f>
        <v>66.049375000000012</v>
      </c>
      <c r="G8" s="8">
        <f>SUMIFS(Asia!$R$3:$R$87,Asia!$F$3:$F$87,'Asia Capacity Data'!G$2,Asia!$U$3:$U$87,'Asia Capacity Data'!$A8)+SUMIFS(Asia!$T$3:$T$87,Asia!$F$3:$F$87,'Asia Capacity Data'!G$22,Asia!$U$3:$U$87,'Asia Capacity Data'!$A8)</f>
        <v>0</v>
      </c>
      <c r="H8" s="8">
        <f>SUMIFS(Asia!$R$3:$R$87,Asia!$F$3:$F$87,'Asia Capacity Data'!H$2,Asia!$U$3:$U$87,'Asia Capacity Data'!$A8)+SUMIFS(Asia!$T$3:$T$87,Asia!$F$3:$F$87,'Asia Capacity Data'!H$22,Asia!$U$3:$U$87,'Asia Capacity Data'!$A8)</f>
        <v>0</v>
      </c>
      <c r="I8" s="8">
        <f>SUMIFS(Asia!$R$3:$R$87,Asia!$F$3:$F$87,'Asia Capacity Data'!I$2,Asia!$U$3:$U$87,'Asia Capacity Data'!$A8)+SUMIFS(Asia!$T$3:$T$87,Asia!$F$3:$F$87,'Asia Capacity Data'!I$22,Asia!$U$3:$U$87,'Asia Capacity Data'!$A8)</f>
        <v>0</v>
      </c>
      <c r="J8" s="8">
        <f>SUMIFS(Asia!$R$3:$R$87,Asia!$F$3:$F$87,'Asia Capacity Data'!J$2,Asia!$U$3:$U$87,'Asia Capacity Data'!$A8)+SUMIFS(Asia!$T$3:$T$87,Asia!$F$3:$F$87,'Asia Capacity Data'!J$22,Asia!$U$3:$U$87,'Asia Capacity Data'!$A8)</f>
        <v>4.2157500000000008</v>
      </c>
      <c r="K8" s="8">
        <f>SUMIFS(Asia!$R$3:$R$87,Asia!$F$3:$F$87,'Asia Capacity Data'!K$2,Asia!$U$3:$U$87,'Asia Capacity Data'!$A8)+SUMIFS(Asia!$T$3:$T$87,Asia!$F$3:$F$87,'Asia Capacity Data'!K$22,Asia!$U$3:$U$87,'Asia Capacity Data'!$A8)</f>
        <v>0</v>
      </c>
      <c r="L8" s="8">
        <f>SUMIFS(Asia!$R$3:$R$87,Asia!$F$3:$F$87,'Asia Capacity Data'!L$2,Asia!$U$3:$U$87,'Asia Capacity Data'!$A8)+SUMIFS(Asia!$T$3:$T$87,Asia!$F$3:$F$87,'Asia Capacity Data'!L$22,Asia!$U$3:$U$87,'Asia Capacity Data'!$A8)</f>
        <v>0</v>
      </c>
      <c r="M8" s="8">
        <f>SUMIFS(Asia!$R$3:$R$87,Asia!$F$3:$F$87,'Asia Capacity Data'!M$2,Asia!$U$3:$U$87,'Asia Capacity Data'!$A8)+SUMIFS(Asia!$T$3:$T$87,Asia!$F$3:$F$87,'Asia Capacity Data'!M$22,Asia!$U$3:$U$87,'Asia Capacity Data'!$A8)</f>
        <v>0</v>
      </c>
      <c r="N8" s="8">
        <f>SUMIFS(Asia!$R$3:$R$87,Asia!$F$3:$F$87,'Asia Capacity Data'!N$2,Asia!$U$3:$U$87,'Asia Capacity Data'!$A8)+SUMIFS(Asia!$T$3:$T$87,Asia!$F$3:$F$87,'Asia Capacity Data'!N$22,Asia!$U$3:$U$87,'Asia Capacity Data'!$A8)</f>
        <v>0</v>
      </c>
      <c r="O8" s="8">
        <f>SUMIFS(Asia!$R$3:$R$87,Asia!$F$3:$F$87,'Asia Capacity Data'!O$2,Asia!$U$3:$U$87,'Asia Capacity Data'!$A8)+SUMIFS(Asia!$T$3:$T$87,Asia!$F$3:$F$87,'Asia Capacity Data'!O$22,Asia!$U$3:$U$87,'Asia Capacity Data'!$A8)</f>
        <v>0</v>
      </c>
      <c r="P8" s="8">
        <f>SUMIFS(Asia!$R$3:$R$87,Asia!$F$3:$F$87,'Asia Capacity Data'!P$2,Asia!$U$3:$U$87,'Asia Capacity Data'!$A8)+SUMIFS(Asia!$T$3:$T$87,Asia!$F$3:$F$87,'Asia Capacity Data'!P$22,Asia!$U$3:$U$87,'Asia Capacity Data'!$A8)</f>
        <v>0</v>
      </c>
      <c r="Q8" s="8">
        <f>SUMIFS(Asia!$R$3:$R$87,Asia!$F$3:$F$87,'Asia Capacity Data'!Q$2,Asia!$U$3:$U$87,'Asia Capacity Data'!$A8)+SUMIFS(Asia!$T$3:$T$87,Asia!$F$3:$F$87,'Asia Capacity Data'!Q$22,Asia!$U$3:$U$87,'Asia Capacity Data'!$A8)</f>
        <v>0</v>
      </c>
    </row>
    <row r="9" spans="1:17" ht="15" customHeight="1" thickBot="1">
      <c r="A9" s="11" t="s">
        <v>11</v>
      </c>
      <c r="B9" s="12">
        <f>SUM(B3:B8)</f>
        <v>0</v>
      </c>
      <c r="C9" s="12">
        <f>SUM(C3:C8)</f>
        <v>0</v>
      </c>
      <c r="D9" s="12">
        <f t="shared" ref="D9:Q9" si="0">SUM(D3:D8)</f>
        <v>78.539100000000005</v>
      </c>
      <c r="E9" s="12">
        <f t="shared" si="0"/>
        <v>330</v>
      </c>
      <c r="F9" s="13">
        <f t="shared" si="0"/>
        <v>138.68375000000003</v>
      </c>
      <c r="G9" s="13">
        <f t="shared" si="0"/>
        <v>237.85254999999998</v>
      </c>
      <c r="H9" s="13">
        <f t="shared" si="0"/>
        <v>208.47637500000002</v>
      </c>
      <c r="I9" s="13">
        <f t="shared" si="0"/>
        <v>99.859375</v>
      </c>
      <c r="J9" s="13">
        <f t="shared" si="0"/>
        <v>75.732029999999995</v>
      </c>
      <c r="K9" s="13">
        <f t="shared" si="0"/>
        <v>26.145200000000003</v>
      </c>
      <c r="L9" s="13">
        <f t="shared" si="0"/>
        <v>207.31673000000001</v>
      </c>
      <c r="M9" s="13">
        <f t="shared" si="0"/>
        <v>0</v>
      </c>
      <c r="N9" s="13">
        <f t="shared" si="0"/>
        <v>14.760000000000002</v>
      </c>
      <c r="O9" s="13">
        <f t="shared" si="0"/>
        <v>0</v>
      </c>
      <c r="P9" s="13">
        <f t="shared" si="0"/>
        <v>0</v>
      </c>
      <c r="Q9" s="13">
        <f t="shared" si="0"/>
        <v>0</v>
      </c>
    </row>
    <row r="10" spans="1:17" ht="15" customHeight="1">
      <c r="A10" s="14"/>
      <c r="B10" s="15"/>
      <c r="C10" s="15"/>
      <c r="D10" s="15"/>
      <c r="E10" s="15"/>
      <c r="F10" s="15"/>
      <c r="G10" s="15"/>
      <c r="H10" s="15"/>
      <c r="I10" s="15"/>
      <c r="J10" s="15"/>
      <c r="K10" s="15"/>
      <c r="L10" s="15"/>
      <c r="M10" s="15"/>
      <c r="N10" s="15"/>
      <c r="O10" s="15"/>
      <c r="P10" s="15"/>
      <c r="Q10" s="15"/>
    </row>
    <row r="11" spans="1:17" ht="15" customHeight="1" thickBot="1">
      <c r="A11" s="16" t="s">
        <v>1139</v>
      </c>
      <c r="B11" s="15"/>
      <c r="C11" s="15"/>
      <c r="D11" s="15"/>
      <c r="E11" s="15"/>
      <c r="F11" s="15"/>
      <c r="G11" s="15"/>
      <c r="H11" s="15"/>
      <c r="I11" s="15"/>
      <c r="J11" s="15"/>
      <c r="K11" s="15"/>
      <c r="L11" s="15"/>
      <c r="M11" s="15"/>
      <c r="N11" s="15"/>
      <c r="O11" s="15"/>
      <c r="P11" s="15"/>
    </row>
    <row r="12" spans="1:17" ht="15" customHeight="1" thickBot="1">
      <c r="A12" s="17" t="s">
        <v>3</v>
      </c>
      <c r="B12" s="18" t="str">
        <f t="shared" ref="B12:B18" si="1">B2</f>
        <v>&lt; 2021</v>
      </c>
      <c r="C12" s="18">
        <f t="shared" ref="C12:Q12" si="2">C2</f>
        <v>2021</v>
      </c>
      <c r="D12" s="18">
        <f t="shared" si="2"/>
        <v>2022</v>
      </c>
      <c r="E12" s="18">
        <f t="shared" si="2"/>
        <v>2023</v>
      </c>
      <c r="F12" s="18">
        <f t="shared" si="2"/>
        <v>2024</v>
      </c>
      <c r="G12" s="18">
        <f t="shared" si="2"/>
        <v>2025</v>
      </c>
      <c r="H12" s="18">
        <f t="shared" si="2"/>
        <v>2026</v>
      </c>
      <c r="I12" s="18">
        <f t="shared" si="2"/>
        <v>2027</v>
      </c>
      <c r="J12" s="18">
        <f t="shared" si="2"/>
        <v>2028</v>
      </c>
      <c r="K12" s="18">
        <f t="shared" si="2"/>
        <v>2029</v>
      </c>
      <c r="L12" s="18">
        <f t="shared" si="2"/>
        <v>2030</v>
      </c>
      <c r="M12" s="18">
        <f t="shared" si="2"/>
        <v>2031</v>
      </c>
      <c r="N12" s="18">
        <f t="shared" si="2"/>
        <v>2032</v>
      </c>
      <c r="O12" s="18">
        <f t="shared" si="2"/>
        <v>2033</v>
      </c>
      <c r="P12" s="18">
        <f t="shared" si="2"/>
        <v>2034</v>
      </c>
      <c r="Q12" s="18">
        <f t="shared" si="2"/>
        <v>2035</v>
      </c>
    </row>
    <row r="13" spans="1:17" ht="15" customHeight="1">
      <c r="A13" s="19" t="s">
        <v>5</v>
      </c>
      <c r="B13" s="10">
        <f t="shared" si="1"/>
        <v>0</v>
      </c>
      <c r="C13" s="10">
        <f t="shared" ref="C13:Q13" si="3">B13+C3</f>
        <v>0</v>
      </c>
      <c r="D13" s="10">
        <f t="shared" si="3"/>
        <v>72</v>
      </c>
      <c r="E13" s="10">
        <f t="shared" si="3"/>
        <v>402</v>
      </c>
      <c r="F13" s="8">
        <f t="shared" si="3"/>
        <v>474.63437499999998</v>
      </c>
      <c r="G13" s="8">
        <f t="shared" si="3"/>
        <v>712.48692499999993</v>
      </c>
      <c r="H13" s="8">
        <f t="shared" si="3"/>
        <v>920.96329999999989</v>
      </c>
      <c r="I13" s="8">
        <f t="shared" si="3"/>
        <v>920.96329999999989</v>
      </c>
      <c r="J13" s="8">
        <f t="shared" si="3"/>
        <v>992.47957999999994</v>
      </c>
      <c r="K13" s="8">
        <f t="shared" si="3"/>
        <v>992.47957999999994</v>
      </c>
      <c r="L13" s="8">
        <f t="shared" si="3"/>
        <v>1057.75458</v>
      </c>
      <c r="M13" s="8">
        <f t="shared" si="3"/>
        <v>1057.75458</v>
      </c>
      <c r="N13" s="8">
        <f t="shared" si="3"/>
        <v>1061.7145800000001</v>
      </c>
      <c r="O13" s="8">
        <f t="shared" si="3"/>
        <v>1061.7145800000001</v>
      </c>
      <c r="P13" s="8">
        <f t="shared" si="3"/>
        <v>1061.7145800000001</v>
      </c>
      <c r="Q13" s="8">
        <f t="shared" si="3"/>
        <v>1061.7145800000001</v>
      </c>
    </row>
    <row r="14" spans="1:17" ht="15" customHeight="1">
      <c r="A14" s="20" t="s">
        <v>6</v>
      </c>
      <c r="B14" s="10">
        <f t="shared" si="1"/>
        <v>0</v>
      </c>
      <c r="C14" s="10">
        <f t="shared" ref="C14:Q14" si="4">B14+C4</f>
        <v>0</v>
      </c>
      <c r="D14" s="10">
        <f t="shared" si="4"/>
        <v>0</v>
      </c>
      <c r="E14" s="10">
        <f t="shared" si="4"/>
        <v>0</v>
      </c>
      <c r="F14" s="8">
        <f t="shared" si="4"/>
        <v>0</v>
      </c>
      <c r="G14" s="8">
        <f t="shared" si="4"/>
        <v>0</v>
      </c>
      <c r="H14" s="8">
        <f t="shared" si="4"/>
        <v>0</v>
      </c>
      <c r="I14" s="8">
        <f t="shared" si="4"/>
        <v>99.859375</v>
      </c>
      <c r="J14" s="8">
        <f t="shared" si="4"/>
        <v>99.859375</v>
      </c>
      <c r="K14" s="8">
        <f t="shared" si="4"/>
        <v>126.004575</v>
      </c>
      <c r="L14" s="8">
        <f t="shared" si="4"/>
        <v>253.39782500000001</v>
      </c>
      <c r="M14" s="8">
        <f t="shared" si="4"/>
        <v>253.39782500000001</v>
      </c>
      <c r="N14" s="8">
        <f t="shared" si="4"/>
        <v>264.19782500000002</v>
      </c>
      <c r="O14" s="8">
        <f t="shared" si="4"/>
        <v>264.19782500000002</v>
      </c>
      <c r="P14" s="8">
        <f t="shared" si="4"/>
        <v>264.19782500000002</v>
      </c>
      <c r="Q14" s="8">
        <f t="shared" si="4"/>
        <v>264.19782500000002</v>
      </c>
    </row>
    <row r="15" spans="1:17" ht="15" customHeight="1">
      <c r="A15" s="20" t="s">
        <v>7</v>
      </c>
      <c r="B15" s="10">
        <f t="shared" si="1"/>
        <v>0</v>
      </c>
      <c r="C15" s="10">
        <f t="shared" ref="C15:P18" si="5">B15+C5</f>
        <v>0</v>
      </c>
      <c r="D15" s="10">
        <f t="shared" si="5"/>
        <v>0</v>
      </c>
      <c r="E15" s="10">
        <f t="shared" si="5"/>
        <v>0</v>
      </c>
      <c r="F15" s="8">
        <f t="shared" si="5"/>
        <v>0</v>
      </c>
      <c r="G15" s="8">
        <f t="shared" si="5"/>
        <v>0</v>
      </c>
      <c r="H15" s="8">
        <f t="shared" si="5"/>
        <v>0</v>
      </c>
      <c r="I15" s="8">
        <f t="shared" si="5"/>
        <v>0</v>
      </c>
      <c r="J15" s="8">
        <f t="shared" si="5"/>
        <v>0</v>
      </c>
      <c r="K15" s="8">
        <f t="shared" si="5"/>
        <v>0</v>
      </c>
      <c r="L15" s="8">
        <f t="shared" si="5"/>
        <v>4.3450000000000006</v>
      </c>
      <c r="M15" s="8">
        <f t="shared" si="5"/>
        <v>4.3450000000000006</v>
      </c>
      <c r="N15" s="8">
        <f t="shared" si="5"/>
        <v>4.3450000000000006</v>
      </c>
      <c r="O15" s="8">
        <f t="shared" si="5"/>
        <v>4.3450000000000006</v>
      </c>
      <c r="P15" s="8">
        <f t="shared" si="5"/>
        <v>4.3450000000000006</v>
      </c>
      <c r="Q15" s="8">
        <f>P15+Q5</f>
        <v>4.3450000000000006</v>
      </c>
    </row>
    <row r="16" spans="1:17" ht="15" customHeight="1">
      <c r="A16" s="20" t="s">
        <v>8</v>
      </c>
      <c r="B16" s="10">
        <f t="shared" si="1"/>
        <v>0</v>
      </c>
      <c r="C16" s="10">
        <f t="shared" si="5"/>
        <v>0</v>
      </c>
      <c r="D16" s="10">
        <f t="shared" si="5"/>
        <v>0</v>
      </c>
      <c r="E16" s="10">
        <f t="shared" si="5"/>
        <v>0</v>
      </c>
      <c r="F16" s="8">
        <f t="shared" si="5"/>
        <v>0</v>
      </c>
      <c r="G16" s="8">
        <f t="shared" si="5"/>
        <v>0</v>
      </c>
      <c r="H16" s="8">
        <f t="shared" si="5"/>
        <v>0</v>
      </c>
      <c r="I16" s="8">
        <f t="shared" si="5"/>
        <v>0</v>
      </c>
      <c r="J16" s="8">
        <f t="shared" si="5"/>
        <v>0</v>
      </c>
      <c r="K16" s="8">
        <f t="shared" si="5"/>
        <v>0</v>
      </c>
      <c r="L16" s="8">
        <f t="shared" si="5"/>
        <v>10.30348</v>
      </c>
      <c r="M16" s="8">
        <f t="shared" si="5"/>
        <v>10.30348</v>
      </c>
      <c r="N16" s="8">
        <f t="shared" si="5"/>
        <v>10.30348</v>
      </c>
      <c r="O16" s="8">
        <f t="shared" si="5"/>
        <v>10.30348</v>
      </c>
      <c r="P16" s="8">
        <f t="shared" si="5"/>
        <v>10.30348</v>
      </c>
      <c r="Q16" s="8">
        <f>P16+Q6</f>
        <v>10.30348</v>
      </c>
    </row>
    <row r="17" spans="1:17" ht="15" customHeight="1">
      <c r="A17" s="20" t="s">
        <v>9</v>
      </c>
      <c r="B17" s="10">
        <f t="shared" si="1"/>
        <v>0</v>
      </c>
      <c r="C17" s="10">
        <f t="shared" si="5"/>
        <v>0</v>
      </c>
      <c r="D17" s="10">
        <f t="shared" si="5"/>
        <v>0</v>
      </c>
      <c r="E17" s="10">
        <f t="shared" si="5"/>
        <v>0</v>
      </c>
      <c r="F17" s="8">
        <f t="shared" si="5"/>
        <v>0</v>
      </c>
      <c r="G17" s="8">
        <f t="shared" si="5"/>
        <v>0</v>
      </c>
      <c r="H17" s="8">
        <f t="shared" si="5"/>
        <v>0</v>
      </c>
      <c r="I17" s="8">
        <f t="shared" si="5"/>
        <v>0</v>
      </c>
      <c r="J17" s="8">
        <f t="shared" si="5"/>
        <v>0</v>
      </c>
      <c r="K17" s="8">
        <f t="shared" si="5"/>
        <v>0</v>
      </c>
      <c r="L17" s="8">
        <f t="shared" si="5"/>
        <v>0</v>
      </c>
      <c r="M17" s="8">
        <f t="shared" si="5"/>
        <v>0</v>
      </c>
      <c r="N17" s="8">
        <f t="shared" si="5"/>
        <v>0</v>
      </c>
      <c r="O17" s="8">
        <f t="shared" si="5"/>
        <v>0</v>
      </c>
      <c r="P17" s="8">
        <f t="shared" si="5"/>
        <v>0</v>
      </c>
      <c r="Q17" s="8">
        <f>P17+Q7</f>
        <v>0</v>
      </c>
    </row>
    <row r="18" spans="1:17" ht="15" customHeight="1">
      <c r="A18" s="20" t="s">
        <v>10</v>
      </c>
      <c r="B18" s="10">
        <f t="shared" si="1"/>
        <v>0</v>
      </c>
      <c r="C18" s="10">
        <f t="shared" si="5"/>
        <v>0</v>
      </c>
      <c r="D18" s="10">
        <f t="shared" si="5"/>
        <v>6.5391000000000004</v>
      </c>
      <c r="E18" s="10">
        <f t="shared" si="5"/>
        <v>6.5391000000000004</v>
      </c>
      <c r="F18" s="8">
        <f t="shared" si="5"/>
        <v>72.588475000000017</v>
      </c>
      <c r="G18" s="8">
        <f t="shared" si="5"/>
        <v>72.588475000000017</v>
      </c>
      <c r="H18" s="8">
        <f t="shared" si="5"/>
        <v>72.588475000000017</v>
      </c>
      <c r="I18" s="8">
        <f t="shared" si="5"/>
        <v>72.588475000000017</v>
      </c>
      <c r="J18" s="8">
        <f t="shared" si="5"/>
        <v>76.804225000000017</v>
      </c>
      <c r="K18" s="8">
        <f t="shared" si="5"/>
        <v>76.804225000000017</v>
      </c>
      <c r="L18" s="8">
        <f t="shared" si="5"/>
        <v>76.804225000000017</v>
      </c>
      <c r="M18" s="8">
        <f t="shared" si="5"/>
        <v>76.804225000000017</v>
      </c>
      <c r="N18" s="8">
        <f t="shared" si="5"/>
        <v>76.804225000000017</v>
      </c>
      <c r="O18" s="8">
        <f t="shared" si="5"/>
        <v>76.804225000000017</v>
      </c>
      <c r="P18" s="8">
        <f t="shared" si="5"/>
        <v>76.804225000000017</v>
      </c>
      <c r="Q18" s="8">
        <f>P18+Q8</f>
        <v>76.804225000000017</v>
      </c>
    </row>
    <row r="19" spans="1:17" ht="15" customHeight="1" thickBot="1">
      <c r="A19" s="21" t="s">
        <v>11</v>
      </c>
      <c r="B19" s="12">
        <f>SUM(B13:B18)</f>
        <v>0</v>
      </c>
      <c r="C19" s="12">
        <f t="shared" ref="C19:Q19" si="6">SUM(C13:C18)</f>
        <v>0</v>
      </c>
      <c r="D19" s="12">
        <f t="shared" si="6"/>
        <v>78.539100000000005</v>
      </c>
      <c r="E19" s="12">
        <f t="shared" si="6"/>
        <v>408.53910000000002</v>
      </c>
      <c r="F19" s="13">
        <f t="shared" si="6"/>
        <v>547.22284999999999</v>
      </c>
      <c r="G19" s="13">
        <f t="shared" si="6"/>
        <v>785.07539999999995</v>
      </c>
      <c r="H19" s="13">
        <f t="shared" si="6"/>
        <v>993.55177499999991</v>
      </c>
      <c r="I19" s="13">
        <f t="shared" si="6"/>
        <v>1093.4111499999999</v>
      </c>
      <c r="J19" s="13">
        <f t="shared" si="6"/>
        <v>1169.14318</v>
      </c>
      <c r="K19" s="13">
        <f t="shared" si="6"/>
        <v>1195.28838</v>
      </c>
      <c r="L19" s="13">
        <f t="shared" si="6"/>
        <v>1402.6051100000002</v>
      </c>
      <c r="M19" s="13">
        <f t="shared" si="6"/>
        <v>1402.6051100000002</v>
      </c>
      <c r="N19" s="13">
        <f t="shared" si="6"/>
        <v>1417.3651100000002</v>
      </c>
      <c r="O19" s="13">
        <f t="shared" si="6"/>
        <v>1417.3651100000002</v>
      </c>
      <c r="P19" s="13">
        <f t="shared" si="6"/>
        <v>1417.3651100000002</v>
      </c>
      <c r="Q19" s="13">
        <f t="shared" si="6"/>
        <v>1417.3651100000002</v>
      </c>
    </row>
    <row r="20" spans="1:17" ht="15" customHeight="1">
      <c r="A20" s="14"/>
      <c r="B20" s="14"/>
      <c r="C20" s="14"/>
      <c r="D20" s="14"/>
      <c r="E20" s="14"/>
      <c r="F20" s="14"/>
      <c r="G20" s="14"/>
      <c r="H20" s="14"/>
      <c r="I20" s="14"/>
      <c r="J20" s="14"/>
      <c r="K20" s="14"/>
      <c r="L20" s="14"/>
      <c r="M20" s="14"/>
      <c r="N20" s="14"/>
      <c r="O20" s="14"/>
      <c r="P20" s="14"/>
      <c r="Q20" s="14"/>
    </row>
    <row r="21" spans="1:17" ht="15" customHeight="1" thickBot="1">
      <c r="A21" s="16" t="s">
        <v>1140</v>
      </c>
      <c r="B21" s="15"/>
      <c r="C21" s="15"/>
      <c r="D21" s="15"/>
      <c r="E21" s="15"/>
      <c r="F21" s="15"/>
      <c r="G21" s="15"/>
      <c r="H21" s="15"/>
      <c r="I21" s="15"/>
      <c r="J21" s="15"/>
      <c r="K21" s="15"/>
      <c r="L21" s="15"/>
      <c r="M21" s="15"/>
      <c r="N21" s="15"/>
      <c r="O21" s="15"/>
      <c r="P21" s="15"/>
    </row>
    <row r="22" spans="1:17" ht="15.75" thickBot="1">
      <c r="A22" s="17" t="s">
        <v>3</v>
      </c>
      <c r="B22" s="18" t="str">
        <f>B2</f>
        <v>&lt; 2021</v>
      </c>
      <c r="C22" s="18">
        <f t="shared" ref="C22:Q22" si="7">C2</f>
        <v>2021</v>
      </c>
      <c r="D22" s="18">
        <f t="shared" si="7"/>
        <v>2022</v>
      </c>
      <c r="E22" s="18">
        <f t="shared" si="7"/>
        <v>2023</v>
      </c>
      <c r="F22" s="18">
        <f t="shared" si="7"/>
        <v>2024</v>
      </c>
      <c r="G22" s="18">
        <f t="shared" si="7"/>
        <v>2025</v>
      </c>
      <c r="H22" s="18">
        <f t="shared" si="7"/>
        <v>2026</v>
      </c>
      <c r="I22" s="18">
        <f t="shared" si="7"/>
        <v>2027</v>
      </c>
      <c r="J22" s="18">
        <f t="shared" si="7"/>
        <v>2028</v>
      </c>
      <c r="K22" s="18">
        <f t="shared" si="7"/>
        <v>2029</v>
      </c>
      <c r="L22" s="18">
        <f t="shared" si="7"/>
        <v>2030</v>
      </c>
      <c r="M22" s="18">
        <f t="shared" si="7"/>
        <v>2031</v>
      </c>
      <c r="N22" s="18">
        <f t="shared" si="7"/>
        <v>2032</v>
      </c>
      <c r="O22" s="18">
        <f t="shared" si="7"/>
        <v>2033</v>
      </c>
      <c r="P22" s="18">
        <f t="shared" si="7"/>
        <v>2034</v>
      </c>
      <c r="Q22" s="18">
        <f t="shared" si="7"/>
        <v>2035</v>
      </c>
    </row>
    <row r="23" spans="1:17">
      <c r="A23" s="19" t="s">
        <v>5</v>
      </c>
      <c r="B23" s="7">
        <f>SUMIFS(Asia!$N$3:$N$87,Asia!$F$3:$F$87,"&lt;"&amp;'Asia Capacity Data'!C$22,Asia!$U$3:$U$87,'Asia Capacity Data'!$A23)+SUMIFS(Asia!$P$3:$P$87,Asia!$F$3:$F$87,"&lt;"&amp;'Asia Capacity Data'!C$22,Asia!$U$3:$U$87,'Asia Capacity Data'!$A23)</f>
        <v>0</v>
      </c>
      <c r="C23" s="7">
        <f>SUMIFS(Asia!$N$3:$N$87,Asia!$F$3:$F$87,'Asia Capacity Data'!C$22,Asia!$U$3:$U$87,'Asia Capacity Data'!$A23)+SUMIFS(Asia!$P$3:$P$87,Asia!$F$3:$F$87,'Asia Capacity Data'!C$22,Asia!$U$3:$U$87,'Asia Capacity Data'!$A23)</f>
        <v>0</v>
      </c>
      <c r="D23" s="7">
        <f>SUMIFS(Asia!$N$3:$N$87,Asia!$F$3:$F$87,'Asia Capacity Data'!D$22,Asia!$U$3:$U$87,'Asia Capacity Data'!$A23)+SUMIFS(Asia!$P$3:$P$87,Asia!$F$3:$F$87,'Asia Capacity Data'!D$22,Asia!$U$3:$U$87,'Asia Capacity Data'!$A23)</f>
        <v>72</v>
      </c>
      <c r="E23" s="7">
        <f>SUMIFS(Asia!$N$3:$N$87,Asia!$F$3:$F$87,'Asia Capacity Data'!E$22,Asia!$U$3:$U$87,'Asia Capacity Data'!$A23)+SUMIFS(Asia!$P$3:$P$87,Asia!$F$3:$F$87,'Asia Capacity Data'!E$22,Asia!$U$3:$U$87,'Asia Capacity Data'!$A23)</f>
        <v>330</v>
      </c>
      <c r="F23" s="39">
        <f>SUMIFS(Asia!$N$3:$N$87,Asia!$F$3:$F$87,'Asia Capacity Data'!F$22,Asia!$U$3:$U$87,'Asia Capacity Data'!$A23)+SUMIFS(Asia!$P$3:$P$87,Asia!$F$3:$F$87,'Asia Capacity Data'!F$22,Asia!$U$3:$U$87,'Asia Capacity Data'!$A23)</f>
        <v>132.0625</v>
      </c>
      <c r="G23" s="39">
        <f>SUMIFS(Asia!$N$3:$N$87,Asia!$F$3:$F$87,'Asia Capacity Data'!G$22,Asia!$U$3:$U$87,'Asia Capacity Data'!$A23)+SUMIFS(Asia!$P$3:$P$87,Asia!$F$3:$F$87,'Asia Capacity Data'!G$22,Asia!$U$3:$U$87,'Asia Capacity Data'!$A23)</f>
        <v>303.64100000000002</v>
      </c>
      <c r="H23" s="39">
        <f>SUMIFS(Asia!$N$3:$N$87,Asia!$F$3:$F$87,'Asia Capacity Data'!H$22,Asia!$U$3:$U$87,'Asia Capacity Data'!$A23)+SUMIFS(Asia!$P$3:$P$87,Asia!$F$3:$F$87,'Asia Capacity Data'!H$22,Asia!$U$3:$U$87,'Asia Capacity Data'!$A23)</f>
        <v>344.79849999999999</v>
      </c>
      <c r="I23" s="39">
        <f>SUMIFS(Asia!$N$3:$N$87,Asia!$F$3:$F$87,'Asia Capacity Data'!I$22,Asia!$U$3:$U$87,'Asia Capacity Data'!$A23)+SUMIFS(Asia!$P$3:$P$87,Asia!$F$3:$F$87,'Asia Capacity Data'!I$22,Asia!$U$3:$U$87,'Asia Capacity Data'!$A23)</f>
        <v>0</v>
      </c>
      <c r="J23" s="39">
        <f>SUMIFS(Asia!$N$3:$N$87,Asia!$F$3:$F$87,'Asia Capacity Data'!J$22,Asia!$U$3:$U$87,'Asia Capacity Data'!$A23)+SUMIFS(Asia!$P$3:$P$87,Asia!$F$3:$F$87,'Asia Capacity Data'!J$22,Asia!$U$3:$U$87,'Asia Capacity Data'!$A23)</f>
        <v>185.28</v>
      </c>
      <c r="K23" s="39">
        <f>SUMIFS(Asia!$N$3:$N$87,Asia!$F$3:$F$87,'Asia Capacity Data'!K$22,Asia!$U$3:$U$87,'Asia Capacity Data'!$A23)+SUMIFS(Asia!$P$3:$P$87,Asia!$F$3:$F$87,'Asia Capacity Data'!K$22,Asia!$U$3:$U$87,'Asia Capacity Data'!$A23)</f>
        <v>0</v>
      </c>
      <c r="L23" s="39">
        <f>SUMIFS(Asia!$N$3:$N$87,Asia!$F$3:$F$87,'Asia Capacity Data'!L$22,Asia!$U$3:$U$87,'Asia Capacity Data'!$A23)+SUMIFS(Asia!$P$3:$P$87,Asia!$F$3:$F$87,'Asia Capacity Data'!L$22,Asia!$U$3:$U$87,'Asia Capacity Data'!$A23)</f>
        <v>154</v>
      </c>
      <c r="M23" s="39">
        <f>SUMIFS(Asia!$N$3:$N$87,Asia!$F$3:$F$87,'Asia Capacity Data'!M$22,Asia!$U$3:$U$87,'Asia Capacity Data'!$A23)+SUMIFS(Asia!$P$3:$P$87,Asia!$F$3:$F$87,'Asia Capacity Data'!M$22,Asia!$U$3:$U$87,'Asia Capacity Data'!$A23)</f>
        <v>0</v>
      </c>
      <c r="N23" s="39">
        <f>SUMIFS(Asia!$N$3:$N$87,Asia!$F$3:$F$87,'Asia Capacity Data'!N$22,Asia!$U$3:$U$87,'Asia Capacity Data'!$A23)+SUMIFS(Asia!$P$3:$P$87,Asia!$F$3:$F$87,'Asia Capacity Data'!N$22,Asia!$U$3:$U$87,'Asia Capacity Data'!$A23)</f>
        <v>9.9</v>
      </c>
      <c r="O23" s="39">
        <f>SUMIFS(Asia!$N$3:$N$87,Asia!$F$3:$F$87,'Asia Capacity Data'!O$22,Asia!$U$3:$U$87,'Asia Capacity Data'!$A23)+SUMIFS(Asia!$P$3:$P$87,Asia!$F$3:$F$87,'Asia Capacity Data'!O$22,Asia!$U$3:$U$87,'Asia Capacity Data'!$A23)</f>
        <v>0</v>
      </c>
      <c r="P23" s="39">
        <f>SUMIFS(Asia!$N$3:$N$87,Asia!$F$3:$F$87,'Asia Capacity Data'!P$22,Asia!$U$3:$U$87,'Asia Capacity Data'!$A23)+SUMIFS(Asia!$P$3:$P$87,Asia!$F$3:$F$87,'Asia Capacity Data'!P$22,Asia!$U$3:$U$87,'Asia Capacity Data'!$A23)</f>
        <v>0</v>
      </c>
      <c r="Q23" s="39">
        <f>SUMIFS(Asia!$N$3:$N$87,Asia!$F$3:$F$87,'Asia Capacity Data'!Q$22,Asia!$U$3:$U$87,'Asia Capacity Data'!$A23)+SUMIFS(Asia!$P$3:$P$87,Asia!$F$3:$F$87,'Asia Capacity Data'!Q$22,Asia!$U$3:$U$87,'Asia Capacity Data'!$A23)</f>
        <v>0</v>
      </c>
    </row>
    <row r="24" spans="1:17">
      <c r="A24" s="20" t="s">
        <v>6</v>
      </c>
      <c r="B24" s="22">
        <f>SUMIFS(Asia!$N$3:$N$87,Asia!$F$3:$F$87,"&lt;"&amp;'Asia Capacity Data'!C$22,Asia!$U$3:$U$87,'Asia Capacity Data'!$A24)+SUMIFS(Asia!$P$3:$P$87,Asia!$F$3:$F$87,"&lt;"&amp;'Asia Capacity Data'!C$22,Asia!$U$3:$U$87,'Asia Capacity Data'!$A24)</f>
        <v>0</v>
      </c>
      <c r="C24" s="22">
        <f>SUMIFS(Asia!$N$3:$N$87,Asia!$F$3:$F$87,'Asia Capacity Data'!C$22,Asia!$U$3:$U$87,'Asia Capacity Data'!$A24)+SUMIFS(Asia!$P$3:$P$87,Asia!$F$3:$F$87,'Asia Capacity Data'!C$22,Asia!$U$3:$U$87,'Asia Capacity Data'!$A24)</f>
        <v>0</v>
      </c>
      <c r="D24" s="22">
        <f>SUMIFS(Asia!$N$3:$N$87,Asia!$F$3:$F$87,'Asia Capacity Data'!D$22,Asia!$U$3:$U$87,'Asia Capacity Data'!$A24)+SUMIFS(Asia!$P$3:$P$87,Asia!$F$3:$F$87,'Asia Capacity Data'!D$22,Asia!$U$3:$U$87,'Asia Capacity Data'!$A24)</f>
        <v>0</v>
      </c>
      <c r="E24" s="22">
        <f>SUMIFS(Asia!$N$3:$N$87,Asia!$F$3:$F$87,'Asia Capacity Data'!E$22,Asia!$U$3:$U$87,'Asia Capacity Data'!$A24)+SUMIFS(Asia!$P$3:$P$87,Asia!$F$3:$F$87,'Asia Capacity Data'!E$22,Asia!$U$3:$U$87,'Asia Capacity Data'!$A24)</f>
        <v>0</v>
      </c>
      <c r="F24" s="23">
        <f>SUMIFS(Asia!$N$3:$N$87,Asia!$F$3:$F$87,'Asia Capacity Data'!F$22,Asia!$U$3:$U$87,'Asia Capacity Data'!$A24)+SUMIFS(Asia!$P$3:$P$87,Asia!$F$3:$F$87,'Asia Capacity Data'!F$22,Asia!$U$3:$U$87,'Asia Capacity Data'!$A24)</f>
        <v>0</v>
      </c>
      <c r="G24" s="23">
        <f>SUMIFS(Asia!$N$3:$N$87,Asia!$F$3:$F$87,'Asia Capacity Data'!G$22,Asia!$U$3:$U$87,'Asia Capacity Data'!$A24)+SUMIFS(Asia!$P$3:$P$87,Asia!$F$3:$F$87,'Asia Capacity Data'!G$22,Asia!$U$3:$U$87,'Asia Capacity Data'!$A24)</f>
        <v>0</v>
      </c>
      <c r="H24" s="23">
        <f>SUMIFS(Asia!$N$3:$N$87,Asia!$F$3:$F$87,'Asia Capacity Data'!H$22,Asia!$U$3:$U$87,'Asia Capacity Data'!$A24)+SUMIFS(Asia!$P$3:$P$87,Asia!$F$3:$F$87,'Asia Capacity Data'!H$22,Asia!$U$3:$U$87,'Asia Capacity Data'!$A24)</f>
        <v>0</v>
      </c>
      <c r="I24" s="23">
        <f>SUMIFS(Asia!$N$3:$N$87,Asia!$F$3:$F$87,'Asia Capacity Data'!I$22,Asia!$U$3:$U$87,'Asia Capacity Data'!$A24)+SUMIFS(Asia!$P$3:$P$87,Asia!$F$3:$F$87,'Asia Capacity Data'!I$22,Asia!$U$3:$U$87,'Asia Capacity Data'!$A24)</f>
        <v>181.5625</v>
      </c>
      <c r="J24" s="23">
        <f>SUMIFS(Asia!$N$3:$N$87,Asia!$F$3:$F$87,'Asia Capacity Data'!J$22,Asia!$U$3:$U$87,'Asia Capacity Data'!$A24)+SUMIFS(Asia!$P$3:$P$87,Asia!$F$3:$F$87,'Asia Capacity Data'!J$22,Asia!$U$3:$U$87,'Asia Capacity Data'!$A24)</f>
        <v>0</v>
      </c>
      <c r="K24" s="23">
        <f>SUMIFS(Asia!$N$3:$N$87,Asia!$F$3:$F$87,'Asia Capacity Data'!K$22,Asia!$U$3:$U$87,'Asia Capacity Data'!$A24)+SUMIFS(Asia!$P$3:$P$87,Asia!$F$3:$F$87,'Asia Capacity Data'!K$22,Asia!$U$3:$U$87,'Asia Capacity Data'!$A24)</f>
        <v>65.363</v>
      </c>
      <c r="L24" s="23">
        <f>SUMIFS(Asia!$N$3:$N$87,Asia!$F$3:$F$87,'Asia Capacity Data'!L$22,Asia!$U$3:$U$87,'Asia Capacity Data'!$A24)+SUMIFS(Asia!$P$3:$P$87,Asia!$F$3:$F$87,'Asia Capacity Data'!L$22,Asia!$U$3:$U$87,'Asia Capacity Data'!$A24)</f>
        <v>246.03500000000003</v>
      </c>
      <c r="M24" s="23">
        <f>SUMIFS(Asia!$N$3:$N$87,Asia!$F$3:$F$87,'Asia Capacity Data'!M$22,Asia!$U$3:$U$87,'Asia Capacity Data'!$A24)+SUMIFS(Asia!$P$3:$P$87,Asia!$F$3:$F$87,'Asia Capacity Data'!M$22,Asia!$U$3:$U$87,'Asia Capacity Data'!$A24)</f>
        <v>0</v>
      </c>
      <c r="N24" s="23">
        <f>SUMIFS(Asia!$N$3:$N$87,Asia!$F$3:$F$87,'Asia Capacity Data'!N$22,Asia!$U$3:$U$87,'Asia Capacity Data'!$A24)+SUMIFS(Asia!$P$3:$P$87,Asia!$F$3:$F$87,'Asia Capacity Data'!N$22,Asia!$U$3:$U$87,'Asia Capacity Data'!$A24)</f>
        <v>27</v>
      </c>
      <c r="O24" s="23">
        <f>SUMIFS(Asia!$N$3:$N$87,Asia!$F$3:$F$87,'Asia Capacity Data'!O$22,Asia!$U$3:$U$87,'Asia Capacity Data'!$A24)+SUMIFS(Asia!$P$3:$P$87,Asia!$F$3:$F$87,'Asia Capacity Data'!O$22,Asia!$U$3:$U$87,'Asia Capacity Data'!$A24)</f>
        <v>0</v>
      </c>
      <c r="P24" s="23">
        <f>SUMIFS(Asia!$N$3:$N$87,Asia!$F$3:$F$87,'Asia Capacity Data'!P$22,Asia!$U$3:$U$87,'Asia Capacity Data'!$A24)+SUMIFS(Asia!$P$3:$P$87,Asia!$F$3:$F$87,'Asia Capacity Data'!P$22,Asia!$U$3:$U$87,'Asia Capacity Data'!$A24)</f>
        <v>0</v>
      </c>
      <c r="Q24" s="23">
        <f>SUMIFS(Asia!$N$3:$N$87,Asia!$F$3:$F$87,'Asia Capacity Data'!Q$22,Asia!$U$3:$U$87,'Asia Capacity Data'!$A24)+SUMIFS(Asia!$P$3:$P$87,Asia!$F$3:$F$87,'Asia Capacity Data'!Q$22,Asia!$U$3:$U$87,'Asia Capacity Data'!$A24)</f>
        <v>0</v>
      </c>
    </row>
    <row r="25" spans="1:17">
      <c r="A25" s="20" t="s">
        <v>7</v>
      </c>
      <c r="B25" s="22">
        <f>SUMIFS(Asia!$N$3:$N$87,Asia!$F$3:$F$87,"&lt;"&amp;'Asia Capacity Data'!C$22,Asia!$U$3:$U$87,'Asia Capacity Data'!$A25)+SUMIFS(Asia!$P$3:$P$87,Asia!$F$3:$F$87,"&lt;"&amp;'Asia Capacity Data'!C$22,Asia!$U$3:$U$87,'Asia Capacity Data'!$A25)</f>
        <v>0</v>
      </c>
      <c r="C25" s="22">
        <f>SUMIFS(Asia!$N$3:$N$87,Asia!$F$3:$F$87,'Asia Capacity Data'!C$22,Asia!$U$3:$U$87,'Asia Capacity Data'!$A25)+SUMIFS(Asia!$P$3:$P$87,Asia!$F$3:$F$87,'Asia Capacity Data'!C$22,Asia!$U$3:$U$87,'Asia Capacity Data'!$A25)</f>
        <v>0</v>
      </c>
      <c r="D25" s="22">
        <f>SUMIFS(Asia!$N$3:$N$87,Asia!$F$3:$F$87,'Asia Capacity Data'!D$22,Asia!$U$3:$U$87,'Asia Capacity Data'!$A25)+SUMIFS(Asia!$P$3:$P$87,Asia!$F$3:$F$87,'Asia Capacity Data'!D$22,Asia!$U$3:$U$87,'Asia Capacity Data'!$A25)</f>
        <v>0</v>
      </c>
      <c r="E25" s="22">
        <f>SUMIFS(Asia!$N$3:$N$87,Asia!$F$3:$F$87,'Asia Capacity Data'!E$22,Asia!$U$3:$U$87,'Asia Capacity Data'!$A25)+SUMIFS(Asia!$P$3:$P$87,Asia!$F$3:$F$87,'Asia Capacity Data'!E$22,Asia!$U$3:$U$87,'Asia Capacity Data'!$A25)</f>
        <v>0</v>
      </c>
      <c r="F25" s="23">
        <f>SUMIFS(Asia!$N$3:$N$87,Asia!$F$3:$F$87,'Asia Capacity Data'!F$22,Asia!$U$3:$U$87,'Asia Capacity Data'!$A25)+SUMIFS(Asia!$P$3:$P$87,Asia!$F$3:$F$87,'Asia Capacity Data'!F$22,Asia!$U$3:$U$87,'Asia Capacity Data'!$A25)</f>
        <v>0</v>
      </c>
      <c r="G25" s="23">
        <f>SUMIFS(Asia!$N$3:$N$87,Asia!$F$3:$F$87,'Asia Capacity Data'!G$22,Asia!$U$3:$U$87,'Asia Capacity Data'!$A25)+SUMIFS(Asia!$P$3:$P$87,Asia!$F$3:$F$87,'Asia Capacity Data'!G$22,Asia!$U$3:$U$87,'Asia Capacity Data'!$A25)</f>
        <v>0</v>
      </c>
      <c r="H25" s="23">
        <f>SUMIFS(Asia!$N$3:$N$87,Asia!$F$3:$F$87,'Asia Capacity Data'!H$22,Asia!$U$3:$U$87,'Asia Capacity Data'!$A25)+SUMIFS(Asia!$P$3:$P$87,Asia!$F$3:$F$87,'Asia Capacity Data'!H$22,Asia!$U$3:$U$87,'Asia Capacity Data'!$A25)</f>
        <v>0</v>
      </c>
      <c r="I25" s="23">
        <f>SUMIFS(Asia!$N$3:$N$87,Asia!$F$3:$F$87,'Asia Capacity Data'!I$22,Asia!$U$3:$U$87,'Asia Capacity Data'!$A25)+SUMIFS(Asia!$P$3:$P$87,Asia!$F$3:$F$87,'Asia Capacity Data'!I$22,Asia!$U$3:$U$87,'Asia Capacity Data'!$A25)</f>
        <v>0</v>
      </c>
      <c r="J25" s="23">
        <f>SUMIFS(Asia!$N$3:$N$87,Asia!$F$3:$F$87,'Asia Capacity Data'!J$22,Asia!$U$3:$U$87,'Asia Capacity Data'!$A25)+SUMIFS(Asia!$P$3:$P$87,Asia!$F$3:$F$87,'Asia Capacity Data'!J$22,Asia!$U$3:$U$87,'Asia Capacity Data'!$A25)</f>
        <v>0</v>
      </c>
      <c r="K25" s="23">
        <f>SUMIFS(Asia!$N$3:$N$87,Asia!$F$3:$F$87,'Asia Capacity Data'!K$22,Asia!$U$3:$U$87,'Asia Capacity Data'!$A25)+SUMIFS(Asia!$P$3:$P$87,Asia!$F$3:$F$87,'Asia Capacity Data'!K$22,Asia!$U$3:$U$87,'Asia Capacity Data'!$A25)</f>
        <v>0</v>
      </c>
      <c r="L25" s="23">
        <f>SUMIFS(Asia!$N$3:$N$87,Asia!$F$3:$F$87,'Asia Capacity Data'!L$22,Asia!$U$3:$U$87,'Asia Capacity Data'!$A25)+SUMIFS(Asia!$P$3:$P$87,Asia!$F$3:$F$87,'Asia Capacity Data'!L$22,Asia!$U$3:$U$87,'Asia Capacity Data'!$A25)</f>
        <v>7.9</v>
      </c>
      <c r="M25" s="23">
        <f>SUMIFS(Asia!$N$3:$N$87,Asia!$F$3:$F$87,'Asia Capacity Data'!M$22,Asia!$U$3:$U$87,'Asia Capacity Data'!$A25)+SUMIFS(Asia!$P$3:$P$87,Asia!$F$3:$F$87,'Asia Capacity Data'!M$22,Asia!$U$3:$U$87,'Asia Capacity Data'!$A25)</f>
        <v>0</v>
      </c>
      <c r="N25" s="23">
        <f>SUMIFS(Asia!$N$3:$N$87,Asia!$F$3:$F$87,'Asia Capacity Data'!N$22,Asia!$U$3:$U$87,'Asia Capacity Data'!$A25)+SUMIFS(Asia!$P$3:$P$87,Asia!$F$3:$F$87,'Asia Capacity Data'!N$22,Asia!$U$3:$U$87,'Asia Capacity Data'!$A25)</f>
        <v>0</v>
      </c>
      <c r="O25" s="23">
        <f>SUMIFS(Asia!$N$3:$N$87,Asia!$F$3:$F$87,'Asia Capacity Data'!O$22,Asia!$U$3:$U$87,'Asia Capacity Data'!$A25)+SUMIFS(Asia!$P$3:$P$87,Asia!$F$3:$F$87,'Asia Capacity Data'!O$22,Asia!$U$3:$U$87,'Asia Capacity Data'!$A25)</f>
        <v>0</v>
      </c>
      <c r="P25" s="23">
        <f>SUMIFS(Asia!$N$3:$N$87,Asia!$F$3:$F$87,'Asia Capacity Data'!P$22,Asia!$U$3:$U$87,'Asia Capacity Data'!$A25)+SUMIFS(Asia!$P$3:$P$87,Asia!$F$3:$F$87,'Asia Capacity Data'!P$22,Asia!$U$3:$U$87,'Asia Capacity Data'!$A25)</f>
        <v>0</v>
      </c>
      <c r="Q25" s="23">
        <f>SUMIFS(Asia!$N$3:$N$87,Asia!$F$3:$F$87,'Asia Capacity Data'!Q$22,Asia!$U$3:$U$87,'Asia Capacity Data'!$A25)+SUMIFS(Asia!$P$3:$P$87,Asia!$F$3:$F$87,'Asia Capacity Data'!Q$22,Asia!$U$3:$U$87,'Asia Capacity Data'!$A25)</f>
        <v>0</v>
      </c>
    </row>
    <row r="26" spans="1:17">
      <c r="A26" s="20" t="s">
        <v>8</v>
      </c>
      <c r="B26" s="22">
        <f>SUMIFS(Asia!$N$3:$N$87,Asia!$F$3:$F$87,"&lt;"&amp;'Asia Capacity Data'!C$22,Asia!$U$3:$U$87,'Asia Capacity Data'!$A26)+SUMIFS(Asia!$P$3:$P$87,Asia!$F$3:$F$87,"&lt;"&amp;'Asia Capacity Data'!C$22,Asia!$U$3:$U$87,'Asia Capacity Data'!$A26)</f>
        <v>0</v>
      </c>
      <c r="C26" s="22">
        <f>SUMIFS(Asia!$N$3:$N$87,Asia!$F$3:$F$87,'Asia Capacity Data'!C$22,Asia!$U$3:$U$87,'Asia Capacity Data'!$A26)+SUMIFS(Asia!$P$3:$P$87,Asia!$F$3:$F$87,'Asia Capacity Data'!C$22,Asia!$U$3:$U$87,'Asia Capacity Data'!$A26)</f>
        <v>0</v>
      </c>
      <c r="D26" s="22">
        <f>SUMIFS(Asia!$N$3:$N$87,Asia!$F$3:$F$87,'Asia Capacity Data'!D$22,Asia!$U$3:$U$87,'Asia Capacity Data'!$A26)+SUMIFS(Asia!$P$3:$P$87,Asia!$F$3:$F$87,'Asia Capacity Data'!D$22,Asia!$U$3:$U$87,'Asia Capacity Data'!$A26)</f>
        <v>0</v>
      </c>
      <c r="E26" s="22">
        <f>SUMIFS(Asia!$N$3:$N$87,Asia!$F$3:$F$87,'Asia Capacity Data'!E$22,Asia!$U$3:$U$87,'Asia Capacity Data'!$A26)+SUMIFS(Asia!$P$3:$P$87,Asia!$F$3:$F$87,'Asia Capacity Data'!E$22,Asia!$U$3:$U$87,'Asia Capacity Data'!$A26)</f>
        <v>0</v>
      </c>
      <c r="F26" s="31">
        <f>SUMIFS(Asia!$N$3:$N$87,Asia!$F$3:$F$87,'Asia Capacity Data'!F$22,Asia!$U$3:$U$87,'Asia Capacity Data'!$A26)+SUMIFS(Asia!$P$3:$P$87,Asia!$F$3:$F$87,'Asia Capacity Data'!F$22,Asia!$U$3:$U$87,'Asia Capacity Data'!$A26)</f>
        <v>0</v>
      </c>
      <c r="G26" s="31">
        <f>SUMIFS(Asia!$N$3:$N$87,Asia!$F$3:$F$87,'Asia Capacity Data'!G$22,Asia!$U$3:$U$87,'Asia Capacity Data'!$A26)+SUMIFS(Asia!$P$3:$P$87,Asia!$F$3:$F$87,'Asia Capacity Data'!G$22,Asia!$U$3:$U$87,'Asia Capacity Data'!$A26)</f>
        <v>0</v>
      </c>
      <c r="H26" s="23">
        <f>SUMIFS(Asia!$N$3:$N$87,Asia!$F$3:$F$87,'Asia Capacity Data'!H$22,Asia!$U$3:$U$87,'Asia Capacity Data'!$A26)+SUMIFS(Asia!$P$3:$P$87,Asia!$F$3:$F$87,'Asia Capacity Data'!H$22,Asia!$U$3:$U$87,'Asia Capacity Data'!$A26)</f>
        <v>0</v>
      </c>
      <c r="I26" s="23">
        <f>SUMIFS(Asia!$N$3:$N$87,Asia!$F$3:$F$87,'Asia Capacity Data'!I$22,Asia!$U$3:$U$87,'Asia Capacity Data'!$A26)+SUMIFS(Asia!$P$3:$P$87,Asia!$F$3:$F$87,'Asia Capacity Data'!I$22,Asia!$U$3:$U$87,'Asia Capacity Data'!$A26)</f>
        <v>0</v>
      </c>
      <c r="J26" s="23">
        <f>SUMIFS(Asia!$N$3:$N$87,Asia!$F$3:$F$87,'Asia Capacity Data'!J$22,Asia!$U$3:$U$87,'Asia Capacity Data'!$A26)+SUMIFS(Asia!$P$3:$P$87,Asia!$F$3:$F$87,'Asia Capacity Data'!J$22,Asia!$U$3:$U$87,'Asia Capacity Data'!$A26)</f>
        <v>0</v>
      </c>
      <c r="K26" s="23">
        <f>SUMIFS(Asia!$N$3:$N$87,Asia!$F$3:$F$87,'Asia Capacity Data'!K$22,Asia!$U$3:$U$87,'Asia Capacity Data'!$A26)+SUMIFS(Asia!$P$3:$P$87,Asia!$F$3:$F$87,'Asia Capacity Data'!K$22,Asia!$U$3:$U$87,'Asia Capacity Data'!$A26)</f>
        <v>0</v>
      </c>
      <c r="L26" s="23">
        <f>SUMIFS(Asia!$N$3:$N$87,Asia!$F$3:$F$87,'Asia Capacity Data'!L$22,Asia!$U$3:$U$87,'Asia Capacity Data'!$A26)+SUMIFS(Asia!$P$3:$P$87,Asia!$F$3:$F$87,'Asia Capacity Data'!L$22,Asia!$U$3:$U$87,'Asia Capacity Data'!$A26)</f>
        <v>21.79</v>
      </c>
      <c r="M26" s="23">
        <f>SUMIFS(Asia!$N$3:$N$87,Asia!$F$3:$F$87,'Asia Capacity Data'!M$22,Asia!$U$3:$U$87,'Asia Capacity Data'!$A26)+SUMIFS(Asia!$P$3:$P$87,Asia!$F$3:$F$87,'Asia Capacity Data'!M$22,Asia!$U$3:$U$87,'Asia Capacity Data'!$A26)</f>
        <v>0</v>
      </c>
      <c r="N26" s="23">
        <f>SUMIFS(Asia!$N$3:$N$87,Asia!$F$3:$F$87,'Asia Capacity Data'!N$22,Asia!$U$3:$U$87,'Asia Capacity Data'!$A26)+SUMIFS(Asia!$P$3:$P$87,Asia!$F$3:$F$87,'Asia Capacity Data'!N$22,Asia!$U$3:$U$87,'Asia Capacity Data'!$A26)</f>
        <v>0</v>
      </c>
      <c r="O26" s="23">
        <f>SUMIFS(Asia!$N$3:$N$87,Asia!$F$3:$F$87,'Asia Capacity Data'!O$22,Asia!$U$3:$U$87,'Asia Capacity Data'!$A26)+SUMIFS(Asia!$P$3:$P$87,Asia!$F$3:$F$87,'Asia Capacity Data'!O$22,Asia!$U$3:$U$87,'Asia Capacity Data'!$A26)</f>
        <v>0</v>
      </c>
      <c r="P26" s="23">
        <f>SUMIFS(Asia!$N$3:$N$87,Asia!$F$3:$F$87,'Asia Capacity Data'!P$22,Asia!$U$3:$U$87,'Asia Capacity Data'!$A26)+SUMIFS(Asia!$P$3:$P$87,Asia!$F$3:$F$87,'Asia Capacity Data'!P$22,Asia!$U$3:$U$87,'Asia Capacity Data'!$A26)</f>
        <v>0</v>
      </c>
      <c r="Q26" s="23">
        <f>SUMIFS(Asia!$N$3:$N$87,Asia!$F$3:$F$87,'Asia Capacity Data'!Q$22,Asia!$U$3:$U$87,'Asia Capacity Data'!$A26)+SUMIFS(Asia!$P$3:$P$87,Asia!$F$3:$F$87,'Asia Capacity Data'!Q$22,Asia!$U$3:$U$87,'Asia Capacity Data'!$A26)</f>
        <v>0</v>
      </c>
    </row>
    <row r="27" spans="1:17">
      <c r="A27" s="20" t="s">
        <v>9</v>
      </c>
      <c r="B27" s="22">
        <f>SUMIFS(Asia!$N$3:$N$87,Asia!$F$3:$F$87,"&lt;"&amp;'Asia Capacity Data'!C$22,Asia!$U$3:$U$87,'Asia Capacity Data'!$A27)+SUMIFS(Asia!$P$3:$P$87,Asia!$F$3:$F$87,"&lt;"&amp;'Asia Capacity Data'!C$22,Asia!$U$3:$U$87,'Asia Capacity Data'!$A27)</f>
        <v>0</v>
      </c>
      <c r="C27" s="22">
        <f>SUMIFS(Asia!$N$3:$N$87,Asia!$F$3:$F$87,'Asia Capacity Data'!C$22,Asia!$U$3:$U$87,'Asia Capacity Data'!$A27)+SUMIFS(Asia!$P$3:$P$87,Asia!$F$3:$F$87,'Asia Capacity Data'!C$22,Asia!$U$3:$U$87,'Asia Capacity Data'!$A27)</f>
        <v>0</v>
      </c>
      <c r="D27" s="22">
        <f>SUMIFS(Asia!$N$3:$N$87,Asia!$F$3:$F$87,'Asia Capacity Data'!D$22,Asia!$U$3:$U$87,'Asia Capacity Data'!$A27)+SUMIFS(Asia!$P$3:$P$87,Asia!$F$3:$F$87,'Asia Capacity Data'!D$22,Asia!$U$3:$U$87,'Asia Capacity Data'!$A27)</f>
        <v>0</v>
      </c>
      <c r="E27" s="22">
        <f>SUMIFS(Asia!$N$3:$N$87,Asia!$F$3:$F$87,'Asia Capacity Data'!E$22,Asia!$U$3:$U$87,'Asia Capacity Data'!$A27)+SUMIFS(Asia!$P$3:$P$87,Asia!$F$3:$F$87,'Asia Capacity Data'!E$22,Asia!$U$3:$U$87,'Asia Capacity Data'!$A27)</f>
        <v>0</v>
      </c>
      <c r="F27" s="31">
        <f>SUMIFS(Asia!$N$3:$N$87,Asia!$F$3:$F$87,'Asia Capacity Data'!F$22,Asia!$U$3:$U$87,'Asia Capacity Data'!$A27)+SUMIFS(Asia!$P$3:$P$87,Asia!$F$3:$F$87,'Asia Capacity Data'!F$22,Asia!$U$3:$U$87,'Asia Capacity Data'!$A27)</f>
        <v>0</v>
      </c>
      <c r="G27" s="23">
        <f>SUMIFS(Asia!$N$3:$N$87,Asia!$F$3:$F$87,'Asia Capacity Data'!G$22,Asia!$U$3:$U$87,'Asia Capacity Data'!$A27)+SUMIFS(Asia!$P$3:$P$87,Asia!$F$3:$F$87,'Asia Capacity Data'!G$22,Asia!$U$3:$U$87,'Asia Capacity Data'!$A27)</f>
        <v>0</v>
      </c>
      <c r="H27" s="23">
        <f>SUMIFS(Asia!$N$3:$N$87,Asia!$F$3:$F$87,'Asia Capacity Data'!H$22,Asia!$U$3:$U$87,'Asia Capacity Data'!$A27)+SUMIFS(Asia!$P$3:$P$87,Asia!$F$3:$F$87,'Asia Capacity Data'!H$22,Asia!$U$3:$U$87,'Asia Capacity Data'!$A27)</f>
        <v>0</v>
      </c>
      <c r="I27" s="23">
        <f>SUMIFS(Asia!$N$3:$N$87,Asia!$F$3:$F$87,'Asia Capacity Data'!I$22,Asia!$U$3:$U$87,'Asia Capacity Data'!$A27)+SUMIFS(Asia!$P$3:$P$87,Asia!$F$3:$F$87,'Asia Capacity Data'!I$22,Asia!$U$3:$U$87,'Asia Capacity Data'!$A27)</f>
        <v>0</v>
      </c>
      <c r="J27" s="23">
        <f>SUMIFS(Asia!$N$3:$N$87,Asia!$F$3:$F$87,'Asia Capacity Data'!J$22,Asia!$U$3:$U$87,'Asia Capacity Data'!$A27)+SUMIFS(Asia!$P$3:$P$87,Asia!$F$3:$F$87,'Asia Capacity Data'!J$22,Asia!$U$3:$U$87,'Asia Capacity Data'!$A27)</f>
        <v>0</v>
      </c>
      <c r="K27" s="23">
        <f>SUMIFS(Asia!$N$3:$N$87,Asia!$F$3:$F$87,'Asia Capacity Data'!K$22,Asia!$U$3:$U$87,'Asia Capacity Data'!$A27)+SUMIFS(Asia!$P$3:$P$87,Asia!$F$3:$F$87,'Asia Capacity Data'!K$22,Asia!$U$3:$U$87,'Asia Capacity Data'!$A27)</f>
        <v>0</v>
      </c>
      <c r="L27" s="23">
        <f>SUMIFS(Asia!$N$3:$N$87,Asia!$F$3:$F$87,'Asia Capacity Data'!L$22,Asia!$U$3:$U$87,'Asia Capacity Data'!$A27)+SUMIFS(Asia!$P$3:$P$87,Asia!$F$3:$F$87,'Asia Capacity Data'!L$22,Asia!$U$3:$U$87,'Asia Capacity Data'!$A27)</f>
        <v>0</v>
      </c>
      <c r="M27" s="23">
        <f>SUMIFS(Asia!$N$3:$N$87,Asia!$F$3:$F$87,'Asia Capacity Data'!M$22,Asia!$U$3:$U$87,'Asia Capacity Data'!$A27)+SUMIFS(Asia!$P$3:$P$87,Asia!$F$3:$F$87,'Asia Capacity Data'!M$22,Asia!$U$3:$U$87,'Asia Capacity Data'!$A27)</f>
        <v>0</v>
      </c>
      <c r="N27" s="23">
        <f>SUMIFS(Asia!$N$3:$N$87,Asia!$F$3:$F$87,'Asia Capacity Data'!N$22,Asia!$U$3:$U$87,'Asia Capacity Data'!$A27)+SUMIFS(Asia!$P$3:$P$87,Asia!$F$3:$F$87,'Asia Capacity Data'!N$22,Asia!$U$3:$U$87,'Asia Capacity Data'!$A27)</f>
        <v>0</v>
      </c>
      <c r="O27" s="23">
        <f>SUMIFS(Asia!$N$3:$N$87,Asia!$F$3:$F$87,'Asia Capacity Data'!O$22,Asia!$U$3:$U$87,'Asia Capacity Data'!$A27)+SUMIFS(Asia!$P$3:$P$87,Asia!$F$3:$F$87,'Asia Capacity Data'!O$22,Asia!$U$3:$U$87,'Asia Capacity Data'!$A27)</f>
        <v>0</v>
      </c>
      <c r="P27" s="23">
        <f>SUMIFS(Asia!$N$3:$N$87,Asia!$F$3:$F$87,'Asia Capacity Data'!P$22,Asia!$U$3:$U$87,'Asia Capacity Data'!$A27)+SUMIFS(Asia!$P$3:$P$87,Asia!$F$3:$F$87,'Asia Capacity Data'!P$22,Asia!$U$3:$U$87,'Asia Capacity Data'!$A27)</f>
        <v>0</v>
      </c>
      <c r="Q27" s="23">
        <f>SUMIFS(Asia!$N$3:$N$87,Asia!$F$3:$F$87,'Asia Capacity Data'!Q$22,Asia!$U$3:$U$87,'Asia Capacity Data'!$A27)+SUMIFS(Asia!$P$3:$P$87,Asia!$F$3:$F$87,'Asia Capacity Data'!Q$22,Asia!$U$3:$U$87,'Asia Capacity Data'!$A27)</f>
        <v>0</v>
      </c>
    </row>
    <row r="28" spans="1:17">
      <c r="A28" s="20" t="s">
        <v>10</v>
      </c>
      <c r="B28" s="22">
        <f>SUMIFS(Asia!$N$3:$N$87,Asia!$F$3:$F$87,"&lt;"&amp;'Asia Capacity Data'!C$22,Asia!$U$3:$U$87,'Asia Capacity Data'!$A28)+SUMIFS(Asia!$P$3:$P$87,Asia!$F$3:$F$87,"&lt;"&amp;'Asia Capacity Data'!C$22,Asia!$U$3:$U$87,'Asia Capacity Data'!$A28)</f>
        <v>0</v>
      </c>
      <c r="C28" s="22">
        <f>SUMIFS(Asia!$N$3:$N$87,Asia!$F$3:$F$87,'Asia Capacity Data'!C$22,Asia!$U$3:$U$87,'Asia Capacity Data'!$A28)+SUMIFS(Asia!$P$3:$P$87,Asia!$F$3:$F$87,'Asia Capacity Data'!C$22,Asia!$U$3:$U$87,'Asia Capacity Data'!$A28)</f>
        <v>0</v>
      </c>
      <c r="D28" s="22">
        <f>SUMIFS(Asia!$N$3:$N$87,Asia!$F$3:$F$87,'Asia Capacity Data'!D$22,Asia!$U$3:$U$87,'Asia Capacity Data'!$A28)+SUMIFS(Asia!$P$3:$P$87,Asia!$F$3:$F$87,'Asia Capacity Data'!D$22,Asia!$U$3:$U$87,'Asia Capacity Data'!$A28)</f>
        <v>6.5391000000000004</v>
      </c>
      <c r="E28" s="22">
        <f>SUMIFS(Asia!$N$3:$N$87,Asia!$F$3:$F$87,'Asia Capacity Data'!E$22,Asia!$U$3:$U$87,'Asia Capacity Data'!$A28)+SUMIFS(Asia!$P$3:$P$87,Asia!$F$3:$F$87,'Asia Capacity Data'!E$22,Asia!$U$3:$U$87,'Asia Capacity Data'!$A28)</f>
        <v>0</v>
      </c>
      <c r="F28" s="23">
        <f>SUMIFS(Asia!$N$3:$N$87,Asia!$F$3:$F$87,'Asia Capacity Data'!F$22,Asia!$U$3:$U$87,'Asia Capacity Data'!$A28)+SUMIFS(Asia!$P$3:$P$87,Asia!$F$3:$F$87,'Asia Capacity Data'!F$22,Asia!$U$3:$U$87,'Asia Capacity Data'!$A28)</f>
        <v>103.2025</v>
      </c>
      <c r="G28" s="23">
        <f>SUMIFS(Asia!$N$3:$N$87,Asia!$F$3:$F$87,'Asia Capacity Data'!G$22,Asia!$U$3:$U$87,'Asia Capacity Data'!$A28)+SUMIFS(Asia!$P$3:$P$87,Asia!$F$3:$F$87,'Asia Capacity Data'!G$22,Asia!$U$3:$U$87,'Asia Capacity Data'!$A28)</f>
        <v>0</v>
      </c>
      <c r="H28" s="23">
        <f>SUMIFS(Asia!$N$3:$N$87,Asia!$F$3:$F$87,'Asia Capacity Data'!H$22,Asia!$U$3:$U$87,'Asia Capacity Data'!$A28)+SUMIFS(Asia!$P$3:$P$87,Asia!$F$3:$F$87,'Asia Capacity Data'!H$22,Asia!$U$3:$U$87,'Asia Capacity Data'!$A28)</f>
        <v>0</v>
      </c>
      <c r="I28" s="23">
        <f>SUMIFS(Asia!$N$3:$N$87,Asia!$F$3:$F$87,'Asia Capacity Data'!I$22,Asia!$U$3:$U$87,'Asia Capacity Data'!$A28)+SUMIFS(Asia!$P$3:$P$87,Asia!$F$3:$F$87,'Asia Capacity Data'!I$22,Asia!$U$3:$U$87,'Asia Capacity Data'!$A28)</f>
        <v>0</v>
      </c>
      <c r="J28" s="23">
        <f>SUMIFS(Asia!$N$3:$N$87,Asia!$F$3:$F$87,'Asia Capacity Data'!J$22,Asia!$U$3:$U$87,'Asia Capacity Data'!$A28)+SUMIFS(Asia!$P$3:$P$87,Asia!$F$3:$F$87,'Asia Capacity Data'!J$22,Asia!$U$3:$U$87,'Asia Capacity Data'!$A28)</f>
        <v>7.665</v>
      </c>
      <c r="K28" s="23">
        <f>SUMIFS(Asia!$N$3:$N$87,Asia!$F$3:$F$87,'Asia Capacity Data'!K$22,Asia!$U$3:$U$87,'Asia Capacity Data'!$A28)+SUMIFS(Asia!$P$3:$P$87,Asia!$F$3:$F$87,'Asia Capacity Data'!K$22,Asia!$U$3:$U$87,'Asia Capacity Data'!$A28)</f>
        <v>0</v>
      </c>
      <c r="L28" s="23">
        <f>SUMIFS(Asia!$N$3:$N$87,Asia!$F$3:$F$87,'Asia Capacity Data'!L$22,Asia!$U$3:$U$87,'Asia Capacity Data'!$A28)+SUMIFS(Asia!$P$3:$P$87,Asia!$F$3:$F$87,'Asia Capacity Data'!L$22,Asia!$U$3:$U$87,'Asia Capacity Data'!$A28)</f>
        <v>0</v>
      </c>
      <c r="M28" s="23">
        <f>SUMIFS(Asia!$N$3:$N$87,Asia!$F$3:$F$87,'Asia Capacity Data'!M$22,Asia!$U$3:$U$87,'Asia Capacity Data'!$A28)+SUMIFS(Asia!$P$3:$P$87,Asia!$F$3:$F$87,'Asia Capacity Data'!M$22,Asia!$U$3:$U$87,'Asia Capacity Data'!$A28)</f>
        <v>0</v>
      </c>
      <c r="N28" s="23">
        <f>SUMIFS(Asia!$N$3:$N$87,Asia!$F$3:$F$87,'Asia Capacity Data'!N$22,Asia!$U$3:$U$87,'Asia Capacity Data'!$A28)+SUMIFS(Asia!$P$3:$P$87,Asia!$F$3:$F$87,'Asia Capacity Data'!N$22,Asia!$U$3:$U$87,'Asia Capacity Data'!$A28)</f>
        <v>0</v>
      </c>
      <c r="O28" s="23">
        <f>SUMIFS(Asia!$N$3:$N$87,Asia!$F$3:$F$87,'Asia Capacity Data'!O$22,Asia!$U$3:$U$87,'Asia Capacity Data'!$A28)+SUMIFS(Asia!$P$3:$P$87,Asia!$F$3:$F$87,'Asia Capacity Data'!O$22,Asia!$U$3:$U$87,'Asia Capacity Data'!$A28)</f>
        <v>0</v>
      </c>
      <c r="P28" s="23">
        <f>SUMIFS(Asia!$N$3:$N$87,Asia!$F$3:$F$87,'Asia Capacity Data'!P$22,Asia!$U$3:$U$87,'Asia Capacity Data'!$A28)+SUMIFS(Asia!$P$3:$P$87,Asia!$F$3:$F$87,'Asia Capacity Data'!P$22,Asia!$U$3:$U$87,'Asia Capacity Data'!$A28)</f>
        <v>0</v>
      </c>
      <c r="Q28" s="23">
        <f>SUMIFS(Asia!$N$3:$N$87,Asia!$F$3:$F$87,'Asia Capacity Data'!Q$22,Asia!$U$3:$U$87,'Asia Capacity Data'!$A28)+SUMIFS(Asia!$P$3:$P$87,Asia!$F$3:$F$87,'Asia Capacity Data'!Q$22,Asia!$U$3:$U$87,'Asia Capacity Data'!$A28)</f>
        <v>0</v>
      </c>
    </row>
    <row r="29" spans="1:17" ht="15.75" thickBot="1">
      <c r="A29" s="21" t="s">
        <v>11</v>
      </c>
      <c r="B29" s="24">
        <f>SUM(B23:B28)</f>
        <v>0</v>
      </c>
      <c r="C29" s="24">
        <f>B29+SUM(C23:C28)</f>
        <v>0</v>
      </c>
      <c r="D29" s="24">
        <f>C29+SUM(D23:D28)</f>
        <v>78.539100000000005</v>
      </c>
      <c r="E29" s="24">
        <f t="shared" ref="E29:Q29" si="8">D29+SUM(E23:E28)</f>
        <v>408.53910000000002</v>
      </c>
      <c r="F29" s="25">
        <f t="shared" si="8"/>
        <v>643.80410000000006</v>
      </c>
      <c r="G29" s="25">
        <f t="shared" si="8"/>
        <v>947.44510000000014</v>
      </c>
      <c r="H29" s="25">
        <f t="shared" si="8"/>
        <v>1292.2436000000002</v>
      </c>
      <c r="I29" s="25">
        <f t="shared" si="8"/>
        <v>1473.8061000000002</v>
      </c>
      <c r="J29" s="25">
        <f t="shared" si="8"/>
        <v>1666.7511000000002</v>
      </c>
      <c r="K29" s="25">
        <f t="shared" si="8"/>
        <v>1732.1141000000002</v>
      </c>
      <c r="L29" s="25">
        <f t="shared" si="8"/>
        <v>2161.8391000000001</v>
      </c>
      <c r="M29" s="25">
        <f t="shared" si="8"/>
        <v>2161.8391000000001</v>
      </c>
      <c r="N29" s="25">
        <f t="shared" si="8"/>
        <v>2198.7391000000002</v>
      </c>
      <c r="O29" s="25">
        <f t="shared" si="8"/>
        <v>2198.7391000000002</v>
      </c>
      <c r="P29" s="25">
        <f t="shared" si="8"/>
        <v>2198.7391000000002</v>
      </c>
      <c r="Q29" s="25">
        <f t="shared" si="8"/>
        <v>2198.7391000000002</v>
      </c>
    </row>
    <row r="30" spans="1:17">
      <c r="A30" s="14"/>
      <c r="B30" s="26" t="e">
        <f>B19/B29</f>
        <v>#DIV/0!</v>
      </c>
      <c r="C30" s="26" t="e">
        <f t="shared" ref="C30:Q30" si="9">C19/C29</f>
        <v>#DIV/0!</v>
      </c>
      <c r="D30" s="26">
        <f t="shared" si="9"/>
        <v>1</v>
      </c>
      <c r="E30" s="26">
        <f t="shared" si="9"/>
        <v>1</v>
      </c>
      <c r="F30" s="26">
        <f t="shared" si="9"/>
        <v>0.84998348099988796</v>
      </c>
      <c r="G30" s="26">
        <f t="shared" si="9"/>
        <v>0.82862363212390866</v>
      </c>
      <c r="H30" s="26">
        <f t="shared" si="9"/>
        <v>0.7688579575863248</v>
      </c>
      <c r="I30" s="26">
        <f t="shared" si="9"/>
        <v>0.74189620330652706</v>
      </c>
      <c r="J30" s="26">
        <f t="shared" si="9"/>
        <v>0.7014503725241279</v>
      </c>
      <c r="K30" s="26">
        <f t="shared" si="9"/>
        <v>0.69007485130454149</v>
      </c>
      <c r="L30" s="26">
        <f t="shared" si="9"/>
        <v>0.64880180490768258</v>
      </c>
      <c r="M30" s="26">
        <f t="shared" si="9"/>
        <v>0.64880180490768258</v>
      </c>
      <c r="N30" s="26">
        <f t="shared" si="9"/>
        <v>0.6446263269707625</v>
      </c>
      <c r="O30" s="26">
        <f t="shared" si="9"/>
        <v>0.6446263269707625</v>
      </c>
      <c r="P30" s="26">
        <f t="shared" si="9"/>
        <v>0.6446263269707625</v>
      </c>
      <c r="Q30" s="26">
        <f t="shared" si="9"/>
        <v>0.6446263269707625</v>
      </c>
    </row>
    <row r="31" spans="1:17" ht="15.75" thickBot="1">
      <c r="A31" s="16" t="s">
        <v>1141</v>
      </c>
      <c r="C31" s="27"/>
      <c r="D31" s="27"/>
      <c r="E31" s="27"/>
      <c r="F31" s="27"/>
      <c r="G31" s="27"/>
      <c r="H31" s="27"/>
      <c r="I31" s="27"/>
      <c r="J31" s="27"/>
      <c r="K31" s="27"/>
      <c r="L31" s="27"/>
      <c r="M31" s="27"/>
      <c r="N31" s="27"/>
      <c r="O31" s="27"/>
      <c r="P31" s="27"/>
    </row>
    <row r="32" spans="1:17" ht="15.75" thickBot="1">
      <c r="A32" s="17" t="s">
        <v>3</v>
      </c>
      <c r="B32" s="28" t="str">
        <f>B22</f>
        <v>&lt; 2021</v>
      </c>
      <c r="C32" s="18">
        <f>C22</f>
        <v>2021</v>
      </c>
      <c r="D32" s="18">
        <f t="shared" ref="D32:Q32" si="10">D22</f>
        <v>2022</v>
      </c>
      <c r="E32" s="18">
        <f t="shared" si="10"/>
        <v>2023</v>
      </c>
      <c r="F32" s="18">
        <f t="shared" si="10"/>
        <v>2024</v>
      </c>
      <c r="G32" s="18">
        <f t="shared" si="10"/>
        <v>2025</v>
      </c>
      <c r="H32" s="18">
        <f t="shared" si="10"/>
        <v>2026</v>
      </c>
      <c r="I32" s="18">
        <f t="shared" si="10"/>
        <v>2027</v>
      </c>
      <c r="J32" s="18">
        <f t="shared" si="10"/>
        <v>2028</v>
      </c>
      <c r="K32" s="18">
        <f t="shared" si="10"/>
        <v>2029</v>
      </c>
      <c r="L32" s="18">
        <f t="shared" si="10"/>
        <v>2030</v>
      </c>
      <c r="M32" s="18">
        <f t="shared" si="10"/>
        <v>2031</v>
      </c>
      <c r="N32" s="18">
        <f t="shared" si="10"/>
        <v>2032</v>
      </c>
      <c r="O32" s="18">
        <f t="shared" si="10"/>
        <v>2033</v>
      </c>
      <c r="P32" s="18">
        <f t="shared" si="10"/>
        <v>2034</v>
      </c>
      <c r="Q32" s="18">
        <f t="shared" si="10"/>
        <v>2035</v>
      </c>
    </row>
    <row r="33" spans="1:20">
      <c r="A33" s="20" t="s">
        <v>15</v>
      </c>
      <c r="B33" s="22">
        <f t="shared" ref="B33:B38" si="11">B23</f>
        <v>0</v>
      </c>
      <c r="C33" s="22">
        <f t="shared" ref="C33:Q35" si="12">B33+C23</f>
        <v>0</v>
      </c>
      <c r="D33" s="22">
        <f t="shared" si="12"/>
        <v>72</v>
      </c>
      <c r="E33" s="22">
        <f t="shared" si="12"/>
        <v>402</v>
      </c>
      <c r="F33" s="23">
        <f>E33+F23</f>
        <v>534.0625</v>
      </c>
      <c r="G33" s="23">
        <f t="shared" si="12"/>
        <v>837.70350000000008</v>
      </c>
      <c r="H33" s="23">
        <f t="shared" si="12"/>
        <v>1182.502</v>
      </c>
      <c r="I33" s="23">
        <f t="shared" si="12"/>
        <v>1182.502</v>
      </c>
      <c r="J33" s="23">
        <f t="shared" si="12"/>
        <v>1367.7819999999999</v>
      </c>
      <c r="K33" s="23">
        <f t="shared" si="12"/>
        <v>1367.7819999999999</v>
      </c>
      <c r="L33" s="23">
        <f t="shared" si="12"/>
        <v>1521.7819999999999</v>
      </c>
      <c r="M33" s="23">
        <f t="shared" si="12"/>
        <v>1521.7819999999999</v>
      </c>
      <c r="N33" s="23">
        <f t="shared" si="12"/>
        <v>1531.682</v>
      </c>
      <c r="O33" s="23">
        <f t="shared" si="12"/>
        <v>1531.682</v>
      </c>
      <c r="P33" s="23">
        <f t="shared" si="12"/>
        <v>1531.682</v>
      </c>
      <c r="Q33" s="23">
        <f t="shared" si="12"/>
        <v>1531.682</v>
      </c>
      <c r="R33" s="29">
        <f t="shared" ref="R33:R38" si="13">L33/$L$39</f>
        <v>0.70392935348426255</v>
      </c>
    </row>
    <row r="34" spans="1:20">
      <c r="A34" s="20" t="s">
        <v>16</v>
      </c>
      <c r="B34" s="22">
        <f t="shared" si="11"/>
        <v>0</v>
      </c>
      <c r="C34" s="22">
        <f t="shared" si="12"/>
        <v>0</v>
      </c>
      <c r="D34" s="22">
        <f t="shared" si="12"/>
        <v>0</v>
      </c>
      <c r="E34" s="22">
        <f t="shared" si="12"/>
        <v>0</v>
      </c>
      <c r="F34" s="23">
        <f t="shared" si="12"/>
        <v>0</v>
      </c>
      <c r="G34" s="23">
        <f t="shared" si="12"/>
        <v>0</v>
      </c>
      <c r="H34" s="23">
        <f t="shared" si="12"/>
        <v>0</v>
      </c>
      <c r="I34" s="23">
        <f t="shared" si="12"/>
        <v>181.5625</v>
      </c>
      <c r="J34" s="23">
        <f t="shared" si="12"/>
        <v>181.5625</v>
      </c>
      <c r="K34" s="23">
        <f t="shared" si="12"/>
        <v>246.9255</v>
      </c>
      <c r="L34" s="23">
        <f t="shared" si="12"/>
        <v>492.96050000000002</v>
      </c>
      <c r="M34" s="23">
        <f t="shared" si="12"/>
        <v>492.96050000000002</v>
      </c>
      <c r="N34" s="23">
        <f t="shared" si="12"/>
        <v>519.96050000000002</v>
      </c>
      <c r="O34" s="23">
        <f t="shared" si="12"/>
        <v>519.96050000000002</v>
      </c>
      <c r="P34" s="23">
        <f t="shared" si="12"/>
        <v>519.96050000000002</v>
      </c>
      <c r="Q34" s="23">
        <f t="shared" si="12"/>
        <v>519.96050000000002</v>
      </c>
      <c r="R34" s="29">
        <f t="shared" si="13"/>
        <v>0.22802830238383609</v>
      </c>
    </row>
    <row r="35" spans="1:20">
      <c r="A35" s="20" t="s">
        <v>17</v>
      </c>
      <c r="B35" s="22">
        <f t="shared" si="11"/>
        <v>0</v>
      </c>
      <c r="C35" s="22">
        <f t="shared" si="12"/>
        <v>0</v>
      </c>
      <c r="D35" s="22">
        <f t="shared" si="12"/>
        <v>0</v>
      </c>
      <c r="E35" s="22">
        <f t="shared" si="12"/>
        <v>0</v>
      </c>
      <c r="F35" s="23">
        <f t="shared" si="12"/>
        <v>0</v>
      </c>
      <c r="G35" s="23">
        <f t="shared" si="12"/>
        <v>0</v>
      </c>
      <c r="H35" s="23">
        <f t="shared" si="12"/>
        <v>0</v>
      </c>
      <c r="I35" s="23">
        <f t="shared" si="12"/>
        <v>0</v>
      </c>
      <c r="J35" s="23">
        <f t="shared" si="12"/>
        <v>0</v>
      </c>
      <c r="K35" s="23">
        <f t="shared" si="12"/>
        <v>0</v>
      </c>
      <c r="L35" s="23">
        <f t="shared" si="12"/>
        <v>7.9</v>
      </c>
      <c r="M35" s="23">
        <f t="shared" si="12"/>
        <v>7.9</v>
      </c>
      <c r="N35" s="23">
        <f t="shared" si="12"/>
        <v>7.9</v>
      </c>
      <c r="O35" s="23">
        <f t="shared" si="12"/>
        <v>7.9</v>
      </c>
      <c r="P35" s="23">
        <f t="shared" si="12"/>
        <v>7.9</v>
      </c>
      <c r="Q35" s="23">
        <f t="shared" si="12"/>
        <v>7.9</v>
      </c>
      <c r="R35" s="29">
        <f t="shared" si="13"/>
        <v>3.6542960112063852E-3</v>
      </c>
    </row>
    <row r="36" spans="1:20">
      <c r="A36" s="20" t="s">
        <v>18</v>
      </c>
      <c r="B36" s="22">
        <f t="shared" si="11"/>
        <v>0</v>
      </c>
      <c r="C36" s="22">
        <f>C26+B36</f>
        <v>0</v>
      </c>
      <c r="D36" s="30">
        <f>D26+C36</f>
        <v>0</v>
      </c>
      <c r="E36" s="30">
        <f t="shared" ref="E36:Q36" si="14">E26+D36</f>
        <v>0</v>
      </c>
      <c r="F36" s="31">
        <f t="shared" si="14"/>
        <v>0</v>
      </c>
      <c r="G36" s="31">
        <f t="shared" si="14"/>
        <v>0</v>
      </c>
      <c r="H36" s="23">
        <f t="shared" si="14"/>
        <v>0</v>
      </c>
      <c r="I36" s="23">
        <f t="shared" si="14"/>
        <v>0</v>
      </c>
      <c r="J36" s="23">
        <f t="shared" si="14"/>
        <v>0</v>
      </c>
      <c r="K36" s="23">
        <f t="shared" si="14"/>
        <v>0</v>
      </c>
      <c r="L36" s="23">
        <f t="shared" si="14"/>
        <v>21.79</v>
      </c>
      <c r="M36" s="23">
        <f t="shared" si="14"/>
        <v>21.79</v>
      </c>
      <c r="N36" s="23">
        <f t="shared" si="14"/>
        <v>21.79</v>
      </c>
      <c r="O36" s="23">
        <f t="shared" si="14"/>
        <v>21.79</v>
      </c>
      <c r="P36" s="23">
        <f t="shared" si="14"/>
        <v>21.79</v>
      </c>
      <c r="Q36" s="23">
        <f t="shared" si="14"/>
        <v>21.79</v>
      </c>
      <c r="R36" s="29">
        <f t="shared" si="13"/>
        <v>1.0079381023314826E-2</v>
      </c>
    </row>
    <row r="37" spans="1:20">
      <c r="A37" s="20" t="s">
        <v>19</v>
      </c>
      <c r="B37" s="22">
        <f t="shared" si="11"/>
        <v>0</v>
      </c>
      <c r="C37" s="22">
        <f>B37+C27</f>
        <v>0</v>
      </c>
      <c r="D37" s="22">
        <f>C37+D27</f>
        <v>0</v>
      </c>
      <c r="E37" s="22">
        <f t="shared" ref="E37:Q38" si="15">D37+E27</f>
        <v>0</v>
      </c>
      <c r="F37" s="23">
        <f t="shared" si="15"/>
        <v>0</v>
      </c>
      <c r="G37" s="23">
        <f t="shared" si="15"/>
        <v>0</v>
      </c>
      <c r="H37" s="23">
        <f t="shared" si="15"/>
        <v>0</v>
      </c>
      <c r="I37" s="23">
        <f t="shared" si="15"/>
        <v>0</v>
      </c>
      <c r="J37" s="23">
        <f t="shared" si="15"/>
        <v>0</v>
      </c>
      <c r="K37" s="23">
        <f t="shared" si="15"/>
        <v>0</v>
      </c>
      <c r="L37" s="23">
        <f t="shared" si="15"/>
        <v>0</v>
      </c>
      <c r="M37" s="23">
        <f t="shared" si="15"/>
        <v>0</v>
      </c>
      <c r="N37" s="23">
        <f t="shared" si="15"/>
        <v>0</v>
      </c>
      <c r="O37" s="23">
        <f t="shared" si="15"/>
        <v>0</v>
      </c>
      <c r="P37" s="23">
        <f t="shared" si="15"/>
        <v>0</v>
      </c>
      <c r="Q37" s="23">
        <f t="shared" si="15"/>
        <v>0</v>
      </c>
      <c r="R37" s="29">
        <f t="shared" si="13"/>
        <v>0</v>
      </c>
    </row>
    <row r="38" spans="1:20">
      <c r="A38" s="20" t="s">
        <v>20</v>
      </c>
      <c r="B38" s="22">
        <f t="shared" si="11"/>
        <v>0</v>
      </c>
      <c r="C38" s="22">
        <f>B38+C28</f>
        <v>0</v>
      </c>
      <c r="D38" s="22">
        <f>C38+D28</f>
        <v>6.5391000000000004</v>
      </c>
      <c r="E38" s="22">
        <f t="shared" si="15"/>
        <v>6.5391000000000004</v>
      </c>
      <c r="F38" s="23">
        <f t="shared" si="15"/>
        <v>109.74160000000001</v>
      </c>
      <c r="G38" s="23">
        <f t="shared" si="15"/>
        <v>109.74160000000001</v>
      </c>
      <c r="H38" s="23">
        <f t="shared" si="15"/>
        <v>109.74160000000001</v>
      </c>
      <c r="I38" s="23">
        <f t="shared" si="15"/>
        <v>109.74160000000001</v>
      </c>
      <c r="J38" s="23">
        <f t="shared" si="15"/>
        <v>117.40660000000001</v>
      </c>
      <c r="K38" s="23">
        <f t="shared" si="15"/>
        <v>117.40660000000001</v>
      </c>
      <c r="L38" s="23">
        <f t="shared" si="15"/>
        <v>117.40660000000001</v>
      </c>
      <c r="M38" s="23">
        <f t="shared" si="15"/>
        <v>117.40660000000001</v>
      </c>
      <c r="N38" s="23">
        <f t="shared" si="15"/>
        <v>117.40660000000001</v>
      </c>
      <c r="O38" s="23">
        <f t="shared" si="15"/>
        <v>117.40660000000001</v>
      </c>
      <c r="P38" s="23">
        <f t="shared" si="15"/>
        <v>117.40660000000001</v>
      </c>
      <c r="Q38" s="23">
        <f t="shared" si="15"/>
        <v>117.40660000000001</v>
      </c>
      <c r="R38" s="29">
        <f t="shared" si="13"/>
        <v>5.4308667097380199E-2</v>
      </c>
    </row>
    <row r="39" spans="1:20" ht="15.75" thickBot="1">
      <c r="A39" s="32" t="s">
        <v>11</v>
      </c>
      <c r="B39" s="33">
        <f>SUM(B33:B38)</f>
        <v>0</v>
      </c>
      <c r="C39" s="33">
        <f>SUM(C33:C38)</f>
        <v>0</v>
      </c>
      <c r="D39" s="33">
        <f t="shared" ref="D39:Q39" si="16">SUM(D33:D38)</f>
        <v>78.539100000000005</v>
      </c>
      <c r="E39" s="33">
        <f t="shared" si="16"/>
        <v>408.53910000000002</v>
      </c>
      <c r="F39" s="34">
        <f t="shared" si="16"/>
        <v>643.80410000000006</v>
      </c>
      <c r="G39" s="34">
        <f t="shared" si="16"/>
        <v>947.44510000000014</v>
      </c>
      <c r="H39" s="34">
        <f t="shared" si="16"/>
        <v>1292.2436</v>
      </c>
      <c r="I39" s="34">
        <f t="shared" si="16"/>
        <v>1473.8061</v>
      </c>
      <c r="J39" s="34">
        <f t="shared" si="16"/>
        <v>1666.7511</v>
      </c>
      <c r="K39" s="34">
        <f t="shared" si="16"/>
        <v>1732.1141</v>
      </c>
      <c r="L39" s="34">
        <f t="shared" si="16"/>
        <v>2161.8390999999997</v>
      </c>
      <c r="M39" s="34">
        <f t="shared" si="16"/>
        <v>2161.8390999999997</v>
      </c>
      <c r="N39" s="34">
        <f t="shared" si="16"/>
        <v>2198.7390999999998</v>
      </c>
      <c r="O39" s="34">
        <f t="shared" si="16"/>
        <v>2198.7390999999998</v>
      </c>
      <c r="P39" s="34">
        <f t="shared" si="16"/>
        <v>2198.7390999999998</v>
      </c>
      <c r="Q39" s="34">
        <f t="shared" si="16"/>
        <v>2198.7390999999998</v>
      </c>
    </row>
    <row r="40" spans="1:20">
      <c r="A40" s="26"/>
      <c r="B40" s="26"/>
      <c r="C40" s="26"/>
      <c r="D40" s="26"/>
      <c r="E40" s="26"/>
      <c r="F40" s="26"/>
      <c r="G40" s="26"/>
      <c r="H40" s="26"/>
      <c r="I40" s="26"/>
      <c r="J40" s="26"/>
      <c r="K40" s="26"/>
      <c r="L40" s="26"/>
      <c r="M40" s="26"/>
      <c r="N40" s="26"/>
      <c r="O40" s="26"/>
      <c r="P40" s="26"/>
      <c r="Q40" s="26"/>
    </row>
    <row r="41" spans="1:20" ht="15.75" thickBot="1">
      <c r="A41" s="16" t="s">
        <v>21</v>
      </c>
    </row>
    <row r="42" spans="1:20" ht="15.75" customHeight="1" thickBot="1">
      <c r="A42" s="17"/>
      <c r="B42" s="28" t="str">
        <f>B22</f>
        <v>&lt; 2021</v>
      </c>
      <c r="C42" s="18">
        <f t="shared" ref="C42:Q42" si="17">C22</f>
        <v>2021</v>
      </c>
      <c r="D42" s="18">
        <f t="shared" si="17"/>
        <v>2022</v>
      </c>
      <c r="E42" s="18">
        <f t="shared" si="17"/>
        <v>2023</v>
      </c>
      <c r="F42" s="18">
        <f t="shared" si="17"/>
        <v>2024</v>
      </c>
      <c r="G42" s="18">
        <f t="shared" si="17"/>
        <v>2025</v>
      </c>
      <c r="H42" s="18">
        <f t="shared" si="17"/>
        <v>2026</v>
      </c>
      <c r="I42" s="18">
        <f t="shared" si="17"/>
        <v>2027</v>
      </c>
      <c r="J42" s="18">
        <f t="shared" si="17"/>
        <v>2028</v>
      </c>
      <c r="K42" s="18">
        <f t="shared" si="17"/>
        <v>2029</v>
      </c>
      <c r="L42" s="18">
        <f t="shared" si="17"/>
        <v>2030</v>
      </c>
      <c r="M42" s="18">
        <f t="shared" si="17"/>
        <v>2031</v>
      </c>
      <c r="N42" s="18">
        <f t="shared" si="17"/>
        <v>2032</v>
      </c>
      <c r="O42" s="18">
        <f t="shared" si="17"/>
        <v>2033</v>
      </c>
      <c r="P42" s="18">
        <f t="shared" si="17"/>
        <v>2034</v>
      </c>
      <c r="Q42" s="18">
        <f t="shared" si="17"/>
        <v>2035</v>
      </c>
      <c r="R42" s="35" t="s">
        <v>22</v>
      </c>
      <c r="S42" s="35" t="s">
        <v>23</v>
      </c>
      <c r="T42" s="389" t="s">
        <v>456</v>
      </c>
    </row>
    <row r="43" spans="1:20">
      <c r="A43" s="19" t="s">
        <v>5</v>
      </c>
      <c r="B43" s="7">
        <f>COUNTIFS(Asia!$F$3:$F$87,"&lt;"&amp;'Asia Capacity Data'!C$22,Asia!$U$3:$U$87,$A43)</f>
        <v>0</v>
      </c>
      <c r="C43" s="22">
        <f>COUNTIFS(Asia!$F$3:$F$87,'Asia Capacity Data'!C$22,Asia!$U$3:$U$87,$A43)</f>
        <v>0</v>
      </c>
      <c r="D43" s="22">
        <f>COUNTIFS(Asia!$F$3:$F$87,'Asia Capacity Data'!D$22,Asia!$U$3:$U$87,$A43)</f>
        <v>2</v>
      </c>
      <c r="E43" s="22">
        <f>COUNTIFS(Asia!$F$3:$F$87,'Asia Capacity Data'!E$22,Asia!$U$3:$U$87,$A43)</f>
        <v>1</v>
      </c>
      <c r="F43" s="23">
        <f>COUNTIFS(Asia!$F$3:$F$87,'Asia Capacity Data'!F$22,Asia!$U$3:$U$87,$A43)</f>
        <v>2</v>
      </c>
      <c r="G43" s="23">
        <f>COUNTIFS(Asia!$F$3:$F$87,'Asia Capacity Data'!G$22,Asia!$U$3:$U$87,$A43)</f>
        <v>5</v>
      </c>
      <c r="H43" s="23">
        <f>COUNTIFS(Asia!$F$3:$F$87,'Asia Capacity Data'!H$22,Asia!$U$3:$U$87,$A43)</f>
        <v>4</v>
      </c>
      <c r="I43" s="23">
        <f>COUNTIFS(Asia!$F$3:$F$87,'Asia Capacity Data'!I$22,Asia!$U$3:$U$87,$A43)</f>
        <v>0</v>
      </c>
      <c r="J43" s="23">
        <f>COUNTIFS(Asia!$F$3:$F$87,'Asia Capacity Data'!J$22,Asia!$U$3:$U$87,$A43)</f>
        <v>4</v>
      </c>
      <c r="K43" s="23">
        <f>COUNTIFS(Asia!$F$3:$F$87,'Asia Capacity Data'!K$22,Asia!$U$3:$U$87,$A43)</f>
        <v>0</v>
      </c>
      <c r="L43" s="23">
        <f>COUNTIFS(Asia!$F$3:$F$87,'Asia Capacity Data'!L$22,Asia!$U$3:$U$87,$A43)</f>
        <v>6</v>
      </c>
      <c r="M43" s="23">
        <f>COUNTIFS(Asia!$F$3:$F$87,'Asia Capacity Data'!M$22,Asia!$U$3:$U$87,$A43)</f>
        <v>0</v>
      </c>
      <c r="N43" s="23">
        <f>COUNTIFS(Asia!$F$3:$F$87,'Asia Capacity Data'!N$22,Asia!$U$3:$U$87,$A43)</f>
        <v>1</v>
      </c>
      <c r="O43" s="23">
        <f>COUNTIFS(Asia!$F$3:$F$87,'Asia Capacity Data'!O$22,Asia!$U$3:$U$87,$A43)</f>
        <v>0</v>
      </c>
      <c r="P43" s="23">
        <f>COUNTIFS(Asia!$F$3:$F$87,'Asia Capacity Data'!P$22,Asia!$U$3:$U$87,$A43)</f>
        <v>0</v>
      </c>
      <c r="Q43" s="23">
        <f>COUNTIFS(Asia!$F$3:$F$87,'Asia Capacity Data'!Q$22,Asia!$U$3:$U$87,$A43)</f>
        <v>0</v>
      </c>
      <c r="R43" s="22">
        <f t="shared" ref="R43:R48" si="18">SUM(B43:P43)</f>
        <v>25</v>
      </c>
      <c r="S43" s="22">
        <f>R43-Asia!U91</f>
        <v>25</v>
      </c>
      <c r="T43" s="389"/>
    </row>
    <row r="44" spans="1:20">
      <c r="A44" s="20" t="s">
        <v>6</v>
      </c>
      <c r="B44" s="22">
        <f>COUNTIFS(Asia!$F$3:$F$87,"&lt;"&amp;'Asia Capacity Data'!C$22,Asia!$U$3:$U$87,$A44)</f>
        <v>0</v>
      </c>
      <c r="C44" s="22">
        <f>COUNTIFS(Asia!$F$3:$F$87,'Asia Capacity Data'!C$22,Asia!$U$3:$U$87,$A44)</f>
        <v>0</v>
      </c>
      <c r="D44" s="22">
        <f>COUNTIFS(Asia!$F$3:$F$87,'Asia Capacity Data'!D$22,Asia!$U$3:$U$87,$A44)</f>
        <v>0</v>
      </c>
      <c r="E44" s="22">
        <f>COUNTIFS(Asia!$F$3:$F$87,'Asia Capacity Data'!E$22,Asia!$U$3:$U$87,$A44)</f>
        <v>0</v>
      </c>
      <c r="F44" s="23">
        <f>COUNTIFS(Asia!$F$3:$F$87,'Asia Capacity Data'!F$22,Asia!$U$3:$U$87,$A44)</f>
        <v>0</v>
      </c>
      <c r="G44" s="23">
        <f>COUNTIFS(Asia!$F$3:$F$87,'Asia Capacity Data'!G$22,Asia!$U$3:$U$87,$A44)</f>
        <v>0</v>
      </c>
      <c r="H44" s="23">
        <f>COUNTIFS(Asia!$F$3:$F$87,'Asia Capacity Data'!H$22,Asia!$U$3:$U$87,$A44)</f>
        <v>0</v>
      </c>
      <c r="I44" s="23">
        <f>COUNTIFS(Asia!$F$3:$F$87,'Asia Capacity Data'!I$22,Asia!$U$3:$U$87,$A44)</f>
        <v>2</v>
      </c>
      <c r="J44" s="23">
        <f>COUNTIFS(Asia!$F$3:$F$87,'Asia Capacity Data'!J$22,Asia!$U$3:$U$87,$A44)</f>
        <v>0</v>
      </c>
      <c r="K44" s="23">
        <f>COUNTIFS(Asia!$F$3:$F$87,'Asia Capacity Data'!K$22,Asia!$U$3:$U$87,$A44)</f>
        <v>2</v>
      </c>
      <c r="L44" s="23">
        <f>COUNTIFS(Asia!$F$3:$F$87,'Asia Capacity Data'!L$22,Asia!$U$3:$U$87,$A44)</f>
        <v>5</v>
      </c>
      <c r="M44" s="23">
        <f>COUNTIFS(Asia!$F$3:$F$87,'Asia Capacity Data'!M$22,Asia!$U$3:$U$87,$A44)</f>
        <v>0</v>
      </c>
      <c r="N44" s="23">
        <f>COUNTIFS(Asia!$F$3:$F$87,'Asia Capacity Data'!N$22,Asia!$U$3:$U$87,$A44)</f>
        <v>1</v>
      </c>
      <c r="O44" s="23">
        <f>COUNTIFS(Asia!$F$3:$F$87,'Asia Capacity Data'!O$22,Asia!$U$3:$U$87,$A44)</f>
        <v>0</v>
      </c>
      <c r="P44" s="23">
        <f>COUNTIFS(Asia!$F$3:$F$87,'Asia Capacity Data'!P$22,Asia!$U$3:$U$87,$A44)</f>
        <v>0</v>
      </c>
      <c r="Q44" s="23">
        <f>COUNTIFS(Asia!$F$3:$F$87,'Asia Capacity Data'!Q$22,Asia!$U$3:$U$87,$A44)</f>
        <v>0</v>
      </c>
      <c r="R44" s="22">
        <f t="shared" si="18"/>
        <v>10</v>
      </c>
      <c r="S44" s="22">
        <f>R44-Asia!U92</f>
        <v>10</v>
      </c>
      <c r="T44" s="389"/>
    </row>
    <row r="45" spans="1:20">
      <c r="A45" s="20" t="s">
        <v>7</v>
      </c>
      <c r="B45" s="22">
        <f>COUNTIFS(Asia!$F$3:$F$87,"&lt;"&amp;'Asia Capacity Data'!C$22,Asia!$U$3:$U$87,$A45)</f>
        <v>0</v>
      </c>
      <c r="C45" s="22">
        <f>COUNTIFS(Asia!$F$3:$F$87,'Asia Capacity Data'!C$22,Asia!$U$3:$U$87,$A45)</f>
        <v>0</v>
      </c>
      <c r="D45" s="22">
        <f>COUNTIFS(Asia!$F$3:$F$87,'Asia Capacity Data'!D$22,Asia!$U$3:$U$87,$A45)</f>
        <v>0</v>
      </c>
      <c r="E45" s="22">
        <f>COUNTIFS(Asia!$F$3:$F$87,'Asia Capacity Data'!E$22,Asia!$U$3:$U$87,$A45)</f>
        <v>0</v>
      </c>
      <c r="F45" s="23">
        <f>COUNTIFS(Asia!$F$3:$F$87,'Asia Capacity Data'!F$22,Asia!$U$3:$U$87,$A45)</f>
        <v>0</v>
      </c>
      <c r="G45" s="23">
        <f>COUNTIFS(Asia!$F$3:$F$87,'Asia Capacity Data'!G$22,Asia!$U$3:$U$87,$A45)</f>
        <v>0</v>
      </c>
      <c r="H45" s="23">
        <f>COUNTIFS(Asia!$F$3:$F$87,'Asia Capacity Data'!H$22,Asia!$U$3:$U$87,$A45)</f>
        <v>0</v>
      </c>
      <c r="I45" s="23">
        <f>COUNTIFS(Asia!$F$3:$F$87,'Asia Capacity Data'!I$22,Asia!$U$3:$U$87,$A45)</f>
        <v>0</v>
      </c>
      <c r="J45" s="23">
        <f>COUNTIFS(Asia!$F$3:$F$87,'Asia Capacity Data'!J$22,Asia!$U$3:$U$87,$A45)</f>
        <v>0</v>
      </c>
      <c r="K45" s="23">
        <f>COUNTIFS(Asia!$F$3:$F$87,'Asia Capacity Data'!K$22,Asia!$U$3:$U$87,$A45)</f>
        <v>0</v>
      </c>
      <c r="L45" s="23">
        <f>COUNTIFS(Asia!$F$3:$F$87,'Asia Capacity Data'!L$22,Asia!$U$3:$U$87,$A45)</f>
        <v>1</v>
      </c>
      <c r="M45" s="23">
        <f>COUNTIFS(Asia!$F$3:$F$87,'Asia Capacity Data'!M$22,Asia!$U$3:$U$87,$A45)</f>
        <v>0</v>
      </c>
      <c r="N45" s="23">
        <f>COUNTIFS(Asia!$F$3:$F$87,'Asia Capacity Data'!N$22,Asia!$U$3:$U$87,$A45)</f>
        <v>0</v>
      </c>
      <c r="O45" s="23">
        <f>COUNTIFS(Asia!$F$3:$F$87,'Asia Capacity Data'!O$22,Asia!$U$3:$U$87,$A45)</f>
        <v>0</v>
      </c>
      <c r="P45" s="23">
        <f>COUNTIFS(Asia!$F$3:$F$87,'Asia Capacity Data'!P$22,Asia!$U$3:$U$87,$A45)</f>
        <v>0</v>
      </c>
      <c r="Q45" s="23">
        <f>COUNTIFS(Asia!$F$3:$F$87,'Asia Capacity Data'!Q$22,Asia!$U$3:$U$87,$A45)</f>
        <v>0</v>
      </c>
      <c r="R45" s="22">
        <f t="shared" si="18"/>
        <v>1</v>
      </c>
      <c r="S45" s="22">
        <f>R45-Asia!U93</f>
        <v>1</v>
      </c>
      <c r="T45" s="389"/>
    </row>
    <row r="46" spans="1:20">
      <c r="A46" s="20" t="s">
        <v>8</v>
      </c>
      <c r="B46" s="22">
        <f>COUNTIFS(Asia!$F$3:$F$87,"&lt;"&amp;'Asia Capacity Data'!C$22,Asia!$U$3:$U$87,$A46)</f>
        <v>0</v>
      </c>
      <c r="C46" s="22">
        <f>COUNTIFS(Asia!$F$3:$F$87,'Asia Capacity Data'!C$22,Asia!$U$3:$U$87,$A46)</f>
        <v>0</v>
      </c>
      <c r="D46" s="22">
        <f>COUNTIFS(Asia!$F$3:$F$87,'Asia Capacity Data'!D$22,Asia!$U$3:$U$87,$A46)</f>
        <v>0</v>
      </c>
      <c r="E46" s="22">
        <f>COUNTIFS(Asia!$F$3:$F$87,'Asia Capacity Data'!E$22,Asia!$U$3:$U$87,$A46)</f>
        <v>0</v>
      </c>
      <c r="F46" s="23">
        <f>COUNTIFS(Asia!$F$3:$F$87,'Asia Capacity Data'!F$22,Asia!$U$3:$U$87,$A46)</f>
        <v>0</v>
      </c>
      <c r="G46" s="23">
        <f>COUNTIFS(Asia!$F$3:$F$87,'Asia Capacity Data'!G$22,Asia!$U$3:$U$87,$A46)</f>
        <v>0</v>
      </c>
      <c r="H46" s="23">
        <f>COUNTIFS(Asia!$F$3:$F$87,'Asia Capacity Data'!H$22,Asia!$U$3:$U$87,$A46)</f>
        <v>0</v>
      </c>
      <c r="I46" s="23">
        <f>COUNTIFS(Asia!$F$3:$F$87,'Asia Capacity Data'!I$22,Asia!$U$3:$U$87,$A46)</f>
        <v>0</v>
      </c>
      <c r="J46" s="23">
        <f>COUNTIFS(Asia!$F$3:$F$87,'Asia Capacity Data'!J$22,Asia!$U$3:$U$87,$A46)</f>
        <v>0</v>
      </c>
      <c r="K46" s="23">
        <f>COUNTIFS(Asia!$F$3:$F$87,'Asia Capacity Data'!K$22,Asia!$U$3:$U$87,$A46)</f>
        <v>0</v>
      </c>
      <c r="L46" s="23">
        <f>COUNTIFS(Asia!$F$3:$F$87,'Asia Capacity Data'!L$22,Asia!$U$3:$U$87,$A46)</f>
        <v>3</v>
      </c>
      <c r="M46" s="23">
        <f>COUNTIFS(Asia!$F$3:$F$87,'Asia Capacity Data'!M$22,Asia!$U$3:$U$87,$A46)</f>
        <v>0</v>
      </c>
      <c r="N46" s="23">
        <f>COUNTIFS(Asia!$F$3:$F$87,'Asia Capacity Data'!N$22,Asia!$U$3:$U$87,$A46)</f>
        <v>0</v>
      </c>
      <c r="O46" s="23">
        <f>COUNTIFS(Asia!$F$3:$F$87,'Asia Capacity Data'!O$22,Asia!$U$3:$U$87,$A46)</f>
        <v>0</v>
      </c>
      <c r="P46" s="23">
        <f>COUNTIFS(Asia!$F$3:$F$87,'Asia Capacity Data'!P$22,Asia!$U$3:$U$87,$A46)</f>
        <v>0</v>
      </c>
      <c r="Q46" s="23">
        <f>COUNTIFS(Asia!$F$3:$F$87,'Asia Capacity Data'!Q$22,Asia!$U$3:$U$87,$A46)</f>
        <v>0</v>
      </c>
      <c r="R46" s="22">
        <f t="shared" si="18"/>
        <v>3</v>
      </c>
      <c r="S46" s="22">
        <f>R46-Asia!U94</f>
        <v>3</v>
      </c>
      <c r="T46" s="389"/>
    </row>
    <row r="47" spans="1:20">
      <c r="A47" s="20" t="s">
        <v>9</v>
      </c>
      <c r="B47" s="22">
        <f>COUNTIFS(Asia!$F$3:$F$87,"&lt;"&amp;'Asia Capacity Data'!C$22,Asia!$U$3:$U$87,$A47)</f>
        <v>0</v>
      </c>
      <c r="C47" s="22">
        <f>COUNTIFS(Asia!$F$3:$F$87,'Asia Capacity Data'!C$22,Asia!$U$3:$U$87,$A47)</f>
        <v>0</v>
      </c>
      <c r="D47" s="22">
        <f>COUNTIFS(Asia!$F$3:$F$87,'Asia Capacity Data'!D$22,Asia!$U$3:$U$87,$A47)</f>
        <v>0</v>
      </c>
      <c r="E47" s="22">
        <f>COUNTIFS(Asia!$F$3:$F$87,'Asia Capacity Data'!E$22,Asia!$U$3:$U$87,$A47)</f>
        <v>0</v>
      </c>
      <c r="F47" s="23">
        <f>COUNTIFS(Asia!$F$3:$F$87,'Asia Capacity Data'!F$22,Asia!$U$3:$U$87,$A47)</f>
        <v>0</v>
      </c>
      <c r="G47" s="23">
        <f>COUNTIFS(Asia!$F$3:$F$87,'Asia Capacity Data'!G$22,Asia!$U$3:$U$87,$A47)</f>
        <v>0</v>
      </c>
      <c r="H47" s="23">
        <f>COUNTIFS(Asia!$F$3:$F$87,'Asia Capacity Data'!H$22,Asia!$U$3:$U$87,$A47)</f>
        <v>0</v>
      </c>
      <c r="I47" s="23">
        <f>COUNTIFS(Asia!$F$3:$F$87,'Asia Capacity Data'!I$22,Asia!$U$3:$U$87,$A47)</f>
        <v>0</v>
      </c>
      <c r="J47" s="23">
        <f>COUNTIFS(Asia!$F$3:$F$87,'Asia Capacity Data'!J$22,Asia!$U$3:$U$87,$A47)</f>
        <v>0</v>
      </c>
      <c r="K47" s="23">
        <f>COUNTIFS(Asia!$F$3:$F$87,'Asia Capacity Data'!K$22,Asia!$U$3:$U$87,$A47)</f>
        <v>0</v>
      </c>
      <c r="L47" s="23">
        <f>COUNTIFS(Asia!$F$3:$F$87,'Asia Capacity Data'!L$22,Asia!$U$3:$U$87,$A47)</f>
        <v>0</v>
      </c>
      <c r="M47" s="23">
        <f>COUNTIFS(Asia!$F$3:$F$87,'Asia Capacity Data'!M$22,Asia!$U$3:$U$87,$A47)</f>
        <v>0</v>
      </c>
      <c r="N47" s="23">
        <f>COUNTIFS(Asia!$F$3:$F$87,'Asia Capacity Data'!N$22,Asia!$U$3:$U$87,$A47)</f>
        <v>0</v>
      </c>
      <c r="O47" s="23">
        <f>COUNTIFS(Asia!$F$3:$F$87,'Asia Capacity Data'!O$22,Asia!$U$3:$U$87,$A47)</f>
        <v>0</v>
      </c>
      <c r="P47" s="23">
        <f>COUNTIFS(Asia!$F$3:$F$87,'Asia Capacity Data'!P$22,Asia!$U$3:$U$87,$A47)</f>
        <v>0</v>
      </c>
      <c r="Q47" s="23">
        <f>COUNTIFS(Asia!$F$3:$F$87,'Asia Capacity Data'!Q$22,Asia!$U$3:$U$87,$A47)</f>
        <v>0</v>
      </c>
      <c r="R47" s="22">
        <f t="shared" si="18"/>
        <v>0</v>
      </c>
      <c r="S47" s="22">
        <f>R47-Asia!U95</f>
        <v>0</v>
      </c>
      <c r="T47" s="389"/>
    </row>
    <row r="48" spans="1:20">
      <c r="A48" s="20" t="s">
        <v>10</v>
      </c>
      <c r="B48" s="22">
        <f>COUNTIFS(Asia!$F$3:$F$87,"&lt;"&amp;'Asia Capacity Data'!C$22,Asia!$U$3:$U$87,$A48)</f>
        <v>0</v>
      </c>
      <c r="C48" s="22">
        <f>COUNTIFS(Asia!$F$3:$F$87,'Asia Capacity Data'!C$22,Asia!$U$3:$U$87,$A48)</f>
        <v>0</v>
      </c>
      <c r="D48" s="22">
        <f>COUNTIFS(Asia!$F$3:$F$87,'Asia Capacity Data'!D$22,Asia!$U$3:$U$87,$A48)</f>
        <v>1</v>
      </c>
      <c r="E48" s="22">
        <f>COUNTIFS(Asia!$F$3:$F$87,'Asia Capacity Data'!E$22,Asia!$U$3:$U$87,$A48)</f>
        <v>0</v>
      </c>
      <c r="F48" s="23">
        <f>COUNTIFS(Asia!$F$3:$F$87,'Asia Capacity Data'!F$22,Asia!$U$3:$U$87,$A48)</f>
        <v>3</v>
      </c>
      <c r="G48" s="23">
        <f>COUNTIFS(Asia!$F$3:$F$87,'Asia Capacity Data'!G$22,Asia!$U$3:$U$87,$A48)</f>
        <v>0</v>
      </c>
      <c r="H48" s="23">
        <f>COUNTIFS(Asia!$F$3:$F$87,'Asia Capacity Data'!H$22,Asia!$U$3:$U$87,$A48)</f>
        <v>0</v>
      </c>
      <c r="I48" s="23">
        <f>COUNTIFS(Asia!$F$3:$F$87,'Asia Capacity Data'!I$22,Asia!$U$3:$U$87,$A48)</f>
        <v>0</v>
      </c>
      <c r="J48" s="23">
        <f>COUNTIFS(Asia!$F$3:$F$87,'Asia Capacity Data'!J$22,Asia!$U$3:$U$87,$A48)</f>
        <v>1</v>
      </c>
      <c r="K48" s="23">
        <f>COUNTIFS(Asia!$F$3:$F$87,'Asia Capacity Data'!K$22,Asia!$U$3:$U$87,$A48)</f>
        <v>0</v>
      </c>
      <c r="L48" s="23">
        <f>COUNTIFS(Asia!$F$3:$F$87,'Asia Capacity Data'!L$22,Asia!$U$3:$U$87,$A48)</f>
        <v>0</v>
      </c>
      <c r="M48" s="23">
        <f>COUNTIFS(Asia!$F$3:$F$87,'Asia Capacity Data'!M$22,Asia!$U$3:$U$87,$A48)</f>
        <v>0</v>
      </c>
      <c r="N48" s="23">
        <f>COUNTIFS(Asia!$F$3:$F$87,'Asia Capacity Data'!N$22,Asia!$U$3:$U$87,$A48)</f>
        <v>0</v>
      </c>
      <c r="O48" s="23">
        <f>COUNTIFS(Asia!$F$3:$F$87,'Asia Capacity Data'!O$22,Asia!$U$3:$U$87,$A48)</f>
        <v>0</v>
      </c>
      <c r="P48" s="23">
        <f>COUNTIFS(Asia!$F$3:$F$87,'Asia Capacity Data'!P$22,Asia!$U$3:$U$87,$A48)</f>
        <v>0</v>
      </c>
      <c r="Q48" s="23">
        <f>COUNTIFS(Asia!$F$3:$F$87,'Asia Capacity Data'!Q$22,Asia!$U$3:$U$87,$A48)</f>
        <v>0</v>
      </c>
      <c r="R48" s="22">
        <f t="shared" si="18"/>
        <v>5</v>
      </c>
      <c r="S48" s="22">
        <f>R48-Asia!U96</f>
        <v>5</v>
      </c>
      <c r="T48" s="389"/>
    </row>
    <row r="49" spans="1:20" ht="15.75" thickBot="1">
      <c r="A49" s="32" t="s">
        <v>24</v>
      </c>
      <c r="B49" s="36">
        <f>SUM(B43:B48)</f>
        <v>0</v>
      </c>
      <c r="C49" s="36">
        <f>B49+SUM(C43:C48)</f>
        <v>0</v>
      </c>
      <c r="D49" s="36">
        <f>C49+SUM(D43:D48)</f>
        <v>3</v>
      </c>
      <c r="E49" s="36">
        <f t="shared" ref="E49:Q49" si="19">D49+SUM(E43:E48)</f>
        <v>4</v>
      </c>
      <c r="F49" s="37">
        <f t="shared" si="19"/>
        <v>9</v>
      </c>
      <c r="G49" s="37">
        <f t="shared" si="19"/>
        <v>14</v>
      </c>
      <c r="H49" s="37">
        <f t="shared" si="19"/>
        <v>18</v>
      </c>
      <c r="I49" s="37">
        <f t="shared" si="19"/>
        <v>20</v>
      </c>
      <c r="J49" s="37">
        <f t="shared" si="19"/>
        <v>25</v>
      </c>
      <c r="K49" s="37">
        <f t="shared" si="19"/>
        <v>27</v>
      </c>
      <c r="L49" s="37">
        <f t="shared" si="19"/>
        <v>42</v>
      </c>
      <c r="M49" s="37">
        <f t="shared" si="19"/>
        <v>42</v>
      </c>
      <c r="N49" s="37">
        <f t="shared" si="19"/>
        <v>44</v>
      </c>
      <c r="O49" s="37">
        <f t="shared" si="19"/>
        <v>44</v>
      </c>
      <c r="P49" s="37">
        <f t="shared" si="19"/>
        <v>44</v>
      </c>
      <c r="Q49" s="37">
        <f t="shared" si="19"/>
        <v>44</v>
      </c>
      <c r="R49" s="36">
        <f>SUM(R43:R48)</f>
        <v>44</v>
      </c>
      <c r="S49" s="36"/>
      <c r="T49" s="389"/>
    </row>
    <row r="50" spans="1:20">
      <c r="A50" s="26"/>
      <c r="B50" s="26"/>
      <c r="C50" s="26"/>
      <c r="D50" s="26"/>
      <c r="E50" s="26"/>
      <c r="F50" s="26"/>
      <c r="G50" s="26"/>
      <c r="H50" s="26"/>
      <c r="I50" s="26"/>
      <c r="J50" s="26"/>
      <c r="K50" s="26"/>
      <c r="L50" s="26"/>
      <c r="M50" s="26"/>
      <c r="N50" s="26"/>
      <c r="O50" s="26"/>
      <c r="P50" s="26"/>
      <c r="Q50" s="26"/>
      <c r="R50" s="26"/>
    </row>
    <row r="51" spans="1:20" ht="15.75" thickBot="1">
      <c r="A51" s="38" t="s">
        <v>1142</v>
      </c>
    </row>
    <row r="52" spans="1:20" ht="15.75" thickBot="1">
      <c r="A52" s="17" t="str">
        <f>A22</f>
        <v>(mil gal/yr)</v>
      </c>
      <c r="B52" s="28" t="str">
        <f>B22</f>
        <v>&lt; 2021</v>
      </c>
      <c r="C52" s="18">
        <f t="shared" ref="C52:Q52" si="20">C22</f>
        <v>2021</v>
      </c>
      <c r="D52" s="18">
        <f t="shared" si="20"/>
        <v>2022</v>
      </c>
      <c r="E52" s="18">
        <f t="shared" si="20"/>
        <v>2023</v>
      </c>
      <c r="F52" s="18">
        <f t="shared" si="20"/>
        <v>2024</v>
      </c>
      <c r="G52" s="18">
        <f t="shared" si="20"/>
        <v>2025</v>
      </c>
      <c r="H52" s="18">
        <f t="shared" si="20"/>
        <v>2026</v>
      </c>
      <c r="I52" s="18">
        <f t="shared" si="20"/>
        <v>2027</v>
      </c>
      <c r="J52" s="18">
        <f t="shared" si="20"/>
        <v>2028</v>
      </c>
      <c r="K52" s="18">
        <f t="shared" si="20"/>
        <v>2029</v>
      </c>
      <c r="L52" s="18">
        <f t="shared" si="20"/>
        <v>2030</v>
      </c>
      <c r="M52" s="18">
        <f t="shared" si="20"/>
        <v>2031</v>
      </c>
      <c r="N52" s="18">
        <f t="shared" si="20"/>
        <v>2032</v>
      </c>
      <c r="O52" s="18">
        <f t="shared" si="20"/>
        <v>2033</v>
      </c>
      <c r="P52" s="18">
        <f t="shared" si="20"/>
        <v>2034</v>
      </c>
      <c r="Q52" s="18">
        <f t="shared" si="20"/>
        <v>2035</v>
      </c>
    </row>
    <row r="53" spans="1:20">
      <c r="A53" s="20" t="s">
        <v>26</v>
      </c>
      <c r="B53" s="7">
        <f>SUMIFS(Asia!$N$3:$N$87,Asia!$F$3:$F$87,"&lt;"&amp;'Asia Capacity Data'!C$22,Asia!$V$3:$V$87,'Asia Capacity Data'!$A53)</f>
        <v>0</v>
      </c>
      <c r="C53" s="7">
        <f>SUMIFS(Asia!$N$3:$N$87,Asia!$F$3:$F$87,'Asia Capacity Data'!C$22,Asia!$V$3:$V$87,'Asia Capacity Data'!$A53)</f>
        <v>0</v>
      </c>
      <c r="D53" s="7">
        <f>SUMIFS(Asia!$N$3:$N$87,Asia!$F$3:$F$87,'Asia Capacity Data'!D$22,Asia!$V$3:$V$87,'Asia Capacity Data'!$A53)</f>
        <v>74.400000000000006</v>
      </c>
      <c r="E53" s="7">
        <f>SUMIFS(Asia!$N$3:$N$87,Asia!$F$3:$F$87,'Asia Capacity Data'!E$22,Asia!$V$3:$V$87,'Asia Capacity Data'!$A53)</f>
        <v>330</v>
      </c>
      <c r="F53" s="39">
        <f>SUMIFS(Asia!$N$3:$N$87,Asia!$F$3:$F$87,'Asia Capacity Data'!F$22,Asia!$V$3:$V$87,'Asia Capacity Data'!$A53)</f>
        <v>235.26499999999999</v>
      </c>
      <c r="G53" s="39">
        <f>SUMIFS(Asia!$N$3:$N$87,Asia!$F$3:$F$87,'Asia Capacity Data'!G$22,Asia!$V$3:$V$87,'Asia Capacity Data'!$A53)</f>
        <v>305.22999999999996</v>
      </c>
      <c r="H53" s="39">
        <f>SUMIFS(Asia!$N$3:$N$87,Asia!$F$3:$F$87,'Asia Capacity Data'!H$22,Asia!$V$3:$V$87,'Asia Capacity Data'!$A53)</f>
        <v>344.79849999999999</v>
      </c>
      <c r="I53" s="39">
        <f>SUMIFS(Asia!$N$3:$N$87,Asia!$F$3:$F$87,'Asia Capacity Data'!I$22,Asia!$V$3:$V$87,'Asia Capacity Data'!$A53)</f>
        <v>0</v>
      </c>
      <c r="J53" s="39">
        <f>SUMIFS(Asia!$N$3:$N$87,Asia!$F$3:$F$87,'Asia Capacity Data'!J$22,Asia!$V$3:$V$87,'Asia Capacity Data'!$A53)</f>
        <v>410.83500000000004</v>
      </c>
      <c r="K53" s="39">
        <f>SUMIFS(Asia!$N$3:$N$87,Asia!$F$3:$F$87,'Asia Capacity Data'!K$22,Asia!$V$3:$V$87,'Asia Capacity Data'!$A53)</f>
        <v>0</v>
      </c>
      <c r="L53" s="39">
        <f>SUMIFS(Asia!$N$3:$N$87,Asia!$F$3:$F$87,'Asia Capacity Data'!L$22,Asia!$V$3:$V$87,'Asia Capacity Data'!$A53)</f>
        <v>170.5</v>
      </c>
      <c r="M53" s="39">
        <f>SUMIFS(Asia!$N$3:$N$87,Asia!$F$3:$F$87,'Asia Capacity Data'!M$22,Asia!$V$3:$V$87,'Asia Capacity Data'!$A53)</f>
        <v>0</v>
      </c>
      <c r="N53" s="39">
        <f>SUMIFS(Asia!$N$3:$N$87,Asia!$F$3:$F$87,'Asia Capacity Data'!N$22,Asia!$V$3:$V$87,'Asia Capacity Data'!$A53)</f>
        <v>9.9</v>
      </c>
      <c r="O53" s="39">
        <f>SUMIFS(Asia!$N$3:$N$87,Asia!$F$3:$F$87,'Asia Capacity Data'!O$22,Asia!$V$3:$V$87,'Asia Capacity Data'!$A53)</f>
        <v>0</v>
      </c>
      <c r="P53" s="39">
        <f>SUMIFS(Asia!$N$3:$N$87,Asia!$F$3:$F$87,'Asia Capacity Data'!P$22,Asia!$V$3:$V$87,'Asia Capacity Data'!$A53)</f>
        <v>0</v>
      </c>
      <c r="Q53" s="39">
        <f>SUMIFS(Asia!$N$3:$N$87,Asia!$F$3:$F$87,'Asia Capacity Data'!Q$22,Asia!$V$3:$V$87,'Asia Capacity Data'!$A53)</f>
        <v>0</v>
      </c>
    </row>
    <row r="54" spans="1:20">
      <c r="A54" s="20" t="s">
        <v>27</v>
      </c>
      <c r="B54" s="22">
        <f>SUMIFS(Asia!$N$3:$N$87,Asia!$F$3:$F$87,"&lt;"&amp;'Asia Capacity Data'!C$22,Asia!$V$3:$V$87,'Asia Capacity Data'!$A54)</f>
        <v>0</v>
      </c>
      <c r="C54" s="22">
        <f>SUMIFS(Asia!$N$3:$N$87,Asia!$F$3:$F$87,'Asia Capacity Data'!C$22,Asia!$V$3:$V$87,'Asia Capacity Data'!$A54)</f>
        <v>0</v>
      </c>
      <c r="D54" s="22">
        <f>SUMIFS(Asia!$N$3:$N$87,Asia!$F$3:$F$87,'Asia Capacity Data'!D$22,Asia!$V$3:$V$87,'Asia Capacity Data'!$A54)</f>
        <v>0</v>
      </c>
      <c r="E54" s="22">
        <f>SUMIFS(Asia!$N$3:$N$87,Asia!$F$3:$F$87,'Asia Capacity Data'!E$22,Asia!$V$3:$V$87,'Asia Capacity Data'!$A54)</f>
        <v>0</v>
      </c>
      <c r="F54" s="23">
        <f>SUMIFS(Asia!$N$3:$N$87,Asia!$F$3:$F$87,'Asia Capacity Data'!F$22,Asia!$V$3:$V$87,'Asia Capacity Data'!$A54)</f>
        <v>0</v>
      </c>
      <c r="G54" s="23">
        <f>SUMIFS(Asia!$N$3:$N$87,Asia!$F$3:$F$87,'Asia Capacity Data'!G$22,Asia!$V$3:$V$87,'Asia Capacity Data'!$A54)</f>
        <v>0</v>
      </c>
      <c r="H54" s="23">
        <f>SUMIFS(Asia!$N$3:$N$87,Asia!$F$3:$F$87,'Asia Capacity Data'!H$22,Asia!$V$3:$V$87,'Asia Capacity Data'!$A54)</f>
        <v>0</v>
      </c>
      <c r="I54" s="23">
        <f>SUMIFS(Asia!$N$3:$N$87,Asia!$F$3:$F$87,'Asia Capacity Data'!I$22,Asia!$V$3:$V$87,'Asia Capacity Data'!$A54)</f>
        <v>181.5625</v>
      </c>
      <c r="J54" s="23">
        <f>SUMIFS(Asia!$N$3:$N$87,Asia!$F$3:$F$87,'Asia Capacity Data'!J$22,Asia!$V$3:$V$87,'Asia Capacity Data'!$A54)</f>
        <v>0</v>
      </c>
      <c r="K54" s="23">
        <f>SUMIFS(Asia!$N$3:$N$87,Asia!$F$3:$F$87,'Asia Capacity Data'!K$22,Asia!$V$3:$V$87,'Asia Capacity Data'!$A54)</f>
        <v>65.363</v>
      </c>
      <c r="L54" s="23">
        <f>SUMIFS(Asia!$N$3:$N$87,Asia!$F$3:$F$87,'Asia Capacity Data'!L$22,Asia!$V$3:$V$87,'Asia Capacity Data'!$A54)</f>
        <v>122.19000000000001</v>
      </c>
      <c r="M54" s="23">
        <f>SUMIFS(Asia!$N$3:$N$87,Asia!$F$3:$F$87,'Asia Capacity Data'!M$22,Asia!$V$3:$V$87,'Asia Capacity Data'!$A54)</f>
        <v>0</v>
      </c>
      <c r="N54" s="23">
        <f>SUMIFS(Asia!$N$3:$N$87,Asia!$F$3:$F$87,'Asia Capacity Data'!N$22,Asia!$V$3:$V$87,'Asia Capacity Data'!$A54)</f>
        <v>27</v>
      </c>
      <c r="O54" s="23">
        <f>SUMIFS(Asia!$N$3:$N$87,Asia!$F$3:$F$87,'Asia Capacity Data'!O$22,Asia!$V$3:$V$87,'Asia Capacity Data'!$A54)</f>
        <v>0</v>
      </c>
      <c r="P54" s="23">
        <f>SUMIFS(Asia!$N$3:$N$87,Asia!$F$3:$F$87,'Asia Capacity Data'!P$22,Asia!$V$3:$V$87,'Asia Capacity Data'!$A54)</f>
        <v>0</v>
      </c>
      <c r="Q54" s="23">
        <f>SUMIFS(Asia!$N$3:$N$87,Asia!$F$3:$F$87,'Asia Capacity Data'!Q$22,Asia!$V$3:$V$87,'Asia Capacity Data'!$A54)</f>
        <v>0</v>
      </c>
    </row>
    <row r="55" spans="1:20">
      <c r="A55" s="20" t="s">
        <v>28</v>
      </c>
      <c r="B55" s="22">
        <f>SUMIFS(Asia!$N$3:$N$87,Asia!$F$3:$F$87,"&lt;"&amp;'Asia Capacity Data'!C$22,Asia!$V$3:$V$87,'Asia Capacity Data'!$A55)</f>
        <v>0</v>
      </c>
      <c r="C55" s="22">
        <f>SUMIFS(Asia!$N$3:$N$87,Asia!$F$3:$F$87,'Asia Capacity Data'!C$22,Asia!$V$3:$V$87,'Asia Capacity Data'!$A55)</f>
        <v>0</v>
      </c>
      <c r="D55" s="22">
        <f>SUMIFS(Asia!$N$3:$N$87,Asia!$F$3:$F$87,'Asia Capacity Data'!D$22,Asia!$V$3:$V$87,'Asia Capacity Data'!$A55)</f>
        <v>0</v>
      </c>
      <c r="E55" s="22">
        <f>SUMIFS(Asia!$N$3:$N$87,Asia!$F$3:$F$87,'Asia Capacity Data'!E$22,Asia!$V$3:$V$87,'Asia Capacity Data'!$A55)</f>
        <v>0</v>
      </c>
      <c r="F55" s="23">
        <f>SUMIFS(Asia!$N$3:$N$87,Asia!$F$3:$F$87,'Asia Capacity Data'!F$22,Asia!$V$3:$V$87,'Asia Capacity Data'!$A55)</f>
        <v>0</v>
      </c>
      <c r="G55" s="23">
        <f>SUMIFS(Asia!$N$3:$N$87,Asia!$F$3:$F$87,'Asia Capacity Data'!G$22,Asia!$V$3:$V$87,'Asia Capacity Data'!$A55)</f>
        <v>0</v>
      </c>
      <c r="H55" s="23">
        <f>SUMIFS(Asia!$N$3:$N$87,Asia!$F$3:$F$87,'Asia Capacity Data'!H$22,Asia!$V$3:$V$87,'Asia Capacity Data'!$A55)</f>
        <v>0</v>
      </c>
      <c r="I55" s="23">
        <f>SUMIFS(Asia!$N$3:$N$87,Asia!$F$3:$F$87,'Asia Capacity Data'!I$22,Asia!$V$3:$V$87,'Asia Capacity Data'!$A55)</f>
        <v>0</v>
      </c>
      <c r="J55" s="23">
        <f>SUMIFS(Asia!$N$3:$N$87,Asia!$F$3:$F$87,'Asia Capacity Data'!J$22,Asia!$V$3:$V$87,'Asia Capacity Data'!$A55)</f>
        <v>0</v>
      </c>
      <c r="K55" s="23">
        <f>SUMIFS(Asia!$N$3:$N$87,Asia!$F$3:$F$87,'Asia Capacity Data'!K$22,Asia!$V$3:$V$87,'Asia Capacity Data'!$A55)</f>
        <v>0</v>
      </c>
      <c r="L55" s="23">
        <f>SUMIFS(Asia!$N$3:$N$87,Asia!$F$3:$F$87,'Asia Capacity Data'!L$22,Asia!$V$3:$V$87,'Asia Capacity Data'!$A55)</f>
        <v>123.845</v>
      </c>
      <c r="M55" s="23">
        <f>SUMIFS(Asia!$N$3:$N$87,Asia!$F$3:$F$87,'Asia Capacity Data'!M$22,Asia!$V$3:$V$87,'Asia Capacity Data'!$A55)</f>
        <v>0</v>
      </c>
      <c r="N55" s="23">
        <f>SUMIFS(Asia!$N$3:$N$87,Asia!$F$3:$F$87,'Asia Capacity Data'!N$22,Asia!$V$3:$V$87,'Asia Capacity Data'!$A55)</f>
        <v>0</v>
      </c>
      <c r="O55" s="23">
        <f>SUMIFS(Asia!$N$3:$N$87,Asia!$F$3:$F$87,'Asia Capacity Data'!O$22,Asia!$V$3:$V$87,'Asia Capacity Data'!$A55)</f>
        <v>0</v>
      </c>
      <c r="P55" s="23">
        <f>SUMIFS(Asia!$N$3:$N$87,Asia!$F$3:$F$87,'Asia Capacity Data'!P$22,Asia!$V$3:$V$87,'Asia Capacity Data'!$A55)</f>
        <v>0</v>
      </c>
      <c r="Q55" s="23">
        <f>SUMIFS(Asia!$N$3:$N$87,Asia!$F$3:$F$87,'Asia Capacity Data'!Q$22,Asia!$V$3:$V$87,'Asia Capacity Data'!$A55)</f>
        <v>0</v>
      </c>
    </row>
    <row r="56" spans="1:20">
      <c r="A56" s="20" t="s">
        <v>29</v>
      </c>
      <c r="B56" s="22">
        <f>SUMIFS(Asia!$N$3:$N$87,Asia!$F$3:$F$87,"&lt;"&amp;'Asia Capacity Data'!C$22,Asia!$V$3:$V$87,'Asia Capacity Data'!$A56)</f>
        <v>0</v>
      </c>
      <c r="C56" s="22">
        <f>SUMIFS(Asia!$N$3:$N$87,Asia!$F$3:$F$87,'Asia Capacity Data'!C$22,Asia!$V$3:$V$87,'Asia Capacity Data'!$A56)</f>
        <v>0</v>
      </c>
      <c r="D56" s="22">
        <f>SUMIFS(Asia!$N$3:$N$87,Asia!$F$3:$F$87,'Asia Capacity Data'!D$22,Asia!$V$3:$V$87,'Asia Capacity Data'!$A56)</f>
        <v>0</v>
      </c>
      <c r="E56" s="22">
        <f>SUMIFS(Asia!$N$3:$N$87,Asia!$F$3:$F$87,'Asia Capacity Data'!E$22,Asia!$V$3:$V$87,'Asia Capacity Data'!$A56)</f>
        <v>0</v>
      </c>
      <c r="F56" s="23">
        <f>SUMIFS(Asia!$N$3:$N$87,Asia!$F$3:$F$87,'Asia Capacity Data'!F$22,Asia!$V$3:$V$87,'Asia Capacity Data'!$A56)</f>
        <v>0</v>
      </c>
      <c r="G56" s="23">
        <f>SUMIFS(Asia!$N$3:$N$87,Asia!$F$3:$F$87,'Asia Capacity Data'!G$22,Asia!$V$3:$V$87,'Asia Capacity Data'!$A56)</f>
        <v>0</v>
      </c>
      <c r="H56" s="23">
        <f>SUMIFS(Asia!$N$3:$N$87,Asia!$F$3:$F$87,'Asia Capacity Data'!H$22,Asia!$V$3:$V$87,'Asia Capacity Data'!$A56)</f>
        <v>0</v>
      </c>
      <c r="I56" s="23">
        <f>SUMIFS(Asia!$N$3:$N$87,Asia!$F$3:$F$87,'Asia Capacity Data'!I$22,Asia!$V$3:$V$87,'Asia Capacity Data'!$A56)</f>
        <v>0</v>
      </c>
      <c r="J56" s="23">
        <f>SUMIFS(Asia!$N$3:$N$87,Asia!$F$3:$F$87,'Asia Capacity Data'!J$22,Asia!$V$3:$V$87,'Asia Capacity Data'!$A56)</f>
        <v>0</v>
      </c>
      <c r="K56" s="23">
        <f>SUMIFS(Asia!$N$3:$N$87,Asia!$F$3:$F$87,'Asia Capacity Data'!K$22,Asia!$V$3:$V$87,'Asia Capacity Data'!$A56)</f>
        <v>0</v>
      </c>
      <c r="L56" s="23">
        <f>SUMIFS(Asia!$N$3:$N$87,Asia!$F$3:$F$87,'Asia Capacity Data'!L$22,Asia!$V$3:$V$87,'Asia Capacity Data'!$A56)</f>
        <v>21.79</v>
      </c>
      <c r="M56" s="23">
        <f>SUMIFS(Asia!$N$3:$N$87,Asia!$F$3:$F$87,'Asia Capacity Data'!M$22,Asia!$V$3:$V$87,'Asia Capacity Data'!$A56)</f>
        <v>0</v>
      </c>
      <c r="N56" s="23">
        <f>SUMIFS(Asia!$N$3:$N$87,Asia!$F$3:$F$87,'Asia Capacity Data'!N$22,Asia!$V$3:$V$87,'Asia Capacity Data'!$A56)</f>
        <v>0</v>
      </c>
      <c r="O56" s="23">
        <f>SUMIFS(Asia!$N$3:$N$87,Asia!$F$3:$F$87,'Asia Capacity Data'!O$22,Asia!$V$3:$V$87,'Asia Capacity Data'!$A56)</f>
        <v>0</v>
      </c>
      <c r="P56" s="23">
        <f>SUMIFS(Asia!$N$3:$N$87,Asia!$F$3:$F$87,'Asia Capacity Data'!P$22,Asia!$V$3:$V$87,'Asia Capacity Data'!$A56)</f>
        <v>0</v>
      </c>
      <c r="Q56" s="23">
        <f>SUMIFS(Asia!$N$3:$N$87,Asia!$F$3:$F$87,'Asia Capacity Data'!Q$22,Asia!$V$3:$V$87,'Asia Capacity Data'!$A56)</f>
        <v>0</v>
      </c>
    </row>
    <row r="57" spans="1:20">
      <c r="A57" s="20" t="s">
        <v>30</v>
      </c>
      <c r="B57" s="22">
        <f>SUMIFS(Asia!$N$3:$N$87,Asia!$F$3:$F$87,"&lt;"&amp;'Asia Capacity Data'!C$22,Asia!$V$3:$V$87,'Asia Capacity Data'!$A57)</f>
        <v>0</v>
      </c>
      <c r="C57" s="22">
        <f>SUMIFS(Asia!$N$3:$N$87,Asia!$F$3:$F$87,'Asia Capacity Data'!C$22,Asia!$V$3:$V$87,'Asia Capacity Data'!$A57)</f>
        <v>0</v>
      </c>
      <c r="D57" s="22">
        <f>SUMIFS(Asia!$N$3:$N$87,Asia!$F$3:$F$87,'Asia Capacity Data'!D$22,Asia!$V$3:$V$87,'Asia Capacity Data'!$A57)</f>
        <v>0</v>
      </c>
      <c r="E57" s="22">
        <f>SUMIFS(Asia!$N$3:$N$87,Asia!$F$3:$F$87,'Asia Capacity Data'!E$22,Asia!$V$3:$V$87,'Asia Capacity Data'!$A57)</f>
        <v>0</v>
      </c>
      <c r="F57" s="23">
        <f>SUMIFS(Asia!$N$3:$N$87,Asia!$F$3:$F$87,'Asia Capacity Data'!F$22,Asia!$V$3:$V$87,'Asia Capacity Data'!$A57)</f>
        <v>0</v>
      </c>
      <c r="G57" s="23">
        <f>SUMIFS(Asia!$N$3:$N$87,Asia!$F$3:$F$87,'Asia Capacity Data'!G$22,Asia!$V$3:$V$87,'Asia Capacity Data'!$A57)</f>
        <v>0</v>
      </c>
      <c r="H57" s="23">
        <f>SUMIFS(Asia!$N$3:$N$87,Asia!$F$3:$F$87,'Asia Capacity Data'!H$22,Asia!$V$3:$V$87,'Asia Capacity Data'!$A57)</f>
        <v>0</v>
      </c>
      <c r="I57" s="23">
        <f>SUMIFS(Asia!$N$3:$N$87,Asia!$F$3:$F$87,'Asia Capacity Data'!I$22,Asia!$V$3:$V$87,'Asia Capacity Data'!$A57)</f>
        <v>0</v>
      </c>
      <c r="J57" s="23">
        <f>SUMIFS(Asia!$N$3:$N$87,Asia!$F$3:$F$87,'Asia Capacity Data'!J$22,Asia!$V$3:$V$87,'Asia Capacity Data'!$A57)</f>
        <v>0</v>
      </c>
      <c r="K57" s="23">
        <f>SUMIFS(Asia!$N$3:$N$87,Asia!$F$3:$F$87,'Asia Capacity Data'!K$22,Asia!$V$3:$V$87,'Asia Capacity Data'!$A57)</f>
        <v>0</v>
      </c>
      <c r="L57" s="23">
        <f>SUMIFS(Asia!$N$3:$N$87,Asia!$F$3:$F$87,'Asia Capacity Data'!L$22,Asia!$V$3:$V$87,'Asia Capacity Data'!$A57)</f>
        <v>7.9</v>
      </c>
      <c r="M57" s="23">
        <f>SUMIFS(Asia!$N$3:$N$87,Asia!$F$3:$F$87,'Asia Capacity Data'!M$22,Asia!$V$3:$V$87,'Asia Capacity Data'!$A57)</f>
        <v>0</v>
      </c>
      <c r="N57" s="23">
        <f>SUMIFS(Asia!$N$3:$N$87,Asia!$F$3:$F$87,'Asia Capacity Data'!N$22,Asia!$V$3:$V$87,'Asia Capacity Data'!$A57)</f>
        <v>0</v>
      </c>
      <c r="O57" s="23">
        <f>SUMIFS(Asia!$N$3:$N$87,Asia!$F$3:$F$87,'Asia Capacity Data'!O$22,Asia!$V$3:$V$87,'Asia Capacity Data'!$A57)</f>
        <v>0</v>
      </c>
      <c r="P57" s="23">
        <f>SUMIFS(Asia!$N$3:$N$87,Asia!$F$3:$F$87,'Asia Capacity Data'!P$22,Asia!$V$3:$V$87,'Asia Capacity Data'!$A57)</f>
        <v>0</v>
      </c>
      <c r="Q57" s="23">
        <f>SUMIFS(Asia!$N$3:$N$87,Asia!$F$3:$F$87,'Asia Capacity Data'!Q$22,Asia!$V$3:$V$87,'Asia Capacity Data'!$A57)</f>
        <v>0</v>
      </c>
    </row>
    <row r="58" spans="1:20" ht="15.75" thickBot="1">
      <c r="A58" s="40" t="s">
        <v>11</v>
      </c>
      <c r="B58" s="41">
        <f>SUM(B53:B57)</f>
        <v>0</v>
      </c>
      <c r="C58" s="41">
        <f>B58+SUM(C53:C57)</f>
        <v>0</v>
      </c>
      <c r="D58" s="41">
        <f t="shared" ref="D58:Q58" si="21">C58+SUM(D53:D57)</f>
        <v>74.400000000000006</v>
      </c>
      <c r="E58" s="41">
        <f t="shared" si="21"/>
        <v>404.4</v>
      </c>
      <c r="F58" s="42">
        <f t="shared" si="21"/>
        <v>639.66499999999996</v>
      </c>
      <c r="G58" s="42">
        <f t="shared" si="21"/>
        <v>944.89499999999998</v>
      </c>
      <c r="H58" s="42">
        <f t="shared" si="21"/>
        <v>1289.6934999999999</v>
      </c>
      <c r="I58" s="42">
        <f t="shared" si="21"/>
        <v>1471.2559999999999</v>
      </c>
      <c r="J58" s="42">
        <f t="shared" si="21"/>
        <v>1882.0909999999999</v>
      </c>
      <c r="K58" s="42">
        <f t="shared" si="21"/>
        <v>1947.454</v>
      </c>
      <c r="L58" s="42">
        <f t="shared" si="21"/>
        <v>2393.6790000000001</v>
      </c>
      <c r="M58" s="42">
        <f t="shared" si="21"/>
        <v>2393.6790000000001</v>
      </c>
      <c r="N58" s="42">
        <f t="shared" si="21"/>
        <v>2430.5790000000002</v>
      </c>
      <c r="O58" s="42">
        <f t="shared" si="21"/>
        <v>2430.5790000000002</v>
      </c>
      <c r="P58" s="42">
        <f t="shared" si="21"/>
        <v>2430.5790000000002</v>
      </c>
      <c r="Q58" s="42">
        <f t="shared" si="21"/>
        <v>2430.5790000000002</v>
      </c>
    </row>
    <row r="59" spans="1:20">
      <c r="A59" s="26"/>
      <c r="B59" s="26"/>
      <c r="C59" s="26"/>
      <c r="D59" s="26"/>
      <c r="E59" s="26"/>
      <c r="F59" s="26"/>
      <c r="G59" s="26"/>
      <c r="H59" s="26"/>
      <c r="I59" s="26"/>
      <c r="J59" s="26"/>
      <c r="K59" s="26"/>
      <c r="L59" s="26"/>
      <c r="M59" s="26"/>
      <c r="N59" s="26"/>
      <c r="O59" s="26"/>
      <c r="P59" s="26"/>
      <c r="Q59" s="26"/>
    </row>
    <row r="60" spans="1:20" ht="15.75" thickBot="1">
      <c r="A60" s="38" t="s">
        <v>1143</v>
      </c>
    </row>
    <row r="61" spans="1:20" ht="15.75" thickBot="1">
      <c r="A61" s="17" t="str">
        <f>A22</f>
        <v>(mil gal/yr)</v>
      </c>
      <c r="B61" s="28" t="str">
        <f>B22</f>
        <v>&lt; 2021</v>
      </c>
      <c r="C61" s="18">
        <f t="shared" ref="C61:Q61" si="22">C22</f>
        <v>2021</v>
      </c>
      <c r="D61" s="18">
        <f t="shared" si="22"/>
        <v>2022</v>
      </c>
      <c r="E61" s="18">
        <f t="shared" si="22"/>
        <v>2023</v>
      </c>
      <c r="F61" s="18">
        <f t="shared" si="22"/>
        <v>2024</v>
      </c>
      <c r="G61" s="18">
        <f t="shared" si="22"/>
        <v>2025</v>
      </c>
      <c r="H61" s="18">
        <f t="shared" si="22"/>
        <v>2026</v>
      </c>
      <c r="I61" s="18">
        <f t="shared" si="22"/>
        <v>2027</v>
      </c>
      <c r="J61" s="18">
        <f t="shared" si="22"/>
        <v>2028</v>
      </c>
      <c r="K61" s="18">
        <f t="shared" si="22"/>
        <v>2029</v>
      </c>
      <c r="L61" s="18">
        <f t="shared" si="22"/>
        <v>2030</v>
      </c>
      <c r="M61" s="18">
        <f t="shared" si="22"/>
        <v>2031</v>
      </c>
      <c r="N61" s="18">
        <f t="shared" si="22"/>
        <v>2032</v>
      </c>
      <c r="O61" s="18">
        <f t="shared" si="22"/>
        <v>2033</v>
      </c>
      <c r="P61" s="18">
        <f t="shared" si="22"/>
        <v>2034</v>
      </c>
      <c r="Q61" s="18">
        <f t="shared" si="22"/>
        <v>2035</v>
      </c>
    </row>
    <row r="62" spans="1:20">
      <c r="A62" s="20" t="s">
        <v>26</v>
      </c>
      <c r="B62" s="7">
        <f>B53</f>
        <v>0</v>
      </c>
      <c r="C62" s="22">
        <f>B62+C53</f>
        <v>0</v>
      </c>
      <c r="D62" s="22">
        <f t="shared" ref="D62:Q63" si="23">C62+D53</f>
        <v>74.400000000000006</v>
      </c>
      <c r="E62" s="22">
        <f t="shared" si="23"/>
        <v>404.4</v>
      </c>
      <c r="F62" s="23">
        <f t="shared" si="23"/>
        <v>639.66499999999996</v>
      </c>
      <c r="G62" s="23">
        <f t="shared" si="23"/>
        <v>944.89499999999998</v>
      </c>
      <c r="H62" s="23">
        <f t="shared" si="23"/>
        <v>1289.6934999999999</v>
      </c>
      <c r="I62" s="23">
        <f t="shared" si="23"/>
        <v>1289.6934999999999</v>
      </c>
      <c r="J62" s="23">
        <f t="shared" si="23"/>
        <v>1700.5284999999999</v>
      </c>
      <c r="K62" s="23">
        <f t="shared" si="23"/>
        <v>1700.5284999999999</v>
      </c>
      <c r="L62" s="23">
        <f t="shared" si="23"/>
        <v>1871.0284999999999</v>
      </c>
      <c r="M62" s="23">
        <f t="shared" si="23"/>
        <v>1871.0284999999999</v>
      </c>
      <c r="N62" s="23">
        <f t="shared" si="23"/>
        <v>1880.9285</v>
      </c>
      <c r="O62" s="23">
        <f t="shared" si="23"/>
        <v>1880.9285</v>
      </c>
      <c r="P62" s="23">
        <f t="shared" si="23"/>
        <v>1880.9285</v>
      </c>
      <c r="Q62" s="23">
        <f t="shared" si="23"/>
        <v>1880.9285</v>
      </c>
    </row>
    <row r="63" spans="1:20">
      <c r="A63" s="20" t="s">
        <v>27</v>
      </c>
      <c r="B63" s="22">
        <f>B54</f>
        <v>0</v>
      </c>
      <c r="C63" s="22">
        <f>B63+C54</f>
        <v>0</v>
      </c>
      <c r="D63" s="22">
        <f t="shared" si="23"/>
        <v>0</v>
      </c>
      <c r="E63" s="22">
        <f t="shared" si="23"/>
        <v>0</v>
      </c>
      <c r="F63" s="23">
        <f t="shared" si="23"/>
        <v>0</v>
      </c>
      <c r="G63" s="23">
        <f t="shared" si="23"/>
        <v>0</v>
      </c>
      <c r="H63" s="23">
        <f t="shared" si="23"/>
        <v>0</v>
      </c>
      <c r="I63" s="23">
        <f>H63+I54</f>
        <v>181.5625</v>
      </c>
      <c r="J63" s="23">
        <f t="shared" si="23"/>
        <v>181.5625</v>
      </c>
      <c r="K63" s="23">
        <f t="shared" si="23"/>
        <v>246.9255</v>
      </c>
      <c r="L63" s="23">
        <f t="shared" si="23"/>
        <v>369.1155</v>
      </c>
      <c r="M63" s="23">
        <f t="shared" si="23"/>
        <v>369.1155</v>
      </c>
      <c r="N63" s="23">
        <f t="shared" si="23"/>
        <v>396.1155</v>
      </c>
      <c r="O63" s="23">
        <f t="shared" si="23"/>
        <v>396.1155</v>
      </c>
      <c r="P63" s="23">
        <f t="shared" si="23"/>
        <v>396.1155</v>
      </c>
      <c r="Q63" s="23">
        <f t="shared" si="23"/>
        <v>396.1155</v>
      </c>
    </row>
    <row r="64" spans="1:20">
      <c r="A64" s="20" t="s">
        <v>28</v>
      </c>
      <c r="B64" s="22">
        <f>B55</f>
        <v>0</v>
      </c>
      <c r="C64" s="22">
        <f t="shared" ref="C64:Q66" si="24">B64+C55</f>
        <v>0</v>
      </c>
      <c r="D64" s="22">
        <f t="shared" si="24"/>
        <v>0</v>
      </c>
      <c r="E64" s="22">
        <f t="shared" si="24"/>
        <v>0</v>
      </c>
      <c r="F64" s="23">
        <f t="shared" si="24"/>
        <v>0</v>
      </c>
      <c r="G64" s="23">
        <f t="shared" si="24"/>
        <v>0</v>
      </c>
      <c r="H64" s="23">
        <f t="shared" si="24"/>
        <v>0</v>
      </c>
      <c r="I64" s="23">
        <f t="shared" si="24"/>
        <v>0</v>
      </c>
      <c r="J64" s="23">
        <f t="shared" si="24"/>
        <v>0</v>
      </c>
      <c r="K64" s="23">
        <f t="shared" si="24"/>
        <v>0</v>
      </c>
      <c r="L64" s="23">
        <f t="shared" si="24"/>
        <v>123.845</v>
      </c>
      <c r="M64" s="23">
        <f t="shared" si="24"/>
        <v>123.845</v>
      </c>
      <c r="N64" s="23">
        <f t="shared" si="24"/>
        <v>123.845</v>
      </c>
      <c r="O64" s="23">
        <f t="shared" si="24"/>
        <v>123.845</v>
      </c>
      <c r="P64" s="23">
        <f t="shared" si="24"/>
        <v>123.845</v>
      </c>
      <c r="Q64" s="23">
        <f t="shared" si="24"/>
        <v>123.845</v>
      </c>
    </row>
    <row r="65" spans="1:21">
      <c r="A65" s="20" t="s">
        <v>29</v>
      </c>
      <c r="B65" s="22">
        <f>B56</f>
        <v>0</v>
      </c>
      <c r="C65" s="22">
        <f t="shared" si="24"/>
        <v>0</v>
      </c>
      <c r="D65" s="22">
        <f t="shared" si="24"/>
        <v>0</v>
      </c>
      <c r="E65" s="22">
        <f t="shared" si="24"/>
        <v>0</v>
      </c>
      <c r="F65" s="23">
        <f t="shared" si="24"/>
        <v>0</v>
      </c>
      <c r="G65" s="23">
        <f t="shared" si="24"/>
        <v>0</v>
      </c>
      <c r="H65" s="23">
        <f t="shared" si="24"/>
        <v>0</v>
      </c>
      <c r="I65" s="23">
        <f t="shared" si="24"/>
        <v>0</v>
      </c>
      <c r="J65" s="23">
        <f t="shared" si="24"/>
        <v>0</v>
      </c>
      <c r="K65" s="23">
        <f t="shared" si="24"/>
        <v>0</v>
      </c>
      <c r="L65" s="23">
        <f t="shared" si="24"/>
        <v>21.79</v>
      </c>
      <c r="M65" s="23">
        <f t="shared" si="24"/>
        <v>21.79</v>
      </c>
      <c r="N65" s="23">
        <f t="shared" si="24"/>
        <v>21.79</v>
      </c>
      <c r="O65" s="23">
        <f t="shared" si="24"/>
        <v>21.79</v>
      </c>
      <c r="P65" s="23">
        <f t="shared" si="24"/>
        <v>21.79</v>
      </c>
      <c r="Q65" s="23">
        <f t="shared" si="24"/>
        <v>21.79</v>
      </c>
    </row>
    <row r="66" spans="1:21">
      <c r="A66" s="20" t="s">
        <v>30</v>
      </c>
      <c r="B66" s="22">
        <f>B57</f>
        <v>0</v>
      </c>
      <c r="C66" s="22">
        <f t="shared" si="24"/>
        <v>0</v>
      </c>
      <c r="D66" s="22">
        <f t="shared" si="24"/>
        <v>0</v>
      </c>
      <c r="E66" s="22">
        <f t="shared" si="24"/>
        <v>0</v>
      </c>
      <c r="F66" s="23">
        <f t="shared" si="24"/>
        <v>0</v>
      </c>
      <c r="G66" s="23">
        <f t="shared" si="24"/>
        <v>0</v>
      </c>
      <c r="H66" s="23">
        <f t="shared" si="24"/>
        <v>0</v>
      </c>
      <c r="I66" s="23">
        <f t="shared" si="24"/>
        <v>0</v>
      </c>
      <c r="J66" s="23">
        <f t="shared" si="24"/>
        <v>0</v>
      </c>
      <c r="K66" s="23">
        <f t="shared" si="24"/>
        <v>0</v>
      </c>
      <c r="L66" s="23">
        <f t="shared" si="24"/>
        <v>7.9</v>
      </c>
      <c r="M66" s="23">
        <f t="shared" si="24"/>
        <v>7.9</v>
      </c>
      <c r="N66" s="23">
        <f t="shared" si="24"/>
        <v>7.9</v>
      </c>
      <c r="O66" s="23">
        <f t="shared" si="24"/>
        <v>7.9</v>
      </c>
      <c r="P66" s="23">
        <f t="shared" si="24"/>
        <v>7.9</v>
      </c>
      <c r="Q66" s="23">
        <f t="shared" si="24"/>
        <v>7.9</v>
      </c>
    </row>
    <row r="67" spans="1:21" ht="15.75" thickBot="1">
      <c r="A67" s="40" t="s">
        <v>11</v>
      </c>
      <c r="B67" s="41">
        <f>SUM(B62:B66)</f>
        <v>0</v>
      </c>
      <c r="C67" s="41">
        <f>SUM(C62:C66)</f>
        <v>0</v>
      </c>
      <c r="D67" s="41">
        <f t="shared" ref="D67:Q67" si="25">SUM(D62:D66)</f>
        <v>74.400000000000006</v>
      </c>
      <c r="E67" s="41">
        <f t="shared" si="25"/>
        <v>404.4</v>
      </c>
      <c r="F67" s="42">
        <f t="shared" si="25"/>
        <v>639.66499999999996</v>
      </c>
      <c r="G67" s="42">
        <f t="shared" si="25"/>
        <v>944.89499999999998</v>
      </c>
      <c r="H67" s="42">
        <f t="shared" si="25"/>
        <v>1289.6934999999999</v>
      </c>
      <c r="I67" s="42">
        <f t="shared" si="25"/>
        <v>1471.2559999999999</v>
      </c>
      <c r="J67" s="42">
        <f t="shared" si="25"/>
        <v>1882.0909999999999</v>
      </c>
      <c r="K67" s="42">
        <f t="shared" si="25"/>
        <v>1947.454</v>
      </c>
      <c r="L67" s="42">
        <f t="shared" si="25"/>
        <v>2393.6789999999996</v>
      </c>
      <c r="M67" s="42">
        <f t="shared" si="25"/>
        <v>2393.6789999999996</v>
      </c>
      <c r="N67" s="42">
        <f t="shared" si="25"/>
        <v>2430.5789999999997</v>
      </c>
      <c r="O67" s="42">
        <f t="shared" si="25"/>
        <v>2430.5789999999997</v>
      </c>
      <c r="P67" s="42">
        <f t="shared" si="25"/>
        <v>2430.5789999999997</v>
      </c>
      <c r="Q67" s="42">
        <f t="shared" si="25"/>
        <v>2430.5789999999997</v>
      </c>
    </row>
    <row r="68" spans="1:21">
      <c r="A68" s="26"/>
      <c r="B68" s="26"/>
      <c r="C68" s="26"/>
      <c r="D68" s="26"/>
      <c r="E68" s="26"/>
      <c r="F68" s="26"/>
      <c r="G68" s="26"/>
      <c r="H68" s="26"/>
      <c r="I68" s="26"/>
      <c r="J68" s="26"/>
      <c r="K68" s="26"/>
      <c r="L68" s="26"/>
      <c r="M68" s="26"/>
      <c r="N68" s="26"/>
      <c r="O68" s="26"/>
      <c r="P68" s="26"/>
      <c r="Q68" s="26"/>
    </row>
    <row r="69" spans="1:21" ht="15.75" customHeight="1" thickBot="1">
      <c r="A69" s="38" t="s">
        <v>32</v>
      </c>
      <c r="S69" s="390" t="s">
        <v>33</v>
      </c>
      <c r="T69" s="390"/>
      <c r="U69" s="392" t="s">
        <v>34</v>
      </c>
    </row>
    <row r="70" spans="1:21" ht="15.75" thickBot="1">
      <c r="A70" s="17" t="str">
        <f>A22</f>
        <v>(mil gal/yr)</v>
      </c>
      <c r="B70" s="28" t="str">
        <f t="shared" ref="B70:Q70" si="26">B22</f>
        <v>&lt; 2021</v>
      </c>
      <c r="C70" s="18">
        <f t="shared" si="26"/>
        <v>2021</v>
      </c>
      <c r="D70" s="18">
        <f t="shared" si="26"/>
        <v>2022</v>
      </c>
      <c r="E70" s="18">
        <f t="shared" si="26"/>
        <v>2023</v>
      </c>
      <c r="F70" s="18">
        <f t="shared" si="26"/>
        <v>2024</v>
      </c>
      <c r="G70" s="18">
        <f t="shared" si="26"/>
        <v>2025</v>
      </c>
      <c r="H70" s="18">
        <f t="shared" si="26"/>
        <v>2026</v>
      </c>
      <c r="I70" s="18">
        <f t="shared" si="26"/>
        <v>2027</v>
      </c>
      <c r="J70" s="18">
        <f t="shared" si="26"/>
        <v>2028</v>
      </c>
      <c r="K70" s="18">
        <f t="shared" si="26"/>
        <v>2029</v>
      </c>
      <c r="L70" s="18">
        <f t="shared" si="26"/>
        <v>2030</v>
      </c>
      <c r="M70" s="18">
        <f t="shared" si="26"/>
        <v>2031</v>
      </c>
      <c r="N70" s="18">
        <f t="shared" si="26"/>
        <v>2032</v>
      </c>
      <c r="O70" s="18">
        <f t="shared" si="26"/>
        <v>2033</v>
      </c>
      <c r="P70" s="18">
        <f t="shared" si="26"/>
        <v>2034</v>
      </c>
      <c r="Q70" s="18">
        <f t="shared" si="26"/>
        <v>2035</v>
      </c>
      <c r="S70" s="391"/>
      <c r="T70" s="391"/>
      <c r="U70" s="392"/>
    </row>
    <row r="71" spans="1:21">
      <c r="A71" s="43" t="s">
        <v>36</v>
      </c>
      <c r="B71" s="48">
        <f t="shared" ref="B71:Q71" si="27">B62*$S71</f>
        <v>0</v>
      </c>
      <c r="C71" s="48">
        <f t="shared" si="27"/>
        <v>0</v>
      </c>
      <c r="D71" s="48">
        <f t="shared" si="27"/>
        <v>613.80000000000007</v>
      </c>
      <c r="E71" s="48">
        <f t="shared" si="27"/>
        <v>3336.2999999999997</v>
      </c>
      <c r="F71" s="49">
        <f t="shared" si="27"/>
        <v>5277.2362499999999</v>
      </c>
      <c r="G71" s="49">
        <f t="shared" si="27"/>
        <v>7795.38375</v>
      </c>
      <c r="H71" s="49">
        <f t="shared" si="27"/>
        <v>10639.971374999999</v>
      </c>
      <c r="I71" s="49">
        <f t="shared" si="27"/>
        <v>10639.971374999999</v>
      </c>
      <c r="J71" s="49">
        <f t="shared" si="27"/>
        <v>14029.360124999999</v>
      </c>
      <c r="K71" s="49">
        <f t="shared" si="27"/>
        <v>14029.360124999999</v>
      </c>
      <c r="L71" s="49">
        <f t="shared" si="27"/>
        <v>15435.985124999999</v>
      </c>
      <c r="M71" s="49">
        <f t="shared" si="27"/>
        <v>15435.985124999999</v>
      </c>
      <c r="N71" s="49">
        <f t="shared" si="27"/>
        <v>15517.660125</v>
      </c>
      <c r="O71" s="49">
        <f t="shared" si="27"/>
        <v>15517.660125</v>
      </c>
      <c r="P71" s="49">
        <f t="shared" si="27"/>
        <v>15517.660125</v>
      </c>
      <c r="Q71" s="49">
        <f t="shared" si="27"/>
        <v>15517.660125</v>
      </c>
      <c r="S71" s="44">
        <v>8.25</v>
      </c>
      <c r="T71" s="45" t="s">
        <v>37</v>
      </c>
      <c r="U71" s="45" t="s">
        <v>38</v>
      </c>
    </row>
    <row r="72" spans="1:21">
      <c r="A72" s="43" t="s">
        <v>39</v>
      </c>
      <c r="B72" s="48">
        <f t="shared" ref="B72:Q72" si="28">B79*$S72</f>
        <v>0</v>
      </c>
      <c r="C72" s="48">
        <f t="shared" si="28"/>
        <v>0</v>
      </c>
      <c r="D72" s="48">
        <f t="shared" si="28"/>
        <v>0</v>
      </c>
      <c r="E72" s="48">
        <f t="shared" si="28"/>
        <v>0</v>
      </c>
      <c r="F72" s="49">
        <f t="shared" si="28"/>
        <v>0</v>
      </c>
      <c r="G72" s="49">
        <f t="shared" si="28"/>
        <v>0</v>
      </c>
      <c r="H72" s="49">
        <f t="shared" si="28"/>
        <v>0</v>
      </c>
      <c r="I72" s="49">
        <f t="shared" si="28"/>
        <v>6152.0742753623199</v>
      </c>
      <c r="J72" s="49">
        <f t="shared" si="28"/>
        <v>6152.0742753623199</v>
      </c>
      <c r="K72" s="49">
        <f t="shared" si="28"/>
        <v>8366.8379565217419</v>
      </c>
      <c r="L72" s="49">
        <f t="shared" si="28"/>
        <v>12507.131000000001</v>
      </c>
      <c r="M72" s="49">
        <f t="shared" si="28"/>
        <v>12507.131000000001</v>
      </c>
      <c r="N72" s="49">
        <f t="shared" si="28"/>
        <v>13422.000565217395</v>
      </c>
      <c r="O72" s="49">
        <f t="shared" si="28"/>
        <v>13422.000565217395</v>
      </c>
      <c r="P72" s="49">
        <f t="shared" si="28"/>
        <v>13422.000565217395</v>
      </c>
      <c r="Q72" s="49">
        <f t="shared" si="28"/>
        <v>13422.000565217395</v>
      </c>
      <c r="S72" s="44">
        <f>S80*56</f>
        <v>20.289855072463773</v>
      </c>
      <c r="T72" s="45" t="s">
        <v>37</v>
      </c>
    </row>
    <row r="73" spans="1:21">
      <c r="A73" s="43" t="s">
        <v>40</v>
      </c>
      <c r="B73" s="48">
        <f t="shared" ref="B73:Q75" si="29">B64*$S73</f>
        <v>0</v>
      </c>
      <c r="C73" s="48">
        <f t="shared" si="29"/>
        <v>0</v>
      </c>
      <c r="D73" s="48">
        <f t="shared" si="29"/>
        <v>0</v>
      </c>
      <c r="E73" s="48">
        <f t="shared" si="29"/>
        <v>0</v>
      </c>
      <c r="F73" s="49">
        <f t="shared" si="29"/>
        <v>0</v>
      </c>
      <c r="G73" s="49">
        <f t="shared" si="29"/>
        <v>0</v>
      </c>
      <c r="H73" s="49">
        <f t="shared" si="29"/>
        <v>0</v>
      </c>
      <c r="I73" s="49">
        <f t="shared" si="29"/>
        <v>0</v>
      </c>
      <c r="J73" s="49">
        <f t="shared" si="29"/>
        <v>0</v>
      </c>
      <c r="K73" s="49">
        <f t="shared" si="29"/>
        <v>0</v>
      </c>
      <c r="L73" s="49">
        <f t="shared" si="29"/>
        <v>4334.5749999999998</v>
      </c>
      <c r="M73" s="49">
        <f t="shared" si="29"/>
        <v>4334.5749999999998</v>
      </c>
      <c r="N73" s="49">
        <f t="shared" si="29"/>
        <v>4334.5749999999998</v>
      </c>
      <c r="O73" s="49">
        <f t="shared" si="29"/>
        <v>4334.5749999999998</v>
      </c>
      <c r="P73" s="49">
        <f t="shared" si="29"/>
        <v>4334.5749999999998</v>
      </c>
      <c r="Q73" s="49">
        <f t="shared" si="29"/>
        <v>4334.5749999999998</v>
      </c>
      <c r="S73" s="44">
        <v>35</v>
      </c>
      <c r="T73" s="45" t="s">
        <v>37</v>
      </c>
      <c r="U73" s="45" t="s">
        <v>41</v>
      </c>
    </row>
    <row r="74" spans="1:21">
      <c r="A74" s="43" t="s">
        <v>42</v>
      </c>
      <c r="B74" s="48">
        <f t="shared" si="29"/>
        <v>0</v>
      </c>
      <c r="C74" s="48">
        <f t="shared" si="29"/>
        <v>0</v>
      </c>
      <c r="D74" s="48">
        <f t="shared" si="29"/>
        <v>0</v>
      </c>
      <c r="E74" s="48">
        <f t="shared" si="29"/>
        <v>0</v>
      </c>
      <c r="F74" s="49">
        <f t="shared" si="29"/>
        <v>0</v>
      </c>
      <c r="G74" s="49">
        <f t="shared" si="29"/>
        <v>0</v>
      </c>
      <c r="H74" s="49">
        <f t="shared" si="29"/>
        <v>0</v>
      </c>
      <c r="I74" s="49">
        <f t="shared" si="29"/>
        <v>0</v>
      </c>
      <c r="J74" s="49">
        <f t="shared" si="29"/>
        <v>0</v>
      </c>
      <c r="K74" s="49">
        <f t="shared" si="29"/>
        <v>0</v>
      </c>
      <c r="L74" s="49">
        <f t="shared" si="29"/>
        <v>418.87500247831133</v>
      </c>
      <c r="M74" s="49">
        <f t="shared" si="29"/>
        <v>418.87500247831133</v>
      </c>
      <c r="N74" s="49">
        <f t="shared" si="29"/>
        <v>418.87500247831133</v>
      </c>
      <c r="O74" s="49">
        <f t="shared" si="29"/>
        <v>418.87500247831133</v>
      </c>
      <c r="P74" s="49">
        <f t="shared" si="29"/>
        <v>418.87500247831133</v>
      </c>
      <c r="Q74" s="49">
        <f t="shared" si="29"/>
        <v>418.87500247831133</v>
      </c>
      <c r="S74" s="44">
        <v>19.223267667659997</v>
      </c>
      <c r="T74" s="45" t="s">
        <v>37</v>
      </c>
      <c r="U74" s="46" t="s">
        <v>43</v>
      </c>
    </row>
    <row r="75" spans="1:21" ht="15.75" thickBot="1">
      <c r="A75" s="43" t="s">
        <v>44</v>
      </c>
      <c r="B75" s="48">
        <f t="shared" si="29"/>
        <v>0</v>
      </c>
      <c r="C75" s="48">
        <f t="shared" si="29"/>
        <v>0</v>
      </c>
      <c r="D75" s="48">
        <f t="shared" si="29"/>
        <v>0</v>
      </c>
      <c r="E75" s="48">
        <f t="shared" si="29"/>
        <v>0</v>
      </c>
      <c r="F75" s="49">
        <f t="shared" si="29"/>
        <v>0</v>
      </c>
      <c r="G75" s="49">
        <f t="shared" si="29"/>
        <v>0</v>
      </c>
      <c r="H75" s="49">
        <f t="shared" si="29"/>
        <v>0</v>
      </c>
      <c r="I75" s="49">
        <f t="shared" si="29"/>
        <v>0</v>
      </c>
      <c r="J75" s="49">
        <f t="shared" si="29"/>
        <v>0</v>
      </c>
      <c r="K75" s="49">
        <f t="shared" si="29"/>
        <v>0</v>
      </c>
      <c r="L75" s="49">
        <f t="shared" si="29"/>
        <v>314.42</v>
      </c>
      <c r="M75" s="49">
        <f t="shared" si="29"/>
        <v>314.42</v>
      </c>
      <c r="N75" s="49">
        <f t="shared" si="29"/>
        <v>314.42</v>
      </c>
      <c r="O75" s="49">
        <f t="shared" si="29"/>
        <v>314.42</v>
      </c>
      <c r="P75" s="49">
        <f t="shared" si="29"/>
        <v>314.42</v>
      </c>
      <c r="Q75" s="49">
        <f t="shared" si="29"/>
        <v>314.42</v>
      </c>
      <c r="S75" s="44">
        <v>39.799999999999997</v>
      </c>
      <c r="T75" s="45" t="s">
        <v>37</v>
      </c>
    </row>
    <row r="76" spans="1:21">
      <c r="A76" s="26"/>
      <c r="B76" s="26"/>
      <c r="C76" s="26"/>
      <c r="D76" s="26"/>
      <c r="E76" s="26"/>
      <c r="F76" s="26"/>
      <c r="G76" s="26"/>
      <c r="H76" s="26"/>
      <c r="I76" s="26"/>
      <c r="J76" s="26"/>
      <c r="K76" s="26"/>
      <c r="L76" s="26"/>
      <c r="M76" s="26"/>
      <c r="N76" s="26"/>
      <c r="O76" s="26"/>
      <c r="P76" s="26"/>
      <c r="Q76" s="26"/>
    </row>
    <row r="77" spans="1:21">
      <c r="A77" s="38" t="s">
        <v>45</v>
      </c>
    </row>
    <row r="78" spans="1:21">
      <c r="A78" s="43" t="s">
        <v>46</v>
      </c>
      <c r="B78" s="48">
        <f t="shared" ref="B78:Q78" si="30">B79*$S78</f>
        <v>0</v>
      </c>
      <c r="C78" s="48">
        <f t="shared" si="30"/>
        <v>0</v>
      </c>
      <c r="D78" s="48">
        <f t="shared" si="30"/>
        <v>0</v>
      </c>
      <c r="E78" s="49">
        <f t="shared" si="30"/>
        <v>0</v>
      </c>
      <c r="F78" s="49">
        <f t="shared" si="30"/>
        <v>0</v>
      </c>
      <c r="G78" s="49">
        <f t="shared" si="30"/>
        <v>0</v>
      </c>
      <c r="H78" s="49">
        <f t="shared" si="30"/>
        <v>0</v>
      </c>
      <c r="I78" s="49">
        <f t="shared" si="30"/>
        <v>1998.1497812499997</v>
      </c>
      <c r="J78" s="49">
        <f t="shared" si="30"/>
        <v>1998.1497812499997</v>
      </c>
      <c r="K78" s="49">
        <f t="shared" si="30"/>
        <v>2717.4892051500001</v>
      </c>
      <c r="L78" s="49">
        <f t="shared" si="30"/>
        <v>4062.2268121499997</v>
      </c>
      <c r="M78" s="49">
        <f t="shared" si="30"/>
        <v>4062.2268121499997</v>
      </c>
      <c r="N78" s="49">
        <f t="shared" si="30"/>
        <v>4359.3699121499994</v>
      </c>
      <c r="O78" s="49">
        <f t="shared" si="30"/>
        <v>4359.3699121499994</v>
      </c>
      <c r="P78" s="49">
        <f t="shared" si="30"/>
        <v>4359.3699121499994</v>
      </c>
      <c r="Q78" s="49">
        <f t="shared" si="30"/>
        <v>4359.3699121499994</v>
      </c>
      <c r="S78" s="44">
        <v>6.59</v>
      </c>
      <c r="T78" s="45" t="s">
        <v>37</v>
      </c>
      <c r="U78" s="45"/>
    </row>
    <row r="79" spans="1:21">
      <c r="A79" s="43" t="s">
        <v>47</v>
      </c>
      <c r="B79" s="48">
        <f t="shared" ref="B79:Q79" si="31">B63*$S79</f>
        <v>0</v>
      </c>
      <c r="C79" s="48">
        <f t="shared" si="31"/>
        <v>0</v>
      </c>
      <c r="D79" s="48">
        <f t="shared" si="31"/>
        <v>0</v>
      </c>
      <c r="E79" s="49">
        <f t="shared" si="31"/>
        <v>0</v>
      </c>
      <c r="F79" s="49">
        <f t="shared" si="31"/>
        <v>0</v>
      </c>
      <c r="G79" s="49">
        <f t="shared" si="31"/>
        <v>0</v>
      </c>
      <c r="H79" s="49">
        <f t="shared" si="31"/>
        <v>0</v>
      </c>
      <c r="I79" s="49">
        <f t="shared" si="31"/>
        <v>303.20937499999997</v>
      </c>
      <c r="J79" s="49">
        <f t="shared" si="31"/>
        <v>303.20937499999997</v>
      </c>
      <c r="K79" s="49">
        <f t="shared" si="31"/>
        <v>412.36558500000001</v>
      </c>
      <c r="L79" s="49">
        <f t="shared" si="31"/>
        <v>616.42288499999995</v>
      </c>
      <c r="M79" s="49">
        <f t="shared" si="31"/>
        <v>616.42288499999995</v>
      </c>
      <c r="N79" s="49">
        <f t="shared" si="31"/>
        <v>661.51288499999998</v>
      </c>
      <c r="O79" s="49">
        <f t="shared" si="31"/>
        <v>661.51288499999998</v>
      </c>
      <c r="P79" s="49">
        <f t="shared" si="31"/>
        <v>661.51288499999998</v>
      </c>
      <c r="Q79" s="49">
        <f t="shared" si="31"/>
        <v>661.51288499999998</v>
      </c>
      <c r="S79" s="44">
        <v>1.67</v>
      </c>
      <c r="T79" s="45" t="s">
        <v>48</v>
      </c>
      <c r="U79" s="45" t="s">
        <v>49</v>
      </c>
    </row>
    <row r="80" spans="1:21">
      <c r="A80" s="43" t="s">
        <v>50</v>
      </c>
      <c r="B80" s="48">
        <f t="shared" ref="B80:Q80" si="32">B79*$S80</f>
        <v>0</v>
      </c>
      <c r="C80" s="48">
        <f t="shared" si="32"/>
        <v>0</v>
      </c>
      <c r="D80" s="48">
        <f t="shared" si="32"/>
        <v>0</v>
      </c>
      <c r="E80" s="49">
        <f t="shared" si="32"/>
        <v>0</v>
      </c>
      <c r="F80" s="49">
        <f t="shared" si="32"/>
        <v>0</v>
      </c>
      <c r="G80" s="49">
        <f t="shared" si="32"/>
        <v>0</v>
      </c>
      <c r="H80" s="49">
        <f t="shared" si="32"/>
        <v>0</v>
      </c>
      <c r="I80" s="49">
        <f t="shared" si="32"/>
        <v>109.85846920289856</v>
      </c>
      <c r="J80" s="49">
        <f t="shared" si="32"/>
        <v>109.85846920289856</v>
      </c>
      <c r="K80" s="49">
        <f t="shared" si="32"/>
        <v>149.40782065217394</v>
      </c>
      <c r="L80" s="49">
        <f t="shared" si="32"/>
        <v>223.34162500000002</v>
      </c>
      <c r="M80" s="49">
        <f t="shared" si="32"/>
        <v>223.34162500000002</v>
      </c>
      <c r="N80" s="49">
        <f t="shared" si="32"/>
        <v>239.67858152173915</v>
      </c>
      <c r="O80" s="49">
        <f t="shared" si="32"/>
        <v>239.67858152173915</v>
      </c>
      <c r="P80" s="49">
        <f t="shared" si="32"/>
        <v>239.67858152173915</v>
      </c>
      <c r="Q80" s="49">
        <f t="shared" si="32"/>
        <v>239.67858152173915</v>
      </c>
      <c r="S80" s="50">
        <f>1/S81</f>
        <v>0.3623188405797102</v>
      </c>
      <c r="T80" s="45" t="s">
        <v>51</v>
      </c>
      <c r="U80" s="20" t="s">
        <v>52</v>
      </c>
    </row>
    <row r="81" spans="1:22">
      <c r="S81" s="51">
        <v>2.76</v>
      </c>
      <c r="T81" s="45" t="s">
        <v>53</v>
      </c>
      <c r="U81" s="45" t="s">
        <v>54</v>
      </c>
    </row>
    <row r="82" spans="1:22">
      <c r="A82" s="43" t="s">
        <v>55</v>
      </c>
      <c r="C82" s="48"/>
      <c r="D82" s="48"/>
      <c r="E82" s="49"/>
      <c r="F82" s="49"/>
      <c r="G82" s="49"/>
      <c r="H82" s="49"/>
      <c r="I82" s="49"/>
      <c r="J82" s="49"/>
      <c r="K82" s="49"/>
      <c r="L82" s="49"/>
      <c r="M82" s="49"/>
      <c r="N82" s="49"/>
      <c r="O82" s="49"/>
      <c r="P82" s="49"/>
      <c r="Q82" s="49"/>
    </row>
    <row r="83" spans="1:22">
      <c r="A83" s="43" t="s">
        <v>56</v>
      </c>
      <c r="C83" s="52"/>
      <c r="D83" s="52"/>
      <c r="E83" s="53"/>
      <c r="F83" s="53"/>
      <c r="G83" s="53"/>
      <c r="H83" s="53"/>
      <c r="I83" s="53"/>
      <c r="J83" s="53"/>
      <c r="K83" s="53"/>
      <c r="L83" s="53"/>
      <c r="M83" s="53"/>
      <c r="N83" s="53"/>
      <c r="O83" s="53"/>
      <c r="P83" s="53"/>
      <c r="Q83" s="53"/>
    </row>
    <row r="84" spans="1:22">
      <c r="A84" s="43" t="s">
        <v>57</v>
      </c>
    </row>
    <row r="85" spans="1:22">
      <c r="A85" s="43" t="s">
        <v>58</v>
      </c>
    </row>
    <row r="86" spans="1:22">
      <c r="A86" s="43" t="s">
        <v>59</v>
      </c>
      <c r="C86" s="54"/>
      <c r="D86" s="54"/>
      <c r="E86" s="55"/>
      <c r="F86" s="55"/>
      <c r="G86" s="55"/>
      <c r="H86" s="55"/>
      <c r="I86" s="55"/>
      <c r="J86" s="55"/>
      <c r="K86" s="55"/>
      <c r="L86" s="55"/>
      <c r="M86" s="55"/>
      <c r="N86" s="55"/>
      <c r="O86" s="55"/>
      <c r="P86" s="55"/>
      <c r="Q86" s="55"/>
    </row>
    <row r="88" spans="1:22">
      <c r="A88" s="43" t="s">
        <v>60</v>
      </c>
      <c r="C88" s="48"/>
      <c r="D88" s="48"/>
      <c r="E88" s="49"/>
      <c r="F88" s="49"/>
      <c r="G88" s="49"/>
      <c r="H88" s="49"/>
      <c r="I88" s="49"/>
      <c r="J88" s="49"/>
      <c r="K88" s="49"/>
      <c r="L88" s="49"/>
      <c r="M88" s="49"/>
      <c r="N88" s="49"/>
      <c r="O88" s="49"/>
      <c r="P88" s="49"/>
      <c r="Q88" s="49"/>
    </row>
    <row r="89" spans="1:22">
      <c r="A89" s="43" t="s">
        <v>61</v>
      </c>
      <c r="C89" s="48"/>
      <c r="D89" s="48"/>
      <c r="E89" s="49"/>
      <c r="F89" s="49"/>
      <c r="G89" s="49"/>
      <c r="H89" s="49"/>
      <c r="I89" s="49"/>
      <c r="J89" s="49"/>
      <c r="K89" s="49"/>
      <c r="L89" s="49"/>
      <c r="M89" s="49"/>
      <c r="N89" s="49"/>
      <c r="O89" s="49"/>
      <c r="P89" s="49"/>
      <c r="Q89" s="49"/>
    </row>
    <row r="90" spans="1:22">
      <c r="A90" s="56"/>
      <c r="B90" s="56"/>
      <c r="C90" s="56"/>
      <c r="D90" s="56"/>
      <c r="E90" s="56"/>
      <c r="F90" s="56"/>
      <c r="G90" s="56"/>
      <c r="H90" s="56"/>
      <c r="I90" s="56"/>
      <c r="J90" s="56"/>
      <c r="K90" s="56"/>
      <c r="L90" s="56"/>
      <c r="M90" s="56"/>
      <c r="N90" s="56"/>
      <c r="O90" s="56"/>
      <c r="P90" s="56"/>
      <c r="Q90" s="56"/>
      <c r="R90" s="56"/>
    </row>
    <row r="91" spans="1:22" ht="15.75" thickBot="1">
      <c r="A91" s="57" t="s">
        <v>1144</v>
      </c>
      <c r="B91" s="56"/>
      <c r="C91" s="56"/>
      <c r="D91" s="56"/>
      <c r="E91" s="56"/>
      <c r="F91" s="56"/>
      <c r="G91" s="56"/>
      <c r="H91" s="56"/>
      <c r="I91" s="56"/>
      <c r="J91" s="56"/>
      <c r="K91" s="56"/>
      <c r="L91" s="56"/>
      <c r="M91" s="56"/>
      <c r="N91" s="56"/>
      <c r="O91" s="56"/>
      <c r="P91" s="56"/>
      <c r="Q91" s="56"/>
      <c r="R91" s="56"/>
      <c r="S91" s="56"/>
      <c r="T91" s="56"/>
      <c r="U91" s="56"/>
      <c r="V91" s="56"/>
    </row>
    <row r="92" spans="1:22" ht="15.75" thickBot="1">
      <c r="A92" s="58" t="str">
        <f>A22</f>
        <v>(mil gal/yr)</v>
      </c>
      <c r="B92" s="59" t="str">
        <f>B22</f>
        <v>&lt; 2021</v>
      </c>
      <c r="C92" s="59">
        <f t="shared" ref="C92:Q92" si="33">C22</f>
        <v>2021</v>
      </c>
      <c r="D92" s="59">
        <f t="shared" si="33"/>
        <v>2022</v>
      </c>
      <c r="E92" s="59">
        <f t="shared" si="33"/>
        <v>2023</v>
      </c>
      <c r="F92" s="59">
        <f t="shared" si="33"/>
        <v>2024</v>
      </c>
      <c r="G92" s="59">
        <f t="shared" si="33"/>
        <v>2025</v>
      </c>
      <c r="H92" s="59">
        <f t="shared" si="33"/>
        <v>2026</v>
      </c>
      <c r="I92" s="59">
        <f t="shared" si="33"/>
        <v>2027</v>
      </c>
      <c r="J92" s="59">
        <f t="shared" si="33"/>
        <v>2028</v>
      </c>
      <c r="K92" s="59">
        <f t="shared" si="33"/>
        <v>2029</v>
      </c>
      <c r="L92" s="59">
        <f t="shared" si="33"/>
        <v>2030</v>
      </c>
      <c r="M92" s="59">
        <f t="shared" si="33"/>
        <v>2031</v>
      </c>
      <c r="N92" s="59">
        <f t="shared" si="33"/>
        <v>2032</v>
      </c>
      <c r="O92" s="59">
        <f t="shared" si="33"/>
        <v>2033</v>
      </c>
      <c r="P92" s="59">
        <f t="shared" si="33"/>
        <v>2034</v>
      </c>
      <c r="Q92" s="59">
        <f t="shared" si="33"/>
        <v>2035</v>
      </c>
      <c r="R92" s="59">
        <v>2050</v>
      </c>
      <c r="S92" s="56"/>
      <c r="T92" s="60" t="s">
        <v>63</v>
      </c>
      <c r="U92" s="61"/>
      <c r="V92" s="61"/>
    </row>
    <row r="93" spans="1:22">
      <c r="A93" s="393" t="s">
        <v>64</v>
      </c>
      <c r="B93" s="393"/>
      <c r="C93" s="393"/>
      <c r="D93" s="393"/>
      <c r="E93" s="393"/>
      <c r="F93" s="393"/>
      <c r="G93" s="393"/>
      <c r="H93" s="393"/>
      <c r="I93" s="393"/>
      <c r="J93" s="393"/>
      <c r="K93" s="393"/>
      <c r="L93" s="393"/>
      <c r="M93" s="393"/>
      <c r="N93" s="393"/>
      <c r="O93" s="393"/>
      <c r="P93" s="393"/>
      <c r="Q93" s="393"/>
      <c r="R93" s="393"/>
      <c r="S93" s="56"/>
      <c r="T93" s="62" t="s">
        <v>65</v>
      </c>
      <c r="U93" s="63"/>
      <c r="V93" s="63"/>
    </row>
    <row r="94" spans="1:22">
      <c r="A94" s="64" t="s">
        <v>66</v>
      </c>
      <c r="B94" s="65"/>
      <c r="C94" s="65"/>
      <c r="D94" s="65"/>
      <c r="E94" s="65"/>
      <c r="F94" s="65"/>
      <c r="G94" s="65"/>
      <c r="H94" s="65"/>
      <c r="I94" s="65"/>
      <c r="J94" s="65"/>
      <c r="K94" s="65"/>
      <c r="L94" s="66">
        <v>3000</v>
      </c>
      <c r="M94" s="65"/>
      <c r="N94" s="65"/>
      <c r="O94" s="65"/>
      <c r="P94" s="65"/>
      <c r="Q94" s="65"/>
      <c r="R94" s="66">
        <v>35000</v>
      </c>
      <c r="S94" s="56"/>
      <c r="T94" s="386" t="s">
        <v>67</v>
      </c>
      <c r="U94" s="386"/>
      <c r="V94" s="386"/>
    </row>
    <row r="95" spans="1:22">
      <c r="A95" s="394" t="s">
        <v>68</v>
      </c>
      <c r="B95" s="394"/>
      <c r="C95" s="394"/>
      <c r="D95" s="394"/>
      <c r="E95" s="394"/>
      <c r="F95" s="394"/>
      <c r="G95" s="394"/>
      <c r="H95" s="394"/>
      <c r="I95" s="394"/>
      <c r="J95" s="394"/>
      <c r="K95" s="394"/>
      <c r="L95" s="394"/>
      <c r="M95" s="394"/>
      <c r="N95" s="394"/>
      <c r="O95" s="394"/>
      <c r="P95" s="394"/>
      <c r="Q95" s="394"/>
      <c r="R95" s="394"/>
      <c r="S95" s="56"/>
      <c r="T95" s="386"/>
      <c r="U95" s="386"/>
      <c r="V95" s="386"/>
    </row>
    <row r="96" spans="1:22" ht="18" customHeight="1">
      <c r="A96" s="64" t="s">
        <v>69</v>
      </c>
      <c r="B96" s="65"/>
      <c r="C96" s="65"/>
      <c r="D96" s="65"/>
      <c r="E96" s="65"/>
      <c r="F96" s="65"/>
      <c r="G96" s="65"/>
      <c r="H96" s="65"/>
      <c r="I96" s="65"/>
      <c r="J96" s="65"/>
      <c r="K96" s="65"/>
      <c r="L96" s="65"/>
      <c r="M96" s="65"/>
      <c r="N96" s="65"/>
      <c r="O96" s="65"/>
      <c r="P96" s="65"/>
      <c r="Q96" s="65"/>
      <c r="R96" s="65"/>
      <c r="S96" s="56"/>
      <c r="T96" s="62" t="s">
        <v>70</v>
      </c>
      <c r="U96" s="67"/>
      <c r="V96" s="67"/>
    </row>
    <row r="97" spans="1:22" ht="15" customHeight="1">
      <c r="A97" s="64" t="s">
        <v>71</v>
      </c>
      <c r="B97" s="65"/>
      <c r="C97" s="65"/>
      <c r="D97" s="65"/>
      <c r="E97" s="65"/>
      <c r="F97" s="65"/>
      <c r="G97" s="65"/>
      <c r="H97" s="65"/>
      <c r="I97" s="65"/>
      <c r="J97" s="65"/>
      <c r="K97" s="65"/>
      <c r="L97" s="65"/>
      <c r="M97" s="65"/>
      <c r="N97" s="65"/>
      <c r="O97" s="65"/>
      <c r="P97" s="65"/>
      <c r="Q97" s="65"/>
      <c r="R97" s="65"/>
      <c r="S97" s="56"/>
      <c r="T97" s="386" t="s">
        <v>72</v>
      </c>
      <c r="U97" s="386"/>
      <c r="V97" s="386"/>
    </row>
    <row r="98" spans="1:22">
      <c r="A98" s="64" t="s">
        <v>73</v>
      </c>
      <c r="B98" s="65"/>
      <c r="C98" s="65"/>
      <c r="D98" s="65"/>
      <c r="E98" s="65"/>
      <c r="F98" s="65"/>
      <c r="G98" s="65"/>
      <c r="H98" s="65"/>
      <c r="I98" s="65"/>
      <c r="J98" s="65"/>
      <c r="K98" s="65"/>
      <c r="L98" s="65"/>
      <c r="M98" s="65"/>
      <c r="N98" s="65"/>
      <c r="O98" s="65"/>
      <c r="P98" s="65"/>
      <c r="Q98" s="65"/>
      <c r="R98" s="65"/>
      <c r="S98" s="56"/>
      <c r="T98" s="386"/>
      <c r="U98" s="386"/>
      <c r="V98" s="386"/>
    </row>
    <row r="99" spans="1:22">
      <c r="A99" s="387" t="s">
        <v>74</v>
      </c>
      <c r="B99" s="387"/>
      <c r="C99" s="387"/>
      <c r="D99" s="387"/>
      <c r="E99" s="387"/>
      <c r="F99" s="387"/>
      <c r="G99" s="387"/>
      <c r="H99" s="387"/>
      <c r="I99" s="387"/>
      <c r="J99" s="387"/>
      <c r="K99" s="387"/>
      <c r="L99" s="387"/>
      <c r="M99" s="387"/>
      <c r="N99" s="387"/>
      <c r="O99" s="387"/>
      <c r="P99" s="387"/>
      <c r="Q99" s="387"/>
      <c r="R99" s="387"/>
      <c r="S99" s="56"/>
      <c r="T99" s="386"/>
      <c r="U99" s="386"/>
      <c r="V99" s="386"/>
    </row>
    <row r="100" spans="1:22">
      <c r="A100" s="64" t="s">
        <v>75</v>
      </c>
      <c r="B100" s="65"/>
      <c r="C100" s="65"/>
      <c r="D100" s="65"/>
      <c r="E100" s="65"/>
      <c r="F100" s="65"/>
      <c r="G100" s="65"/>
      <c r="H100" s="65"/>
      <c r="I100" s="65"/>
      <c r="J100" s="65"/>
      <c r="K100" s="65"/>
      <c r="L100" s="68">
        <f>MROUND(1000/3.78541,5)</f>
        <v>265</v>
      </c>
      <c r="M100" s="65"/>
      <c r="N100" s="65"/>
      <c r="O100" s="65"/>
      <c r="P100" s="65"/>
      <c r="Q100" s="65"/>
      <c r="R100" s="68">
        <f>MROUND(8000/3.78541,5)</f>
        <v>2115</v>
      </c>
      <c r="S100" s="56"/>
      <c r="T100" s="67"/>
      <c r="U100" s="67"/>
      <c r="V100" s="67"/>
    </row>
    <row r="101" spans="1:22">
      <c r="A101" s="388" t="s">
        <v>76</v>
      </c>
      <c r="B101" s="388"/>
      <c r="C101" s="388"/>
      <c r="D101" s="388"/>
      <c r="E101" s="388"/>
      <c r="F101" s="388"/>
      <c r="G101" s="388"/>
      <c r="H101" s="388"/>
      <c r="I101" s="388"/>
      <c r="J101" s="388"/>
      <c r="K101" s="388"/>
      <c r="L101" s="388"/>
      <c r="M101" s="388"/>
      <c r="N101" s="388"/>
      <c r="O101" s="388"/>
      <c r="P101" s="388"/>
      <c r="Q101" s="388"/>
      <c r="R101" s="388"/>
      <c r="S101" s="56"/>
      <c r="T101" s="67"/>
      <c r="U101" s="67"/>
      <c r="V101" s="67"/>
    </row>
    <row r="102" spans="1:22">
      <c r="A102" s="64" t="s">
        <v>77</v>
      </c>
      <c r="B102" s="65"/>
      <c r="C102" s="65"/>
      <c r="D102" s="65"/>
      <c r="E102" s="65"/>
      <c r="F102" s="65"/>
      <c r="G102" s="65"/>
      <c r="H102" s="65"/>
      <c r="I102" s="65"/>
      <c r="J102" s="65"/>
      <c r="K102" s="65"/>
      <c r="L102" s="68"/>
      <c r="M102" s="65"/>
      <c r="N102" s="65"/>
      <c r="O102" s="65"/>
      <c r="P102" s="65"/>
      <c r="Q102" s="65"/>
      <c r="R102" s="68"/>
      <c r="S102" s="56"/>
      <c r="T102" s="67"/>
      <c r="U102" s="67"/>
      <c r="V102" s="67"/>
    </row>
    <row r="103" spans="1:22">
      <c r="A103" s="388" t="s">
        <v>78</v>
      </c>
      <c r="B103" s="388"/>
      <c r="C103" s="388"/>
      <c r="D103" s="388"/>
      <c r="E103" s="388"/>
      <c r="F103" s="388"/>
      <c r="G103" s="388"/>
      <c r="H103" s="388"/>
      <c r="I103" s="388"/>
      <c r="J103" s="388"/>
      <c r="K103" s="388"/>
      <c r="L103" s="388"/>
      <c r="M103" s="388"/>
      <c r="N103" s="388"/>
      <c r="O103" s="388"/>
      <c r="P103" s="388"/>
      <c r="Q103" s="388"/>
      <c r="R103" s="388"/>
      <c r="S103" s="56"/>
      <c r="T103" s="67"/>
      <c r="U103" s="67"/>
      <c r="V103" s="67"/>
    </row>
    <row r="104" spans="1:22">
      <c r="A104" s="64" t="s">
        <v>66</v>
      </c>
      <c r="B104" s="65"/>
      <c r="C104" s="65"/>
      <c r="D104" s="65"/>
      <c r="E104" s="65"/>
      <c r="F104" s="65"/>
      <c r="G104" s="65"/>
      <c r="H104" s="65"/>
      <c r="I104" s="65"/>
      <c r="J104" s="65"/>
      <c r="K104" s="65"/>
      <c r="L104" s="68"/>
      <c r="M104" s="65"/>
      <c r="N104" s="65"/>
      <c r="O104" s="65"/>
      <c r="P104" s="65"/>
      <c r="Q104" s="65"/>
      <c r="R104" s="68"/>
      <c r="S104" s="56"/>
      <c r="T104" s="67"/>
      <c r="U104" s="67"/>
      <c r="V104" s="67"/>
    </row>
    <row r="105" spans="1:22" ht="15.75" thickBot="1">
      <c r="A105" s="69" t="s">
        <v>79</v>
      </c>
      <c r="B105" s="70">
        <f>SUM(B100,B96:B98,B94)</f>
        <v>0</v>
      </c>
      <c r="C105" s="70">
        <f t="shared" ref="C105:R105" si="34">SUM(C100,C96:C98,C94)</f>
        <v>0</v>
      </c>
      <c r="D105" s="70">
        <f t="shared" si="34"/>
        <v>0</v>
      </c>
      <c r="E105" s="70">
        <f t="shared" si="34"/>
        <v>0</v>
      </c>
      <c r="F105" s="70">
        <f t="shared" si="34"/>
        <v>0</v>
      </c>
      <c r="G105" s="70">
        <f t="shared" si="34"/>
        <v>0</v>
      </c>
      <c r="H105" s="70">
        <f t="shared" si="34"/>
        <v>0</v>
      </c>
      <c r="I105" s="70">
        <f t="shared" si="34"/>
        <v>0</v>
      </c>
      <c r="J105" s="70">
        <f t="shared" si="34"/>
        <v>0</v>
      </c>
      <c r="K105" s="70">
        <f t="shared" si="34"/>
        <v>0</v>
      </c>
      <c r="L105" s="70">
        <f t="shared" si="34"/>
        <v>3265</v>
      </c>
      <c r="M105" s="70">
        <f t="shared" si="34"/>
        <v>0</v>
      </c>
      <c r="N105" s="70">
        <f t="shared" si="34"/>
        <v>0</v>
      </c>
      <c r="O105" s="70">
        <f t="shared" si="34"/>
        <v>0</v>
      </c>
      <c r="P105" s="70">
        <f t="shared" si="34"/>
        <v>0</v>
      </c>
      <c r="Q105" s="70">
        <f t="shared" si="34"/>
        <v>0</v>
      </c>
      <c r="R105" s="70">
        <f t="shared" si="34"/>
        <v>37115</v>
      </c>
      <c r="S105" s="56"/>
      <c r="T105" s="67"/>
      <c r="U105" s="67"/>
      <c r="V105" s="67"/>
    </row>
    <row r="106" spans="1:22">
      <c r="A106" s="71" t="s">
        <v>80</v>
      </c>
      <c r="B106" s="72"/>
      <c r="C106" s="72"/>
      <c r="D106" s="72"/>
      <c r="E106" s="72"/>
      <c r="F106" s="72"/>
      <c r="G106" s="72"/>
      <c r="H106" s="72"/>
      <c r="I106" s="72"/>
      <c r="J106" s="72"/>
      <c r="K106" s="72"/>
      <c r="L106" s="72"/>
      <c r="M106" s="72"/>
      <c r="N106" s="72"/>
      <c r="O106" s="72"/>
      <c r="P106" s="72"/>
      <c r="Q106" s="72"/>
      <c r="R106" s="72"/>
      <c r="S106" s="56"/>
      <c r="T106" s="56"/>
      <c r="U106" s="56"/>
      <c r="V106" s="56"/>
    </row>
    <row r="107" spans="1:22">
      <c r="A107" s="73" t="s">
        <v>81</v>
      </c>
      <c r="B107" s="56"/>
      <c r="C107" s="56"/>
      <c r="D107" s="56"/>
      <c r="E107" s="56"/>
      <c r="F107" s="56"/>
      <c r="G107" s="56"/>
      <c r="H107" s="56"/>
      <c r="I107" s="56"/>
      <c r="J107" s="56"/>
      <c r="K107" s="56"/>
      <c r="L107" s="56"/>
      <c r="M107" s="56"/>
      <c r="N107" s="56"/>
      <c r="O107" s="56"/>
      <c r="P107" s="56"/>
      <c r="Q107" s="56"/>
      <c r="R107" s="56"/>
      <c r="S107" s="56"/>
      <c r="T107" s="56"/>
      <c r="U107" s="56"/>
      <c r="V107" s="56"/>
    </row>
    <row r="108" spans="1:22">
      <c r="A108" s="73" t="s">
        <v>82</v>
      </c>
      <c r="B108" s="56"/>
      <c r="C108" s="56"/>
      <c r="D108" s="56"/>
      <c r="E108" s="56"/>
      <c r="F108" s="56"/>
      <c r="G108" s="56"/>
      <c r="H108" s="56"/>
      <c r="I108" s="56"/>
      <c r="J108" s="56"/>
      <c r="K108" s="56"/>
      <c r="L108" s="56"/>
      <c r="M108" s="56"/>
      <c r="N108" s="56"/>
      <c r="O108" s="56"/>
      <c r="P108" s="56"/>
      <c r="Q108" s="56"/>
      <c r="R108" s="56"/>
      <c r="S108" s="56"/>
      <c r="T108" s="56"/>
      <c r="U108" s="56"/>
      <c r="V108" s="56"/>
    </row>
    <row r="109" spans="1:22">
      <c r="A109" s="73" t="s">
        <v>83</v>
      </c>
      <c r="B109" s="56"/>
      <c r="C109" s="56"/>
      <c r="D109" s="56"/>
      <c r="E109" s="56"/>
      <c r="F109" s="56"/>
      <c r="G109" s="56"/>
      <c r="H109" s="56"/>
      <c r="I109" s="56"/>
      <c r="J109" s="56"/>
      <c r="K109" s="56"/>
      <c r="L109" s="56"/>
      <c r="M109" s="56"/>
      <c r="N109" s="56"/>
      <c r="O109" s="56"/>
      <c r="P109" s="56"/>
      <c r="Q109" s="56"/>
      <c r="R109" s="56"/>
      <c r="S109" s="56"/>
      <c r="T109" s="56"/>
      <c r="U109" s="56"/>
      <c r="V109" s="56"/>
    </row>
    <row r="112" spans="1:22">
      <c r="A112" s="74" t="s">
        <v>84</v>
      </c>
    </row>
    <row r="114" spans="1:1">
      <c r="A114" s="20" t="s">
        <v>85</v>
      </c>
    </row>
    <row r="115" spans="1:1">
      <c r="A115" s="20" t="s">
        <v>86</v>
      </c>
    </row>
    <row r="116" spans="1:1">
      <c r="A116" s="20" t="s">
        <v>87</v>
      </c>
    </row>
    <row r="117" spans="1:1">
      <c r="A117" s="20" t="s">
        <v>88</v>
      </c>
    </row>
    <row r="118" spans="1:1">
      <c r="A118" s="20" t="s">
        <v>89</v>
      </c>
    </row>
    <row r="119" spans="1:1">
      <c r="A119" s="20" t="s">
        <v>90</v>
      </c>
    </row>
  </sheetData>
  <mergeCells count="10">
    <mergeCell ref="T97:V99"/>
    <mergeCell ref="A99:R99"/>
    <mergeCell ref="A101:R101"/>
    <mergeCell ref="A103:R103"/>
    <mergeCell ref="T42:T49"/>
    <mergeCell ref="S69:T70"/>
    <mergeCell ref="U69:U70"/>
    <mergeCell ref="A93:R93"/>
    <mergeCell ref="T94:V95"/>
    <mergeCell ref="A95:R9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204E-1761-4050-8848-CA9C8026D288}">
  <dimension ref="A1:X16"/>
  <sheetViews>
    <sheetView workbookViewId="0">
      <pane xSplit="1" ySplit="2" topLeftCell="N3" activePane="bottomRight" state="frozen"/>
      <selection activeCell="Z25" sqref="Z25"/>
      <selection pane="topRight" activeCell="Z25" sqref="Z25"/>
      <selection pane="bottomLeft" activeCell="Z25" sqref="Z25"/>
      <selection pane="bottomRight" activeCell="Z25" sqref="Z25"/>
    </sheetView>
  </sheetViews>
  <sheetFormatPr defaultColWidth="9.140625" defaultRowHeight="15.75"/>
  <cols>
    <col min="1" max="1" width="29.28515625" style="130" customWidth="1"/>
    <col min="2" max="2" width="21.7109375" style="130" bestFit="1" customWidth="1"/>
    <col min="3" max="3" width="10.5703125" style="130" bestFit="1" customWidth="1"/>
    <col min="4" max="4" width="30.7109375" style="130" customWidth="1"/>
    <col min="5" max="5" width="44" style="131" customWidth="1"/>
    <col min="6" max="7" width="14.42578125" style="130" customWidth="1"/>
    <col min="8" max="8" width="22.42578125" style="130" customWidth="1"/>
    <col min="9" max="9" width="10" style="130" customWidth="1"/>
    <col min="10" max="10" width="15.140625" style="130" customWidth="1"/>
    <col min="11" max="12" width="15.140625" style="91" customWidth="1"/>
    <col min="13" max="20" width="11" style="91" customWidth="1"/>
    <col min="21" max="21" width="15.28515625" style="91" customWidth="1"/>
    <col min="22" max="22" width="11.28515625" style="91" bestFit="1" customWidth="1"/>
    <col min="23" max="23" width="9.140625" style="91"/>
    <col min="24" max="24" width="19" style="91" customWidth="1"/>
    <col min="25" max="16384" width="9.140625" style="91"/>
  </cols>
  <sheetData>
    <row r="1" spans="1:24" s="77" customFormat="1">
      <c r="A1" s="76"/>
      <c r="B1" s="395" t="s">
        <v>91</v>
      </c>
      <c r="C1" s="395"/>
      <c r="D1" s="395" t="s">
        <v>92</v>
      </c>
      <c r="E1" s="395"/>
      <c r="F1" s="76"/>
      <c r="G1" s="76"/>
      <c r="H1" s="395" t="s">
        <v>94</v>
      </c>
      <c r="I1" s="395"/>
      <c r="J1" s="76"/>
    </row>
    <row r="2" spans="1:24" s="79" customFormat="1" ht="75">
      <c r="A2" s="79" t="s">
        <v>95</v>
      </c>
      <c r="B2" s="79" t="s">
        <v>96</v>
      </c>
      <c r="C2" s="79" t="s">
        <v>97</v>
      </c>
      <c r="D2" s="79" t="s">
        <v>98</v>
      </c>
      <c r="E2" s="79" t="s">
        <v>99</v>
      </c>
      <c r="F2" s="79" t="s">
        <v>100</v>
      </c>
      <c r="G2" s="137" t="s">
        <v>101</v>
      </c>
      <c r="H2" s="79" t="s">
        <v>102</v>
      </c>
      <c r="I2" s="137" t="s">
        <v>103</v>
      </c>
      <c r="J2" s="79" t="s">
        <v>104</v>
      </c>
      <c r="K2" s="137" t="s">
        <v>105</v>
      </c>
      <c r="L2" s="79" t="s">
        <v>106</v>
      </c>
      <c r="M2" s="137" t="s">
        <v>107</v>
      </c>
      <c r="N2" s="137" t="s">
        <v>108</v>
      </c>
      <c r="O2" s="137" t="s">
        <v>109</v>
      </c>
      <c r="P2" s="137" t="s">
        <v>110</v>
      </c>
      <c r="Q2" s="137" t="s">
        <v>111</v>
      </c>
      <c r="R2" s="137" t="s">
        <v>112</v>
      </c>
      <c r="S2" s="137" t="s">
        <v>113</v>
      </c>
      <c r="T2" s="137" t="s">
        <v>114</v>
      </c>
      <c r="U2" s="79" t="s">
        <v>115</v>
      </c>
      <c r="V2" s="79" t="s">
        <v>116</v>
      </c>
      <c r="W2" s="79" t="s">
        <v>460</v>
      </c>
      <c r="X2" s="79" t="s">
        <v>118</v>
      </c>
    </row>
    <row r="3" spans="1:24" s="81" customFormat="1" ht="27">
      <c r="A3" s="138" t="s">
        <v>1145</v>
      </c>
      <c r="B3" s="139" t="s">
        <v>1146</v>
      </c>
      <c r="C3" s="139" t="s">
        <v>1147</v>
      </c>
      <c r="D3" s="121" t="s">
        <v>1148</v>
      </c>
      <c r="E3" s="138" t="s">
        <v>1149</v>
      </c>
      <c r="F3" s="139">
        <v>2030</v>
      </c>
      <c r="G3" s="172"/>
      <c r="H3" s="139" t="s">
        <v>188</v>
      </c>
      <c r="I3" s="226">
        <v>0.4</v>
      </c>
      <c r="J3" s="81">
        <v>40</v>
      </c>
      <c r="K3" s="172"/>
      <c r="L3" s="227">
        <v>120000</v>
      </c>
      <c r="M3" s="140">
        <v>0</v>
      </c>
      <c r="N3" s="140">
        <f>$J3</f>
        <v>40</v>
      </c>
      <c r="O3" s="140">
        <f t="shared" ref="O3:P15" si="0">$K3/2</f>
        <v>0</v>
      </c>
      <c r="P3" s="140">
        <f t="shared" si="0"/>
        <v>0</v>
      </c>
      <c r="Q3" s="140">
        <f>$I3*M3</f>
        <v>0</v>
      </c>
      <c r="R3" s="140">
        <f t="shared" ref="R3:T15" si="1">$I3*N3</f>
        <v>16</v>
      </c>
      <c r="S3" s="140">
        <f t="shared" si="1"/>
        <v>0</v>
      </c>
      <c r="T3" s="140">
        <f t="shared" si="1"/>
        <v>0</v>
      </c>
      <c r="U3" s="139" t="s">
        <v>7</v>
      </c>
      <c r="V3" s="228" t="s">
        <v>30</v>
      </c>
    </row>
    <row r="4" spans="1:24" s="81" customFormat="1" ht="40.5">
      <c r="A4" s="138" t="s">
        <v>1150</v>
      </c>
      <c r="B4" s="139" t="s">
        <v>1146</v>
      </c>
      <c r="C4" s="139" t="s">
        <v>1147</v>
      </c>
      <c r="D4" s="121" t="s">
        <v>1151</v>
      </c>
      <c r="E4" s="138" t="s">
        <v>1152</v>
      </c>
      <c r="F4" s="139">
        <v>2028</v>
      </c>
      <c r="G4" s="172"/>
      <c r="H4" s="139" t="s">
        <v>188</v>
      </c>
      <c r="I4" s="226">
        <v>0.4</v>
      </c>
      <c r="J4" s="81">
        <v>40</v>
      </c>
      <c r="K4" s="172"/>
      <c r="L4" s="227">
        <v>120000</v>
      </c>
      <c r="M4" s="140">
        <v>0</v>
      </c>
      <c r="N4" s="140">
        <f>$J4</f>
        <v>40</v>
      </c>
      <c r="O4" s="140">
        <f t="shared" si="0"/>
        <v>0</v>
      </c>
      <c r="P4" s="140">
        <f t="shared" si="0"/>
        <v>0</v>
      </c>
      <c r="Q4" s="140">
        <f>$I4*M4</f>
        <v>0</v>
      </c>
      <c r="R4" s="140">
        <f t="shared" si="1"/>
        <v>16</v>
      </c>
      <c r="S4" s="140">
        <f t="shared" si="1"/>
        <v>0</v>
      </c>
      <c r="T4" s="140">
        <f t="shared" si="1"/>
        <v>0</v>
      </c>
      <c r="U4" s="139" t="s">
        <v>5</v>
      </c>
      <c r="V4" s="228" t="s">
        <v>26</v>
      </c>
    </row>
    <row r="5" spans="1:24" ht="78.75">
      <c r="A5" s="138" t="s">
        <v>1153</v>
      </c>
      <c r="B5" s="139"/>
      <c r="C5" s="139" t="s">
        <v>1154</v>
      </c>
      <c r="D5" s="121" t="s">
        <v>1155</v>
      </c>
      <c r="E5" s="138" t="s">
        <v>1156</v>
      </c>
      <c r="F5" s="148">
        <v>2028</v>
      </c>
      <c r="G5" s="140"/>
      <c r="H5" s="139"/>
      <c r="I5" s="229">
        <v>0.55000000000000004</v>
      </c>
      <c r="J5" s="148">
        <f>L5*347/1000000</f>
        <v>52.05</v>
      </c>
      <c r="K5" s="139"/>
      <c r="L5" s="230">
        <v>150000</v>
      </c>
      <c r="M5" s="140">
        <f>$J5/2</f>
        <v>26.024999999999999</v>
      </c>
      <c r="N5" s="140">
        <f>$J5/2</f>
        <v>26.024999999999999</v>
      </c>
      <c r="O5" s="140">
        <f t="shared" si="0"/>
        <v>0</v>
      </c>
      <c r="P5" s="140">
        <f t="shared" si="0"/>
        <v>0</v>
      </c>
      <c r="Q5" s="140">
        <f>$I5*M5</f>
        <v>14.313750000000001</v>
      </c>
      <c r="R5" s="140">
        <f t="shared" si="1"/>
        <v>14.313750000000001</v>
      </c>
      <c r="S5" s="140">
        <f t="shared" si="1"/>
        <v>0</v>
      </c>
      <c r="T5" s="140">
        <f t="shared" si="1"/>
        <v>0</v>
      </c>
      <c r="U5" s="139" t="s">
        <v>5</v>
      </c>
      <c r="V5" s="228" t="s">
        <v>26</v>
      </c>
    </row>
    <row r="6" spans="1:24" ht="22.5">
      <c r="A6" s="138" t="s">
        <v>1157</v>
      </c>
      <c r="B6" s="139" t="s">
        <v>1158</v>
      </c>
      <c r="C6" s="139" t="s">
        <v>1159</v>
      </c>
      <c r="D6" s="121" t="s">
        <v>1160</v>
      </c>
      <c r="E6" s="138" t="s">
        <v>1161</v>
      </c>
      <c r="F6" s="148">
        <v>2032</v>
      </c>
      <c r="G6" s="140"/>
      <c r="H6" s="139" t="s">
        <v>488</v>
      </c>
      <c r="I6" s="229">
        <v>0.25</v>
      </c>
      <c r="J6" s="148">
        <f>L6*347/1000000</f>
        <v>52.05</v>
      </c>
      <c r="K6" s="139"/>
      <c r="L6" s="230">
        <v>150000</v>
      </c>
      <c r="M6" s="140">
        <v>0</v>
      </c>
      <c r="N6" s="140">
        <f>$J6</f>
        <v>52.05</v>
      </c>
      <c r="O6" s="140">
        <f t="shared" si="0"/>
        <v>0</v>
      </c>
      <c r="P6" s="140">
        <f t="shared" si="0"/>
        <v>0</v>
      </c>
      <c r="Q6" s="140">
        <f>$I6*M6</f>
        <v>0</v>
      </c>
      <c r="R6" s="140">
        <f t="shared" si="1"/>
        <v>13.012499999999999</v>
      </c>
      <c r="S6" s="140">
        <f t="shared" si="1"/>
        <v>0</v>
      </c>
      <c r="T6" s="140">
        <f t="shared" si="1"/>
        <v>0</v>
      </c>
      <c r="U6" s="139" t="s">
        <v>6</v>
      </c>
      <c r="V6" s="228" t="s">
        <v>1162</v>
      </c>
    </row>
    <row r="7" spans="1:24" ht="22.5">
      <c r="A7" s="138" t="s">
        <v>1163</v>
      </c>
      <c r="B7" s="139"/>
      <c r="C7" s="139" t="s">
        <v>1164</v>
      </c>
      <c r="D7" s="121" t="s">
        <v>1165</v>
      </c>
      <c r="E7" s="138" t="s">
        <v>1166</v>
      </c>
      <c r="F7" s="148">
        <v>2027</v>
      </c>
      <c r="G7" s="140"/>
      <c r="H7" s="139"/>
      <c r="I7" s="229">
        <v>0.55000000000000004</v>
      </c>
      <c r="J7" s="148">
        <f>L7*347/1000000</f>
        <v>52.05</v>
      </c>
      <c r="K7" s="139"/>
      <c r="L7" s="230">
        <v>150000</v>
      </c>
      <c r="M7" s="140">
        <f t="shared" ref="M7:N15" si="2">$J7/2</f>
        <v>26.024999999999999</v>
      </c>
      <c r="N7" s="140">
        <f t="shared" si="2"/>
        <v>26.024999999999999</v>
      </c>
      <c r="O7" s="140">
        <f t="shared" si="0"/>
        <v>0</v>
      </c>
      <c r="P7" s="140">
        <f t="shared" si="0"/>
        <v>0</v>
      </c>
      <c r="Q7" s="140">
        <f t="shared" ref="Q7:Q15" si="3">$I7*M7</f>
        <v>14.313750000000001</v>
      </c>
      <c r="R7" s="140">
        <f t="shared" si="1"/>
        <v>14.313750000000001</v>
      </c>
      <c r="S7" s="140">
        <f t="shared" si="1"/>
        <v>0</v>
      </c>
      <c r="T7" s="140">
        <f t="shared" si="1"/>
        <v>0</v>
      </c>
      <c r="U7" s="139" t="s">
        <v>5</v>
      </c>
      <c r="V7" s="228" t="s">
        <v>26</v>
      </c>
    </row>
    <row r="8" spans="1:24">
      <c r="A8" s="138" t="s">
        <v>1167</v>
      </c>
      <c r="B8" s="139" t="s">
        <v>1158</v>
      </c>
      <c r="C8" s="139" t="s">
        <v>1159</v>
      </c>
      <c r="D8" s="121"/>
      <c r="E8" s="138"/>
      <c r="F8" s="139">
        <v>2026</v>
      </c>
      <c r="G8" s="140"/>
      <c r="H8" s="139" t="s">
        <v>188</v>
      </c>
      <c r="I8" s="229">
        <v>0.55000000000000004</v>
      </c>
      <c r="J8" s="139">
        <v>140</v>
      </c>
      <c r="K8" s="139"/>
      <c r="L8" s="231">
        <v>403000</v>
      </c>
      <c r="M8" s="140">
        <v>0</v>
      </c>
      <c r="N8" s="140">
        <f>$J8</f>
        <v>140</v>
      </c>
      <c r="O8" s="140">
        <f t="shared" si="0"/>
        <v>0</v>
      </c>
      <c r="P8" s="140">
        <f t="shared" si="0"/>
        <v>0</v>
      </c>
      <c r="Q8" s="140">
        <f t="shared" si="3"/>
        <v>0</v>
      </c>
      <c r="R8" s="140">
        <f t="shared" si="1"/>
        <v>77</v>
      </c>
      <c r="S8" s="140">
        <f t="shared" si="1"/>
        <v>0</v>
      </c>
      <c r="T8" s="140">
        <f t="shared" si="1"/>
        <v>0</v>
      </c>
      <c r="U8" s="139" t="s">
        <v>7</v>
      </c>
      <c r="V8" s="228" t="s">
        <v>30</v>
      </c>
    </row>
    <row r="9" spans="1:24" ht="33.75">
      <c r="A9" s="138" t="s">
        <v>1168</v>
      </c>
      <c r="B9" s="139" t="s">
        <v>1158</v>
      </c>
      <c r="C9" s="139" t="s">
        <v>1159</v>
      </c>
      <c r="D9" s="121" t="s">
        <v>1169</v>
      </c>
      <c r="E9" s="232" t="s">
        <v>1170</v>
      </c>
      <c r="F9" s="139">
        <v>2023</v>
      </c>
      <c r="G9" s="233"/>
      <c r="H9" s="139" t="s">
        <v>318</v>
      </c>
      <c r="I9" s="229">
        <v>0.55000000000000004</v>
      </c>
      <c r="J9" s="148">
        <v>40</v>
      </c>
      <c r="K9" s="139"/>
      <c r="L9" s="230">
        <v>150000</v>
      </c>
      <c r="M9" s="140">
        <f t="shared" si="2"/>
        <v>20</v>
      </c>
      <c r="N9" s="140">
        <f t="shared" si="2"/>
        <v>20</v>
      </c>
      <c r="O9" s="140">
        <f t="shared" si="0"/>
        <v>0</v>
      </c>
      <c r="P9" s="140">
        <f t="shared" si="0"/>
        <v>0</v>
      </c>
      <c r="Q9" s="140">
        <f t="shared" si="3"/>
        <v>11</v>
      </c>
      <c r="R9" s="140">
        <f t="shared" si="1"/>
        <v>11</v>
      </c>
      <c r="S9" s="140">
        <f t="shared" si="1"/>
        <v>0</v>
      </c>
      <c r="T9" s="140">
        <f t="shared" si="1"/>
        <v>0</v>
      </c>
      <c r="U9" s="139" t="s">
        <v>503</v>
      </c>
      <c r="V9" s="228" t="s">
        <v>26</v>
      </c>
    </row>
    <row r="10" spans="1:24" ht="67.5">
      <c r="A10" s="138" t="s">
        <v>1171</v>
      </c>
      <c r="B10" s="139" t="s">
        <v>1172</v>
      </c>
      <c r="C10" s="139" t="s">
        <v>1164</v>
      </c>
      <c r="D10" s="121" t="s">
        <v>1173</v>
      </c>
      <c r="E10" s="138" t="s">
        <v>1174</v>
      </c>
      <c r="F10" s="139">
        <v>2026</v>
      </c>
      <c r="G10" s="233"/>
      <c r="H10" s="139" t="s">
        <v>1175</v>
      </c>
      <c r="I10" s="229">
        <v>0.75</v>
      </c>
      <c r="J10" s="148">
        <v>40</v>
      </c>
      <c r="K10" s="139"/>
      <c r="L10" s="230">
        <v>150000</v>
      </c>
      <c r="M10" s="140">
        <f t="shared" si="2"/>
        <v>20</v>
      </c>
      <c r="N10" s="140">
        <f t="shared" si="2"/>
        <v>20</v>
      </c>
      <c r="O10" s="140">
        <f t="shared" si="0"/>
        <v>0</v>
      </c>
      <c r="P10" s="140">
        <f t="shared" si="0"/>
        <v>0</v>
      </c>
      <c r="Q10" s="140">
        <f t="shared" si="3"/>
        <v>15</v>
      </c>
      <c r="R10" s="140">
        <f t="shared" si="1"/>
        <v>15</v>
      </c>
      <c r="S10" s="140">
        <f t="shared" si="1"/>
        <v>0</v>
      </c>
      <c r="T10" s="140">
        <f t="shared" si="1"/>
        <v>0</v>
      </c>
      <c r="U10" s="139" t="s">
        <v>503</v>
      </c>
      <c r="V10" s="228" t="s">
        <v>26</v>
      </c>
    </row>
    <row r="11" spans="1:24" ht="33.75">
      <c r="A11" s="138" t="s">
        <v>1171</v>
      </c>
      <c r="B11" s="139" t="s">
        <v>1172</v>
      </c>
      <c r="C11" s="139" t="s">
        <v>1164</v>
      </c>
      <c r="D11" s="121" t="s">
        <v>1176</v>
      </c>
      <c r="E11" s="138" t="s">
        <v>1177</v>
      </c>
      <c r="F11" s="139">
        <v>2032</v>
      </c>
      <c r="G11" s="233"/>
      <c r="H11" s="139" t="s">
        <v>488</v>
      </c>
      <c r="I11" s="229">
        <v>0.25</v>
      </c>
      <c r="J11" s="148">
        <v>100</v>
      </c>
      <c r="K11" s="139"/>
      <c r="L11" s="230">
        <v>150000</v>
      </c>
      <c r="M11" s="140">
        <f t="shared" si="2"/>
        <v>50</v>
      </c>
      <c r="N11" s="140">
        <f t="shared" si="2"/>
        <v>50</v>
      </c>
      <c r="O11" s="140">
        <f t="shared" si="0"/>
        <v>0</v>
      </c>
      <c r="P11" s="140">
        <f t="shared" si="0"/>
        <v>0</v>
      </c>
      <c r="Q11" s="140">
        <f t="shared" si="3"/>
        <v>12.5</v>
      </c>
      <c r="R11" s="140">
        <f t="shared" si="1"/>
        <v>12.5</v>
      </c>
      <c r="S11" s="140">
        <f t="shared" si="1"/>
        <v>0</v>
      </c>
      <c r="T11" s="140">
        <f t="shared" si="1"/>
        <v>0</v>
      </c>
      <c r="U11" s="139" t="s">
        <v>5</v>
      </c>
      <c r="V11" s="228" t="s">
        <v>26</v>
      </c>
    </row>
    <row r="12" spans="1:24" ht="67.5">
      <c r="A12" s="138" t="s">
        <v>940</v>
      </c>
      <c r="B12" s="139" t="s">
        <v>941</v>
      </c>
      <c r="C12" s="139" t="s">
        <v>936</v>
      </c>
      <c r="D12" s="121" t="s">
        <v>1178</v>
      </c>
      <c r="E12" s="138" t="s">
        <v>1179</v>
      </c>
      <c r="F12" s="139">
        <v>2029</v>
      </c>
      <c r="G12" s="140"/>
      <c r="H12" s="139" t="s">
        <v>1180</v>
      </c>
      <c r="I12" s="229">
        <v>0.55000000000000004</v>
      </c>
      <c r="J12" s="139">
        <v>104</v>
      </c>
      <c r="K12" s="139"/>
      <c r="L12" s="231">
        <v>300000</v>
      </c>
      <c r="M12" s="140">
        <f t="shared" si="2"/>
        <v>52</v>
      </c>
      <c r="N12" s="140">
        <f t="shared" si="2"/>
        <v>52</v>
      </c>
      <c r="O12" s="140">
        <f t="shared" si="0"/>
        <v>0</v>
      </c>
      <c r="P12" s="140">
        <f t="shared" si="0"/>
        <v>0</v>
      </c>
      <c r="Q12" s="140">
        <f t="shared" si="3"/>
        <v>28.6</v>
      </c>
      <c r="R12" s="140">
        <f t="shared" si="1"/>
        <v>28.6</v>
      </c>
      <c r="S12" s="140">
        <f t="shared" si="1"/>
        <v>0</v>
      </c>
      <c r="T12" s="140">
        <f t="shared" si="1"/>
        <v>0</v>
      </c>
      <c r="U12" s="139" t="s">
        <v>503</v>
      </c>
      <c r="V12" s="228" t="s">
        <v>26</v>
      </c>
    </row>
    <row r="13" spans="1:24" ht="33.75">
      <c r="A13" s="138" t="s">
        <v>1181</v>
      </c>
      <c r="B13" s="139" t="s">
        <v>1182</v>
      </c>
      <c r="C13" s="139" t="s">
        <v>1159</v>
      </c>
      <c r="D13" s="121" t="s">
        <v>1183</v>
      </c>
      <c r="E13" s="138" t="s">
        <v>1184</v>
      </c>
      <c r="F13" s="139">
        <v>2030</v>
      </c>
      <c r="G13" s="140"/>
      <c r="H13" s="139" t="s">
        <v>1180</v>
      </c>
      <c r="I13" s="229">
        <v>0.4</v>
      </c>
      <c r="J13" s="139">
        <v>15</v>
      </c>
      <c r="K13" s="139"/>
      <c r="L13" s="231">
        <v>45000</v>
      </c>
      <c r="M13" s="140">
        <v>0</v>
      </c>
      <c r="N13" s="140">
        <f>$J13</f>
        <v>15</v>
      </c>
      <c r="O13" s="140">
        <f t="shared" si="0"/>
        <v>0</v>
      </c>
      <c r="P13" s="140">
        <f t="shared" si="0"/>
        <v>0</v>
      </c>
      <c r="Q13" s="140">
        <f t="shared" si="3"/>
        <v>0</v>
      </c>
      <c r="R13" s="140">
        <f t="shared" si="1"/>
        <v>6</v>
      </c>
      <c r="S13" s="140">
        <f t="shared" si="1"/>
        <v>0</v>
      </c>
      <c r="T13" s="140">
        <f t="shared" si="1"/>
        <v>0</v>
      </c>
      <c r="U13" s="139" t="s">
        <v>7</v>
      </c>
      <c r="V13" s="228" t="s">
        <v>30</v>
      </c>
    </row>
    <row r="14" spans="1:24" ht="81">
      <c r="A14" s="138" t="s">
        <v>1185</v>
      </c>
      <c r="B14" s="139" t="s">
        <v>1158</v>
      </c>
      <c r="C14" s="139" t="s">
        <v>1159</v>
      </c>
      <c r="D14" s="121" t="s">
        <v>1186</v>
      </c>
      <c r="E14" s="138" t="s">
        <v>1187</v>
      </c>
      <c r="F14" s="148">
        <v>2028</v>
      </c>
      <c r="G14" s="140"/>
      <c r="H14" s="139" t="s">
        <v>488</v>
      </c>
      <c r="I14" s="229">
        <v>0.55000000000000004</v>
      </c>
      <c r="J14" s="234">
        <f>L14*347/1000000</f>
        <v>52.05</v>
      </c>
      <c r="K14" s="139"/>
      <c r="L14" s="231">
        <v>150000</v>
      </c>
      <c r="M14" s="140">
        <v>0</v>
      </c>
      <c r="N14" s="235">
        <f>$J14</f>
        <v>52.05</v>
      </c>
      <c r="O14" s="140">
        <f t="shared" si="0"/>
        <v>0</v>
      </c>
      <c r="P14" s="140">
        <f t="shared" si="0"/>
        <v>0</v>
      </c>
      <c r="Q14" s="140">
        <f t="shared" si="3"/>
        <v>0</v>
      </c>
      <c r="R14" s="140">
        <f t="shared" si="1"/>
        <v>28.627500000000001</v>
      </c>
      <c r="S14" s="140">
        <f t="shared" si="1"/>
        <v>0</v>
      </c>
      <c r="T14" s="140">
        <f t="shared" si="1"/>
        <v>0</v>
      </c>
      <c r="U14" s="139" t="s">
        <v>6</v>
      </c>
      <c r="V14" s="228" t="s">
        <v>27</v>
      </c>
    </row>
    <row r="15" spans="1:24" ht="81">
      <c r="A15" s="138" t="s">
        <v>1188</v>
      </c>
      <c r="B15" s="139" t="s">
        <v>1189</v>
      </c>
      <c r="C15" s="139" t="s">
        <v>1159</v>
      </c>
      <c r="D15" s="121" t="s">
        <v>1190</v>
      </c>
      <c r="E15" s="138" t="s">
        <v>1191</v>
      </c>
      <c r="F15" s="139">
        <v>2026</v>
      </c>
      <c r="G15" s="140"/>
      <c r="H15" s="139" t="s">
        <v>188</v>
      </c>
      <c r="I15" s="229">
        <v>0.75</v>
      </c>
      <c r="J15" s="139">
        <v>40</v>
      </c>
      <c r="K15" s="139"/>
      <c r="L15" s="231">
        <v>120000</v>
      </c>
      <c r="M15" s="140">
        <f t="shared" si="2"/>
        <v>20</v>
      </c>
      <c r="N15" s="140">
        <f t="shared" si="2"/>
        <v>20</v>
      </c>
      <c r="O15" s="140">
        <f t="shared" si="0"/>
        <v>0</v>
      </c>
      <c r="P15" s="140">
        <f t="shared" si="0"/>
        <v>0</v>
      </c>
      <c r="Q15" s="140">
        <f t="shared" si="3"/>
        <v>15</v>
      </c>
      <c r="R15" s="140">
        <f t="shared" si="1"/>
        <v>15</v>
      </c>
      <c r="S15" s="140">
        <f t="shared" si="1"/>
        <v>0</v>
      </c>
      <c r="T15" s="140">
        <f t="shared" si="1"/>
        <v>0</v>
      </c>
      <c r="U15" s="139" t="s">
        <v>5</v>
      </c>
      <c r="V15" s="228" t="s">
        <v>26</v>
      </c>
    </row>
    <row r="16" spans="1:24" s="129" customFormat="1" ht="24">
      <c r="A16" s="125" t="s">
        <v>450</v>
      </c>
      <c r="B16" s="126"/>
      <c r="C16" s="126"/>
      <c r="D16" s="126"/>
      <c r="E16" s="127"/>
      <c r="F16" s="128"/>
      <c r="G16" s="128"/>
      <c r="H16" s="128"/>
      <c r="I16" s="126"/>
      <c r="J16" s="126"/>
      <c r="K16" s="126"/>
      <c r="L16" s="126"/>
      <c r="M16" s="126"/>
      <c r="N16" s="126"/>
      <c r="O16" s="126"/>
      <c r="P16" s="126"/>
      <c r="Q16" s="126"/>
      <c r="R16" s="126"/>
      <c r="S16" s="126"/>
      <c r="T16" s="126"/>
      <c r="U16" s="126"/>
      <c r="W16" s="127"/>
      <c r="X16" s="127"/>
    </row>
  </sheetData>
  <mergeCells count="3">
    <mergeCell ref="B1:C1"/>
    <mergeCell ref="D1:E1"/>
    <mergeCell ref="H1:I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A5468-6324-464A-8FFA-0591CDAABB1D}">
  <dimension ref="A1:V119"/>
  <sheetViews>
    <sheetView topLeftCell="A71" zoomScale="145" zoomScaleNormal="145" workbookViewId="0">
      <selection activeCell="B82" sqref="B82:Q89"/>
    </sheetView>
  </sheetViews>
  <sheetFormatPr defaultColWidth="9.140625" defaultRowHeight="15"/>
  <cols>
    <col min="1" max="1" width="23.140625" style="2" customWidth="1"/>
    <col min="2" max="16" width="8.85546875" style="2" customWidth="1"/>
    <col min="17" max="16384" width="9.140625" style="2"/>
  </cols>
  <sheetData>
    <row r="1" spans="1:17" ht="24" thickBot="1">
      <c r="A1" s="1" t="s">
        <v>1192</v>
      </c>
      <c r="B1" s="1"/>
      <c r="C1" s="1"/>
      <c r="D1" s="1"/>
      <c r="E1" s="1"/>
      <c r="F1" s="1"/>
      <c r="G1" s="1"/>
      <c r="H1" s="1"/>
      <c r="I1" s="1"/>
      <c r="J1" s="1"/>
      <c r="K1" s="1"/>
      <c r="L1" s="1"/>
      <c r="M1" s="1"/>
      <c r="N1" s="1"/>
      <c r="O1" s="1"/>
      <c r="P1" s="1"/>
      <c r="Q1" s="1"/>
    </row>
    <row r="2" spans="1:17" ht="15" customHeight="1" thickBot="1">
      <c r="A2" s="3" t="s">
        <v>3</v>
      </c>
      <c r="B2" s="4" t="s">
        <v>4</v>
      </c>
      <c r="C2" s="5">
        <v>2021</v>
      </c>
      <c r="D2" s="5">
        <v>2022</v>
      </c>
      <c r="E2" s="5">
        <v>2023</v>
      </c>
      <c r="F2" s="5">
        <v>2024</v>
      </c>
      <c r="G2" s="5">
        <v>2025</v>
      </c>
      <c r="H2" s="5">
        <v>2026</v>
      </c>
      <c r="I2" s="5">
        <v>2027</v>
      </c>
      <c r="J2" s="5">
        <v>2028</v>
      </c>
      <c r="K2" s="5">
        <v>2029</v>
      </c>
      <c r="L2" s="5">
        <v>2030</v>
      </c>
      <c r="M2" s="5">
        <v>2031</v>
      </c>
      <c r="N2" s="5">
        <v>2032</v>
      </c>
      <c r="O2" s="5">
        <v>2033</v>
      </c>
      <c r="P2" s="5">
        <v>2034</v>
      </c>
      <c r="Q2" s="5">
        <v>2035</v>
      </c>
    </row>
    <row r="3" spans="1:17" ht="15" customHeight="1">
      <c r="A3" s="6" t="s">
        <v>5</v>
      </c>
      <c r="B3" s="236">
        <f>SUMIFS(MEA!$R$5:$R$79,MEA!$F$5:$F$79,"&lt;"&amp;'MEA Capacity Data'!C$2,MEA!$U$5:$U$79,'MEA Capacity Data'!$A3)+SUMIFS(MEA!$T$5:$T$79,MEA!$F$5:$F$79,"&lt;"&amp;'MEA Capacity Data'!C$2,MEA!$U$5:$U$79,'MEA Capacity Data'!$A3)</f>
        <v>0</v>
      </c>
      <c r="C3" s="237">
        <f>SUMIFS(MEA!$R$5:$R$79,MEA!$F$5:$F$79,'MEA Capacity Data'!C$2,MEA!$U$5:$U$79,'MEA Capacity Data'!$A3)+SUMIFS(MEA!$T$5:$T$79,MEA!$F$5:$F$79,'MEA Capacity Data'!C$22,MEA!$U$5:$U$79,'MEA Capacity Data'!$A3)</f>
        <v>0</v>
      </c>
      <c r="D3" s="237">
        <f>SUMIFS(MEA!$R$5:$R$79,MEA!$F$5:$F$79,'MEA Capacity Data'!D$2,MEA!$U$5:$U$79,'MEA Capacity Data'!$A3)+SUMIFS(MEA!$T$5:$T$79,MEA!$F$5:$F$79,'MEA Capacity Data'!D$22,MEA!$U$5:$U$79,'MEA Capacity Data'!$A3)</f>
        <v>0</v>
      </c>
      <c r="E3" s="237">
        <f>SUMIFS(MEA!$R$5:$R$79,MEA!$F$5:$F$79,'MEA Capacity Data'!E$2,MEA!$U$5:$U$79,'MEA Capacity Data'!$A3)+SUMIFS(MEA!$T$5:$T$79,MEA!$F$5:$F$79,'MEA Capacity Data'!E$22,MEA!$U$5:$U$79,'MEA Capacity Data'!$A3)</f>
        <v>0</v>
      </c>
      <c r="F3" s="238">
        <f>SUMIFS(MEA!$R$5:$R$79,MEA!$F$5:$F$79,'MEA Capacity Data'!F$2,MEA!$U$5:$U$79,'MEA Capacity Data'!$A3)+SUMIFS(MEA!$T$5:$T$79,MEA!$F$5:$F$79,'MEA Capacity Data'!F$22,MEA!$U$5:$U$79,'MEA Capacity Data'!$A3)</f>
        <v>0</v>
      </c>
      <c r="G3" s="238">
        <f>SUMIFS(MEA!$R$5:$R$79,MEA!$F$5:$F$79,'MEA Capacity Data'!G$2,MEA!$U$5:$U$79,'MEA Capacity Data'!$A3)+SUMIFS(MEA!$T$5:$T$79,MEA!$F$5:$F$79,'MEA Capacity Data'!G$22,MEA!$U$5:$U$79,'MEA Capacity Data'!$A3)</f>
        <v>0</v>
      </c>
      <c r="H3" s="238">
        <f>SUMIFS(MEA!$R$5:$R$79,MEA!$F$5:$F$79,'MEA Capacity Data'!H$2,MEA!$U$5:$U$79,'MEA Capacity Data'!$A3)+SUMIFS(MEA!$T$5:$T$79,MEA!$F$5:$F$79,'MEA Capacity Data'!H$22,MEA!$U$5:$U$79,'MEA Capacity Data'!$A3)</f>
        <v>15</v>
      </c>
      <c r="I3" s="238">
        <f>SUMIFS(MEA!$R$5:$R$79,MEA!$F$5:$F$79,'MEA Capacity Data'!I$2,MEA!$U$5:$U$79,'MEA Capacity Data'!$A3)+SUMIFS(MEA!$T$5:$T$79,MEA!$F$5:$F$79,'MEA Capacity Data'!I$22,MEA!$U$5:$U$79,'MEA Capacity Data'!$A3)</f>
        <v>14.313750000000001</v>
      </c>
      <c r="J3" s="238">
        <f>SUMIFS(MEA!$R$5:$R$79,MEA!$F$5:$F$79,'MEA Capacity Data'!J$2,MEA!$U$5:$U$79,'MEA Capacity Data'!$A3)+SUMIFS(MEA!$T$5:$T$79,MEA!$F$5:$F$79,'MEA Capacity Data'!J$22,MEA!$U$5:$U$79,'MEA Capacity Data'!$A3)</f>
        <v>14.313750000000001</v>
      </c>
      <c r="K3" s="238">
        <f>SUMIFS(MEA!$R$5:$R$79,MEA!$F$5:$F$79,'MEA Capacity Data'!K$2,MEA!$U$5:$U$79,'MEA Capacity Data'!$A3)+SUMIFS(MEA!$T$5:$T$79,MEA!$F$5:$F$79,'MEA Capacity Data'!K$22,MEA!$U$5:$U$79,'MEA Capacity Data'!$A3)</f>
        <v>0</v>
      </c>
      <c r="L3" s="238">
        <f>SUMIFS(MEA!$R$5:$R$79,MEA!$F$5:$F$79,'MEA Capacity Data'!L$2,MEA!$U$5:$U$79,'MEA Capacity Data'!$A3)+SUMIFS(MEA!$T$5:$T$79,MEA!$F$5:$F$79,'MEA Capacity Data'!L$22,MEA!$U$5:$U$79,'MEA Capacity Data'!$A3)</f>
        <v>0</v>
      </c>
      <c r="M3" s="238">
        <f>SUMIFS(MEA!$R$5:$R$79,MEA!$F$5:$F$79,'MEA Capacity Data'!M$2,MEA!$U$5:$U$79,'MEA Capacity Data'!$A3)+SUMIFS(MEA!$T$5:$T$79,MEA!$F$5:$F$79,'MEA Capacity Data'!M$22,MEA!$U$5:$U$79,'MEA Capacity Data'!$A3)</f>
        <v>0</v>
      </c>
      <c r="N3" s="238">
        <f>SUMIFS(MEA!$R$5:$R$79,MEA!$F$5:$F$79,'MEA Capacity Data'!N$2,MEA!$U$5:$U$79,'MEA Capacity Data'!$A3)+SUMIFS(MEA!$T$5:$T$79,MEA!$F$5:$F$79,'MEA Capacity Data'!N$22,MEA!$U$5:$U$79,'MEA Capacity Data'!$A3)</f>
        <v>12.5</v>
      </c>
      <c r="O3" s="238">
        <f>SUMIFS(MEA!$R$5:$R$79,MEA!$F$5:$F$79,'MEA Capacity Data'!O$2,MEA!$U$5:$U$79,'MEA Capacity Data'!$A3)+SUMIFS(MEA!$T$5:$T$79,MEA!$F$5:$F$79,'MEA Capacity Data'!O$22,MEA!$U$5:$U$79,'MEA Capacity Data'!$A3)</f>
        <v>0</v>
      </c>
      <c r="P3" s="238">
        <f>SUMIFS(MEA!$R$5:$R$79,MEA!$F$5:$F$79,'MEA Capacity Data'!P$2,MEA!$U$5:$U$79,'MEA Capacity Data'!$A3)+SUMIFS(MEA!$T$5:$T$79,MEA!$F$5:$F$79,'MEA Capacity Data'!P$22,MEA!$U$5:$U$79,'MEA Capacity Data'!$A3)</f>
        <v>0</v>
      </c>
      <c r="Q3" s="238">
        <f>SUMIFS(MEA!$R$5:$R$79,MEA!$F$5:$F$79,'MEA Capacity Data'!Q$2,MEA!$U$5:$U$79,'MEA Capacity Data'!$A3)+SUMIFS(MEA!$T$5:$T$79,MEA!$F$5:$F$79,'MEA Capacity Data'!Q$22,MEA!$U$5:$U$79,'MEA Capacity Data'!$A3)</f>
        <v>0</v>
      </c>
    </row>
    <row r="4" spans="1:17" ht="15" customHeight="1">
      <c r="A4" s="9" t="s">
        <v>6</v>
      </c>
      <c r="B4" s="239">
        <f>SUMIFS(MEA!$R$5:$R$79,MEA!$F$5:$F$79,"&lt;"&amp;'MEA Capacity Data'!C$2,MEA!$U$5:$U$79,'MEA Capacity Data'!$A4)+SUMIFS(MEA!$T$5:$T$79,MEA!$F$5:$F$79,"&lt;"&amp;'MEA Capacity Data'!C$2,MEA!$U$5:$U$79,'MEA Capacity Data'!$A4)</f>
        <v>0</v>
      </c>
      <c r="C4" s="239">
        <f>SUMIFS(MEA!$R$5:$R$79,MEA!$F$5:$F$79,'MEA Capacity Data'!C$2,MEA!$U$5:$U$79,'MEA Capacity Data'!$A4)+SUMIFS(MEA!$T$5:$T$79,MEA!$F$5:$F$79,'MEA Capacity Data'!C$22,MEA!$U$5:$U$79,'MEA Capacity Data'!$A4)</f>
        <v>0</v>
      </c>
      <c r="D4" s="239">
        <f>SUMIFS(MEA!$R$5:$R$79,MEA!$F$5:$F$79,'MEA Capacity Data'!D$2,MEA!$U$5:$U$79,'MEA Capacity Data'!$A4)+SUMIFS(MEA!$T$5:$T$79,MEA!$F$5:$F$79,'MEA Capacity Data'!D$22,MEA!$U$5:$U$79,'MEA Capacity Data'!$A4)</f>
        <v>0</v>
      </c>
      <c r="E4" s="239">
        <f>SUMIFS(MEA!$R$5:$R$79,MEA!$F$5:$F$79,'MEA Capacity Data'!E$2,MEA!$U$5:$U$79,'MEA Capacity Data'!$A4)+SUMIFS(MEA!$T$5:$T$79,MEA!$F$5:$F$79,'MEA Capacity Data'!E$22,MEA!$U$5:$U$79,'MEA Capacity Data'!$A4)</f>
        <v>0</v>
      </c>
      <c r="F4" s="240">
        <f>SUMIFS(MEA!$R$5:$R$79,MEA!$F$5:$F$79,'MEA Capacity Data'!F$2,MEA!$U$5:$U$79,'MEA Capacity Data'!$A4)+SUMIFS(MEA!$T$5:$T$79,MEA!$F$5:$F$79,'MEA Capacity Data'!F$22,MEA!$U$5:$U$79,'MEA Capacity Data'!$A4)</f>
        <v>0</v>
      </c>
      <c r="G4" s="240">
        <f>SUMIFS(MEA!$R$5:$R$79,MEA!$F$5:$F$79,'MEA Capacity Data'!G$2,MEA!$U$5:$U$79,'MEA Capacity Data'!$A4)+SUMIFS(MEA!$T$5:$T$79,MEA!$F$5:$F$79,'MEA Capacity Data'!G$22,MEA!$U$5:$U$79,'MEA Capacity Data'!$A4)</f>
        <v>0</v>
      </c>
      <c r="H4" s="240">
        <f>SUMIFS(MEA!$R$5:$R$79,MEA!$F$5:$F$79,'MEA Capacity Data'!H$2,MEA!$U$5:$U$79,'MEA Capacity Data'!$A4)+SUMIFS(MEA!$T$5:$T$79,MEA!$F$5:$F$79,'MEA Capacity Data'!H$22,MEA!$U$5:$U$79,'MEA Capacity Data'!$A4)</f>
        <v>0</v>
      </c>
      <c r="I4" s="240">
        <f>SUMIFS(MEA!$R$5:$R$79,MEA!$F$5:$F$79,'MEA Capacity Data'!I$2,MEA!$U$5:$U$79,'MEA Capacity Data'!$A4)+SUMIFS(MEA!$T$5:$T$79,MEA!$F$5:$F$79,'MEA Capacity Data'!I$22,MEA!$U$5:$U$79,'MEA Capacity Data'!$A4)</f>
        <v>0</v>
      </c>
      <c r="J4" s="240">
        <f>SUMIFS(MEA!$R$5:$R$79,MEA!$F$5:$F$79,'MEA Capacity Data'!J$2,MEA!$U$5:$U$79,'MEA Capacity Data'!$A4)+SUMIFS(MEA!$T$5:$T$79,MEA!$F$5:$F$79,'MEA Capacity Data'!J$22,MEA!$U$5:$U$79,'MEA Capacity Data'!$A4)</f>
        <v>28.627500000000001</v>
      </c>
      <c r="K4" s="240">
        <f>SUMIFS(MEA!$R$5:$R$79,MEA!$F$5:$F$79,'MEA Capacity Data'!K$2,MEA!$U$5:$U$79,'MEA Capacity Data'!$A4)+SUMIFS(MEA!$T$5:$T$79,MEA!$F$5:$F$79,'MEA Capacity Data'!K$22,MEA!$U$5:$U$79,'MEA Capacity Data'!$A4)</f>
        <v>0</v>
      </c>
      <c r="L4" s="240">
        <f>SUMIFS(MEA!$R$5:$R$79,MEA!$F$5:$F$79,'MEA Capacity Data'!L$2,MEA!$U$5:$U$79,'MEA Capacity Data'!$A4)+SUMIFS(MEA!$T$5:$T$79,MEA!$F$5:$F$79,'MEA Capacity Data'!L$22,MEA!$U$5:$U$79,'MEA Capacity Data'!$A4)</f>
        <v>0</v>
      </c>
      <c r="M4" s="240">
        <f>SUMIFS(MEA!$R$5:$R$79,MEA!$F$5:$F$79,'MEA Capacity Data'!M$2,MEA!$U$5:$U$79,'MEA Capacity Data'!$A4)+SUMIFS(MEA!$T$5:$T$79,MEA!$F$5:$F$79,'MEA Capacity Data'!M$22,MEA!$U$5:$U$79,'MEA Capacity Data'!$A4)</f>
        <v>0</v>
      </c>
      <c r="N4" s="240">
        <f>SUMIFS(MEA!$R$5:$R$79,MEA!$F$5:$F$79,'MEA Capacity Data'!N$2,MEA!$U$5:$U$79,'MEA Capacity Data'!$A4)+SUMIFS(MEA!$T$5:$T$79,MEA!$F$5:$F$79,'MEA Capacity Data'!N$22,MEA!$U$5:$U$79,'MEA Capacity Data'!$A4)</f>
        <v>13.012499999999999</v>
      </c>
      <c r="O4" s="240">
        <f>SUMIFS(MEA!$R$5:$R$79,MEA!$F$5:$F$79,'MEA Capacity Data'!O$2,MEA!$U$5:$U$79,'MEA Capacity Data'!$A4)+SUMIFS(MEA!$T$5:$T$79,MEA!$F$5:$F$79,'MEA Capacity Data'!O$22,MEA!$U$5:$U$79,'MEA Capacity Data'!$A4)</f>
        <v>0</v>
      </c>
      <c r="P4" s="240">
        <f>SUMIFS(MEA!$R$5:$R$79,MEA!$F$5:$F$79,'MEA Capacity Data'!P$2,MEA!$U$5:$U$79,'MEA Capacity Data'!$A4)+SUMIFS(MEA!$T$5:$T$79,MEA!$F$5:$F$79,'MEA Capacity Data'!P$22,MEA!$U$5:$U$79,'MEA Capacity Data'!$A4)</f>
        <v>0</v>
      </c>
      <c r="Q4" s="240">
        <f>SUMIFS(MEA!$R$5:$R$79,MEA!$F$5:$F$79,'MEA Capacity Data'!Q$2,MEA!$U$5:$U$79,'MEA Capacity Data'!$A4)+SUMIFS(MEA!$T$5:$T$79,MEA!$F$5:$F$79,'MEA Capacity Data'!Q$22,MEA!$U$5:$U$79,'MEA Capacity Data'!$A4)</f>
        <v>0</v>
      </c>
    </row>
    <row r="5" spans="1:17" ht="15" customHeight="1">
      <c r="A5" s="9" t="s">
        <v>7</v>
      </c>
      <c r="B5" s="239">
        <f>SUMIFS(MEA!$R$5:$R$79,MEA!$F$5:$F$79,"&lt;"&amp;'MEA Capacity Data'!C$2,MEA!$U$5:$U$79,'MEA Capacity Data'!$A5)+SUMIFS(MEA!$T$5:$T$79,MEA!$F$5:$F$79,"&lt;"&amp;'MEA Capacity Data'!C$2,MEA!$U$5:$U$79,'MEA Capacity Data'!$A5)</f>
        <v>0</v>
      </c>
      <c r="C5" s="239">
        <f>SUMIFS(MEA!$R$5:$R$79,MEA!$F$5:$F$79,'MEA Capacity Data'!C$2,MEA!$U$5:$U$79,'MEA Capacity Data'!$A5)+SUMIFS(MEA!$T$5:$T$79,MEA!$F$5:$F$79,'MEA Capacity Data'!C$22,MEA!$U$5:$U$79,'MEA Capacity Data'!$A5)</f>
        <v>0</v>
      </c>
      <c r="D5" s="239">
        <f>SUMIFS(MEA!$R$5:$R$79,MEA!$F$5:$F$79,'MEA Capacity Data'!D$2,MEA!$U$5:$U$79,'MEA Capacity Data'!$A5)+SUMIFS(MEA!$T$5:$T$79,MEA!$F$5:$F$79,'MEA Capacity Data'!D$22,MEA!$U$5:$U$79,'MEA Capacity Data'!$A5)</f>
        <v>0</v>
      </c>
      <c r="E5" s="239">
        <f>SUMIFS(MEA!$R$5:$R$79,MEA!$F$5:$F$79,'MEA Capacity Data'!E$2,MEA!$U$5:$U$79,'MEA Capacity Data'!$A5)+SUMIFS(MEA!$T$5:$T$79,MEA!$F$5:$F$79,'MEA Capacity Data'!E$22,MEA!$U$5:$U$79,'MEA Capacity Data'!$A5)</f>
        <v>0</v>
      </c>
      <c r="F5" s="240">
        <f>SUMIFS(MEA!$R$5:$R$79,MEA!$F$5:$F$79,'MEA Capacity Data'!F$2,MEA!$U$5:$U$79,'MEA Capacity Data'!$A5)+SUMIFS(MEA!$T$5:$T$79,MEA!$F$5:$F$79,'MEA Capacity Data'!F$22,MEA!$U$5:$U$79,'MEA Capacity Data'!$A5)</f>
        <v>0</v>
      </c>
      <c r="G5" s="240">
        <f>SUMIFS(MEA!$R$5:$R$79,MEA!$F$5:$F$79,'MEA Capacity Data'!G$2,MEA!$U$5:$U$79,'MEA Capacity Data'!$A5)+SUMIFS(MEA!$T$5:$T$79,MEA!$F$5:$F$79,'MEA Capacity Data'!G$22,MEA!$U$5:$U$79,'MEA Capacity Data'!$A5)</f>
        <v>0</v>
      </c>
      <c r="H5" s="240">
        <f>SUMIFS(MEA!$R$5:$R$79,MEA!$F$5:$F$79,'MEA Capacity Data'!H$2,MEA!$U$5:$U$79,'MEA Capacity Data'!$A5)+SUMIFS(MEA!$T$5:$T$79,MEA!$F$5:$F$79,'MEA Capacity Data'!H$22,MEA!$U$5:$U$79,'MEA Capacity Data'!$A5)</f>
        <v>77</v>
      </c>
      <c r="I5" s="240">
        <f>SUMIFS(MEA!$R$5:$R$79,MEA!$F$5:$F$79,'MEA Capacity Data'!I$2,MEA!$U$5:$U$79,'MEA Capacity Data'!$A5)+SUMIFS(MEA!$T$5:$T$79,MEA!$F$5:$F$79,'MEA Capacity Data'!I$22,MEA!$U$5:$U$79,'MEA Capacity Data'!$A5)</f>
        <v>0</v>
      </c>
      <c r="J5" s="240">
        <f>SUMIFS(MEA!$R$5:$R$79,MEA!$F$5:$F$79,'MEA Capacity Data'!J$2,MEA!$U$5:$U$79,'MEA Capacity Data'!$A5)+SUMIFS(MEA!$T$5:$T$79,MEA!$F$5:$F$79,'MEA Capacity Data'!J$22,MEA!$U$5:$U$79,'MEA Capacity Data'!$A5)</f>
        <v>0</v>
      </c>
      <c r="K5" s="240">
        <f>SUMIFS(MEA!$R$5:$R$79,MEA!$F$5:$F$79,'MEA Capacity Data'!K$2,MEA!$U$5:$U$79,'MEA Capacity Data'!$A5)+SUMIFS(MEA!$T$5:$T$79,MEA!$F$5:$F$79,'MEA Capacity Data'!K$22,MEA!$U$5:$U$79,'MEA Capacity Data'!$A5)</f>
        <v>0</v>
      </c>
      <c r="L5" s="240">
        <f>SUMIFS(MEA!$R$5:$R$79,MEA!$F$5:$F$79,'MEA Capacity Data'!L$2,MEA!$U$5:$U$79,'MEA Capacity Data'!$A5)+SUMIFS(MEA!$T$5:$T$79,MEA!$F$5:$F$79,'MEA Capacity Data'!L$22,MEA!$U$5:$U$79,'MEA Capacity Data'!$A5)</f>
        <v>6</v>
      </c>
      <c r="M5" s="240">
        <f>SUMIFS(MEA!$R$5:$R$79,MEA!$F$5:$F$79,'MEA Capacity Data'!M$2,MEA!$U$5:$U$79,'MEA Capacity Data'!$A5)+SUMIFS(MEA!$T$5:$T$79,MEA!$F$5:$F$79,'MEA Capacity Data'!M$22,MEA!$U$5:$U$79,'MEA Capacity Data'!$A5)</f>
        <v>0</v>
      </c>
      <c r="N5" s="240">
        <f>SUMIFS(MEA!$R$5:$R$79,MEA!$F$5:$F$79,'MEA Capacity Data'!N$2,MEA!$U$5:$U$79,'MEA Capacity Data'!$A5)+SUMIFS(MEA!$T$5:$T$79,MEA!$F$5:$F$79,'MEA Capacity Data'!N$22,MEA!$U$5:$U$79,'MEA Capacity Data'!$A5)</f>
        <v>0</v>
      </c>
      <c r="O5" s="240">
        <f>SUMIFS(MEA!$R$5:$R$79,MEA!$F$5:$F$79,'MEA Capacity Data'!O$2,MEA!$U$5:$U$79,'MEA Capacity Data'!$A5)+SUMIFS(MEA!$T$5:$T$79,MEA!$F$5:$F$79,'MEA Capacity Data'!O$22,MEA!$U$5:$U$79,'MEA Capacity Data'!$A5)</f>
        <v>0</v>
      </c>
      <c r="P5" s="240">
        <f>SUMIFS(MEA!$R$5:$R$79,MEA!$F$5:$F$79,'MEA Capacity Data'!P$2,MEA!$U$5:$U$79,'MEA Capacity Data'!$A5)+SUMIFS(MEA!$T$5:$T$79,MEA!$F$5:$F$79,'MEA Capacity Data'!P$22,MEA!$U$5:$U$79,'MEA Capacity Data'!$A5)</f>
        <v>0</v>
      </c>
      <c r="Q5" s="240">
        <f>SUMIFS(MEA!$R$5:$R$79,MEA!$F$5:$F$79,'MEA Capacity Data'!Q$2,MEA!$U$5:$U$79,'MEA Capacity Data'!$A5)+SUMIFS(MEA!$T$5:$T$79,MEA!$F$5:$F$79,'MEA Capacity Data'!Q$22,MEA!$U$5:$U$79,'MEA Capacity Data'!$A5)</f>
        <v>0</v>
      </c>
    </row>
    <row r="6" spans="1:17" ht="15" customHeight="1">
      <c r="A6" s="9" t="s">
        <v>8</v>
      </c>
      <c r="B6" s="239">
        <f>SUMIFS(MEA!$R$5:$R$79,MEA!$F$5:$F$79,"&lt;"&amp;'MEA Capacity Data'!C$2,MEA!$U$5:$U$79,'MEA Capacity Data'!$A6)+SUMIFS(MEA!$T$5:$T$79,MEA!$F$5:$F$79,"&lt;"&amp;'MEA Capacity Data'!C$2,MEA!$U$5:$U$79,'MEA Capacity Data'!$A6)</f>
        <v>0</v>
      </c>
      <c r="C6" s="239">
        <f>SUMIFS(MEA!$R$5:$R$79,MEA!$F$5:$F$79,'MEA Capacity Data'!C$2,MEA!$U$5:$U$79,'MEA Capacity Data'!$A6)+SUMIFS(MEA!$T$5:$T$79,MEA!$F$5:$F$79,'MEA Capacity Data'!C$22,MEA!$U$5:$U$79,'MEA Capacity Data'!$A6)</f>
        <v>0</v>
      </c>
      <c r="D6" s="239">
        <f>SUMIFS(MEA!$R$5:$R$79,MEA!$F$5:$F$79,'MEA Capacity Data'!D$2,MEA!$U$5:$U$79,'MEA Capacity Data'!$A6)+SUMIFS(MEA!$T$5:$T$79,MEA!$F$5:$F$79,'MEA Capacity Data'!D$22,MEA!$U$5:$U$79,'MEA Capacity Data'!$A6)</f>
        <v>0</v>
      </c>
      <c r="E6" s="239">
        <f>SUMIFS(MEA!$R$5:$R$79,MEA!$F$5:$F$79,'MEA Capacity Data'!E$2,MEA!$U$5:$U$79,'MEA Capacity Data'!$A6)+SUMIFS(MEA!$T$5:$T$79,MEA!$F$5:$F$79,'MEA Capacity Data'!E$22,MEA!$U$5:$U$79,'MEA Capacity Data'!$A6)</f>
        <v>0</v>
      </c>
      <c r="F6" s="240">
        <f>SUMIFS(MEA!$R$5:$R$79,MEA!$F$5:$F$79,'MEA Capacity Data'!F$2,MEA!$U$5:$U$79,'MEA Capacity Data'!$A6)+SUMIFS(MEA!$T$5:$T$79,MEA!$F$5:$F$79,'MEA Capacity Data'!F$22,MEA!$U$5:$U$79,'MEA Capacity Data'!$A6)</f>
        <v>0</v>
      </c>
      <c r="G6" s="240">
        <f>SUMIFS(MEA!$R$5:$R$79,MEA!$F$5:$F$79,'MEA Capacity Data'!G$2,MEA!$U$5:$U$79,'MEA Capacity Data'!$A6)+SUMIFS(MEA!$T$5:$T$79,MEA!$F$5:$F$79,'MEA Capacity Data'!G$22,MEA!$U$5:$U$79,'MEA Capacity Data'!$A6)</f>
        <v>0</v>
      </c>
      <c r="H6" s="240">
        <f>SUMIFS(MEA!$R$5:$R$79,MEA!$F$5:$F$79,'MEA Capacity Data'!H$2,MEA!$U$5:$U$79,'MEA Capacity Data'!$A6)+SUMIFS(MEA!$T$5:$T$79,MEA!$F$5:$F$79,'MEA Capacity Data'!H$22,MEA!$U$5:$U$79,'MEA Capacity Data'!$A6)</f>
        <v>0</v>
      </c>
      <c r="I6" s="240">
        <f>SUMIFS(MEA!$R$5:$R$79,MEA!$F$5:$F$79,'MEA Capacity Data'!I$2,MEA!$U$5:$U$79,'MEA Capacity Data'!$A6)+SUMIFS(MEA!$T$5:$T$79,MEA!$F$5:$F$79,'MEA Capacity Data'!I$22,MEA!$U$5:$U$79,'MEA Capacity Data'!$A6)</f>
        <v>0</v>
      </c>
      <c r="J6" s="240">
        <f>SUMIFS(MEA!$R$5:$R$79,MEA!$F$5:$F$79,'MEA Capacity Data'!J$2,MEA!$U$5:$U$79,'MEA Capacity Data'!$A6)+SUMIFS(MEA!$T$5:$T$79,MEA!$F$5:$F$79,'MEA Capacity Data'!J$22,MEA!$U$5:$U$79,'MEA Capacity Data'!$A6)</f>
        <v>0</v>
      </c>
      <c r="K6" s="240">
        <f>SUMIFS(MEA!$R$5:$R$79,MEA!$F$5:$F$79,'MEA Capacity Data'!K$2,MEA!$U$5:$U$79,'MEA Capacity Data'!$A6)+SUMIFS(MEA!$T$5:$T$79,MEA!$F$5:$F$79,'MEA Capacity Data'!K$22,MEA!$U$5:$U$79,'MEA Capacity Data'!$A6)</f>
        <v>0</v>
      </c>
      <c r="L6" s="240">
        <f>SUMIFS(MEA!$R$5:$R$79,MEA!$F$5:$F$79,'MEA Capacity Data'!L$2,MEA!$U$5:$U$79,'MEA Capacity Data'!$A6)+SUMIFS(MEA!$T$5:$T$79,MEA!$F$5:$F$79,'MEA Capacity Data'!L$22,MEA!$U$5:$U$79,'MEA Capacity Data'!$A6)</f>
        <v>0</v>
      </c>
      <c r="M6" s="240">
        <f>SUMIFS(MEA!$R$5:$R$79,MEA!$F$5:$F$79,'MEA Capacity Data'!M$2,MEA!$U$5:$U$79,'MEA Capacity Data'!$A6)+SUMIFS(MEA!$T$5:$T$79,MEA!$F$5:$F$79,'MEA Capacity Data'!M$22,MEA!$U$5:$U$79,'MEA Capacity Data'!$A6)</f>
        <v>0</v>
      </c>
      <c r="N6" s="240">
        <f>SUMIFS(MEA!$R$5:$R$79,MEA!$F$5:$F$79,'MEA Capacity Data'!N$2,MEA!$U$5:$U$79,'MEA Capacity Data'!$A6)+SUMIFS(MEA!$T$5:$T$79,MEA!$F$5:$F$79,'MEA Capacity Data'!N$22,MEA!$U$5:$U$79,'MEA Capacity Data'!$A6)</f>
        <v>0</v>
      </c>
      <c r="O6" s="240">
        <f>SUMIFS(MEA!$R$5:$R$79,MEA!$F$5:$F$79,'MEA Capacity Data'!O$2,MEA!$U$5:$U$79,'MEA Capacity Data'!$A6)+SUMIFS(MEA!$T$5:$T$79,MEA!$F$5:$F$79,'MEA Capacity Data'!O$22,MEA!$U$5:$U$79,'MEA Capacity Data'!$A6)</f>
        <v>0</v>
      </c>
      <c r="P6" s="240">
        <f>SUMIFS(MEA!$R$5:$R$79,MEA!$F$5:$F$79,'MEA Capacity Data'!P$2,MEA!$U$5:$U$79,'MEA Capacity Data'!$A6)+SUMIFS(MEA!$T$5:$T$79,MEA!$F$5:$F$79,'MEA Capacity Data'!P$22,MEA!$U$5:$U$79,'MEA Capacity Data'!$A6)</f>
        <v>0</v>
      </c>
      <c r="Q6" s="240">
        <f>SUMIFS(MEA!$R$5:$R$79,MEA!$F$5:$F$79,'MEA Capacity Data'!Q$2,MEA!$U$5:$U$79,'MEA Capacity Data'!$A6)+SUMIFS(MEA!$T$5:$T$79,MEA!$F$5:$F$79,'MEA Capacity Data'!Q$22,MEA!$U$5:$U$79,'MEA Capacity Data'!$A6)</f>
        <v>0</v>
      </c>
    </row>
    <row r="7" spans="1:17" ht="15" customHeight="1">
      <c r="A7" s="9" t="s">
        <v>9</v>
      </c>
      <c r="B7" s="239">
        <f>SUMIFS(MEA!$R$5:$R$79,MEA!$F$5:$F$79,"&lt;"&amp;'MEA Capacity Data'!C$2,MEA!$U$5:$U$79,'MEA Capacity Data'!$A7)+SUMIFS(MEA!$T$5:$T$79,MEA!$F$5:$F$79,"&lt;"&amp;'MEA Capacity Data'!C$2,MEA!$U$5:$U$79,'MEA Capacity Data'!$A7)</f>
        <v>0</v>
      </c>
      <c r="C7" s="239">
        <f>SUMIFS(MEA!$R$5:$R$79,MEA!$F$5:$F$79,'MEA Capacity Data'!C$2,MEA!$U$5:$U$79,'MEA Capacity Data'!$A7)+SUMIFS(MEA!$T$5:$T$79,MEA!$F$5:$F$79,'MEA Capacity Data'!C$22,MEA!$U$5:$U$79,'MEA Capacity Data'!$A7)</f>
        <v>0</v>
      </c>
      <c r="D7" s="239">
        <f>SUMIFS(MEA!$R$5:$R$79,MEA!$F$5:$F$79,'MEA Capacity Data'!D$2,MEA!$U$5:$U$79,'MEA Capacity Data'!$A7)+SUMIFS(MEA!$T$5:$T$79,MEA!$F$5:$F$79,'MEA Capacity Data'!D$22,MEA!$U$5:$U$79,'MEA Capacity Data'!$A7)</f>
        <v>0</v>
      </c>
      <c r="E7" s="239">
        <f>SUMIFS(MEA!$R$5:$R$79,MEA!$F$5:$F$79,'MEA Capacity Data'!E$2,MEA!$U$5:$U$79,'MEA Capacity Data'!$A7)+SUMIFS(MEA!$T$5:$T$79,MEA!$F$5:$F$79,'MEA Capacity Data'!E$22,MEA!$U$5:$U$79,'MEA Capacity Data'!$A7)</f>
        <v>0</v>
      </c>
      <c r="F7" s="240">
        <f>SUMIFS(MEA!$R$5:$R$79,MEA!$F$5:$F$79,'MEA Capacity Data'!F$2,MEA!$U$5:$U$79,'MEA Capacity Data'!$A7)+SUMIFS(MEA!$T$5:$T$79,MEA!$F$5:$F$79,'MEA Capacity Data'!F$22,MEA!$U$5:$U$79,'MEA Capacity Data'!$A7)</f>
        <v>0</v>
      </c>
      <c r="G7" s="240">
        <f>SUMIFS(MEA!$R$5:$R$79,MEA!$F$5:$F$79,'MEA Capacity Data'!G$2,MEA!$U$5:$U$79,'MEA Capacity Data'!$A7)+SUMIFS(MEA!$T$5:$T$79,MEA!$F$5:$F$79,'MEA Capacity Data'!G$22,MEA!$U$5:$U$79,'MEA Capacity Data'!$A7)</f>
        <v>0</v>
      </c>
      <c r="H7" s="240">
        <f>SUMIFS(MEA!$R$5:$R$79,MEA!$F$5:$F$79,'MEA Capacity Data'!H$2,MEA!$U$5:$U$79,'MEA Capacity Data'!$A7)+SUMIFS(MEA!$T$5:$T$79,MEA!$F$5:$F$79,'MEA Capacity Data'!H$22,MEA!$U$5:$U$79,'MEA Capacity Data'!$A7)</f>
        <v>0</v>
      </c>
      <c r="I7" s="240">
        <f>SUMIFS(MEA!$R$5:$R$79,MEA!$F$5:$F$79,'MEA Capacity Data'!I$2,MEA!$U$5:$U$79,'MEA Capacity Data'!$A7)+SUMIFS(MEA!$T$5:$T$79,MEA!$F$5:$F$79,'MEA Capacity Data'!I$22,MEA!$U$5:$U$79,'MEA Capacity Data'!$A7)</f>
        <v>0</v>
      </c>
      <c r="J7" s="240">
        <f>SUMIFS(MEA!$R$5:$R$79,MEA!$F$5:$F$79,'MEA Capacity Data'!J$2,MEA!$U$5:$U$79,'MEA Capacity Data'!$A7)+SUMIFS(MEA!$T$5:$T$79,MEA!$F$5:$F$79,'MEA Capacity Data'!J$22,MEA!$U$5:$U$79,'MEA Capacity Data'!$A7)</f>
        <v>0</v>
      </c>
      <c r="K7" s="240">
        <f>SUMIFS(MEA!$R$5:$R$79,MEA!$F$5:$F$79,'MEA Capacity Data'!K$2,MEA!$U$5:$U$79,'MEA Capacity Data'!$A7)+SUMIFS(MEA!$T$5:$T$79,MEA!$F$5:$F$79,'MEA Capacity Data'!K$22,MEA!$U$5:$U$79,'MEA Capacity Data'!$A7)</f>
        <v>0</v>
      </c>
      <c r="L7" s="240">
        <f>SUMIFS(MEA!$R$5:$R$79,MEA!$F$5:$F$79,'MEA Capacity Data'!L$2,MEA!$U$5:$U$79,'MEA Capacity Data'!$A7)+SUMIFS(MEA!$T$5:$T$79,MEA!$F$5:$F$79,'MEA Capacity Data'!L$22,MEA!$U$5:$U$79,'MEA Capacity Data'!$A7)</f>
        <v>0</v>
      </c>
      <c r="M7" s="240">
        <f>SUMIFS(MEA!$R$5:$R$79,MEA!$F$5:$F$79,'MEA Capacity Data'!M$2,MEA!$U$5:$U$79,'MEA Capacity Data'!$A7)+SUMIFS(MEA!$T$5:$T$79,MEA!$F$5:$F$79,'MEA Capacity Data'!M$22,MEA!$U$5:$U$79,'MEA Capacity Data'!$A7)</f>
        <v>0</v>
      </c>
      <c r="N7" s="240">
        <f>SUMIFS(MEA!$R$5:$R$79,MEA!$F$5:$F$79,'MEA Capacity Data'!N$2,MEA!$U$5:$U$79,'MEA Capacity Data'!$A7)+SUMIFS(MEA!$T$5:$T$79,MEA!$F$5:$F$79,'MEA Capacity Data'!N$22,MEA!$U$5:$U$79,'MEA Capacity Data'!$A7)</f>
        <v>0</v>
      </c>
      <c r="O7" s="240">
        <f>SUMIFS(MEA!$R$5:$R$79,MEA!$F$5:$F$79,'MEA Capacity Data'!O$2,MEA!$U$5:$U$79,'MEA Capacity Data'!$A7)+SUMIFS(MEA!$T$5:$T$79,MEA!$F$5:$F$79,'MEA Capacity Data'!O$22,MEA!$U$5:$U$79,'MEA Capacity Data'!$A7)</f>
        <v>0</v>
      </c>
      <c r="P7" s="240">
        <f>SUMIFS(MEA!$R$5:$R$79,MEA!$F$5:$F$79,'MEA Capacity Data'!P$2,MEA!$U$5:$U$79,'MEA Capacity Data'!$A7)+SUMIFS(MEA!$T$5:$T$79,MEA!$F$5:$F$79,'MEA Capacity Data'!P$22,MEA!$U$5:$U$79,'MEA Capacity Data'!$A7)</f>
        <v>0</v>
      </c>
      <c r="Q7" s="240">
        <f>SUMIFS(MEA!$R$5:$R$79,MEA!$F$5:$F$79,'MEA Capacity Data'!Q$2,MEA!$U$5:$U$79,'MEA Capacity Data'!$A7)+SUMIFS(MEA!$T$5:$T$79,MEA!$F$5:$F$79,'MEA Capacity Data'!Q$22,MEA!$U$5:$U$79,'MEA Capacity Data'!$A7)</f>
        <v>0</v>
      </c>
    </row>
    <row r="8" spans="1:17" ht="15" customHeight="1">
      <c r="A8" s="9" t="s">
        <v>10</v>
      </c>
      <c r="B8" s="239">
        <f>SUMIFS(MEA!$R$5:$R$79,MEA!$F$5:$F$79,"&lt;"&amp;'MEA Capacity Data'!C$2,MEA!$U$5:$U$79,'MEA Capacity Data'!$A8)+SUMIFS(MEA!$T$5:$T$79,MEA!$F$5:$F$79,"&lt;"&amp;'MEA Capacity Data'!C$2,MEA!$U$5:$U$79,'MEA Capacity Data'!$A8)</f>
        <v>0</v>
      </c>
      <c r="C8" s="239">
        <f>SUMIFS(MEA!$R$5:$R$79,MEA!$F$5:$F$79,'MEA Capacity Data'!C$2,MEA!$U$5:$U$79,'MEA Capacity Data'!$A8)+SUMIFS(MEA!$T$5:$T$79,MEA!$F$5:$F$79,'MEA Capacity Data'!C$22,MEA!$U$5:$U$79,'MEA Capacity Data'!$A8)</f>
        <v>0</v>
      </c>
      <c r="D8" s="239">
        <f>SUMIFS(MEA!$R$5:$R$79,MEA!$F$5:$F$79,'MEA Capacity Data'!D$2,MEA!$U$5:$U$79,'MEA Capacity Data'!$A8)+SUMIFS(MEA!$T$5:$T$79,MEA!$F$5:$F$79,'MEA Capacity Data'!D$22,MEA!$U$5:$U$79,'MEA Capacity Data'!$A8)</f>
        <v>0</v>
      </c>
      <c r="E8" s="239">
        <f>SUMIFS(MEA!$R$5:$R$79,MEA!$F$5:$F$79,'MEA Capacity Data'!E$2,MEA!$U$5:$U$79,'MEA Capacity Data'!$A8)+SUMIFS(MEA!$T$5:$T$79,MEA!$F$5:$F$79,'MEA Capacity Data'!E$22,MEA!$U$5:$U$79,'MEA Capacity Data'!$A8)</f>
        <v>11</v>
      </c>
      <c r="F8" s="240">
        <f>SUMIFS(MEA!$R$5:$R$79,MEA!$F$5:$F$79,'MEA Capacity Data'!F$2,MEA!$U$5:$U$79,'MEA Capacity Data'!$A8)+SUMIFS(MEA!$T$5:$T$79,MEA!$F$5:$F$79,'MEA Capacity Data'!F$22,MEA!$U$5:$U$79,'MEA Capacity Data'!$A8)</f>
        <v>0</v>
      </c>
      <c r="G8" s="240">
        <f>SUMIFS(MEA!$R$5:$R$79,MEA!$F$5:$F$79,'MEA Capacity Data'!G$2,MEA!$U$5:$U$79,'MEA Capacity Data'!$A8)+SUMIFS(MEA!$T$5:$T$79,MEA!$F$5:$F$79,'MEA Capacity Data'!G$22,MEA!$U$5:$U$79,'MEA Capacity Data'!$A8)</f>
        <v>0</v>
      </c>
      <c r="H8" s="240">
        <f>SUMIFS(MEA!$R$5:$R$79,MEA!$F$5:$F$79,'MEA Capacity Data'!H$2,MEA!$U$5:$U$79,'MEA Capacity Data'!$A8)+SUMIFS(MEA!$T$5:$T$79,MEA!$F$5:$F$79,'MEA Capacity Data'!H$22,MEA!$U$5:$U$79,'MEA Capacity Data'!$A8)</f>
        <v>15</v>
      </c>
      <c r="I8" s="240">
        <f>SUMIFS(MEA!$R$5:$R$79,MEA!$F$5:$F$79,'MEA Capacity Data'!I$2,MEA!$U$5:$U$79,'MEA Capacity Data'!$A8)+SUMIFS(MEA!$T$5:$T$79,MEA!$F$5:$F$79,'MEA Capacity Data'!I$22,MEA!$U$5:$U$79,'MEA Capacity Data'!$A8)</f>
        <v>0</v>
      </c>
      <c r="J8" s="240">
        <f>SUMIFS(MEA!$R$5:$R$79,MEA!$F$5:$F$79,'MEA Capacity Data'!J$2,MEA!$U$5:$U$79,'MEA Capacity Data'!$A8)+SUMIFS(MEA!$T$5:$T$79,MEA!$F$5:$F$79,'MEA Capacity Data'!J$22,MEA!$U$5:$U$79,'MEA Capacity Data'!$A8)</f>
        <v>0</v>
      </c>
      <c r="K8" s="240">
        <f>SUMIFS(MEA!$R$5:$R$79,MEA!$F$5:$F$79,'MEA Capacity Data'!K$2,MEA!$U$5:$U$79,'MEA Capacity Data'!$A8)+SUMIFS(MEA!$T$5:$T$79,MEA!$F$5:$F$79,'MEA Capacity Data'!K$22,MEA!$U$5:$U$79,'MEA Capacity Data'!$A8)</f>
        <v>28.6</v>
      </c>
      <c r="L8" s="240">
        <f>SUMIFS(MEA!$R$5:$R$79,MEA!$F$5:$F$79,'MEA Capacity Data'!L$2,MEA!$U$5:$U$79,'MEA Capacity Data'!$A8)+SUMIFS(MEA!$T$5:$T$79,MEA!$F$5:$F$79,'MEA Capacity Data'!L$22,MEA!$U$5:$U$79,'MEA Capacity Data'!$A8)</f>
        <v>0</v>
      </c>
      <c r="M8" s="240">
        <f>SUMIFS(MEA!$R$5:$R$79,MEA!$F$5:$F$79,'MEA Capacity Data'!M$2,MEA!$U$5:$U$79,'MEA Capacity Data'!$A8)+SUMIFS(MEA!$T$5:$T$79,MEA!$F$5:$F$79,'MEA Capacity Data'!M$22,MEA!$U$5:$U$79,'MEA Capacity Data'!$A8)</f>
        <v>0</v>
      </c>
      <c r="N8" s="240">
        <f>SUMIFS(MEA!$R$5:$R$79,MEA!$F$5:$F$79,'MEA Capacity Data'!N$2,MEA!$U$5:$U$79,'MEA Capacity Data'!$A8)+SUMIFS(MEA!$T$5:$T$79,MEA!$F$5:$F$79,'MEA Capacity Data'!N$22,MEA!$U$5:$U$79,'MEA Capacity Data'!$A8)</f>
        <v>0</v>
      </c>
      <c r="O8" s="240">
        <f>SUMIFS(MEA!$R$5:$R$79,MEA!$F$5:$F$79,'MEA Capacity Data'!O$2,MEA!$U$5:$U$79,'MEA Capacity Data'!$A8)+SUMIFS(MEA!$T$5:$T$79,MEA!$F$5:$F$79,'MEA Capacity Data'!O$22,MEA!$U$5:$U$79,'MEA Capacity Data'!$A8)</f>
        <v>0</v>
      </c>
      <c r="P8" s="240">
        <f>SUMIFS(MEA!$R$5:$R$79,MEA!$F$5:$F$79,'MEA Capacity Data'!P$2,MEA!$U$5:$U$79,'MEA Capacity Data'!$A8)+SUMIFS(MEA!$T$5:$T$79,MEA!$F$5:$F$79,'MEA Capacity Data'!P$22,MEA!$U$5:$U$79,'MEA Capacity Data'!$A8)</f>
        <v>0</v>
      </c>
      <c r="Q8" s="240">
        <f>SUMIFS(MEA!$R$5:$R$79,MEA!$F$5:$F$79,'MEA Capacity Data'!Q$2,MEA!$U$5:$U$79,'MEA Capacity Data'!$A8)+SUMIFS(MEA!$T$5:$T$79,MEA!$F$5:$F$79,'MEA Capacity Data'!Q$22,MEA!$U$5:$U$79,'MEA Capacity Data'!$A8)</f>
        <v>0</v>
      </c>
    </row>
    <row r="9" spans="1:17" ht="15" customHeight="1" thickBot="1">
      <c r="A9" s="11" t="s">
        <v>11</v>
      </c>
      <c r="B9" s="241">
        <f>SUM(B3:B8)</f>
        <v>0</v>
      </c>
      <c r="C9" s="241">
        <f>SUM(C3:C8)</f>
        <v>0</v>
      </c>
      <c r="D9" s="241">
        <f t="shared" ref="D9:Q9" si="0">SUM(D3:D8)</f>
        <v>0</v>
      </c>
      <c r="E9" s="241">
        <f t="shared" si="0"/>
        <v>11</v>
      </c>
      <c r="F9" s="242">
        <f t="shared" si="0"/>
        <v>0</v>
      </c>
      <c r="G9" s="242">
        <f t="shared" si="0"/>
        <v>0</v>
      </c>
      <c r="H9" s="242">
        <f t="shared" si="0"/>
        <v>107</v>
      </c>
      <c r="I9" s="242">
        <f t="shared" si="0"/>
        <v>14.313750000000001</v>
      </c>
      <c r="J9" s="242">
        <f t="shared" si="0"/>
        <v>42.941250000000004</v>
      </c>
      <c r="K9" s="242">
        <f t="shared" si="0"/>
        <v>28.6</v>
      </c>
      <c r="L9" s="242">
        <f t="shared" si="0"/>
        <v>6</v>
      </c>
      <c r="M9" s="242">
        <f t="shared" si="0"/>
        <v>0</v>
      </c>
      <c r="N9" s="242">
        <f t="shared" si="0"/>
        <v>25.512499999999999</v>
      </c>
      <c r="O9" s="242">
        <f t="shared" si="0"/>
        <v>0</v>
      </c>
      <c r="P9" s="242">
        <f t="shared" si="0"/>
        <v>0</v>
      </c>
      <c r="Q9" s="242">
        <f t="shared" si="0"/>
        <v>0</v>
      </c>
    </row>
    <row r="10" spans="1:17" ht="15" customHeight="1">
      <c r="A10" s="14"/>
      <c r="B10" s="15"/>
      <c r="C10" s="15"/>
      <c r="D10" s="15"/>
      <c r="E10" s="15"/>
      <c r="F10" s="15"/>
      <c r="G10" s="15"/>
      <c r="H10" s="15"/>
      <c r="I10" s="15"/>
      <c r="J10" s="15"/>
      <c r="K10" s="15"/>
      <c r="L10" s="15"/>
      <c r="M10" s="15"/>
      <c r="N10" s="15"/>
      <c r="O10" s="15"/>
      <c r="P10" s="15"/>
      <c r="Q10" s="15"/>
    </row>
    <row r="11" spans="1:17" ht="15" customHeight="1" thickBot="1">
      <c r="A11" s="16" t="s">
        <v>1193</v>
      </c>
      <c r="B11" s="15"/>
      <c r="C11" s="15"/>
      <c r="D11" s="15"/>
      <c r="E11" s="15"/>
      <c r="F11" s="15"/>
      <c r="G11" s="15"/>
      <c r="H11" s="15"/>
      <c r="I11" s="15"/>
      <c r="J11" s="15"/>
      <c r="K11" s="15"/>
      <c r="L11" s="15"/>
      <c r="M11" s="15"/>
      <c r="N11" s="15"/>
      <c r="O11" s="15"/>
      <c r="P11" s="15"/>
    </row>
    <row r="12" spans="1:17" ht="15" customHeight="1" thickBot="1">
      <c r="A12" s="17" t="s">
        <v>3</v>
      </c>
      <c r="B12" s="18" t="str">
        <f t="shared" ref="B12:B18" si="1">B2</f>
        <v>&lt; 2021</v>
      </c>
      <c r="C12" s="18">
        <f t="shared" ref="C12:Q12" si="2">C2</f>
        <v>2021</v>
      </c>
      <c r="D12" s="18">
        <f t="shared" si="2"/>
        <v>2022</v>
      </c>
      <c r="E12" s="18">
        <f t="shared" si="2"/>
        <v>2023</v>
      </c>
      <c r="F12" s="18">
        <f t="shared" si="2"/>
        <v>2024</v>
      </c>
      <c r="G12" s="18">
        <f t="shared" si="2"/>
        <v>2025</v>
      </c>
      <c r="H12" s="18">
        <f t="shared" si="2"/>
        <v>2026</v>
      </c>
      <c r="I12" s="18">
        <f t="shared" si="2"/>
        <v>2027</v>
      </c>
      <c r="J12" s="18">
        <f t="shared" si="2"/>
        <v>2028</v>
      </c>
      <c r="K12" s="18">
        <f t="shared" si="2"/>
        <v>2029</v>
      </c>
      <c r="L12" s="18">
        <f t="shared" si="2"/>
        <v>2030</v>
      </c>
      <c r="M12" s="18">
        <f t="shared" si="2"/>
        <v>2031</v>
      </c>
      <c r="N12" s="18">
        <f t="shared" si="2"/>
        <v>2032</v>
      </c>
      <c r="O12" s="18">
        <f t="shared" si="2"/>
        <v>2033</v>
      </c>
      <c r="P12" s="18">
        <f t="shared" si="2"/>
        <v>2034</v>
      </c>
      <c r="Q12" s="18">
        <f t="shared" si="2"/>
        <v>2035</v>
      </c>
    </row>
    <row r="13" spans="1:17" ht="15" customHeight="1">
      <c r="A13" s="19" t="s">
        <v>5</v>
      </c>
      <c r="B13" s="10">
        <f t="shared" si="1"/>
        <v>0</v>
      </c>
      <c r="C13" s="10">
        <f t="shared" ref="C13:Q13" si="3">B13+C3</f>
        <v>0</v>
      </c>
      <c r="D13" s="10">
        <f t="shared" si="3"/>
        <v>0</v>
      </c>
      <c r="E13" s="10">
        <f t="shared" si="3"/>
        <v>0</v>
      </c>
      <c r="F13" s="8">
        <f t="shared" si="3"/>
        <v>0</v>
      </c>
      <c r="G13" s="8">
        <f t="shared" si="3"/>
        <v>0</v>
      </c>
      <c r="H13" s="8">
        <f t="shared" si="3"/>
        <v>15</v>
      </c>
      <c r="I13" s="8">
        <f t="shared" si="3"/>
        <v>29.313749999999999</v>
      </c>
      <c r="J13" s="8">
        <f t="shared" si="3"/>
        <v>43.627499999999998</v>
      </c>
      <c r="K13" s="8">
        <f t="shared" si="3"/>
        <v>43.627499999999998</v>
      </c>
      <c r="L13" s="8">
        <f t="shared" si="3"/>
        <v>43.627499999999998</v>
      </c>
      <c r="M13" s="8">
        <f t="shared" si="3"/>
        <v>43.627499999999998</v>
      </c>
      <c r="N13" s="8">
        <f t="shared" si="3"/>
        <v>56.127499999999998</v>
      </c>
      <c r="O13" s="8">
        <f t="shared" si="3"/>
        <v>56.127499999999998</v>
      </c>
      <c r="P13" s="8">
        <f t="shared" si="3"/>
        <v>56.127499999999998</v>
      </c>
      <c r="Q13" s="8">
        <f t="shared" si="3"/>
        <v>56.127499999999998</v>
      </c>
    </row>
    <row r="14" spans="1:17" ht="15" customHeight="1">
      <c r="A14" s="20" t="s">
        <v>6</v>
      </c>
      <c r="B14" s="10">
        <f t="shared" si="1"/>
        <v>0</v>
      </c>
      <c r="C14" s="10">
        <f t="shared" ref="C14:Q14" si="4">B14+C4</f>
        <v>0</v>
      </c>
      <c r="D14" s="10">
        <f t="shared" si="4"/>
        <v>0</v>
      </c>
      <c r="E14" s="10">
        <f t="shared" si="4"/>
        <v>0</v>
      </c>
      <c r="F14" s="8">
        <f t="shared" si="4"/>
        <v>0</v>
      </c>
      <c r="G14" s="8">
        <f t="shared" si="4"/>
        <v>0</v>
      </c>
      <c r="H14" s="8">
        <f t="shared" si="4"/>
        <v>0</v>
      </c>
      <c r="I14" s="8">
        <f t="shared" si="4"/>
        <v>0</v>
      </c>
      <c r="J14" s="8">
        <f t="shared" si="4"/>
        <v>28.627500000000001</v>
      </c>
      <c r="K14" s="8">
        <f t="shared" si="4"/>
        <v>28.627500000000001</v>
      </c>
      <c r="L14" s="8">
        <f t="shared" si="4"/>
        <v>28.627500000000001</v>
      </c>
      <c r="M14" s="8">
        <f t="shared" si="4"/>
        <v>28.627500000000001</v>
      </c>
      <c r="N14" s="8">
        <f t="shared" si="4"/>
        <v>41.64</v>
      </c>
      <c r="O14" s="8">
        <f t="shared" si="4"/>
        <v>41.64</v>
      </c>
      <c r="P14" s="8">
        <f t="shared" si="4"/>
        <v>41.64</v>
      </c>
      <c r="Q14" s="8">
        <f t="shared" si="4"/>
        <v>41.64</v>
      </c>
    </row>
    <row r="15" spans="1:17" ht="15" customHeight="1">
      <c r="A15" s="20" t="s">
        <v>7</v>
      </c>
      <c r="B15" s="10">
        <f t="shared" si="1"/>
        <v>0</v>
      </c>
      <c r="C15" s="10">
        <f t="shared" ref="C15:P18" si="5">B15+C5</f>
        <v>0</v>
      </c>
      <c r="D15" s="10">
        <f t="shared" si="5"/>
        <v>0</v>
      </c>
      <c r="E15" s="10">
        <f t="shared" si="5"/>
        <v>0</v>
      </c>
      <c r="F15" s="8">
        <f t="shared" si="5"/>
        <v>0</v>
      </c>
      <c r="G15" s="8">
        <f t="shared" si="5"/>
        <v>0</v>
      </c>
      <c r="H15" s="8">
        <f t="shared" si="5"/>
        <v>77</v>
      </c>
      <c r="I15" s="8">
        <f t="shared" si="5"/>
        <v>77</v>
      </c>
      <c r="J15" s="8">
        <f t="shared" si="5"/>
        <v>77</v>
      </c>
      <c r="K15" s="8">
        <f t="shared" si="5"/>
        <v>77</v>
      </c>
      <c r="L15" s="8">
        <f t="shared" si="5"/>
        <v>83</v>
      </c>
      <c r="M15" s="8">
        <f t="shared" si="5"/>
        <v>83</v>
      </c>
      <c r="N15" s="8">
        <f t="shared" si="5"/>
        <v>83</v>
      </c>
      <c r="O15" s="8">
        <f t="shared" si="5"/>
        <v>83</v>
      </c>
      <c r="P15" s="8">
        <f t="shared" si="5"/>
        <v>83</v>
      </c>
      <c r="Q15" s="8">
        <f>P15+Q5</f>
        <v>83</v>
      </c>
    </row>
    <row r="16" spans="1:17" ht="15" customHeight="1">
      <c r="A16" s="20" t="s">
        <v>8</v>
      </c>
      <c r="B16" s="10">
        <f t="shared" si="1"/>
        <v>0</v>
      </c>
      <c r="C16" s="10">
        <f t="shared" si="5"/>
        <v>0</v>
      </c>
      <c r="D16" s="10">
        <f t="shared" si="5"/>
        <v>0</v>
      </c>
      <c r="E16" s="10">
        <f t="shared" si="5"/>
        <v>0</v>
      </c>
      <c r="F16" s="8">
        <f t="shared" si="5"/>
        <v>0</v>
      </c>
      <c r="G16" s="8">
        <f t="shared" si="5"/>
        <v>0</v>
      </c>
      <c r="H16" s="8">
        <f t="shared" si="5"/>
        <v>0</v>
      </c>
      <c r="I16" s="8">
        <f t="shared" si="5"/>
        <v>0</v>
      </c>
      <c r="J16" s="8">
        <f t="shared" si="5"/>
        <v>0</v>
      </c>
      <c r="K16" s="8">
        <f t="shared" si="5"/>
        <v>0</v>
      </c>
      <c r="L16" s="8">
        <f t="shared" si="5"/>
        <v>0</v>
      </c>
      <c r="M16" s="8">
        <f t="shared" si="5"/>
        <v>0</v>
      </c>
      <c r="N16" s="8">
        <f t="shared" si="5"/>
        <v>0</v>
      </c>
      <c r="O16" s="8">
        <f t="shared" si="5"/>
        <v>0</v>
      </c>
      <c r="P16" s="8">
        <f t="shared" si="5"/>
        <v>0</v>
      </c>
      <c r="Q16" s="8">
        <f>P16+Q6</f>
        <v>0</v>
      </c>
    </row>
    <row r="17" spans="1:17" ht="15" customHeight="1">
      <c r="A17" s="20" t="s">
        <v>9</v>
      </c>
      <c r="B17" s="10">
        <f t="shared" si="1"/>
        <v>0</v>
      </c>
      <c r="C17" s="10">
        <f t="shared" si="5"/>
        <v>0</v>
      </c>
      <c r="D17" s="10">
        <f t="shared" si="5"/>
        <v>0</v>
      </c>
      <c r="E17" s="10">
        <f t="shared" si="5"/>
        <v>0</v>
      </c>
      <c r="F17" s="8">
        <f t="shared" si="5"/>
        <v>0</v>
      </c>
      <c r="G17" s="8">
        <f t="shared" si="5"/>
        <v>0</v>
      </c>
      <c r="H17" s="8">
        <f t="shared" si="5"/>
        <v>0</v>
      </c>
      <c r="I17" s="8">
        <f t="shared" si="5"/>
        <v>0</v>
      </c>
      <c r="J17" s="8">
        <f t="shared" si="5"/>
        <v>0</v>
      </c>
      <c r="K17" s="8">
        <f t="shared" si="5"/>
        <v>0</v>
      </c>
      <c r="L17" s="8">
        <f t="shared" si="5"/>
        <v>0</v>
      </c>
      <c r="M17" s="8">
        <f t="shared" si="5"/>
        <v>0</v>
      </c>
      <c r="N17" s="8">
        <f t="shared" si="5"/>
        <v>0</v>
      </c>
      <c r="O17" s="8">
        <f t="shared" si="5"/>
        <v>0</v>
      </c>
      <c r="P17" s="8">
        <f t="shared" si="5"/>
        <v>0</v>
      </c>
      <c r="Q17" s="8">
        <f>P17+Q7</f>
        <v>0</v>
      </c>
    </row>
    <row r="18" spans="1:17" ht="15" customHeight="1">
      <c r="A18" s="20" t="s">
        <v>10</v>
      </c>
      <c r="B18" s="10">
        <f t="shared" si="1"/>
        <v>0</v>
      </c>
      <c r="C18" s="10">
        <f t="shared" si="5"/>
        <v>0</v>
      </c>
      <c r="D18" s="10">
        <f t="shared" si="5"/>
        <v>0</v>
      </c>
      <c r="E18" s="10">
        <f t="shared" si="5"/>
        <v>11</v>
      </c>
      <c r="F18" s="8">
        <f t="shared" si="5"/>
        <v>11</v>
      </c>
      <c r="G18" s="8">
        <f t="shared" si="5"/>
        <v>11</v>
      </c>
      <c r="H18" s="8">
        <f t="shared" si="5"/>
        <v>26</v>
      </c>
      <c r="I18" s="8">
        <f t="shared" si="5"/>
        <v>26</v>
      </c>
      <c r="J18" s="8">
        <f t="shared" si="5"/>
        <v>26</v>
      </c>
      <c r="K18" s="8">
        <f t="shared" si="5"/>
        <v>54.6</v>
      </c>
      <c r="L18" s="8">
        <f t="shared" si="5"/>
        <v>54.6</v>
      </c>
      <c r="M18" s="8">
        <f t="shared" si="5"/>
        <v>54.6</v>
      </c>
      <c r="N18" s="8">
        <f t="shared" si="5"/>
        <v>54.6</v>
      </c>
      <c r="O18" s="8">
        <f t="shared" si="5"/>
        <v>54.6</v>
      </c>
      <c r="P18" s="8">
        <f t="shared" si="5"/>
        <v>54.6</v>
      </c>
      <c r="Q18" s="8">
        <f>P18+Q8</f>
        <v>54.6</v>
      </c>
    </row>
    <row r="19" spans="1:17" ht="15" customHeight="1" thickBot="1">
      <c r="A19" s="21" t="s">
        <v>11</v>
      </c>
      <c r="B19" s="12">
        <f>SUM(B13:B18)</f>
        <v>0</v>
      </c>
      <c r="C19" s="12">
        <f t="shared" ref="C19:Q19" si="6">SUM(C13:C18)</f>
        <v>0</v>
      </c>
      <c r="D19" s="12">
        <f t="shared" si="6"/>
        <v>0</v>
      </c>
      <c r="E19" s="12">
        <f t="shared" si="6"/>
        <v>11</v>
      </c>
      <c r="F19" s="13">
        <f t="shared" si="6"/>
        <v>11</v>
      </c>
      <c r="G19" s="13">
        <f t="shared" si="6"/>
        <v>11</v>
      </c>
      <c r="H19" s="13">
        <f t="shared" si="6"/>
        <v>118</v>
      </c>
      <c r="I19" s="13">
        <f t="shared" si="6"/>
        <v>132.31375</v>
      </c>
      <c r="J19" s="13">
        <f t="shared" si="6"/>
        <v>175.255</v>
      </c>
      <c r="K19" s="13">
        <f t="shared" si="6"/>
        <v>203.85499999999999</v>
      </c>
      <c r="L19" s="13">
        <f t="shared" si="6"/>
        <v>209.85499999999999</v>
      </c>
      <c r="M19" s="13">
        <f t="shared" si="6"/>
        <v>209.85499999999999</v>
      </c>
      <c r="N19" s="13">
        <f t="shared" si="6"/>
        <v>235.36749999999998</v>
      </c>
      <c r="O19" s="13">
        <f t="shared" si="6"/>
        <v>235.36749999999998</v>
      </c>
      <c r="P19" s="13">
        <f t="shared" si="6"/>
        <v>235.36749999999998</v>
      </c>
      <c r="Q19" s="13">
        <f t="shared" si="6"/>
        <v>235.36749999999998</v>
      </c>
    </row>
    <row r="20" spans="1:17" ht="15" customHeight="1">
      <c r="A20" s="14"/>
      <c r="B20" s="14"/>
      <c r="C20" s="14"/>
      <c r="D20" s="14"/>
      <c r="E20" s="14"/>
      <c r="F20" s="14"/>
      <c r="G20" s="14"/>
      <c r="H20" s="14"/>
      <c r="I20" s="14"/>
      <c r="J20" s="14"/>
      <c r="K20" s="14"/>
      <c r="L20" s="14"/>
      <c r="M20" s="14"/>
      <c r="N20" s="14"/>
      <c r="O20" s="14"/>
      <c r="P20" s="14"/>
      <c r="Q20" s="14"/>
    </row>
    <row r="21" spans="1:17" ht="15" customHeight="1" thickBot="1">
      <c r="A21" s="16" t="s">
        <v>1194</v>
      </c>
      <c r="B21" s="15"/>
      <c r="C21" s="15"/>
      <c r="D21" s="15"/>
      <c r="E21" s="15"/>
      <c r="F21" s="15"/>
      <c r="G21" s="15"/>
      <c r="H21" s="15"/>
      <c r="I21" s="15"/>
      <c r="J21" s="15"/>
      <c r="K21" s="15"/>
      <c r="L21" s="15"/>
      <c r="M21" s="15"/>
      <c r="N21" s="15"/>
      <c r="O21" s="15"/>
      <c r="P21" s="15"/>
    </row>
    <row r="22" spans="1:17" ht="15.75" thickBot="1">
      <c r="A22" s="17" t="s">
        <v>3</v>
      </c>
      <c r="B22" s="18" t="str">
        <f>B2</f>
        <v>&lt; 2021</v>
      </c>
      <c r="C22" s="18">
        <f t="shared" ref="C22:Q22" si="7">C2</f>
        <v>2021</v>
      </c>
      <c r="D22" s="18">
        <f t="shared" si="7"/>
        <v>2022</v>
      </c>
      <c r="E22" s="18">
        <f t="shared" si="7"/>
        <v>2023</v>
      </c>
      <c r="F22" s="18">
        <f t="shared" si="7"/>
        <v>2024</v>
      </c>
      <c r="G22" s="18">
        <f t="shared" si="7"/>
        <v>2025</v>
      </c>
      <c r="H22" s="18">
        <f t="shared" si="7"/>
        <v>2026</v>
      </c>
      <c r="I22" s="18">
        <f t="shared" si="7"/>
        <v>2027</v>
      </c>
      <c r="J22" s="18">
        <f t="shared" si="7"/>
        <v>2028</v>
      </c>
      <c r="K22" s="18">
        <f t="shared" si="7"/>
        <v>2029</v>
      </c>
      <c r="L22" s="18">
        <f t="shared" si="7"/>
        <v>2030</v>
      </c>
      <c r="M22" s="18">
        <f t="shared" si="7"/>
        <v>2031</v>
      </c>
      <c r="N22" s="18">
        <f t="shared" si="7"/>
        <v>2032</v>
      </c>
      <c r="O22" s="18">
        <f t="shared" si="7"/>
        <v>2033</v>
      </c>
      <c r="P22" s="18">
        <f t="shared" si="7"/>
        <v>2034</v>
      </c>
      <c r="Q22" s="18">
        <f t="shared" si="7"/>
        <v>2035</v>
      </c>
    </row>
    <row r="23" spans="1:17">
      <c r="A23" s="19" t="s">
        <v>5</v>
      </c>
      <c r="B23" s="243">
        <f>SUMIFS(MEA!$N$5:$N$79,MEA!$F$5:$F$79,"&lt;"&amp;'MEA Capacity Data'!C$22,MEA!$U$5:$U$79,'MEA Capacity Data'!$A23)+SUMIFS(MEA!$P$5:$P$79,MEA!$F$5:$F$79,"&lt;"&amp;'MEA Capacity Data'!C$22,MEA!$U$5:$U$79,'MEA Capacity Data'!$A23)</f>
        <v>0</v>
      </c>
      <c r="C23" s="243">
        <f>SUMIFS(MEA!$N$5:$N$79,MEA!$F$5:$F$79,'MEA Capacity Data'!C$22,MEA!$U$5:$U$79,'MEA Capacity Data'!$A23)+SUMIFS(MEA!$P$5:$P$79,MEA!$F$5:$F$79,'MEA Capacity Data'!C$22,MEA!$U$5:$U$79,'MEA Capacity Data'!$A23)</f>
        <v>0</v>
      </c>
      <c r="D23" s="243">
        <f>SUMIFS(MEA!$N$5:$N$79,MEA!$F$5:$F$79,'MEA Capacity Data'!D$22,MEA!$U$5:$U$79,'MEA Capacity Data'!$A23)+SUMIFS(MEA!$P$5:$P$79,MEA!$F$5:$F$79,'MEA Capacity Data'!D$22,MEA!$U$5:$U$79,'MEA Capacity Data'!$A23)</f>
        <v>0</v>
      </c>
      <c r="E23" s="243">
        <f>SUMIFS(MEA!$N$5:$N$79,MEA!$F$5:$F$79,'MEA Capacity Data'!E$22,MEA!$U$5:$U$79,'MEA Capacity Data'!$A23)+SUMIFS(MEA!$P$5:$P$79,MEA!$F$5:$F$79,'MEA Capacity Data'!E$22,MEA!$U$5:$U$79,'MEA Capacity Data'!$A23)</f>
        <v>0</v>
      </c>
      <c r="F23" s="244">
        <f>SUMIFS(MEA!$N$5:$N$79,MEA!$F$5:$F$79,'MEA Capacity Data'!F$22,MEA!$U$5:$U$79,'MEA Capacity Data'!$A23)+SUMIFS(MEA!$P$5:$P$79,MEA!$F$5:$F$79,'MEA Capacity Data'!F$22,MEA!$U$5:$U$79,'MEA Capacity Data'!$A23)</f>
        <v>0</v>
      </c>
      <c r="G23" s="244">
        <f>SUMIFS(MEA!$N$5:$N$79,MEA!$F$5:$F$79,'MEA Capacity Data'!G$22,MEA!$U$5:$U$79,'MEA Capacity Data'!$A23)+SUMIFS(MEA!$P$5:$P$79,MEA!$F$5:$F$79,'MEA Capacity Data'!G$22,MEA!$U$5:$U$79,'MEA Capacity Data'!$A23)</f>
        <v>0</v>
      </c>
      <c r="H23" s="244">
        <f>SUMIFS(MEA!$N$5:$N$79,MEA!$F$5:$F$79,'MEA Capacity Data'!H$22,MEA!$U$5:$U$79,'MEA Capacity Data'!$A23)+SUMIFS(MEA!$P$5:$P$79,MEA!$F$5:$F$79,'MEA Capacity Data'!H$22,MEA!$U$5:$U$79,'MEA Capacity Data'!$A23)</f>
        <v>20</v>
      </c>
      <c r="I23" s="244">
        <f>SUMIFS(MEA!$N$5:$N$79,MEA!$F$5:$F$79,'MEA Capacity Data'!I$22,MEA!$U$5:$U$79,'MEA Capacity Data'!$A23)+SUMIFS(MEA!$P$5:$P$79,MEA!$F$5:$F$79,'MEA Capacity Data'!I$22,MEA!$U$5:$U$79,'MEA Capacity Data'!$A23)</f>
        <v>26.024999999999999</v>
      </c>
      <c r="J23" s="244">
        <f>SUMIFS(MEA!$N$5:$N$79,MEA!$F$5:$F$79,'MEA Capacity Data'!J$22,MEA!$U$5:$U$79,'MEA Capacity Data'!$A23)+SUMIFS(MEA!$P$5:$P$79,MEA!$F$5:$F$79,'MEA Capacity Data'!J$22,MEA!$U$5:$U$79,'MEA Capacity Data'!$A23)</f>
        <v>26.024999999999999</v>
      </c>
      <c r="K23" s="244">
        <f>SUMIFS(MEA!$N$5:$N$79,MEA!$F$5:$F$79,'MEA Capacity Data'!K$22,MEA!$U$5:$U$79,'MEA Capacity Data'!$A23)+SUMIFS(MEA!$P$5:$P$79,MEA!$F$5:$F$79,'MEA Capacity Data'!K$22,MEA!$U$5:$U$79,'MEA Capacity Data'!$A23)</f>
        <v>0</v>
      </c>
      <c r="L23" s="244">
        <f>SUMIFS(MEA!$N$5:$N$79,MEA!$F$5:$F$79,'MEA Capacity Data'!L$22,MEA!$U$5:$U$79,'MEA Capacity Data'!$A23)+SUMIFS(MEA!$P$5:$P$79,MEA!$F$5:$F$79,'MEA Capacity Data'!L$22,MEA!$U$5:$U$79,'MEA Capacity Data'!$A23)</f>
        <v>0</v>
      </c>
      <c r="M23" s="244">
        <f>SUMIFS(MEA!$N$5:$N$79,MEA!$F$5:$F$79,'MEA Capacity Data'!M$22,MEA!$U$5:$U$79,'MEA Capacity Data'!$A23)+SUMIFS(MEA!$P$5:$P$79,MEA!$F$5:$F$79,'MEA Capacity Data'!M$22,MEA!$U$5:$U$79,'MEA Capacity Data'!$A23)</f>
        <v>0</v>
      </c>
      <c r="N23" s="244">
        <f>SUMIFS(MEA!$N$5:$N$79,MEA!$F$5:$F$79,'MEA Capacity Data'!N$22,MEA!$U$5:$U$79,'MEA Capacity Data'!$A23)+SUMIFS(MEA!$P$5:$P$79,MEA!$F$5:$F$79,'MEA Capacity Data'!N$22,MEA!$U$5:$U$79,'MEA Capacity Data'!$A23)</f>
        <v>50</v>
      </c>
      <c r="O23" s="244">
        <f>SUMIFS(MEA!$N$5:$N$79,MEA!$F$5:$F$79,'MEA Capacity Data'!O$22,MEA!$U$5:$U$79,'MEA Capacity Data'!$A23)+SUMIFS(MEA!$P$5:$P$79,MEA!$F$5:$F$79,'MEA Capacity Data'!O$22,MEA!$U$5:$U$79,'MEA Capacity Data'!$A23)</f>
        <v>0</v>
      </c>
      <c r="P23" s="244">
        <f>SUMIFS(MEA!$N$5:$N$79,MEA!$F$5:$F$79,'MEA Capacity Data'!P$22,MEA!$U$5:$U$79,'MEA Capacity Data'!$A23)+SUMIFS(MEA!$P$5:$P$79,MEA!$F$5:$F$79,'MEA Capacity Data'!P$22,MEA!$U$5:$U$79,'MEA Capacity Data'!$A23)</f>
        <v>0</v>
      </c>
      <c r="Q23" s="244">
        <f>SUMIFS(MEA!$N$5:$N$79,MEA!$F$5:$F$79,'MEA Capacity Data'!Q$22,MEA!$U$5:$U$79,'MEA Capacity Data'!$A23)+SUMIFS(MEA!$P$5:$P$79,MEA!$F$5:$F$79,'MEA Capacity Data'!Q$22,MEA!$U$5:$U$79,'MEA Capacity Data'!$A23)</f>
        <v>0</v>
      </c>
    </row>
    <row r="24" spans="1:17">
      <c r="A24" s="20" t="s">
        <v>6</v>
      </c>
      <c r="B24" s="30">
        <f>SUMIFS(MEA!$N$5:$N$79,MEA!$F$5:$F$79,"&lt;"&amp;'MEA Capacity Data'!C$22,MEA!$U$5:$U$79,'MEA Capacity Data'!$A24)+SUMIFS(MEA!$P$5:$P$79,MEA!$F$5:$F$79,"&lt;"&amp;'MEA Capacity Data'!C$22,MEA!$U$5:$U$79,'MEA Capacity Data'!$A24)</f>
        <v>0</v>
      </c>
      <c r="C24" s="30">
        <f>SUMIFS(MEA!$N$5:$N$79,MEA!$F$5:$F$79,'MEA Capacity Data'!C$22,MEA!$U$5:$U$79,'MEA Capacity Data'!$A24)+SUMIFS(MEA!$P$5:$P$79,MEA!$F$5:$F$79,'MEA Capacity Data'!C$22,MEA!$U$5:$U$79,'MEA Capacity Data'!$A24)</f>
        <v>0</v>
      </c>
      <c r="D24" s="30">
        <f>SUMIFS(MEA!$N$5:$N$79,MEA!$F$5:$F$79,'MEA Capacity Data'!D$22,MEA!$U$5:$U$79,'MEA Capacity Data'!$A24)+SUMIFS(MEA!$P$5:$P$79,MEA!$F$5:$F$79,'MEA Capacity Data'!D$22,MEA!$U$5:$U$79,'MEA Capacity Data'!$A24)</f>
        <v>0</v>
      </c>
      <c r="E24" s="30">
        <f>SUMIFS(MEA!$N$5:$N$79,MEA!$F$5:$F$79,'MEA Capacity Data'!E$22,MEA!$U$5:$U$79,'MEA Capacity Data'!$A24)+SUMIFS(MEA!$P$5:$P$79,MEA!$F$5:$F$79,'MEA Capacity Data'!E$22,MEA!$U$5:$U$79,'MEA Capacity Data'!$A24)</f>
        <v>0</v>
      </c>
      <c r="F24" s="31">
        <f>SUMIFS(MEA!$N$5:$N$79,MEA!$F$5:$F$79,'MEA Capacity Data'!F$22,MEA!$U$5:$U$79,'MEA Capacity Data'!$A24)+SUMIFS(MEA!$P$5:$P$79,MEA!$F$5:$F$79,'MEA Capacity Data'!F$22,MEA!$U$5:$U$79,'MEA Capacity Data'!$A24)</f>
        <v>0</v>
      </c>
      <c r="G24" s="31">
        <f>SUMIFS(MEA!$N$5:$N$79,MEA!$F$5:$F$79,'MEA Capacity Data'!G$22,MEA!$U$5:$U$79,'MEA Capacity Data'!$A24)+SUMIFS(MEA!$P$5:$P$79,MEA!$F$5:$F$79,'MEA Capacity Data'!G$22,MEA!$U$5:$U$79,'MEA Capacity Data'!$A24)</f>
        <v>0</v>
      </c>
      <c r="H24" s="31">
        <f>SUMIFS(MEA!$N$5:$N$79,MEA!$F$5:$F$79,'MEA Capacity Data'!H$22,MEA!$U$5:$U$79,'MEA Capacity Data'!$A24)+SUMIFS(MEA!$P$5:$P$79,MEA!$F$5:$F$79,'MEA Capacity Data'!H$22,MEA!$U$5:$U$79,'MEA Capacity Data'!$A24)</f>
        <v>0</v>
      </c>
      <c r="I24" s="31">
        <f>SUMIFS(MEA!$N$5:$N$79,MEA!$F$5:$F$79,'MEA Capacity Data'!I$22,MEA!$U$5:$U$79,'MEA Capacity Data'!$A24)+SUMIFS(MEA!$P$5:$P$79,MEA!$F$5:$F$79,'MEA Capacity Data'!I$22,MEA!$U$5:$U$79,'MEA Capacity Data'!$A24)</f>
        <v>0</v>
      </c>
      <c r="J24" s="31">
        <f>SUMIFS(MEA!$N$5:$N$79,MEA!$F$5:$F$79,'MEA Capacity Data'!J$22,MEA!$U$5:$U$79,'MEA Capacity Data'!$A24)+SUMIFS(MEA!$P$5:$P$79,MEA!$F$5:$F$79,'MEA Capacity Data'!J$22,MEA!$U$5:$U$79,'MEA Capacity Data'!$A24)</f>
        <v>52.05</v>
      </c>
      <c r="K24" s="31">
        <f>SUMIFS(MEA!$N$5:$N$79,MEA!$F$5:$F$79,'MEA Capacity Data'!K$22,MEA!$U$5:$U$79,'MEA Capacity Data'!$A24)+SUMIFS(MEA!$P$5:$P$79,MEA!$F$5:$F$79,'MEA Capacity Data'!K$22,MEA!$U$5:$U$79,'MEA Capacity Data'!$A24)</f>
        <v>0</v>
      </c>
      <c r="L24" s="31">
        <f>SUMIFS(MEA!$N$5:$N$79,MEA!$F$5:$F$79,'MEA Capacity Data'!L$22,MEA!$U$5:$U$79,'MEA Capacity Data'!$A24)+SUMIFS(MEA!$P$5:$P$79,MEA!$F$5:$F$79,'MEA Capacity Data'!L$22,MEA!$U$5:$U$79,'MEA Capacity Data'!$A24)</f>
        <v>0</v>
      </c>
      <c r="M24" s="31">
        <f>SUMIFS(MEA!$N$5:$N$79,MEA!$F$5:$F$79,'MEA Capacity Data'!M$22,MEA!$U$5:$U$79,'MEA Capacity Data'!$A24)+SUMIFS(MEA!$P$5:$P$79,MEA!$F$5:$F$79,'MEA Capacity Data'!M$22,MEA!$U$5:$U$79,'MEA Capacity Data'!$A24)</f>
        <v>0</v>
      </c>
      <c r="N24" s="31">
        <f>SUMIFS(MEA!$N$5:$N$79,MEA!$F$5:$F$79,'MEA Capacity Data'!N$22,MEA!$U$5:$U$79,'MEA Capacity Data'!$A24)+SUMIFS(MEA!$P$5:$P$79,MEA!$F$5:$F$79,'MEA Capacity Data'!N$22,MEA!$U$5:$U$79,'MEA Capacity Data'!$A24)</f>
        <v>52.05</v>
      </c>
      <c r="O24" s="31">
        <f>SUMIFS(MEA!$N$5:$N$79,MEA!$F$5:$F$79,'MEA Capacity Data'!O$22,MEA!$U$5:$U$79,'MEA Capacity Data'!$A24)+SUMIFS(MEA!$P$5:$P$79,MEA!$F$5:$F$79,'MEA Capacity Data'!O$22,MEA!$U$5:$U$79,'MEA Capacity Data'!$A24)</f>
        <v>0</v>
      </c>
      <c r="P24" s="31">
        <f>SUMIFS(MEA!$N$5:$N$79,MEA!$F$5:$F$79,'MEA Capacity Data'!P$22,MEA!$U$5:$U$79,'MEA Capacity Data'!$A24)+SUMIFS(MEA!$P$5:$P$79,MEA!$F$5:$F$79,'MEA Capacity Data'!P$22,MEA!$U$5:$U$79,'MEA Capacity Data'!$A24)</f>
        <v>0</v>
      </c>
      <c r="Q24" s="31">
        <f>SUMIFS(MEA!$N$5:$N$79,MEA!$F$5:$F$79,'MEA Capacity Data'!Q$22,MEA!$U$5:$U$79,'MEA Capacity Data'!$A24)+SUMIFS(MEA!$P$5:$P$79,MEA!$F$5:$F$79,'MEA Capacity Data'!Q$22,MEA!$U$5:$U$79,'MEA Capacity Data'!$A24)</f>
        <v>0</v>
      </c>
    </row>
    <row r="25" spans="1:17">
      <c r="A25" s="20" t="s">
        <v>7</v>
      </c>
      <c r="B25" s="30">
        <f>SUMIFS(MEA!$N$5:$N$79,MEA!$F$5:$F$79,"&lt;"&amp;'MEA Capacity Data'!C$22,MEA!$U$5:$U$79,'MEA Capacity Data'!$A25)+SUMIFS(MEA!$P$5:$P$79,MEA!$F$5:$F$79,"&lt;"&amp;'MEA Capacity Data'!C$22,MEA!$U$5:$U$79,'MEA Capacity Data'!$A25)</f>
        <v>0</v>
      </c>
      <c r="C25" s="30">
        <f>SUMIFS(MEA!$N$5:$N$79,MEA!$F$5:$F$79,'MEA Capacity Data'!C$22,MEA!$U$5:$U$79,'MEA Capacity Data'!$A25)+SUMIFS(MEA!$P$5:$P$79,MEA!$F$5:$F$79,'MEA Capacity Data'!C$22,MEA!$U$5:$U$79,'MEA Capacity Data'!$A25)</f>
        <v>0</v>
      </c>
      <c r="D25" s="30">
        <f>SUMIFS(MEA!$N$5:$N$79,MEA!$F$5:$F$79,'MEA Capacity Data'!D$22,MEA!$U$5:$U$79,'MEA Capacity Data'!$A25)+SUMIFS(MEA!$P$5:$P$79,MEA!$F$5:$F$79,'MEA Capacity Data'!D$22,MEA!$U$5:$U$79,'MEA Capacity Data'!$A25)</f>
        <v>0</v>
      </c>
      <c r="E25" s="30">
        <f>SUMIFS(MEA!$N$5:$N$79,MEA!$F$5:$F$79,'MEA Capacity Data'!E$22,MEA!$U$5:$U$79,'MEA Capacity Data'!$A25)+SUMIFS(MEA!$P$5:$P$79,MEA!$F$5:$F$79,'MEA Capacity Data'!E$22,MEA!$U$5:$U$79,'MEA Capacity Data'!$A25)</f>
        <v>0</v>
      </c>
      <c r="F25" s="31">
        <f>SUMIFS(MEA!$N$5:$N$79,MEA!$F$5:$F$79,'MEA Capacity Data'!F$22,MEA!$U$5:$U$79,'MEA Capacity Data'!$A25)+SUMIFS(MEA!$P$5:$P$79,MEA!$F$5:$F$79,'MEA Capacity Data'!F$22,MEA!$U$5:$U$79,'MEA Capacity Data'!$A25)</f>
        <v>0</v>
      </c>
      <c r="G25" s="31">
        <f>SUMIFS(MEA!$N$5:$N$79,MEA!$F$5:$F$79,'MEA Capacity Data'!G$22,MEA!$U$5:$U$79,'MEA Capacity Data'!$A25)+SUMIFS(MEA!$P$5:$P$79,MEA!$F$5:$F$79,'MEA Capacity Data'!G$22,MEA!$U$5:$U$79,'MEA Capacity Data'!$A25)</f>
        <v>0</v>
      </c>
      <c r="H25" s="31">
        <f>SUMIFS(MEA!$N$5:$N$79,MEA!$F$5:$F$79,'MEA Capacity Data'!H$22,MEA!$U$5:$U$79,'MEA Capacity Data'!$A25)+SUMIFS(MEA!$P$5:$P$79,MEA!$F$5:$F$79,'MEA Capacity Data'!H$22,MEA!$U$5:$U$79,'MEA Capacity Data'!$A25)</f>
        <v>140</v>
      </c>
      <c r="I25" s="31">
        <f>SUMIFS(MEA!$N$5:$N$79,MEA!$F$5:$F$79,'MEA Capacity Data'!I$22,MEA!$U$5:$U$79,'MEA Capacity Data'!$A25)+SUMIFS(MEA!$P$5:$P$79,MEA!$F$5:$F$79,'MEA Capacity Data'!I$22,MEA!$U$5:$U$79,'MEA Capacity Data'!$A25)</f>
        <v>0</v>
      </c>
      <c r="J25" s="31">
        <f>SUMIFS(MEA!$N$5:$N$79,MEA!$F$5:$F$79,'MEA Capacity Data'!J$22,MEA!$U$5:$U$79,'MEA Capacity Data'!$A25)+SUMIFS(MEA!$P$5:$P$79,MEA!$F$5:$F$79,'MEA Capacity Data'!J$22,MEA!$U$5:$U$79,'MEA Capacity Data'!$A25)</f>
        <v>0</v>
      </c>
      <c r="K25" s="31">
        <f>SUMIFS(MEA!$N$5:$N$79,MEA!$F$5:$F$79,'MEA Capacity Data'!K$22,MEA!$U$5:$U$79,'MEA Capacity Data'!$A25)+SUMIFS(MEA!$P$5:$P$79,MEA!$F$5:$F$79,'MEA Capacity Data'!K$22,MEA!$U$5:$U$79,'MEA Capacity Data'!$A25)</f>
        <v>0</v>
      </c>
      <c r="L25" s="31">
        <f>SUMIFS(MEA!$N$5:$N$79,MEA!$F$5:$F$79,'MEA Capacity Data'!L$22,MEA!$U$5:$U$79,'MEA Capacity Data'!$A25)+SUMIFS(MEA!$P$5:$P$79,MEA!$F$5:$F$79,'MEA Capacity Data'!L$22,MEA!$U$5:$U$79,'MEA Capacity Data'!$A25)</f>
        <v>15</v>
      </c>
      <c r="M25" s="31">
        <f>SUMIFS(MEA!$N$5:$N$79,MEA!$F$5:$F$79,'MEA Capacity Data'!M$22,MEA!$U$5:$U$79,'MEA Capacity Data'!$A25)+SUMIFS(MEA!$P$5:$P$79,MEA!$F$5:$F$79,'MEA Capacity Data'!M$22,MEA!$U$5:$U$79,'MEA Capacity Data'!$A25)</f>
        <v>0</v>
      </c>
      <c r="N25" s="31">
        <f>SUMIFS(MEA!$N$5:$N$79,MEA!$F$5:$F$79,'MEA Capacity Data'!N$22,MEA!$U$5:$U$79,'MEA Capacity Data'!$A25)+SUMIFS(MEA!$P$5:$P$79,MEA!$F$5:$F$79,'MEA Capacity Data'!N$22,MEA!$U$5:$U$79,'MEA Capacity Data'!$A25)</f>
        <v>0</v>
      </c>
      <c r="O25" s="31">
        <f>SUMIFS(MEA!$N$5:$N$79,MEA!$F$5:$F$79,'MEA Capacity Data'!O$22,MEA!$U$5:$U$79,'MEA Capacity Data'!$A25)+SUMIFS(MEA!$P$5:$P$79,MEA!$F$5:$F$79,'MEA Capacity Data'!O$22,MEA!$U$5:$U$79,'MEA Capacity Data'!$A25)</f>
        <v>0</v>
      </c>
      <c r="P25" s="31">
        <f>SUMIFS(MEA!$N$5:$N$79,MEA!$F$5:$F$79,'MEA Capacity Data'!P$22,MEA!$U$5:$U$79,'MEA Capacity Data'!$A25)+SUMIFS(MEA!$P$5:$P$79,MEA!$F$5:$F$79,'MEA Capacity Data'!P$22,MEA!$U$5:$U$79,'MEA Capacity Data'!$A25)</f>
        <v>0</v>
      </c>
      <c r="Q25" s="31">
        <f>SUMIFS(MEA!$N$5:$N$79,MEA!$F$5:$F$79,'MEA Capacity Data'!Q$22,MEA!$U$5:$U$79,'MEA Capacity Data'!$A25)+SUMIFS(MEA!$P$5:$P$79,MEA!$F$5:$F$79,'MEA Capacity Data'!Q$22,MEA!$U$5:$U$79,'MEA Capacity Data'!$A25)</f>
        <v>0</v>
      </c>
    </row>
    <row r="26" spans="1:17">
      <c r="A26" s="20" t="s">
        <v>8</v>
      </c>
      <c r="B26" s="30">
        <f>SUMIFS(MEA!$N$5:$N$79,MEA!$F$5:$F$79,"&lt;"&amp;'MEA Capacity Data'!C$22,MEA!$U$5:$U$79,'MEA Capacity Data'!$A26)+SUMIFS(MEA!$P$5:$P$79,MEA!$F$5:$F$79,"&lt;"&amp;'MEA Capacity Data'!C$22,MEA!$U$5:$U$79,'MEA Capacity Data'!$A26)</f>
        <v>0</v>
      </c>
      <c r="C26" s="30">
        <f>SUMIFS(MEA!$N$5:$N$79,MEA!$F$5:$F$79,'MEA Capacity Data'!C$22,MEA!$U$5:$U$79,'MEA Capacity Data'!$A26)+SUMIFS(MEA!$P$5:$P$79,MEA!$F$5:$F$79,'MEA Capacity Data'!C$22,MEA!$U$5:$U$79,'MEA Capacity Data'!$A26)</f>
        <v>0</v>
      </c>
      <c r="D26" s="30">
        <f>SUMIFS(MEA!$N$5:$N$79,MEA!$F$5:$F$79,'MEA Capacity Data'!D$22,MEA!$U$5:$U$79,'MEA Capacity Data'!$A26)+SUMIFS(MEA!$P$5:$P$79,MEA!$F$5:$F$79,'MEA Capacity Data'!D$22,MEA!$U$5:$U$79,'MEA Capacity Data'!$A26)</f>
        <v>0</v>
      </c>
      <c r="E26" s="30">
        <f>SUMIFS(MEA!$N$5:$N$79,MEA!$F$5:$F$79,'MEA Capacity Data'!E$22,MEA!$U$5:$U$79,'MEA Capacity Data'!$A26)+SUMIFS(MEA!$P$5:$P$79,MEA!$F$5:$F$79,'MEA Capacity Data'!E$22,MEA!$U$5:$U$79,'MEA Capacity Data'!$A26)</f>
        <v>0</v>
      </c>
      <c r="F26" s="31">
        <f>SUMIFS(MEA!$N$5:$N$79,MEA!$F$5:$F$79,'MEA Capacity Data'!F$22,MEA!$U$5:$U$79,'MEA Capacity Data'!$A26)+SUMIFS(MEA!$P$5:$P$79,MEA!$F$5:$F$79,'MEA Capacity Data'!F$22,MEA!$U$5:$U$79,'MEA Capacity Data'!$A26)</f>
        <v>0</v>
      </c>
      <c r="G26" s="31">
        <f>SUMIFS(MEA!$N$5:$N$79,MEA!$F$5:$F$79,'MEA Capacity Data'!G$22,MEA!$U$5:$U$79,'MEA Capacity Data'!$A26)+SUMIFS(MEA!$P$5:$P$79,MEA!$F$5:$F$79,'MEA Capacity Data'!G$22,MEA!$U$5:$U$79,'MEA Capacity Data'!$A26)</f>
        <v>0</v>
      </c>
      <c r="H26" s="31">
        <f>SUMIFS(MEA!$N$5:$N$79,MEA!$F$5:$F$79,'MEA Capacity Data'!H$22,MEA!$U$5:$U$79,'MEA Capacity Data'!$A26)+SUMIFS(MEA!$P$5:$P$79,MEA!$F$5:$F$79,'MEA Capacity Data'!H$22,MEA!$U$5:$U$79,'MEA Capacity Data'!$A26)</f>
        <v>0</v>
      </c>
      <c r="I26" s="31">
        <f>SUMIFS(MEA!$N$5:$N$79,MEA!$F$5:$F$79,'MEA Capacity Data'!I$22,MEA!$U$5:$U$79,'MEA Capacity Data'!$A26)+SUMIFS(MEA!$P$5:$P$79,MEA!$F$5:$F$79,'MEA Capacity Data'!I$22,MEA!$U$5:$U$79,'MEA Capacity Data'!$A26)</f>
        <v>0</v>
      </c>
      <c r="J26" s="31">
        <f>SUMIFS(MEA!$N$5:$N$79,MEA!$F$5:$F$79,'MEA Capacity Data'!J$22,MEA!$U$5:$U$79,'MEA Capacity Data'!$A26)+SUMIFS(MEA!$P$5:$P$79,MEA!$F$5:$F$79,'MEA Capacity Data'!J$22,MEA!$U$5:$U$79,'MEA Capacity Data'!$A26)</f>
        <v>0</v>
      </c>
      <c r="K26" s="31">
        <f>SUMIFS(MEA!$N$5:$N$79,MEA!$F$5:$F$79,'MEA Capacity Data'!K$22,MEA!$U$5:$U$79,'MEA Capacity Data'!$A26)+SUMIFS(MEA!$P$5:$P$79,MEA!$F$5:$F$79,'MEA Capacity Data'!K$22,MEA!$U$5:$U$79,'MEA Capacity Data'!$A26)</f>
        <v>0</v>
      </c>
      <c r="L26" s="31">
        <f>SUMIFS(MEA!$N$5:$N$79,MEA!$F$5:$F$79,'MEA Capacity Data'!L$22,MEA!$U$5:$U$79,'MEA Capacity Data'!$A26)+SUMIFS(MEA!$P$5:$P$79,MEA!$F$5:$F$79,'MEA Capacity Data'!L$22,MEA!$U$5:$U$79,'MEA Capacity Data'!$A26)</f>
        <v>0</v>
      </c>
      <c r="M26" s="31">
        <f>SUMIFS(MEA!$N$5:$N$79,MEA!$F$5:$F$79,'MEA Capacity Data'!M$22,MEA!$U$5:$U$79,'MEA Capacity Data'!$A26)+SUMIFS(MEA!$P$5:$P$79,MEA!$F$5:$F$79,'MEA Capacity Data'!M$22,MEA!$U$5:$U$79,'MEA Capacity Data'!$A26)</f>
        <v>0</v>
      </c>
      <c r="N26" s="31">
        <f>SUMIFS(MEA!$N$5:$N$79,MEA!$F$5:$F$79,'MEA Capacity Data'!N$22,MEA!$U$5:$U$79,'MEA Capacity Data'!$A26)+SUMIFS(MEA!$P$5:$P$79,MEA!$F$5:$F$79,'MEA Capacity Data'!N$22,MEA!$U$5:$U$79,'MEA Capacity Data'!$A26)</f>
        <v>0</v>
      </c>
      <c r="O26" s="31">
        <f>SUMIFS(MEA!$N$5:$N$79,MEA!$F$5:$F$79,'MEA Capacity Data'!O$22,MEA!$U$5:$U$79,'MEA Capacity Data'!$A26)+SUMIFS(MEA!$P$5:$P$79,MEA!$F$5:$F$79,'MEA Capacity Data'!O$22,MEA!$U$5:$U$79,'MEA Capacity Data'!$A26)</f>
        <v>0</v>
      </c>
      <c r="P26" s="31">
        <f>SUMIFS(MEA!$N$5:$N$79,MEA!$F$5:$F$79,'MEA Capacity Data'!P$22,MEA!$U$5:$U$79,'MEA Capacity Data'!$A26)+SUMIFS(MEA!$P$5:$P$79,MEA!$F$5:$F$79,'MEA Capacity Data'!P$22,MEA!$U$5:$U$79,'MEA Capacity Data'!$A26)</f>
        <v>0</v>
      </c>
      <c r="Q26" s="31">
        <f>SUMIFS(MEA!$N$5:$N$79,MEA!$F$5:$F$79,'MEA Capacity Data'!Q$22,MEA!$U$5:$U$79,'MEA Capacity Data'!$A26)+SUMIFS(MEA!$P$5:$P$79,MEA!$F$5:$F$79,'MEA Capacity Data'!Q$22,MEA!$U$5:$U$79,'MEA Capacity Data'!$A26)</f>
        <v>0</v>
      </c>
    </row>
    <row r="27" spans="1:17">
      <c r="A27" s="20" t="s">
        <v>9</v>
      </c>
      <c r="B27" s="30">
        <f>SUMIFS(MEA!$N$5:$N$79,MEA!$F$5:$F$79,"&lt;"&amp;'MEA Capacity Data'!C$22,MEA!$U$5:$U$79,'MEA Capacity Data'!$A27)+SUMIFS(MEA!$P$5:$P$79,MEA!$F$5:$F$79,"&lt;"&amp;'MEA Capacity Data'!C$22,MEA!$U$5:$U$79,'MEA Capacity Data'!$A27)</f>
        <v>0</v>
      </c>
      <c r="C27" s="30">
        <f>SUMIFS(MEA!$N$5:$N$79,MEA!$F$5:$F$79,'MEA Capacity Data'!C$22,MEA!$U$5:$U$79,'MEA Capacity Data'!$A27)+SUMIFS(MEA!$P$5:$P$79,MEA!$F$5:$F$79,'MEA Capacity Data'!C$22,MEA!$U$5:$U$79,'MEA Capacity Data'!$A27)</f>
        <v>0</v>
      </c>
      <c r="D27" s="30">
        <f>SUMIFS(MEA!$N$5:$N$79,MEA!$F$5:$F$79,'MEA Capacity Data'!D$22,MEA!$U$5:$U$79,'MEA Capacity Data'!$A27)+SUMIFS(MEA!$P$5:$P$79,MEA!$F$5:$F$79,'MEA Capacity Data'!D$22,MEA!$U$5:$U$79,'MEA Capacity Data'!$A27)</f>
        <v>0</v>
      </c>
      <c r="E27" s="30">
        <f>SUMIFS(MEA!$N$5:$N$79,MEA!$F$5:$F$79,'MEA Capacity Data'!E$22,MEA!$U$5:$U$79,'MEA Capacity Data'!$A27)+SUMIFS(MEA!$P$5:$P$79,MEA!$F$5:$F$79,'MEA Capacity Data'!E$22,MEA!$U$5:$U$79,'MEA Capacity Data'!$A27)</f>
        <v>0</v>
      </c>
      <c r="F27" s="31">
        <f>SUMIFS(MEA!$N$5:$N$79,MEA!$F$5:$F$79,'MEA Capacity Data'!F$22,MEA!$U$5:$U$79,'MEA Capacity Data'!$A27)+SUMIFS(MEA!$P$5:$P$79,MEA!$F$5:$F$79,'MEA Capacity Data'!F$22,MEA!$U$5:$U$79,'MEA Capacity Data'!$A27)</f>
        <v>0</v>
      </c>
      <c r="G27" s="31">
        <f>SUMIFS(MEA!$N$5:$N$79,MEA!$F$5:$F$79,'MEA Capacity Data'!G$22,MEA!$U$5:$U$79,'MEA Capacity Data'!$A27)+SUMIFS(MEA!$P$5:$P$79,MEA!$F$5:$F$79,'MEA Capacity Data'!G$22,MEA!$U$5:$U$79,'MEA Capacity Data'!$A27)</f>
        <v>0</v>
      </c>
      <c r="H27" s="31">
        <f>SUMIFS(MEA!$N$5:$N$79,MEA!$F$5:$F$79,'MEA Capacity Data'!H$22,MEA!$U$5:$U$79,'MEA Capacity Data'!$A27)+SUMIFS(MEA!$P$5:$P$79,MEA!$F$5:$F$79,'MEA Capacity Data'!H$22,MEA!$U$5:$U$79,'MEA Capacity Data'!$A27)</f>
        <v>0</v>
      </c>
      <c r="I27" s="31">
        <f>SUMIFS(MEA!$N$5:$N$79,MEA!$F$5:$F$79,'MEA Capacity Data'!I$22,MEA!$U$5:$U$79,'MEA Capacity Data'!$A27)+SUMIFS(MEA!$P$5:$P$79,MEA!$F$5:$F$79,'MEA Capacity Data'!I$22,MEA!$U$5:$U$79,'MEA Capacity Data'!$A27)</f>
        <v>0</v>
      </c>
      <c r="J27" s="31">
        <f>SUMIFS(MEA!$N$5:$N$79,MEA!$F$5:$F$79,'MEA Capacity Data'!J$22,MEA!$U$5:$U$79,'MEA Capacity Data'!$A27)+SUMIFS(MEA!$P$5:$P$79,MEA!$F$5:$F$79,'MEA Capacity Data'!J$22,MEA!$U$5:$U$79,'MEA Capacity Data'!$A27)</f>
        <v>0</v>
      </c>
      <c r="K27" s="31">
        <f>SUMIFS(MEA!$N$5:$N$79,MEA!$F$5:$F$79,'MEA Capacity Data'!K$22,MEA!$U$5:$U$79,'MEA Capacity Data'!$A27)+SUMIFS(MEA!$P$5:$P$79,MEA!$F$5:$F$79,'MEA Capacity Data'!K$22,MEA!$U$5:$U$79,'MEA Capacity Data'!$A27)</f>
        <v>0</v>
      </c>
      <c r="L27" s="31">
        <f>SUMIFS(MEA!$N$5:$N$79,MEA!$F$5:$F$79,'MEA Capacity Data'!L$22,MEA!$U$5:$U$79,'MEA Capacity Data'!$A27)+SUMIFS(MEA!$P$5:$P$79,MEA!$F$5:$F$79,'MEA Capacity Data'!L$22,MEA!$U$5:$U$79,'MEA Capacity Data'!$A27)</f>
        <v>0</v>
      </c>
      <c r="M27" s="31">
        <f>SUMIFS(MEA!$N$5:$N$79,MEA!$F$5:$F$79,'MEA Capacity Data'!M$22,MEA!$U$5:$U$79,'MEA Capacity Data'!$A27)+SUMIFS(MEA!$P$5:$P$79,MEA!$F$5:$F$79,'MEA Capacity Data'!M$22,MEA!$U$5:$U$79,'MEA Capacity Data'!$A27)</f>
        <v>0</v>
      </c>
      <c r="N27" s="31">
        <f>SUMIFS(MEA!$N$5:$N$79,MEA!$F$5:$F$79,'MEA Capacity Data'!N$22,MEA!$U$5:$U$79,'MEA Capacity Data'!$A27)+SUMIFS(MEA!$P$5:$P$79,MEA!$F$5:$F$79,'MEA Capacity Data'!N$22,MEA!$U$5:$U$79,'MEA Capacity Data'!$A27)</f>
        <v>0</v>
      </c>
      <c r="O27" s="31">
        <f>SUMIFS(MEA!$N$5:$N$79,MEA!$F$5:$F$79,'MEA Capacity Data'!O$22,MEA!$U$5:$U$79,'MEA Capacity Data'!$A27)+SUMIFS(MEA!$P$5:$P$79,MEA!$F$5:$F$79,'MEA Capacity Data'!O$22,MEA!$U$5:$U$79,'MEA Capacity Data'!$A27)</f>
        <v>0</v>
      </c>
      <c r="P27" s="31">
        <f>SUMIFS(MEA!$N$5:$N$79,MEA!$F$5:$F$79,'MEA Capacity Data'!P$22,MEA!$U$5:$U$79,'MEA Capacity Data'!$A27)+SUMIFS(MEA!$P$5:$P$79,MEA!$F$5:$F$79,'MEA Capacity Data'!P$22,MEA!$U$5:$U$79,'MEA Capacity Data'!$A27)</f>
        <v>0</v>
      </c>
      <c r="Q27" s="31">
        <f>SUMIFS(MEA!$N$5:$N$79,MEA!$F$5:$F$79,'MEA Capacity Data'!Q$22,MEA!$U$5:$U$79,'MEA Capacity Data'!$A27)+SUMIFS(MEA!$P$5:$P$79,MEA!$F$5:$F$79,'MEA Capacity Data'!Q$22,MEA!$U$5:$U$79,'MEA Capacity Data'!$A27)</f>
        <v>0</v>
      </c>
    </row>
    <row r="28" spans="1:17">
      <c r="A28" s="20" t="s">
        <v>10</v>
      </c>
      <c r="B28" s="30">
        <f>SUMIFS(MEA!$N$5:$N$79,MEA!$F$5:$F$79,"&lt;"&amp;'MEA Capacity Data'!C$22,MEA!$U$5:$U$79,'MEA Capacity Data'!$A28)+SUMIFS(MEA!$P$5:$P$79,MEA!$F$5:$F$79,"&lt;"&amp;'MEA Capacity Data'!C$22,MEA!$U$5:$U$79,'MEA Capacity Data'!$A28)</f>
        <v>0</v>
      </c>
      <c r="C28" s="30">
        <f>SUMIFS(MEA!$N$5:$N$79,MEA!$F$5:$F$79,'MEA Capacity Data'!C$22,MEA!$U$5:$U$79,'MEA Capacity Data'!$A28)+SUMIFS(MEA!$P$5:$P$79,MEA!$F$5:$F$79,'MEA Capacity Data'!C$22,MEA!$U$5:$U$79,'MEA Capacity Data'!$A28)</f>
        <v>0</v>
      </c>
      <c r="D28" s="30">
        <f>SUMIFS(MEA!$N$5:$N$79,MEA!$F$5:$F$79,'MEA Capacity Data'!D$22,MEA!$U$5:$U$79,'MEA Capacity Data'!$A28)+SUMIFS(MEA!$P$5:$P$79,MEA!$F$5:$F$79,'MEA Capacity Data'!D$22,MEA!$U$5:$U$79,'MEA Capacity Data'!$A28)</f>
        <v>0</v>
      </c>
      <c r="E28" s="30">
        <f>SUMIFS(MEA!$N$5:$N$79,MEA!$F$5:$F$79,'MEA Capacity Data'!E$22,MEA!$U$5:$U$79,'MEA Capacity Data'!$A28)+SUMIFS(MEA!$P$5:$P$79,MEA!$F$5:$F$79,'MEA Capacity Data'!E$22,MEA!$U$5:$U$79,'MEA Capacity Data'!$A28)</f>
        <v>20</v>
      </c>
      <c r="F28" s="31">
        <f>SUMIFS(MEA!$N$5:$N$79,MEA!$F$5:$F$79,'MEA Capacity Data'!F$22,MEA!$U$5:$U$79,'MEA Capacity Data'!$A28)+SUMIFS(MEA!$P$5:$P$79,MEA!$F$5:$F$79,'MEA Capacity Data'!F$22,MEA!$U$5:$U$79,'MEA Capacity Data'!$A28)</f>
        <v>0</v>
      </c>
      <c r="G28" s="31">
        <f>SUMIFS(MEA!$N$5:$N$79,MEA!$F$5:$F$79,'MEA Capacity Data'!G$22,MEA!$U$5:$U$79,'MEA Capacity Data'!$A28)+SUMIFS(MEA!$P$5:$P$79,MEA!$F$5:$F$79,'MEA Capacity Data'!G$22,MEA!$U$5:$U$79,'MEA Capacity Data'!$A28)</f>
        <v>0</v>
      </c>
      <c r="H28" s="31">
        <f>SUMIFS(MEA!$N$5:$N$79,MEA!$F$5:$F$79,'MEA Capacity Data'!H$22,MEA!$U$5:$U$79,'MEA Capacity Data'!$A28)+SUMIFS(MEA!$P$5:$P$79,MEA!$F$5:$F$79,'MEA Capacity Data'!H$22,MEA!$U$5:$U$79,'MEA Capacity Data'!$A28)</f>
        <v>20</v>
      </c>
      <c r="I28" s="31">
        <f>SUMIFS(MEA!$N$5:$N$79,MEA!$F$5:$F$79,'MEA Capacity Data'!I$22,MEA!$U$5:$U$79,'MEA Capacity Data'!$A28)+SUMIFS(MEA!$P$5:$P$79,MEA!$F$5:$F$79,'MEA Capacity Data'!I$22,MEA!$U$5:$U$79,'MEA Capacity Data'!$A28)</f>
        <v>0</v>
      </c>
      <c r="J28" s="31">
        <f>SUMIFS(MEA!$N$5:$N$79,MEA!$F$5:$F$79,'MEA Capacity Data'!J$22,MEA!$U$5:$U$79,'MEA Capacity Data'!$A28)+SUMIFS(MEA!$P$5:$P$79,MEA!$F$5:$F$79,'MEA Capacity Data'!J$22,MEA!$U$5:$U$79,'MEA Capacity Data'!$A28)</f>
        <v>0</v>
      </c>
      <c r="K28" s="31">
        <f>SUMIFS(MEA!$N$5:$N$79,MEA!$F$5:$F$79,'MEA Capacity Data'!K$22,MEA!$U$5:$U$79,'MEA Capacity Data'!$A28)+SUMIFS(MEA!$P$5:$P$79,MEA!$F$5:$F$79,'MEA Capacity Data'!K$22,MEA!$U$5:$U$79,'MEA Capacity Data'!$A28)</f>
        <v>52</v>
      </c>
      <c r="L28" s="31">
        <f>SUMIFS(MEA!$N$5:$N$79,MEA!$F$5:$F$79,'MEA Capacity Data'!L$22,MEA!$U$5:$U$79,'MEA Capacity Data'!$A28)+SUMIFS(MEA!$P$5:$P$79,MEA!$F$5:$F$79,'MEA Capacity Data'!L$22,MEA!$U$5:$U$79,'MEA Capacity Data'!$A28)</f>
        <v>0</v>
      </c>
      <c r="M28" s="31">
        <f>SUMIFS(MEA!$N$5:$N$79,MEA!$F$5:$F$79,'MEA Capacity Data'!M$22,MEA!$U$5:$U$79,'MEA Capacity Data'!$A28)+SUMIFS(MEA!$P$5:$P$79,MEA!$F$5:$F$79,'MEA Capacity Data'!M$22,MEA!$U$5:$U$79,'MEA Capacity Data'!$A28)</f>
        <v>0</v>
      </c>
      <c r="N28" s="31">
        <f>SUMIFS(MEA!$N$5:$N$79,MEA!$F$5:$F$79,'MEA Capacity Data'!N$22,MEA!$U$5:$U$79,'MEA Capacity Data'!$A28)+SUMIFS(MEA!$P$5:$P$79,MEA!$F$5:$F$79,'MEA Capacity Data'!N$22,MEA!$U$5:$U$79,'MEA Capacity Data'!$A28)</f>
        <v>0</v>
      </c>
      <c r="O28" s="31">
        <f>SUMIFS(MEA!$N$5:$N$79,MEA!$F$5:$F$79,'MEA Capacity Data'!O$22,MEA!$U$5:$U$79,'MEA Capacity Data'!$A28)+SUMIFS(MEA!$P$5:$P$79,MEA!$F$5:$F$79,'MEA Capacity Data'!O$22,MEA!$U$5:$U$79,'MEA Capacity Data'!$A28)</f>
        <v>0</v>
      </c>
      <c r="P28" s="31">
        <f>SUMIFS(MEA!$N$5:$N$79,MEA!$F$5:$F$79,'MEA Capacity Data'!P$22,MEA!$U$5:$U$79,'MEA Capacity Data'!$A28)+SUMIFS(MEA!$P$5:$P$79,MEA!$F$5:$F$79,'MEA Capacity Data'!P$22,MEA!$U$5:$U$79,'MEA Capacity Data'!$A28)</f>
        <v>0</v>
      </c>
      <c r="Q28" s="31">
        <f>SUMIFS(MEA!$N$5:$N$79,MEA!$F$5:$F$79,'MEA Capacity Data'!Q$22,MEA!$U$5:$U$79,'MEA Capacity Data'!$A28)+SUMIFS(MEA!$P$5:$P$79,MEA!$F$5:$F$79,'MEA Capacity Data'!Q$22,MEA!$U$5:$U$79,'MEA Capacity Data'!$A28)</f>
        <v>0</v>
      </c>
    </row>
    <row r="29" spans="1:17" ht="15.75" thickBot="1">
      <c r="A29" s="21" t="s">
        <v>11</v>
      </c>
      <c r="B29" s="245">
        <f>SUM(B23:B28)</f>
        <v>0</v>
      </c>
      <c r="C29" s="245">
        <f>B29+SUM(C23:C28)</f>
        <v>0</v>
      </c>
      <c r="D29" s="245">
        <f>C29+SUM(D23:D28)</f>
        <v>0</v>
      </c>
      <c r="E29" s="245">
        <f t="shared" ref="E29:Q29" si="8">D29+SUM(E23:E28)</f>
        <v>20</v>
      </c>
      <c r="F29" s="246">
        <f t="shared" si="8"/>
        <v>20</v>
      </c>
      <c r="G29" s="246">
        <f t="shared" si="8"/>
        <v>20</v>
      </c>
      <c r="H29" s="246">
        <f t="shared" si="8"/>
        <v>200</v>
      </c>
      <c r="I29" s="246">
        <f t="shared" si="8"/>
        <v>226.02500000000001</v>
      </c>
      <c r="J29" s="246">
        <f t="shared" si="8"/>
        <v>304.10000000000002</v>
      </c>
      <c r="K29" s="246">
        <f t="shared" si="8"/>
        <v>356.1</v>
      </c>
      <c r="L29" s="246">
        <f t="shared" si="8"/>
        <v>371.1</v>
      </c>
      <c r="M29" s="246">
        <f t="shared" si="8"/>
        <v>371.1</v>
      </c>
      <c r="N29" s="246">
        <f t="shared" si="8"/>
        <v>473.15000000000003</v>
      </c>
      <c r="O29" s="246">
        <f t="shared" si="8"/>
        <v>473.15000000000003</v>
      </c>
      <c r="P29" s="246">
        <f t="shared" si="8"/>
        <v>473.15000000000003</v>
      </c>
      <c r="Q29" s="246">
        <f t="shared" si="8"/>
        <v>473.15000000000003</v>
      </c>
    </row>
    <row r="30" spans="1:17">
      <c r="A30" s="14"/>
      <c r="B30" s="26" t="e">
        <f>B19/B29</f>
        <v>#DIV/0!</v>
      </c>
      <c r="C30" s="26" t="e">
        <f t="shared" ref="C30:Q30" si="9">C19/C29</f>
        <v>#DIV/0!</v>
      </c>
      <c r="D30" s="26" t="e">
        <f t="shared" si="9"/>
        <v>#DIV/0!</v>
      </c>
      <c r="E30" s="26">
        <f t="shared" si="9"/>
        <v>0.55000000000000004</v>
      </c>
      <c r="F30" s="26">
        <f t="shared" si="9"/>
        <v>0.55000000000000004</v>
      </c>
      <c r="G30" s="26">
        <f t="shared" si="9"/>
        <v>0.55000000000000004</v>
      </c>
      <c r="H30" s="26">
        <f t="shared" si="9"/>
        <v>0.59</v>
      </c>
      <c r="I30" s="26">
        <f t="shared" si="9"/>
        <v>0.58539431478818715</v>
      </c>
      <c r="J30" s="26">
        <f t="shared" si="9"/>
        <v>0.57630713581058857</v>
      </c>
      <c r="K30" s="26">
        <f t="shared" si="9"/>
        <v>0.57246559955068799</v>
      </c>
      <c r="L30" s="26">
        <f t="shared" si="9"/>
        <v>0.56549447588251134</v>
      </c>
      <c r="M30" s="26">
        <f t="shared" si="9"/>
        <v>0.56549447588251134</v>
      </c>
      <c r="N30" s="26">
        <f t="shared" si="9"/>
        <v>0.49744795519391305</v>
      </c>
      <c r="O30" s="26">
        <f t="shared" si="9"/>
        <v>0.49744795519391305</v>
      </c>
      <c r="P30" s="26">
        <f t="shared" si="9"/>
        <v>0.49744795519391305</v>
      </c>
      <c r="Q30" s="26">
        <f t="shared" si="9"/>
        <v>0.49744795519391305</v>
      </c>
    </row>
    <row r="31" spans="1:17" ht="15.75" thickBot="1">
      <c r="A31" s="16" t="s">
        <v>1195</v>
      </c>
      <c r="C31" s="27"/>
      <c r="D31" s="27"/>
      <c r="E31" s="27"/>
      <c r="F31" s="27"/>
      <c r="G31" s="27"/>
      <c r="H31" s="27"/>
      <c r="I31" s="27"/>
      <c r="J31" s="27"/>
      <c r="K31" s="27"/>
      <c r="L31" s="27"/>
      <c r="M31" s="27"/>
      <c r="N31" s="27"/>
      <c r="O31" s="27"/>
      <c r="P31" s="27"/>
    </row>
    <row r="32" spans="1:17" ht="15.75" thickBot="1">
      <c r="A32" s="17" t="s">
        <v>3</v>
      </c>
      <c r="B32" s="28" t="str">
        <f>B22</f>
        <v>&lt; 2021</v>
      </c>
      <c r="C32" s="18">
        <f>C22</f>
        <v>2021</v>
      </c>
      <c r="D32" s="18">
        <f t="shared" ref="D32:Q32" si="10">D22</f>
        <v>2022</v>
      </c>
      <c r="E32" s="18">
        <f t="shared" si="10"/>
        <v>2023</v>
      </c>
      <c r="F32" s="18">
        <f t="shared" si="10"/>
        <v>2024</v>
      </c>
      <c r="G32" s="18">
        <f t="shared" si="10"/>
        <v>2025</v>
      </c>
      <c r="H32" s="18">
        <f t="shared" si="10"/>
        <v>2026</v>
      </c>
      <c r="I32" s="18">
        <f t="shared" si="10"/>
        <v>2027</v>
      </c>
      <c r="J32" s="18">
        <f t="shared" si="10"/>
        <v>2028</v>
      </c>
      <c r="K32" s="18">
        <f t="shared" si="10"/>
        <v>2029</v>
      </c>
      <c r="L32" s="18">
        <f t="shared" si="10"/>
        <v>2030</v>
      </c>
      <c r="M32" s="18">
        <f t="shared" si="10"/>
        <v>2031</v>
      </c>
      <c r="N32" s="18">
        <f t="shared" si="10"/>
        <v>2032</v>
      </c>
      <c r="O32" s="18">
        <f t="shared" si="10"/>
        <v>2033</v>
      </c>
      <c r="P32" s="18">
        <f t="shared" si="10"/>
        <v>2034</v>
      </c>
      <c r="Q32" s="18">
        <f t="shared" si="10"/>
        <v>2035</v>
      </c>
    </row>
    <row r="33" spans="1:20">
      <c r="A33" s="20" t="s">
        <v>15</v>
      </c>
      <c r="B33" s="22">
        <f t="shared" ref="B33:B38" si="11">B23</f>
        <v>0</v>
      </c>
      <c r="C33" s="22">
        <f t="shared" ref="C33:Q35" si="12">B33+C23</f>
        <v>0</v>
      </c>
      <c r="D33" s="22">
        <f t="shared" si="12"/>
        <v>0</v>
      </c>
      <c r="E33" s="22">
        <f t="shared" si="12"/>
        <v>0</v>
      </c>
      <c r="F33" s="23">
        <f>E33+F23</f>
        <v>0</v>
      </c>
      <c r="G33" s="23">
        <f t="shared" si="12"/>
        <v>0</v>
      </c>
      <c r="H33" s="23">
        <f t="shared" si="12"/>
        <v>20</v>
      </c>
      <c r="I33" s="23">
        <f t="shared" si="12"/>
        <v>46.024999999999999</v>
      </c>
      <c r="J33" s="23">
        <f t="shared" si="12"/>
        <v>72.05</v>
      </c>
      <c r="K33" s="23">
        <f t="shared" si="12"/>
        <v>72.05</v>
      </c>
      <c r="L33" s="23">
        <f t="shared" si="12"/>
        <v>72.05</v>
      </c>
      <c r="M33" s="23">
        <f t="shared" si="12"/>
        <v>72.05</v>
      </c>
      <c r="N33" s="23">
        <f t="shared" si="12"/>
        <v>122.05</v>
      </c>
      <c r="O33" s="23">
        <f t="shared" si="12"/>
        <v>122.05</v>
      </c>
      <c r="P33" s="23">
        <f t="shared" si="12"/>
        <v>122.05</v>
      </c>
      <c r="Q33" s="23">
        <f t="shared" si="12"/>
        <v>122.05</v>
      </c>
      <c r="R33" s="29">
        <f t="shared" ref="R33:R38" si="13">L33/$L$39</f>
        <v>0.19415251953651305</v>
      </c>
    </row>
    <row r="34" spans="1:20">
      <c r="A34" s="20" t="s">
        <v>16</v>
      </c>
      <c r="B34" s="22">
        <f t="shared" si="11"/>
        <v>0</v>
      </c>
      <c r="C34" s="22">
        <f t="shared" si="12"/>
        <v>0</v>
      </c>
      <c r="D34" s="22">
        <f t="shared" si="12"/>
        <v>0</v>
      </c>
      <c r="E34" s="22">
        <f t="shared" si="12"/>
        <v>0</v>
      </c>
      <c r="F34" s="23">
        <f t="shared" si="12"/>
        <v>0</v>
      </c>
      <c r="G34" s="23">
        <f t="shared" si="12"/>
        <v>0</v>
      </c>
      <c r="H34" s="23">
        <f t="shared" si="12"/>
        <v>0</v>
      </c>
      <c r="I34" s="23">
        <f t="shared" si="12"/>
        <v>0</v>
      </c>
      <c r="J34" s="23">
        <f t="shared" si="12"/>
        <v>52.05</v>
      </c>
      <c r="K34" s="23">
        <f t="shared" si="12"/>
        <v>52.05</v>
      </c>
      <c r="L34" s="23">
        <f t="shared" si="12"/>
        <v>52.05</v>
      </c>
      <c r="M34" s="23">
        <f t="shared" si="12"/>
        <v>52.05</v>
      </c>
      <c r="N34" s="23">
        <f t="shared" si="12"/>
        <v>104.1</v>
      </c>
      <c r="O34" s="23">
        <f t="shared" si="12"/>
        <v>104.1</v>
      </c>
      <c r="P34" s="23">
        <f t="shared" si="12"/>
        <v>104.1</v>
      </c>
      <c r="Q34" s="23">
        <f t="shared" si="12"/>
        <v>104.1</v>
      </c>
      <c r="R34" s="29">
        <f t="shared" si="13"/>
        <v>0.14025869037995148</v>
      </c>
    </row>
    <row r="35" spans="1:20">
      <c r="A35" s="20" t="s">
        <v>17</v>
      </c>
      <c r="B35" s="22">
        <f t="shared" si="11"/>
        <v>0</v>
      </c>
      <c r="C35" s="22">
        <f t="shared" si="12"/>
        <v>0</v>
      </c>
      <c r="D35" s="22">
        <f t="shared" si="12"/>
        <v>0</v>
      </c>
      <c r="E35" s="22">
        <f t="shared" si="12"/>
        <v>0</v>
      </c>
      <c r="F35" s="23">
        <f t="shared" si="12"/>
        <v>0</v>
      </c>
      <c r="G35" s="23">
        <f t="shared" si="12"/>
        <v>0</v>
      </c>
      <c r="H35" s="23">
        <f t="shared" si="12"/>
        <v>140</v>
      </c>
      <c r="I35" s="23">
        <f t="shared" si="12"/>
        <v>140</v>
      </c>
      <c r="J35" s="23">
        <f t="shared" si="12"/>
        <v>140</v>
      </c>
      <c r="K35" s="23">
        <f t="shared" si="12"/>
        <v>140</v>
      </c>
      <c r="L35" s="23">
        <f t="shared" si="12"/>
        <v>155</v>
      </c>
      <c r="M35" s="23">
        <f t="shared" si="12"/>
        <v>155</v>
      </c>
      <c r="N35" s="23">
        <f t="shared" si="12"/>
        <v>155</v>
      </c>
      <c r="O35" s="23">
        <f t="shared" si="12"/>
        <v>155</v>
      </c>
      <c r="P35" s="23">
        <f t="shared" si="12"/>
        <v>155</v>
      </c>
      <c r="Q35" s="23">
        <f t="shared" si="12"/>
        <v>155</v>
      </c>
      <c r="R35" s="29">
        <f t="shared" si="13"/>
        <v>0.41767717596335219</v>
      </c>
    </row>
    <row r="36" spans="1:20">
      <c r="A36" s="20" t="s">
        <v>18</v>
      </c>
      <c r="B36" s="22">
        <f t="shared" si="11"/>
        <v>0</v>
      </c>
      <c r="C36" s="22">
        <f>C26+B36</f>
        <v>0</v>
      </c>
      <c r="D36" s="30">
        <f>D26+C36</f>
        <v>0</v>
      </c>
      <c r="E36" s="30">
        <f t="shared" ref="E36:Q36" si="14">E26+D36</f>
        <v>0</v>
      </c>
      <c r="F36" s="31">
        <f t="shared" si="14"/>
        <v>0</v>
      </c>
      <c r="G36" s="31">
        <f t="shared" si="14"/>
        <v>0</v>
      </c>
      <c r="H36" s="23">
        <f t="shared" si="14"/>
        <v>0</v>
      </c>
      <c r="I36" s="23">
        <f t="shared" si="14"/>
        <v>0</v>
      </c>
      <c r="J36" s="23">
        <f t="shared" si="14"/>
        <v>0</v>
      </c>
      <c r="K36" s="23">
        <f t="shared" si="14"/>
        <v>0</v>
      </c>
      <c r="L36" s="23">
        <f t="shared" si="14"/>
        <v>0</v>
      </c>
      <c r="M36" s="23">
        <f t="shared" si="14"/>
        <v>0</v>
      </c>
      <c r="N36" s="23">
        <f t="shared" si="14"/>
        <v>0</v>
      </c>
      <c r="O36" s="23">
        <f t="shared" si="14"/>
        <v>0</v>
      </c>
      <c r="P36" s="23">
        <f t="shared" si="14"/>
        <v>0</v>
      </c>
      <c r="Q36" s="23">
        <f t="shared" si="14"/>
        <v>0</v>
      </c>
      <c r="R36" s="29">
        <f t="shared" si="13"/>
        <v>0</v>
      </c>
    </row>
    <row r="37" spans="1:20">
      <c r="A37" s="20" t="s">
        <v>19</v>
      </c>
      <c r="B37" s="22">
        <f t="shared" si="11"/>
        <v>0</v>
      </c>
      <c r="C37" s="22">
        <f>B37+C27</f>
        <v>0</v>
      </c>
      <c r="D37" s="22">
        <f>C37+D27</f>
        <v>0</v>
      </c>
      <c r="E37" s="22">
        <f t="shared" ref="E37:Q38" si="15">D37+E27</f>
        <v>0</v>
      </c>
      <c r="F37" s="23">
        <f t="shared" si="15"/>
        <v>0</v>
      </c>
      <c r="G37" s="23">
        <f t="shared" si="15"/>
        <v>0</v>
      </c>
      <c r="H37" s="23">
        <f t="shared" si="15"/>
        <v>0</v>
      </c>
      <c r="I37" s="23">
        <f t="shared" si="15"/>
        <v>0</v>
      </c>
      <c r="J37" s="23">
        <f t="shared" si="15"/>
        <v>0</v>
      </c>
      <c r="K37" s="23">
        <f t="shared" si="15"/>
        <v>0</v>
      </c>
      <c r="L37" s="23">
        <f t="shared" si="15"/>
        <v>0</v>
      </c>
      <c r="M37" s="23">
        <f t="shared" si="15"/>
        <v>0</v>
      </c>
      <c r="N37" s="23">
        <f t="shared" si="15"/>
        <v>0</v>
      </c>
      <c r="O37" s="23">
        <f t="shared" si="15"/>
        <v>0</v>
      </c>
      <c r="P37" s="23">
        <f t="shared" si="15"/>
        <v>0</v>
      </c>
      <c r="Q37" s="23">
        <f t="shared" si="15"/>
        <v>0</v>
      </c>
      <c r="R37" s="29">
        <f t="shared" si="13"/>
        <v>0</v>
      </c>
    </row>
    <row r="38" spans="1:20">
      <c r="A38" s="20" t="s">
        <v>20</v>
      </c>
      <c r="B38" s="22">
        <f t="shared" si="11"/>
        <v>0</v>
      </c>
      <c r="C38" s="22">
        <f>B38+C28</f>
        <v>0</v>
      </c>
      <c r="D38" s="22">
        <f>C38+D28</f>
        <v>0</v>
      </c>
      <c r="E38" s="22">
        <f t="shared" si="15"/>
        <v>20</v>
      </c>
      <c r="F38" s="23">
        <f t="shared" si="15"/>
        <v>20</v>
      </c>
      <c r="G38" s="23">
        <f t="shared" si="15"/>
        <v>20</v>
      </c>
      <c r="H38" s="23">
        <f t="shared" si="15"/>
        <v>40</v>
      </c>
      <c r="I38" s="23">
        <f t="shared" si="15"/>
        <v>40</v>
      </c>
      <c r="J38" s="23">
        <f t="shared" si="15"/>
        <v>40</v>
      </c>
      <c r="K38" s="23">
        <f t="shared" si="15"/>
        <v>92</v>
      </c>
      <c r="L38" s="23">
        <f t="shared" si="15"/>
        <v>92</v>
      </c>
      <c r="M38" s="23">
        <f t="shared" si="15"/>
        <v>92</v>
      </c>
      <c r="N38" s="23">
        <f t="shared" si="15"/>
        <v>92</v>
      </c>
      <c r="O38" s="23">
        <f t="shared" si="15"/>
        <v>92</v>
      </c>
      <c r="P38" s="23">
        <f t="shared" si="15"/>
        <v>92</v>
      </c>
      <c r="Q38" s="23">
        <f t="shared" si="15"/>
        <v>92</v>
      </c>
      <c r="R38" s="29">
        <f t="shared" si="13"/>
        <v>0.24791161412018323</v>
      </c>
    </row>
    <row r="39" spans="1:20" ht="15.75" thickBot="1">
      <c r="A39" s="32" t="s">
        <v>11</v>
      </c>
      <c r="B39" s="33">
        <f>SUM(B33:B38)</f>
        <v>0</v>
      </c>
      <c r="C39" s="33">
        <f>SUM(C33:C38)</f>
        <v>0</v>
      </c>
      <c r="D39" s="33">
        <f t="shared" ref="D39:Q39" si="16">SUM(D33:D38)</f>
        <v>0</v>
      </c>
      <c r="E39" s="33">
        <f t="shared" si="16"/>
        <v>20</v>
      </c>
      <c r="F39" s="34">
        <f t="shared" si="16"/>
        <v>20</v>
      </c>
      <c r="G39" s="34">
        <f t="shared" si="16"/>
        <v>20</v>
      </c>
      <c r="H39" s="34">
        <f t="shared" si="16"/>
        <v>200</v>
      </c>
      <c r="I39" s="34">
        <f t="shared" si="16"/>
        <v>226.02500000000001</v>
      </c>
      <c r="J39" s="34">
        <f t="shared" si="16"/>
        <v>304.10000000000002</v>
      </c>
      <c r="K39" s="34">
        <f t="shared" si="16"/>
        <v>356.1</v>
      </c>
      <c r="L39" s="34">
        <f t="shared" si="16"/>
        <v>371.1</v>
      </c>
      <c r="M39" s="34">
        <f t="shared" si="16"/>
        <v>371.1</v>
      </c>
      <c r="N39" s="34">
        <f t="shared" si="16"/>
        <v>473.15</v>
      </c>
      <c r="O39" s="34">
        <f t="shared" si="16"/>
        <v>473.15</v>
      </c>
      <c r="P39" s="34">
        <f t="shared" si="16"/>
        <v>473.15</v>
      </c>
      <c r="Q39" s="34">
        <f t="shared" si="16"/>
        <v>473.15</v>
      </c>
    </row>
    <row r="40" spans="1:20">
      <c r="A40" s="26"/>
      <c r="B40" s="26"/>
      <c r="C40" s="26"/>
      <c r="D40" s="26"/>
      <c r="E40" s="26"/>
      <c r="F40" s="26"/>
      <c r="G40" s="26"/>
      <c r="H40" s="26"/>
      <c r="I40" s="26"/>
      <c r="J40" s="26"/>
      <c r="K40" s="26"/>
      <c r="L40" s="26"/>
      <c r="M40" s="26"/>
      <c r="N40" s="26"/>
      <c r="O40" s="26"/>
      <c r="P40" s="26"/>
      <c r="Q40" s="26"/>
    </row>
    <row r="41" spans="1:20" ht="15.75" thickBot="1">
      <c r="A41" s="16" t="s">
        <v>21</v>
      </c>
    </row>
    <row r="42" spans="1:20" ht="15.75" customHeight="1" thickBot="1">
      <c r="A42" s="17"/>
      <c r="B42" s="28" t="str">
        <f>B22</f>
        <v>&lt; 2021</v>
      </c>
      <c r="C42" s="18">
        <f t="shared" ref="C42:Q42" si="17">C22</f>
        <v>2021</v>
      </c>
      <c r="D42" s="18">
        <f t="shared" si="17"/>
        <v>2022</v>
      </c>
      <c r="E42" s="18">
        <f t="shared" si="17"/>
        <v>2023</v>
      </c>
      <c r="F42" s="18">
        <f t="shared" si="17"/>
        <v>2024</v>
      </c>
      <c r="G42" s="18">
        <f t="shared" si="17"/>
        <v>2025</v>
      </c>
      <c r="H42" s="18">
        <f t="shared" si="17"/>
        <v>2026</v>
      </c>
      <c r="I42" s="18">
        <f t="shared" si="17"/>
        <v>2027</v>
      </c>
      <c r="J42" s="18">
        <f t="shared" si="17"/>
        <v>2028</v>
      </c>
      <c r="K42" s="18">
        <f t="shared" si="17"/>
        <v>2029</v>
      </c>
      <c r="L42" s="18">
        <f t="shared" si="17"/>
        <v>2030</v>
      </c>
      <c r="M42" s="18">
        <f t="shared" si="17"/>
        <v>2031</v>
      </c>
      <c r="N42" s="18">
        <f t="shared" si="17"/>
        <v>2032</v>
      </c>
      <c r="O42" s="18">
        <f t="shared" si="17"/>
        <v>2033</v>
      </c>
      <c r="P42" s="18">
        <f t="shared" si="17"/>
        <v>2034</v>
      </c>
      <c r="Q42" s="18">
        <f t="shared" si="17"/>
        <v>2035</v>
      </c>
      <c r="R42" s="35" t="s">
        <v>22</v>
      </c>
      <c r="S42" s="35" t="s">
        <v>23</v>
      </c>
      <c r="T42" s="389" t="s">
        <v>456</v>
      </c>
    </row>
    <row r="43" spans="1:20">
      <c r="A43" s="19" t="s">
        <v>5</v>
      </c>
      <c r="B43" s="243">
        <f>COUNTIFS(MEA!$F$5:$F$79,"&lt;"&amp;'MEA Capacity Data'!C$22,MEA!$U$5:$U$79,$A43)</f>
        <v>0</v>
      </c>
      <c r="C43" s="30">
        <f>COUNTIFS(MEA!$F$5:$F$79,'MEA Capacity Data'!C$22,MEA!$U$5:$U$79,$A43)</f>
        <v>0</v>
      </c>
      <c r="D43" s="30">
        <f>COUNTIFS(MEA!$F$5:$F$79,'MEA Capacity Data'!D$22,MEA!$U$5:$U$79,$A43)</f>
        <v>0</v>
      </c>
      <c r="E43" s="30">
        <f>COUNTIFS(MEA!$F$5:$F$79,'MEA Capacity Data'!E$22,MEA!$U$5:$U$79,$A43)</f>
        <v>0</v>
      </c>
      <c r="F43" s="31">
        <f>COUNTIFS(MEA!$F$5:$F$79,'MEA Capacity Data'!F$22,MEA!$U$5:$U$79,$A43)</f>
        <v>0</v>
      </c>
      <c r="G43" s="31">
        <f>COUNTIFS(MEA!$F$5:$F$79,'MEA Capacity Data'!G$22,MEA!$U$5:$U$79,$A43)</f>
        <v>0</v>
      </c>
      <c r="H43" s="31">
        <f>COUNTIFS(MEA!$F$5:$F$79,'MEA Capacity Data'!H$22,MEA!$U$5:$U$79,$A43)</f>
        <v>1</v>
      </c>
      <c r="I43" s="31">
        <f>COUNTIFS(MEA!$F$5:$F$79,'MEA Capacity Data'!I$22,MEA!$U$5:$U$79,$A43)</f>
        <v>1</v>
      </c>
      <c r="J43" s="31">
        <f>COUNTIFS(MEA!$F$5:$F$79,'MEA Capacity Data'!J$22,MEA!$U$5:$U$79,$A43)</f>
        <v>1</v>
      </c>
      <c r="K43" s="31">
        <f>COUNTIFS(MEA!$F$5:$F$79,'MEA Capacity Data'!K$22,MEA!$U$5:$U$79,$A43)</f>
        <v>0</v>
      </c>
      <c r="L43" s="31">
        <f>COUNTIFS(MEA!$F$5:$F$79,'MEA Capacity Data'!L$22,MEA!$U$5:$U$79,$A43)</f>
        <v>0</v>
      </c>
      <c r="M43" s="31">
        <f>COUNTIFS(MEA!$F$5:$F$79,'MEA Capacity Data'!M$22,MEA!$U$5:$U$79,$A43)</f>
        <v>0</v>
      </c>
      <c r="N43" s="31">
        <f>COUNTIFS(MEA!$F$5:$F$79,'MEA Capacity Data'!N$22,MEA!$U$5:$U$79,$A43)</f>
        <v>1</v>
      </c>
      <c r="O43" s="31">
        <f>COUNTIFS(MEA!$F$5:$F$79,'MEA Capacity Data'!O$22,MEA!$U$5:$U$79,$A43)</f>
        <v>0</v>
      </c>
      <c r="P43" s="31">
        <f>COUNTIFS(MEA!$F$5:$F$79,'MEA Capacity Data'!P$22,MEA!$U$5:$U$79,$A43)</f>
        <v>0</v>
      </c>
      <c r="Q43" s="31">
        <f>COUNTIFS(MEA!$F$5:$F$79,'MEA Capacity Data'!Q$22,MEA!$U$5:$U$79,$A43)</f>
        <v>0</v>
      </c>
      <c r="R43" s="30">
        <f t="shared" ref="R43:R48" si="18">SUM(B43:P43)</f>
        <v>4</v>
      </c>
      <c r="S43" s="22">
        <f>R43-NAm!U87</f>
        <v>-30</v>
      </c>
      <c r="T43" s="389"/>
    </row>
    <row r="44" spans="1:20">
      <c r="A44" s="20" t="s">
        <v>6</v>
      </c>
      <c r="B44" s="30">
        <f>COUNTIFS(MEA!$F$5:$F$79,"&lt;"&amp;'MEA Capacity Data'!C$22,MEA!$U$5:$U$79,$A44)</f>
        <v>0</v>
      </c>
      <c r="C44" s="30">
        <f>COUNTIFS(MEA!$F$5:$F$79,'MEA Capacity Data'!C$22,MEA!$U$5:$U$79,$A44)</f>
        <v>0</v>
      </c>
      <c r="D44" s="30">
        <f>COUNTIFS(MEA!$F$5:$F$79,'MEA Capacity Data'!D$22,MEA!$U$5:$U$79,$A44)</f>
        <v>0</v>
      </c>
      <c r="E44" s="30">
        <f>COUNTIFS(MEA!$F$5:$F$79,'MEA Capacity Data'!E$22,MEA!$U$5:$U$79,$A44)</f>
        <v>0</v>
      </c>
      <c r="F44" s="31">
        <f>COUNTIFS(MEA!$F$5:$F$79,'MEA Capacity Data'!F$22,MEA!$U$5:$U$79,$A44)</f>
        <v>0</v>
      </c>
      <c r="G44" s="31">
        <f>COUNTIFS(MEA!$F$5:$F$79,'MEA Capacity Data'!G$22,MEA!$U$5:$U$79,$A44)</f>
        <v>0</v>
      </c>
      <c r="H44" s="31">
        <f>COUNTIFS(MEA!$F$5:$F$79,'MEA Capacity Data'!H$22,MEA!$U$5:$U$79,$A44)</f>
        <v>0</v>
      </c>
      <c r="I44" s="31">
        <f>COUNTIFS(MEA!$F$5:$F$79,'MEA Capacity Data'!I$22,MEA!$U$5:$U$79,$A44)</f>
        <v>0</v>
      </c>
      <c r="J44" s="31">
        <f>COUNTIFS(MEA!$F$5:$F$79,'MEA Capacity Data'!J$22,MEA!$U$5:$U$79,$A44)</f>
        <v>1</v>
      </c>
      <c r="K44" s="31">
        <f>COUNTIFS(MEA!$F$5:$F$79,'MEA Capacity Data'!K$22,MEA!$U$5:$U$79,$A44)</f>
        <v>0</v>
      </c>
      <c r="L44" s="31">
        <f>COUNTIFS(MEA!$F$5:$F$79,'MEA Capacity Data'!L$22,MEA!$U$5:$U$79,$A44)</f>
        <v>0</v>
      </c>
      <c r="M44" s="31">
        <f>COUNTIFS(MEA!$F$5:$F$79,'MEA Capacity Data'!M$22,MEA!$U$5:$U$79,$A44)</f>
        <v>0</v>
      </c>
      <c r="N44" s="31">
        <f>COUNTIFS(MEA!$F$5:$F$79,'MEA Capacity Data'!N$22,MEA!$U$5:$U$79,$A44)</f>
        <v>1</v>
      </c>
      <c r="O44" s="31">
        <f>COUNTIFS(MEA!$F$5:$F$79,'MEA Capacity Data'!O$22,MEA!$U$5:$U$79,$A44)</f>
        <v>0</v>
      </c>
      <c r="P44" s="31">
        <f>COUNTIFS(MEA!$F$5:$F$79,'MEA Capacity Data'!P$22,MEA!$U$5:$U$79,$A44)</f>
        <v>0</v>
      </c>
      <c r="Q44" s="31">
        <f>COUNTIFS(MEA!$F$5:$F$79,'MEA Capacity Data'!Q$22,MEA!$U$5:$U$79,$A44)</f>
        <v>0</v>
      </c>
      <c r="R44" s="30">
        <f t="shared" si="18"/>
        <v>2</v>
      </c>
      <c r="S44" s="22">
        <f>R44-NAm!U88</f>
        <v>-12</v>
      </c>
      <c r="T44" s="389"/>
    </row>
    <row r="45" spans="1:20">
      <c r="A45" s="20" t="s">
        <v>7</v>
      </c>
      <c r="B45" s="30">
        <f>COUNTIFS(MEA!$F$5:$F$79,"&lt;"&amp;'MEA Capacity Data'!C$22,MEA!$U$5:$U$79,$A45)</f>
        <v>0</v>
      </c>
      <c r="C45" s="30">
        <f>COUNTIFS(MEA!$F$5:$F$79,'MEA Capacity Data'!C$22,MEA!$U$5:$U$79,$A45)</f>
        <v>0</v>
      </c>
      <c r="D45" s="30">
        <f>COUNTIFS(MEA!$F$5:$F$79,'MEA Capacity Data'!D$22,MEA!$U$5:$U$79,$A45)</f>
        <v>0</v>
      </c>
      <c r="E45" s="30">
        <f>COUNTIFS(MEA!$F$5:$F$79,'MEA Capacity Data'!E$22,MEA!$U$5:$U$79,$A45)</f>
        <v>0</v>
      </c>
      <c r="F45" s="31">
        <f>COUNTIFS(MEA!$F$5:$F$79,'MEA Capacity Data'!F$22,MEA!$U$5:$U$79,$A45)</f>
        <v>0</v>
      </c>
      <c r="G45" s="31">
        <f>COUNTIFS(MEA!$F$5:$F$79,'MEA Capacity Data'!G$22,MEA!$U$5:$U$79,$A45)</f>
        <v>0</v>
      </c>
      <c r="H45" s="31">
        <f>COUNTIFS(MEA!$F$5:$F$79,'MEA Capacity Data'!H$22,MEA!$U$5:$U$79,$A45)</f>
        <v>1</v>
      </c>
      <c r="I45" s="31">
        <f>COUNTIFS(MEA!$F$5:$F$79,'MEA Capacity Data'!I$22,MEA!$U$5:$U$79,$A45)</f>
        <v>0</v>
      </c>
      <c r="J45" s="31">
        <f>COUNTIFS(MEA!$F$5:$F$79,'MEA Capacity Data'!J$22,MEA!$U$5:$U$79,$A45)</f>
        <v>0</v>
      </c>
      <c r="K45" s="31">
        <f>COUNTIFS(MEA!$F$5:$F$79,'MEA Capacity Data'!K$22,MEA!$U$5:$U$79,$A45)</f>
        <v>0</v>
      </c>
      <c r="L45" s="31">
        <f>COUNTIFS(MEA!$F$5:$F$79,'MEA Capacity Data'!L$22,MEA!$U$5:$U$79,$A45)</f>
        <v>1</v>
      </c>
      <c r="M45" s="31">
        <f>COUNTIFS(MEA!$F$5:$F$79,'MEA Capacity Data'!M$22,MEA!$U$5:$U$79,$A45)</f>
        <v>0</v>
      </c>
      <c r="N45" s="31">
        <f>COUNTIFS(MEA!$F$5:$F$79,'MEA Capacity Data'!N$22,MEA!$U$5:$U$79,$A45)</f>
        <v>0</v>
      </c>
      <c r="O45" s="31">
        <f>COUNTIFS(MEA!$F$5:$F$79,'MEA Capacity Data'!O$22,MEA!$U$5:$U$79,$A45)</f>
        <v>0</v>
      </c>
      <c r="P45" s="31">
        <f>COUNTIFS(MEA!$F$5:$F$79,'MEA Capacity Data'!P$22,MEA!$U$5:$U$79,$A45)</f>
        <v>0</v>
      </c>
      <c r="Q45" s="31">
        <f>COUNTIFS(MEA!$F$5:$F$79,'MEA Capacity Data'!Q$22,MEA!$U$5:$U$79,$A45)</f>
        <v>0</v>
      </c>
      <c r="R45" s="30">
        <f t="shared" si="18"/>
        <v>2</v>
      </c>
      <c r="S45" s="22">
        <f>R45-NAm!U89</f>
        <v>-9</v>
      </c>
      <c r="T45" s="389"/>
    </row>
    <row r="46" spans="1:20">
      <c r="A46" s="20" t="s">
        <v>8</v>
      </c>
      <c r="B46" s="30">
        <f>COUNTIFS(MEA!$F$5:$F$79,"&lt;"&amp;'MEA Capacity Data'!C$22,MEA!$U$5:$U$79,$A46)</f>
        <v>0</v>
      </c>
      <c r="C46" s="30">
        <f>COUNTIFS(MEA!$F$5:$F$79,'MEA Capacity Data'!C$22,MEA!$U$5:$U$79,$A46)</f>
        <v>0</v>
      </c>
      <c r="D46" s="30">
        <f>COUNTIFS(MEA!$F$5:$F$79,'MEA Capacity Data'!D$22,MEA!$U$5:$U$79,$A46)</f>
        <v>0</v>
      </c>
      <c r="E46" s="30">
        <f>COUNTIFS(MEA!$F$5:$F$79,'MEA Capacity Data'!E$22,MEA!$U$5:$U$79,$A46)</f>
        <v>0</v>
      </c>
      <c r="F46" s="31">
        <f>COUNTIFS(MEA!$F$5:$F$79,'MEA Capacity Data'!F$22,MEA!$U$5:$U$79,$A46)</f>
        <v>0</v>
      </c>
      <c r="G46" s="31">
        <f>COUNTIFS(MEA!$F$5:$F$79,'MEA Capacity Data'!G$22,MEA!$U$5:$U$79,$A46)</f>
        <v>0</v>
      </c>
      <c r="H46" s="31">
        <f>COUNTIFS(MEA!$F$5:$F$79,'MEA Capacity Data'!H$22,MEA!$U$5:$U$79,$A46)</f>
        <v>0</v>
      </c>
      <c r="I46" s="31">
        <f>COUNTIFS(MEA!$F$5:$F$79,'MEA Capacity Data'!I$22,MEA!$U$5:$U$79,$A46)</f>
        <v>0</v>
      </c>
      <c r="J46" s="31">
        <f>COUNTIFS(MEA!$F$5:$F$79,'MEA Capacity Data'!J$22,MEA!$U$5:$U$79,$A46)</f>
        <v>0</v>
      </c>
      <c r="K46" s="31">
        <f>COUNTIFS(MEA!$F$5:$F$79,'MEA Capacity Data'!K$22,MEA!$U$5:$U$79,$A46)</f>
        <v>0</v>
      </c>
      <c r="L46" s="31">
        <f>COUNTIFS(MEA!$F$5:$F$79,'MEA Capacity Data'!L$22,MEA!$U$5:$U$79,$A46)</f>
        <v>0</v>
      </c>
      <c r="M46" s="31">
        <f>COUNTIFS(MEA!$F$5:$F$79,'MEA Capacity Data'!M$22,MEA!$U$5:$U$79,$A46)</f>
        <v>0</v>
      </c>
      <c r="N46" s="31">
        <f>COUNTIFS(MEA!$F$5:$F$79,'MEA Capacity Data'!N$22,MEA!$U$5:$U$79,$A46)</f>
        <v>0</v>
      </c>
      <c r="O46" s="31">
        <f>COUNTIFS(MEA!$F$5:$F$79,'MEA Capacity Data'!O$22,MEA!$U$5:$U$79,$A46)</f>
        <v>0</v>
      </c>
      <c r="P46" s="31">
        <f>COUNTIFS(MEA!$F$5:$F$79,'MEA Capacity Data'!P$22,MEA!$U$5:$U$79,$A46)</f>
        <v>0</v>
      </c>
      <c r="Q46" s="31">
        <f>COUNTIFS(MEA!$F$5:$F$79,'MEA Capacity Data'!Q$22,MEA!$U$5:$U$79,$A46)</f>
        <v>0</v>
      </c>
      <c r="R46" s="30">
        <f t="shared" si="18"/>
        <v>0</v>
      </c>
      <c r="S46" s="22">
        <f>R46-NAm!U90</f>
        <v>-12</v>
      </c>
      <c r="T46" s="389"/>
    </row>
    <row r="47" spans="1:20">
      <c r="A47" s="20" t="s">
        <v>9</v>
      </c>
      <c r="B47" s="30">
        <f>COUNTIFS(MEA!$F$5:$F$79,"&lt;"&amp;'MEA Capacity Data'!C$22,MEA!$U$5:$U$79,$A47)</f>
        <v>0</v>
      </c>
      <c r="C47" s="30">
        <f>COUNTIFS(MEA!$F$5:$F$79,'MEA Capacity Data'!C$22,MEA!$U$5:$U$79,$A47)</f>
        <v>0</v>
      </c>
      <c r="D47" s="30">
        <f>COUNTIFS(MEA!$F$5:$F$79,'MEA Capacity Data'!D$22,MEA!$U$5:$U$79,$A47)</f>
        <v>0</v>
      </c>
      <c r="E47" s="30">
        <f>COUNTIFS(MEA!$F$5:$F$79,'MEA Capacity Data'!E$22,MEA!$U$5:$U$79,$A47)</f>
        <v>0</v>
      </c>
      <c r="F47" s="31">
        <f>COUNTIFS(MEA!$F$5:$F$79,'MEA Capacity Data'!F$22,MEA!$U$5:$U$79,$A47)</f>
        <v>0</v>
      </c>
      <c r="G47" s="31">
        <f>COUNTIFS(MEA!$F$5:$F$79,'MEA Capacity Data'!G$22,MEA!$U$5:$U$79,$A47)</f>
        <v>0</v>
      </c>
      <c r="H47" s="31">
        <f>COUNTIFS(MEA!$F$5:$F$79,'MEA Capacity Data'!H$22,MEA!$U$5:$U$79,$A47)</f>
        <v>0</v>
      </c>
      <c r="I47" s="31">
        <f>COUNTIFS(MEA!$F$5:$F$79,'MEA Capacity Data'!I$22,MEA!$U$5:$U$79,$A47)</f>
        <v>0</v>
      </c>
      <c r="J47" s="31">
        <f>COUNTIFS(MEA!$F$5:$F$79,'MEA Capacity Data'!J$22,MEA!$U$5:$U$79,$A47)</f>
        <v>0</v>
      </c>
      <c r="K47" s="31">
        <f>COUNTIFS(MEA!$F$5:$F$79,'MEA Capacity Data'!K$22,MEA!$U$5:$U$79,$A47)</f>
        <v>0</v>
      </c>
      <c r="L47" s="31">
        <f>COUNTIFS(MEA!$F$5:$F$79,'MEA Capacity Data'!L$22,MEA!$U$5:$U$79,$A47)</f>
        <v>0</v>
      </c>
      <c r="M47" s="31">
        <f>COUNTIFS(MEA!$F$5:$F$79,'MEA Capacity Data'!M$22,MEA!$U$5:$U$79,$A47)</f>
        <v>0</v>
      </c>
      <c r="N47" s="31">
        <f>COUNTIFS(MEA!$F$5:$F$79,'MEA Capacity Data'!N$22,MEA!$U$5:$U$79,$A47)</f>
        <v>0</v>
      </c>
      <c r="O47" s="31">
        <f>COUNTIFS(MEA!$F$5:$F$79,'MEA Capacity Data'!O$22,MEA!$U$5:$U$79,$A47)</f>
        <v>0</v>
      </c>
      <c r="P47" s="31">
        <f>COUNTIFS(MEA!$F$5:$F$79,'MEA Capacity Data'!P$22,MEA!$U$5:$U$79,$A47)</f>
        <v>0</v>
      </c>
      <c r="Q47" s="31">
        <f>COUNTIFS(MEA!$F$5:$F$79,'MEA Capacity Data'!Q$22,MEA!$U$5:$U$79,$A47)</f>
        <v>0</v>
      </c>
      <c r="R47" s="30">
        <f t="shared" si="18"/>
        <v>0</v>
      </c>
      <c r="S47" s="22">
        <f>R47-NAm!U91</f>
        <v>-3</v>
      </c>
      <c r="T47" s="389"/>
    </row>
    <row r="48" spans="1:20">
      <c r="A48" s="20" t="s">
        <v>10</v>
      </c>
      <c r="B48" s="30">
        <f>COUNTIFS(MEA!$F$5:$F$79,"&lt;"&amp;'MEA Capacity Data'!C$22,MEA!$U$5:$U$79,$A48)</f>
        <v>0</v>
      </c>
      <c r="C48" s="30">
        <f>COUNTIFS(MEA!$F$5:$F$79,'MEA Capacity Data'!C$22,MEA!$U$5:$U$79,$A48)</f>
        <v>0</v>
      </c>
      <c r="D48" s="30">
        <f>COUNTIFS(MEA!$F$5:$F$79,'MEA Capacity Data'!D$22,MEA!$U$5:$U$79,$A48)</f>
        <v>0</v>
      </c>
      <c r="E48" s="30">
        <f>COUNTIFS(MEA!$F$5:$F$79,'MEA Capacity Data'!E$22,MEA!$U$5:$U$79,$A48)</f>
        <v>1</v>
      </c>
      <c r="F48" s="31">
        <f>COUNTIFS(MEA!$F$5:$F$79,'MEA Capacity Data'!F$22,MEA!$U$5:$U$79,$A48)</f>
        <v>0</v>
      </c>
      <c r="G48" s="31">
        <f>COUNTIFS(MEA!$F$5:$F$79,'MEA Capacity Data'!G$22,MEA!$U$5:$U$79,$A48)</f>
        <v>0</v>
      </c>
      <c r="H48" s="31">
        <f>COUNTIFS(MEA!$F$5:$F$79,'MEA Capacity Data'!H$22,MEA!$U$5:$U$79,$A48)</f>
        <v>1</v>
      </c>
      <c r="I48" s="31">
        <f>COUNTIFS(MEA!$F$5:$F$79,'MEA Capacity Data'!I$22,MEA!$U$5:$U$79,$A48)</f>
        <v>0</v>
      </c>
      <c r="J48" s="31">
        <f>COUNTIFS(MEA!$F$5:$F$79,'MEA Capacity Data'!J$22,MEA!$U$5:$U$79,$A48)</f>
        <v>0</v>
      </c>
      <c r="K48" s="31">
        <f>COUNTIFS(MEA!$F$5:$F$79,'MEA Capacity Data'!K$22,MEA!$U$5:$U$79,$A48)</f>
        <v>1</v>
      </c>
      <c r="L48" s="31">
        <f>COUNTIFS(MEA!$F$5:$F$79,'MEA Capacity Data'!L$22,MEA!$U$5:$U$79,$A48)</f>
        <v>0</v>
      </c>
      <c r="M48" s="31">
        <f>COUNTIFS(MEA!$F$5:$F$79,'MEA Capacity Data'!M$22,MEA!$U$5:$U$79,$A48)</f>
        <v>0</v>
      </c>
      <c r="N48" s="31">
        <f>COUNTIFS(MEA!$F$5:$F$79,'MEA Capacity Data'!N$22,MEA!$U$5:$U$79,$A48)</f>
        <v>0</v>
      </c>
      <c r="O48" s="31">
        <f>COUNTIFS(MEA!$F$5:$F$79,'MEA Capacity Data'!O$22,MEA!$U$5:$U$79,$A48)</f>
        <v>0</v>
      </c>
      <c r="P48" s="31">
        <f>COUNTIFS(MEA!$F$5:$F$79,'MEA Capacity Data'!P$22,MEA!$U$5:$U$79,$A48)</f>
        <v>0</v>
      </c>
      <c r="Q48" s="31">
        <f>COUNTIFS(MEA!$F$5:$F$79,'MEA Capacity Data'!Q$22,MEA!$U$5:$U$79,$A48)</f>
        <v>0</v>
      </c>
      <c r="R48" s="30">
        <f t="shared" si="18"/>
        <v>3</v>
      </c>
      <c r="S48" s="22">
        <f>R48-NAm!U92</f>
        <v>-2</v>
      </c>
      <c r="T48" s="389"/>
    </row>
    <row r="49" spans="1:20" ht="15.75" thickBot="1">
      <c r="A49" s="32" t="s">
        <v>24</v>
      </c>
      <c r="B49" s="247">
        <f>SUM(B43:B48)</f>
        <v>0</v>
      </c>
      <c r="C49" s="247">
        <f>B49+SUM(C43:C48)</f>
        <v>0</v>
      </c>
      <c r="D49" s="247">
        <f>C49+SUM(D43:D48)</f>
        <v>0</v>
      </c>
      <c r="E49" s="247">
        <f t="shared" ref="E49:Q49" si="19">D49+SUM(E43:E48)</f>
        <v>1</v>
      </c>
      <c r="F49" s="248">
        <f t="shared" si="19"/>
        <v>1</v>
      </c>
      <c r="G49" s="248">
        <f t="shared" si="19"/>
        <v>1</v>
      </c>
      <c r="H49" s="248">
        <f t="shared" si="19"/>
        <v>4</v>
      </c>
      <c r="I49" s="248">
        <f t="shared" si="19"/>
        <v>5</v>
      </c>
      <c r="J49" s="248">
        <f t="shared" si="19"/>
        <v>7</v>
      </c>
      <c r="K49" s="248">
        <f t="shared" si="19"/>
        <v>8</v>
      </c>
      <c r="L49" s="248">
        <f t="shared" si="19"/>
        <v>9</v>
      </c>
      <c r="M49" s="248">
        <f t="shared" si="19"/>
        <v>9</v>
      </c>
      <c r="N49" s="248">
        <f t="shared" si="19"/>
        <v>11</v>
      </c>
      <c r="O49" s="248">
        <f t="shared" si="19"/>
        <v>11</v>
      </c>
      <c r="P49" s="248">
        <f t="shared" si="19"/>
        <v>11</v>
      </c>
      <c r="Q49" s="248">
        <f t="shared" si="19"/>
        <v>11</v>
      </c>
      <c r="R49" s="247">
        <f>SUM(R43:R48)</f>
        <v>11</v>
      </c>
      <c r="S49" s="36"/>
      <c r="T49" s="389"/>
    </row>
    <row r="50" spans="1:20">
      <c r="A50" s="26"/>
      <c r="B50" s="26"/>
      <c r="C50" s="26"/>
      <c r="D50" s="26"/>
      <c r="E50" s="26"/>
      <c r="F50" s="26"/>
      <c r="G50" s="26"/>
      <c r="H50" s="26"/>
      <c r="I50" s="26"/>
      <c r="J50" s="26"/>
      <c r="K50" s="26"/>
      <c r="L50" s="26"/>
      <c r="M50" s="26"/>
      <c r="N50" s="26"/>
      <c r="O50" s="26"/>
      <c r="P50" s="26"/>
      <c r="Q50" s="26"/>
      <c r="R50" s="26"/>
    </row>
    <row r="51" spans="1:20" ht="15.75" thickBot="1">
      <c r="A51" s="38" t="s">
        <v>1196</v>
      </c>
    </row>
    <row r="52" spans="1:20" ht="15.75" thickBot="1">
      <c r="A52" s="17" t="str">
        <f>A22</f>
        <v>(mil gal/yr)</v>
      </c>
      <c r="B52" s="28" t="str">
        <f>B22</f>
        <v>&lt; 2021</v>
      </c>
      <c r="C52" s="18">
        <f t="shared" ref="C52:Q52" si="20">C22</f>
        <v>2021</v>
      </c>
      <c r="D52" s="18">
        <f t="shared" si="20"/>
        <v>2022</v>
      </c>
      <c r="E52" s="18">
        <f t="shared" si="20"/>
        <v>2023</v>
      </c>
      <c r="F52" s="18">
        <f t="shared" si="20"/>
        <v>2024</v>
      </c>
      <c r="G52" s="18">
        <f t="shared" si="20"/>
        <v>2025</v>
      </c>
      <c r="H52" s="18">
        <f t="shared" si="20"/>
        <v>2026</v>
      </c>
      <c r="I52" s="18">
        <f t="shared" si="20"/>
        <v>2027</v>
      </c>
      <c r="J52" s="18">
        <f t="shared" si="20"/>
        <v>2028</v>
      </c>
      <c r="K52" s="18">
        <f t="shared" si="20"/>
        <v>2029</v>
      </c>
      <c r="L52" s="18">
        <f t="shared" si="20"/>
        <v>2030</v>
      </c>
      <c r="M52" s="18">
        <f t="shared" si="20"/>
        <v>2031</v>
      </c>
      <c r="N52" s="18">
        <f t="shared" si="20"/>
        <v>2032</v>
      </c>
      <c r="O52" s="18">
        <f t="shared" si="20"/>
        <v>2033</v>
      </c>
      <c r="P52" s="18">
        <f t="shared" si="20"/>
        <v>2034</v>
      </c>
      <c r="Q52" s="18">
        <f t="shared" si="20"/>
        <v>2035</v>
      </c>
    </row>
    <row r="53" spans="1:20">
      <c r="A53" s="20" t="s">
        <v>26</v>
      </c>
      <c r="B53" s="243">
        <f>SUMIFS(MEA!$N$5:$N$79,MEA!$F$5:$F$79,"&lt;"&amp;'MEA Capacity Data'!C$22,MEA!$V$5:$V$79,'MEA Capacity Data'!$A53)</f>
        <v>0</v>
      </c>
      <c r="C53" s="243">
        <f>SUMIFS(MEA!$N$5:$N$79,MEA!$F$5:$F$79,'MEA Capacity Data'!C$22,MEA!$V$5:$V$79,'MEA Capacity Data'!$A53)</f>
        <v>0</v>
      </c>
      <c r="D53" s="243">
        <f>SUMIFS(MEA!$N$5:$N$79,MEA!$F$5:$F$79,'MEA Capacity Data'!D$22,MEA!$V$5:$V$79,'MEA Capacity Data'!$A53)</f>
        <v>0</v>
      </c>
      <c r="E53" s="243">
        <f>SUMIFS(MEA!$N$5:$N$79,MEA!$F$5:$F$79,'MEA Capacity Data'!E$22,MEA!$V$5:$V$79,'MEA Capacity Data'!$A53)</f>
        <v>20</v>
      </c>
      <c r="F53" s="244">
        <f>SUMIFS(MEA!$N$5:$N$79,MEA!$F$5:$F$79,'MEA Capacity Data'!F$22,MEA!$V$5:$V$79,'MEA Capacity Data'!$A53)</f>
        <v>0</v>
      </c>
      <c r="G53" s="244">
        <f>SUMIFS(MEA!$N$5:$N$79,MEA!$F$5:$F$79,'MEA Capacity Data'!G$22,MEA!$V$5:$V$79,'MEA Capacity Data'!$A53)</f>
        <v>0</v>
      </c>
      <c r="H53" s="244">
        <f>SUMIFS(MEA!$N$5:$N$79,MEA!$F$5:$F$79,'MEA Capacity Data'!H$22,MEA!$V$5:$V$79,'MEA Capacity Data'!$A53)</f>
        <v>40</v>
      </c>
      <c r="I53" s="244">
        <f>SUMIFS(MEA!$N$5:$N$79,MEA!$F$5:$F$79,'MEA Capacity Data'!I$22,MEA!$V$5:$V$79,'MEA Capacity Data'!$A53)</f>
        <v>26.024999999999999</v>
      </c>
      <c r="J53" s="244">
        <f>SUMIFS(MEA!$N$5:$N$79,MEA!$F$5:$F$79,'MEA Capacity Data'!J$22,MEA!$V$5:$V$79,'MEA Capacity Data'!$A53)</f>
        <v>26.024999999999999</v>
      </c>
      <c r="K53" s="244">
        <f>SUMIFS(MEA!$N$5:$N$79,MEA!$F$5:$F$79,'MEA Capacity Data'!K$22,MEA!$V$5:$V$79,'MEA Capacity Data'!$A53)</f>
        <v>52</v>
      </c>
      <c r="L53" s="244">
        <f>SUMIFS(MEA!$N$5:$N$79,MEA!$F$5:$F$79,'MEA Capacity Data'!L$22,MEA!$V$5:$V$79,'MEA Capacity Data'!$A53)</f>
        <v>0</v>
      </c>
      <c r="M53" s="244">
        <f>SUMIFS(MEA!$N$5:$N$79,MEA!$F$5:$F$79,'MEA Capacity Data'!M$22,MEA!$V$5:$V$79,'MEA Capacity Data'!$A53)</f>
        <v>0</v>
      </c>
      <c r="N53" s="244">
        <f>SUMIFS(MEA!$N$5:$N$79,MEA!$F$5:$F$79,'MEA Capacity Data'!N$22,MEA!$V$5:$V$79,'MEA Capacity Data'!$A53)</f>
        <v>50</v>
      </c>
      <c r="O53" s="244">
        <f>SUMIFS(MEA!$N$5:$N$79,MEA!$F$5:$F$79,'MEA Capacity Data'!O$22,MEA!$V$5:$V$79,'MEA Capacity Data'!$A53)</f>
        <v>0</v>
      </c>
      <c r="P53" s="244">
        <f>SUMIFS(MEA!$N$5:$N$79,MEA!$F$5:$F$79,'MEA Capacity Data'!P$22,MEA!$V$5:$V$79,'MEA Capacity Data'!$A53)</f>
        <v>0</v>
      </c>
      <c r="Q53" s="244">
        <f>SUMIFS(MEA!$N$5:$N$79,MEA!$F$5:$F$79,'MEA Capacity Data'!Q$22,MEA!$V$5:$V$79,'MEA Capacity Data'!$A53)</f>
        <v>0</v>
      </c>
    </row>
    <row r="54" spans="1:20">
      <c r="A54" s="20" t="s">
        <v>27</v>
      </c>
      <c r="B54" s="30">
        <f>SUMIFS(MEA!$N$5:$N$79,MEA!$F$5:$F$79,"&lt;"&amp;'MEA Capacity Data'!C$22,MEA!$V$5:$V$79,'MEA Capacity Data'!$A54)</f>
        <v>0</v>
      </c>
      <c r="C54" s="30">
        <f>SUMIFS(MEA!$N$5:$N$79,MEA!$F$5:$F$79,'MEA Capacity Data'!C$22,MEA!$V$5:$V$79,'MEA Capacity Data'!$A54)</f>
        <v>0</v>
      </c>
      <c r="D54" s="30">
        <f>SUMIFS(MEA!$N$5:$N$79,MEA!$F$5:$F$79,'MEA Capacity Data'!D$22,MEA!$V$5:$V$79,'MEA Capacity Data'!$A54)</f>
        <v>0</v>
      </c>
      <c r="E54" s="30">
        <f>SUMIFS(MEA!$N$5:$N$79,MEA!$F$5:$F$79,'MEA Capacity Data'!E$22,MEA!$V$5:$V$79,'MEA Capacity Data'!$A54)</f>
        <v>0</v>
      </c>
      <c r="F54" s="31">
        <f>SUMIFS(MEA!$N$5:$N$79,MEA!$F$5:$F$79,'MEA Capacity Data'!F$22,MEA!$V$5:$V$79,'MEA Capacity Data'!$A54)</f>
        <v>0</v>
      </c>
      <c r="G54" s="31">
        <f>SUMIFS(MEA!$N$5:$N$79,MEA!$F$5:$F$79,'MEA Capacity Data'!G$22,MEA!$V$5:$V$79,'MEA Capacity Data'!$A54)</f>
        <v>0</v>
      </c>
      <c r="H54" s="31">
        <f>SUMIFS(MEA!$N$5:$N$79,MEA!$F$5:$F$79,'MEA Capacity Data'!H$22,MEA!$V$5:$V$79,'MEA Capacity Data'!$A54)</f>
        <v>0</v>
      </c>
      <c r="I54" s="31">
        <f>SUMIFS(MEA!$N$5:$N$79,MEA!$F$5:$F$79,'MEA Capacity Data'!I$22,MEA!$V$5:$V$79,'MEA Capacity Data'!$A54)</f>
        <v>0</v>
      </c>
      <c r="J54" s="31">
        <f>SUMIFS(MEA!$N$5:$N$79,MEA!$F$5:$F$79,'MEA Capacity Data'!J$22,MEA!$V$5:$V$79,'MEA Capacity Data'!$A54)</f>
        <v>52.05</v>
      </c>
      <c r="K54" s="31">
        <f>SUMIFS(MEA!$N$5:$N$79,MEA!$F$5:$F$79,'MEA Capacity Data'!K$22,MEA!$V$5:$V$79,'MEA Capacity Data'!$A54)</f>
        <v>0</v>
      </c>
      <c r="L54" s="31">
        <f>SUMIFS(MEA!$N$5:$N$79,MEA!$F$5:$F$79,'MEA Capacity Data'!L$22,MEA!$V$5:$V$79,'MEA Capacity Data'!$A54)</f>
        <v>0</v>
      </c>
      <c r="M54" s="31">
        <f>SUMIFS(MEA!$N$5:$N$79,MEA!$F$5:$F$79,'MEA Capacity Data'!M$22,MEA!$V$5:$V$79,'MEA Capacity Data'!$A54)</f>
        <v>0</v>
      </c>
      <c r="N54" s="31">
        <f>SUMIFS(MEA!$N$5:$N$79,MEA!$F$5:$F$79,'MEA Capacity Data'!N$22,MEA!$V$5:$V$79,'MEA Capacity Data'!$A54)</f>
        <v>52.05</v>
      </c>
      <c r="O54" s="31">
        <f>SUMIFS(MEA!$N$5:$N$79,MEA!$F$5:$F$79,'MEA Capacity Data'!O$22,MEA!$V$5:$V$79,'MEA Capacity Data'!$A54)</f>
        <v>0</v>
      </c>
      <c r="P54" s="31">
        <f>SUMIFS(MEA!$N$5:$N$79,MEA!$F$5:$F$79,'MEA Capacity Data'!P$22,MEA!$V$5:$V$79,'MEA Capacity Data'!$A54)</f>
        <v>0</v>
      </c>
      <c r="Q54" s="31">
        <f>SUMIFS(MEA!$N$5:$N$79,MEA!$F$5:$F$79,'MEA Capacity Data'!Q$22,MEA!$V$5:$V$79,'MEA Capacity Data'!$A54)</f>
        <v>0</v>
      </c>
    </row>
    <row r="55" spans="1:20">
      <c r="A55" s="20" t="s">
        <v>28</v>
      </c>
      <c r="B55" s="30">
        <f>SUMIFS(MEA!$N$5:$N$79,MEA!$F$5:$F$79,"&lt;"&amp;'MEA Capacity Data'!C$22,MEA!$V$5:$V$79,'MEA Capacity Data'!$A55)</f>
        <v>0</v>
      </c>
      <c r="C55" s="30">
        <f>SUMIFS(MEA!$N$5:$N$79,MEA!$F$5:$F$79,'MEA Capacity Data'!C$22,MEA!$V$5:$V$79,'MEA Capacity Data'!$A55)</f>
        <v>0</v>
      </c>
      <c r="D55" s="30">
        <f>SUMIFS(MEA!$N$5:$N$79,MEA!$F$5:$F$79,'MEA Capacity Data'!D$22,MEA!$V$5:$V$79,'MEA Capacity Data'!$A55)</f>
        <v>0</v>
      </c>
      <c r="E55" s="30">
        <f>SUMIFS(MEA!$N$5:$N$79,MEA!$F$5:$F$79,'MEA Capacity Data'!E$22,MEA!$V$5:$V$79,'MEA Capacity Data'!$A55)</f>
        <v>0</v>
      </c>
      <c r="F55" s="31">
        <f>SUMIFS(MEA!$N$5:$N$79,MEA!$F$5:$F$79,'MEA Capacity Data'!F$22,MEA!$V$5:$V$79,'MEA Capacity Data'!$A55)</f>
        <v>0</v>
      </c>
      <c r="G55" s="31">
        <f>SUMIFS(MEA!$N$5:$N$79,MEA!$F$5:$F$79,'MEA Capacity Data'!G$22,MEA!$V$5:$V$79,'MEA Capacity Data'!$A55)</f>
        <v>0</v>
      </c>
      <c r="H55" s="31">
        <f>SUMIFS(MEA!$N$5:$N$79,MEA!$F$5:$F$79,'MEA Capacity Data'!H$22,MEA!$V$5:$V$79,'MEA Capacity Data'!$A55)</f>
        <v>0</v>
      </c>
      <c r="I55" s="31">
        <f>SUMIFS(MEA!$N$5:$N$79,MEA!$F$5:$F$79,'MEA Capacity Data'!I$22,MEA!$V$5:$V$79,'MEA Capacity Data'!$A55)</f>
        <v>0</v>
      </c>
      <c r="J55" s="31">
        <f>SUMIFS(MEA!$N$5:$N$79,MEA!$F$5:$F$79,'MEA Capacity Data'!J$22,MEA!$V$5:$V$79,'MEA Capacity Data'!$A55)</f>
        <v>0</v>
      </c>
      <c r="K55" s="31">
        <f>SUMIFS(MEA!$N$5:$N$79,MEA!$F$5:$F$79,'MEA Capacity Data'!K$22,MEA!$V$5:$V$79,'MEA Capacity Data'!$A55)</f>
        <v>0</v>
      </c>
      <c r="L55" s="31">
        <f>SUMIFS(MEA!$N$5:$N$79,MEA!$F$5:$F$79,'MEA Capacity Data'!L$22,MEA!$V$5:$V$79,'MEA Capacity Data'!$A55)</f>
        <v>0</v>
      </c>
      <c r="M55" s="31">
        <f>SUMIFS(MEA!$N$5:$N$79,MEA!$F$5:$F$79,'MEA Capacity Data'!M$22,MEA!$V$5:$V$79,'MEA Capacity Data'!$A55)</f>
        <v>0</v>
      </c>
      <c r="N55" s="31">
        <f>SUMIFS(MEA!$N$5:$N$79,MEA!$F$5:$F$79,'MEA Capacity Data'!N$22,MEA!$V$5:$V$79,'MEA Capacity Data'!$A55)</f>
        <v>0</v>
      </c>
      <c r="O55" s="31">
        <f>SUMIFS(MEA!$N$5:$N$79,MEA!$F$5:$F$79,'MEA Capacity Data'!O$22,MEA!$V$5:$V$79,'MEA Capacity Data'!$A55)</f>
        <v>0</v>
      </c>
      <c r="P55" s="31">
        <f>SUMIFS(MEA!$N$5:$N$79,MEA!$F$5:$F$79,'MEA Capacity Data'!P$22,MEA!$V$5:$V$79,'MEA Capacity Data'!$A55)</f>
        <v>0</v>
      </c>
      <c r="Q55" s="31">
        <f>SUMIFS(MEA!$N$5:$N$79,MEA!$F$5:$F$79,'MEA Capacity Data'!Q$22,MEA!$V$5:$V$79,'MEA Capacity Data'!$A55)</f>
        <v>0</v>
      </c>
    </row>
    <row r="56" spans="1:20">
      <c r="A56" s="20" t="s">
        <v>29</v>
      </c>
      <c r="B56" s="30">
        <f>SUMIFS(MEA!$N$5:$N$79,MEA!$F$5:$F$79,"&lt;"&amp;'MEA Capacity Data'!C$22,MEA!$V$5:$V$79,'MEA Capacity Data'!$A56)</f>
        <v>0</v>
      </c>
      <c r="C56" s="30">
        <f>SUMIFS(MEA!$N$5:$N$79,MEA!$F$5:$F$79,'MEA Capacity Data'!C$22,MEA!$V$5:$V$79,'MEA Capacity Data'!$A56)</f>
        <v>0</v>
      </c>
      <c r="D56" s="30">
        <f>SUMIFS(MEA!$N$5:$N$79,MEA!$F$5:$F$79,'MEA Capacity Data'!D$22,MEA!$V$5:$V$79,'MEA Capacity Data'!$A56)</f>
        <v>0</v>
      </c>
      <c r="E56" s="30">
        <f>SUMIFS(MEA!$N$5:$N$79,MEA!$F$5:$F$79,'MEA Capacity Data'!E$22,MEA!$V$5:$V$79,'MEA Capacity Data'!$A56)</f>
        <v>0</v>
      </c>
      <c r="F56" s="31">
        <f>SUMIFS(MEA!$N$5:$N$79,MEA!$F$5:$F$79,'MEA Capacity Data'!F$22,MEA!$V$5:$V$79,'MEA Capacity Data'!$A56)</f>
        <v>0</v>
      </c>
      <c r="G56" s="31">
        <f>SUMIFS(MEA!$N$5:$N$79,MEA!$F$5:$F$79,'MEA Capacity Data'!G$22,MEA!$V$5:$V$79,'MEA Capacity Data'!$A56)</f>
        <v>0</v>
      </c>
      <c r="H56" s="31">
        <f>SUMIFS(MEA!$N$5:$N$79,MEA!$F$5:$F$79,'MEA Capacity Data'!H$22,MEA!$V$5:$V$79,'MEA Capacity Data'!$A56)</f>
        <v>0</v>
      </c>
      <c r="I56" s="31">
        <f>SUMIFS(MEA!$N$5:$N$79,MEA!$F$5:$F$79,'MEA Capacity Data'!I$22,MEA!$V$5:$V$79,'MEA Capacity Data'!$A56)</f>
        <v>0</v>
      </c>
      <c r="J56" s="31">
        <f>SUMIFS(MEA!$N$5:$N$79,MEA!$F$5:$F$79,'MEA Capacity Data'!J$22,MEA!$V$5:$V$79,'MEA Capacity Data'!$A56)</f>
        <v>0</v>
      </c>
      <c r="K56" s="31">
        <f>SUMIFS(MEA!$N$5:$N$79,MEA!$F$5:$F$79,'MEA Capacity Data'!K$22,MEA!$V$5:$V$79,'MEA Capacity Data'!$A56)</f>
        <v>0</v>
      </c>
      <c r="L56" s="31">
        <f>SUMIFS(MEA!$N$5:$N$79,MEA!$F$5:$F$79,'MEA Capacity Data'!L$22,MEA!$V$5:$V$79,'MEA Capacity Data'!$A56)</f>
        <v>0</v>
      </c>
      <c r="M56" s="31">
        <f>SUMIFS(MEA!$N$5:$N$79,MEA!$F$5:$F$79,'MEA Capacity Data'!M$22,MEA!$V$5:$V$79,'MEA Capacity Data'!$A56)</f>
        <v>0</v>
      </c>
      <c r="N56" s="31">
        <f>SUMIFS(MEA!$N$5:$N$79,MEA!$F$5:$F$79,'MEA Capacity Data'!N$22,MEA!$V$5:$V$79,'MEA Capacity Data'!$A56)</f>
        <v>0</v>
      </c>
      <c r="O56" s="31">
        <f>SUMIFS(MEA!$N$5:$N$79,MEA!$F$5:$F$79,'MEA Capacity Data'!O$22,MEA!$V$5:$V$79,'MEA Capacity Data'!$A56)</f>
        <v>0</v>
      </c>
      <c r="P56" s="31">
        <f>SUMIFS(MEA!$N$5:$N$79,MEA!$F$5:$F$79,'MEA Capacity Data'!P$22,MEA!$V$5:$V$79,'MEA Capacity Data'!$A56)</f>
        <v>0</v>
      </c>
      <c r="Q56" s="31">
        <f>SUMIFS(MEA!$N$5:$N$79,MEA!$F$5:$F$79,'MEA Capacity Data'!Q$22,MEA!$V$5:$V$79,'MEA Capacity Data'!$A56)</f>
        <v>0</v>
      </c>
    </row>
    <row r="57" spans="1:20">
      <c r="A57" s="20" t="s">
        <v>30</v>
      </c>
      <c r="B57" s="30">
        <f>SUMIFS(MEA!$N$5:$N$79,MEA!$F$5:$F$79,"&lt;"&amp;'MEA Capacity Data'!C$22,MEA!$V$5:$V$79,'MEA Capacity Data'!$A57)</f>
        <v>0</v>
      </c>
      <c r="C57" s="30">
        <f>SUMIFS(MEA!$N$5:$N$79,MEA!$F$5:$F$79,'MEA Capacity Data'!C$22,MEA!$V$5:$V$79,'MEA Capacity Data'!$A57)</f>
        <v>0</v>
      </c>
      <c r="D57" s="30">
        <f>SUMIFS(MEA!$N$5:$N$79,MEA!$F$5:$F$79,'MEA Capacity Data'!D$22,MEA!$V$5:$V$79,'MEA Capacity Data'!$A57)</f>
        <v>0</v>
      </c>
      <c r="E57" s="30">
        <f>SUMIFS(MEA!$N$5:$N$79,MEA!$F$5:$F$79,'MEA Capacity Data'!E$22,MEA!$V$5:$V$79,'MEA Capacity Data'!$A57)</f>
        <v>0</v>
      </c>
      <c r="F57" s="31">
        <f>SUMIFS(MEA!$N$5:$N$79,MEA!$F$5:$F$79,'MEA Capacity Data'!F$22,MEA!$V$5:$V$79,'MEA Capacity Data'!$A57)</f>
        <v>0</v>
      </c>
      <c r="G57" s="31">
        <f>SUMIFS(MEA!$N$5:$N$79,MEA!$F$5:$F$79,'MEA Capacity Data'!G$22,MEA!$V$5:$V$79,'MEA Capacity Data'!$A57)</f>
        <v>0</v>
      </c>
      <c r="H57" s="31">
        <f>SUMIFS(MEA!$N$5:$N$79,MEA!$F$5:$F$79,'MEA Capacity Data'!H$22,MEA!$V$5:$V$79,'MEA Capacity Data'!$A57)</f>
        <v>140</v>
      </c>
      <c r="I57" s="31">
        <f>SUMIFS(MEA!$N$5:$N$79,MEA!$F$5:$F$79,'MEA Capacity Data'!I$22,MEA!$V$5:$V$79,'MEA Capacity Data'!$A57)</f>
        <v>0</v>
      </c>
      <c r="J57" s="31">
        <f>SUMIFS(MEA!$N$5:$N$79,MEA!$F$5:$F$79,'MEA Capacity Data'!J$22,MEA!$V$5:$V$79,'MEA Capacity Data'!$A57)</f>
        <v>0</v>
      </c>
      <c r="K57" s="31">
        <f>SUMIFS(MEA!$N$5:$N$79,MEA!$F$5:$F$79,'MEA Capacity Data'!K$22,MEA!$V$5:$V$79,'MEA Capacity Data'!$A57)</f>
        <v>0</v>
      </c>
      <c r="L57" s="31">
        <f>SUMIFS(MEA!$N$5:$N$79,MEA!$F$5:$F$79,'MEA Capacity Data'!L$22,MEA!$V$5:$V$79,'MEA Capacity Data'!$A57)</f>
        <v>15</v>
      </c>
      <c r="M57" s="31">
        <f>SUMIFS(MEA!$N$5:$N$79,MEA!$F$5:$F$79,'MEA Capacity Data'!M$22,MEA!$V$5:$V$79,'MEA Capacity Data'!$A57)</f>
        <v>0</v>
      </c>
      <c r="N57" s="31">
        <f>SUMIFS(MEA!$N$5:$N$79,MEA!$F$5:$F$79,'MEA Capacity Data'!N$22,MEA!$V$5:$V$79,'MEA Capacity Data'!$A57)</f>
        <v>0</v>
      </c>
      <c r="O57" s="31">
        <f>SUMIFS(MEA!$N$5:$N$79,MEA!$F$5:$F$79,'MEA Capacity Data'!O$22,MEA!$V$5:$V$79,'MEA Capacity Data'!$A57)</f>
        <v>0</v>
      </c>
      <c r="P57" s="31">
        <f>SUMIFS(MEA!$N$5:$N$79,MEA!$F$5:$F$79,'MEA Capacity Data'!P$22,MEA!$V$5:$V$79,'MEA Capacity Data'!$A57)</f>
        <v>0</v>
      </c>
      <c r="Q57" s="31">
        <f>SUMIFS(MEA!$N$5:$N$79,MEA!$F$5:$F$79,'MEA Capacity Data'!Q$22,MEA!$V$5:$V$79,'MEA Capacity Data'!$A57)</f>
        <v>0</v>
      </c>
    </row>
    <row r="58" spans="1:20" ht="15.75" thickBot="1">
      <c r="A58" s="40" t="s">
        <v>11</v>
      </c>
      <c r="B58" s="41">
        <f>SUM(B53:B57)</f>
        <v>0</v>
      </c>
      <c r="C58" s="41">
        <f>B58+SUM(C53:C57)</f>
        <v>0</v>
      </c>
      <c r="D58" s="41">
        <f t="shared" ref="D58:Q58" si="21">C58+SUM(D53:D57)</f>
        <v>0</v>
      </c>
      <c r="E58" s="41">
        <f t="shared" si="21"/>
        <v>20</v>
      </c>
      <c r="F58" s="42">
        <f t="shared" si="21"/>
        <v>20</v>
      </c>
      <c r="G58" s="42">
        <f t="shared" si="21"/>
        <v>20</v>
      </c>
      <c r="H58" s="42">
        <f t="shared" si="21"/>
        <v>200</v>
      </c>
      <c r="I58" s="42">
        <f t="shared" si="21"/>
        <v>226.02500000000001</v>
      </c>
      <c r="J58" s="42">
        <f t="shared" si="21"/>
        <v>304.10000000000002</v>
      </c>
      <c r="K58" s="42">
        <f t="shared" si="21"/>
        <v>356.1</v>
      </c>
      <c r="L58" s="42">
        <f t="shared" si="21"/>
        <v>371.1</v>
      </c>
      <c r="M58" s="42">
        <f t="shared" si="21"/>
        <v>371.1</v>
      </c>
      <c r="N58" s="42">
        <f t="shared" si="21"/>
        <v>473.15000000000003</v>
      </c>
      <c r="O58" s="42">
        <f t="shared" si="21"/>
        <v>473.15000000000003</v>
      </c>
      <c r="P58" s="42">
        <f t="shared" si="21"/>
        <v>473.15000000000003</v>
      </c>
      <c r="Q58" s="42">
        <f t="shared" si="21"/>
        <v>473.15000000000003</v>
      </c>
    </row>
    <row r="59" spans="1:20">
      <c r="A59" s="26"/>
      <c r="B59" s="26"/>
      <c r="C59" s="26"/>
      <c r="D59" s="26"/>
      <c r="E59" s="26"/>
      <c r="F59" s="26"/>
      <c r="G59" s="26"/>
      <c r="H59" s="26"/>
      <c r="I59" s="26"/>
      <c r="J59" s="26"/>
      <c r="K59" s="26"/>
      <c r="L59" s="26"/>
      <c r="M59" s="26"/>
      <c r="N59" s="26"/>
      <c r="O59" s="26"/>
      <c r="P59" s="26"/>
      <c r="Q59" s="26"/>
    </row>
    <row r="60" spans="1:20" ht="15.75" thickBot="1">
      <c r="A60" s="38" t="s">
        <v>1197</v>
      </c>
    </row>
    <row r="61" spans="1:20" ht="15.75" thickBot="1">
      <c r="A61" s="17" t="str">
        <f>A22</f>
        <v>(mil gal/yr)</v>
      </c>
      <c r="B61" s="28" t="str">
        <f>B22</f>
        <v>&lt; 2021</v>
      </c>
      <c r="C61" s="18">
        <f t="shared" ref="C61:Q61" si="22">C22</f>
        <v>2021</v>
      </c>
      <c r="D61" s="18">
        <f t="shared" si="22"/>
        <v>2022</v>
      </c>
      <c r="E61" s="18">
        <f t="shared" si="22"/>
        <v>2023</v>
      </c>
      <c r="F61" s="18">
        <f t="shared" si="22"/>
        <v>2024</v>
      </c>
      <c r="G61" s="18">
        <f t="shared" si="22"/>
        <v>2025</v>
      </c>
      <c r="H61" s="18">
        <f t="shared" si="22"/>
        <v>2026</v>
      </c>
      <c r="I61" s="18">
        <f t="shared" si="22"/>
        <v>2027</v>
      </c>
      <c r="J61" s="18">
        <f t="shared" si="22"/>
        <v>2028</v>
      </c>
      <c r="K61" s="18">
        <f t="shared" si="22"/>
        <v>2029</v>
      </c>
      <c r="L61" s="18">
        <f t="shared" si="22"/>
        <v>2030</v>
      </c>
      <c r="M61" s="18">
        <f t="shared" si="22"/>
        <v>2031</v>
      </c>
      <c r="N61" s="18">
        <f t="shared" si="22"/>
        <v>2032</v>
      </c>
      <c r="O61" s="18">
        <f t="shared" si="22"/>
        <v>2033</v>
      </c>
      <c r="P61" s="18">
        <f t="shared" si="22"/>
        <v>2034</v>
      </c>
      <c r="Q61" s="18">
        <f t="shared" si="22"/>
        <v>2035</v>
      </c>
    </row>
    <row r="62" spans="1:20">
      <c r="A62" s="20" t="s">
        <v>26</v>
      </c>
      <c r="B62" s="7">
        <f>B53</f>
        <v>0</v>
      </c>
      <c r="C62" s="22">
        <f>B62+C53</f>
        <v>0</v>
      </c>
      <c r="D62" s="22">
        <f t="shared" ref="D62:Q63" si="23">C62+D53</f>
        <v>0</v>
      </c>
      <c r="E62" s="22">
        <f t="shared" si="23"/>
        <v>20</v>
      </c>
      <c r="F62" s="23">
        <f t="shared" si="23"/>
        <v>20</v>
      </c>
      <c r="G62" s="23">
        <f t="shared" si="23"/>
        <v>20</v>
      </c>
      <c r="H62" s="23">
        <f t="shared" si="23"/>
        <v>60</v>
      </c>
      <c r="I62" s="23">
        <f t="shared" si="23"/>
        <v>86.025000000000006</v>
      </c>
      <c r="J62" s="23">
        <f t="shared" si="23"/>
        <v>112.05000000000001</v>
      </c>
      <c r="K62" s="23">
        <f t="shared" si="23"/>
        <v>164.05</v>
      </c>
      <c r="L62" s="23">
        <f t="shared" si="23"/>
        <v>164.05</v>
      </c>
      <c r="M62" s="23">
        <f t="shared" si="23"/>
        <v>164.05</v>
      </c>
      <c r="N62" s="23">
        <f t="shared" si="23"/>
        <v>214.05</v>
      </c>
      <c r="O62" s="23">
        <f t="shared" si="23"/>
        <v>214.05</v>
      </c>
      <c r="P62" s="23">
        <f t="shared" si="23"/>
        <v>214.05</v>
      </c>
      <c r="Q62" s="23">
        <f t="shared" si="23"/>
        <v>214.05</v>
      </c>
    </row>
    <row r="63" spans="1:20">
      <c r="A63" s="20" t="s">
        <v>27</v>
      </c>
      <c r="B63" s="22">
        <f>B54</f>
        <v>0</v>
      </c>
      <c r="C63" s="22">
        <f>B63+C54</f>
        <v>0</v>
      </c>
      <c r="D63" s="22">
        <f t="shared" si="23"/>
        <v>0</v>
      </c>
      <c r="E63" s="22">
        <f t="shared" si="23"/>
        <v>0</v>
      </c>
      <c r="F63" s="23">
        <f t="shared" si="23"/>
        <v>0</v>
      </c>
      <c r="G63" s="23">
        <f t="shared" si="23"/>
        <v>0</v>
      </c>
      <c r="H63" s="23">
        <f t="shared" si="23"/>
        <v>0</v>
      </c>
      <c r="I63" s="23">
        <f>H63+I54</f>
        <v>0</v>
      </c>
      <c r="J63" s="23">
        <f t="shared" si="23"/>
        <v>52.05</v>
      </c>
      <c r="K63" s="23">
        <f t="shared" si="23"/>
        <v>52.05</v>
      </c>
      <c r="L63" s="23">
        <f t="shared" si="23"/>
        <v>52.05</v>
      </c>
      <c r="M63" s="23">
        <f t="shared" si="23"/>
        <v>52.05</v>
      </c>
      <c r="N63" s="23">
        <f t="shared" si="23"/>
        <v>104.1</v>
      </c>
      <c r="O63" s="23">
        <f t="shared" si="23"/>
        <v>104.1</v>
      </c>
      <c r="P63" s="23">
        <f t="shared" si="23"/>
        <v>104.1</v>
      </c>
      <c r="Q63" s="23">
        <f t="shared" si="23"/>
        <v>104.1</v>
      </c>
    </row>
    <row r="64" spans="1:20">
      <c r="A64" s="20" t="s">
        <v>28</v>
      </c>
      <c r="B64" s="22">
        <f>B55</f>
        <v>0</v>
      </c>
      <c r="C64" s="22">
        <f t="shared" ref="C64:Q66" si="24">B64+C55</f>
        <v>0</v>
      </c>
      <c r="D64" s="22">
        <f t="shared" si="24"/>
        <v>0</v>
      </c>
      <c r="E64" s="22">
        <f t="shared" si="24"/>
        <v>0</v>
      </c>
      <c r="F64" s="23">
        <f t="shared" si="24"/>
        <v>0</v>
      </c>
      <c r="G64" s="23">
        <f t="shared" si="24"/>
        <v>0</v>
      </c>
      <c r="H64" s="23">
        <f t="shared" si="24"/>
        <v>0</v>
      </c>
      <c r="I64" s="23">
        <f t="shared" si="24"/>
        <v>0</v>
      </c>
      <c r="J64" s="23">
        <f t="shared" si="24"/>
        <v>0</v>
      </c>
      <c r="K64" s="23">
        <f t="shared" si="24"/>
        <v>0</v>
      </c>
      <c r="L64" s="23">
        <f t="shared" si="24"/>
        <v>0</v>
      </c>
      <c r="M64" s="23">
        <f t="shared" si="24"/>
        <v>0</v>
      </c>
      <c r="N64" s="23">
        <f t="shared" si="24"/>
        <v>0</v>
      </c>
      <c r="O64" s="23">
        <f t="shared" si="24"/>
        <v>0</v>
      </c>
      <c r="P64" s="23">
        <f t="shared" si="24"/>
        <v>0</v>
      </c>
      <c r="Q64" s="23">
        <f t="shared" si="24"/>
        <v>0</v>
      </c>
    </row>
    <row r="65" spans="1:21">
      <c r="A65" s="20" t="s">
        <v>29</v>
      </c>
      <c r="B65" s="22">
        <f>B56</f>
        <v>0</v>
      </c>
      <c r="C65" s="22">
        <f t="shared" si="24"/>
        <v>0</v>
      </c>
      <c r="D65" s="22">
        <f t="shared" si="24"/>
        <v>0</v>
      </c>
      <c r="E65" s="22">
        <f t="shared" si="24"/>
        <v>0</v>
      </c>
      <c r="F65" s="23">
        <f t="shared" si="24"/>
        <v>0</v>
      </c>
      <c r="G65" s="23">
        <f t="shared" si="24"/>
        <v>0</v>
      </c>
      <c r="H65" s="23">
        <f t="shared" si="24"/>
        <v>0</v>
      </c>
      <c r="I65" s="23">
        <f t="shared" si="24"/>
        <v>0</v>
      </c>
      <c r="J65" s="23">
        <f t="shared" si="24"/>
        <v>0</v>
      </c>
      <c r="K65" s="23">
        <f t="shared" si="24"/>
        <v>0</v>
      </c>
      <c r="L65" s="23">
        <f t="shared" si="24"/>
        <v>0</v>
      </c>
      <c r="M65" s="23">
        <f t="shared" si="24"/>
        <v>0</v>
      </c>
      <c r="N65" s="23">
        <f t="shared" si="24"/>
        <v>0</v>
      </c>
      <c r="O65" s="23">
        <f t="shared" si="24"/>
        <v>0</v>
      </c>
      <c r="P65" s="23">
        <f t="shared" si="24"/>
        <v>0</v>
      </c>
      <c r="Q65" s="23">
        <f t="shared" si="24"/>
        <v>0</v>
      </c>
    </row>
    <row r="66" spans="1:21">
      <c r="A66" s="20" t="s">
        <v>30</v>
      </c>
      <c r="B66" s="22">
        <f>B57</f>
        <v>0</v>
      </c>
      <c r="C66" s="22">
        <f t="shared" si="24"/>
        <v>0</v>
      </c>
      <c r="D66" s="22">
        <f t="shared" si="24"/>
        <v>0</v>
      </c>
      <c r="E66" s="22">
        <f t="shared" si="24"/>
        <v>0</v>
      </c>
      <c r="F66" s="23">
        <f t="shared" si="24"/>
        <v>0</v>
      </c>
      <c r="G66" s="23">
        <f t="shared" si="24"/>
        <v>0</v>
      </c>
      <c r="H66" s="23">
        <f t="shared" si="24"/>
        <v>140</v>
      </c>
      <c r="I66" s="23">
        <f t="shared" si="24"/>
        <v>140</v>
      </c>
      <c r="J66" s="23">
        <f t="shared" si="24"/>
        <v>140</v>
      </c>
      <c r="K66" s="23">
        <f t="shared" si="24"/>
        <v>140</v>
      </c>
      <c r="L66" s="23">
        <f t="shared" si="24"/>
        <v>155</v>
      </c>
      <c r="M66" s="23">
        <f t="shared" si="24"/>
        <v>155</v>
      </c>
      <c r="N66" s="23">
        <f t="shared" si="24"/>
        <v>155</v>
      </c>
      <c r="O66" s="23">
        <f t="shared" si="24"/>
        <v>155</v>
      </c>
      <c r="P66" s="23">
        <f t="shared" si="24"/>
        <v>155</v>
      </c>
      <c r="Q66" s="23">
        <f t="shared" si="24"/>
        <v>155</v>
      </c>
    </row>
    <row r="67" spans="1:21" ht="15.75" thickBot="1">
      <c r="A67" s="40" t="s">
        <v>11</v>
      </c>
      <c r="B67" s="41">
        <f>SUM(B62:B66)</f>
        <v>0</v>
      </c>
      <c r="C67" s="41">
        <f>SUM(C62:C66)</f>
        <v>0</v>
      </c>
      <c r="D67" s="41">
        <f t="shared" ref="D67:Q67" si="25">SUM(D62:D66)</f>
        <v>0</v>
      </c>
      <c r="E67" s="41">
        <f t="shared" si="25"/>
        <v>20</v>
      </c>
      <c r="F67" s="42">
        <f t="shared" si="25"/>
        <v>20</v>
      </c>
      <c r="G67" s="42">
        <f t="shared" si="25"/>
        <v>20</v>
      </c>
      <c r="H67" s="42">
        <f t="shared" si="25"/>
        <v>200</v>
      </c>
      <c r="I67" s="42">
        <f t="shared" si="25"/>
        <v>226.02500000000001</v>
      </c>
      <c r="J67" s="42">
        <f t="shared" si="25"/>
        <v>304.10000000000002</v>
      </c>
      <c r="K67" s="42">
        <f t="shared" si="25"/>
        <v>356.1</v>
      </c>
      <c r="L67" s="42">
        <f t="shared" si="25"/>
        <v>371.1</v>
      </c>
      <c r="M67" s="42">
        <f t="shared" si="25"/>
        <v>371.1</v>
      </c>
      <c r="N67" s="42">
        <f t="shared" si="25"/>
        <v>473.15</v>
      </c>
      <c r="O67" s="42">
        <f t="shared" si="25"/>
        <v>473.15</v>
      </c>
      <c r="P67" s="42">
        <f t="shared" si="25"/>
        <v>473.15</v>
      </c>
      <c r="Q67" s="42">
        <f t="shared" si="25"/>
        <v>473.15</v>
      </c>
    </row>
    <row r="68" spans="1:21">
      <c r="A68" s="26"/>
      <c r="B68" s="26"/>
      <c r="C68" s="26"/>
      <c r="D68" s="26"/>
      <c r="E68" s="26"/>
      <c r="F68" s="26"/>
      <c r="G68" s="26"/>
      <c r="H68" s="26"/>
      <c r="I68" s="26"/>
      <c r="J68" s="26"/>
      <c r="K68" s="26"/>
      <c r="L68" s="26"/>
      <c r="M68" s="26"/>
      <c r="N68" s="26"/>
      <c r="O68" s="26"/>
      <c r="P68" s="26"/>
      <c r="Q68" s="26"/>
    </row>
    <row r="69" spans="1:21" ht="15.75" customHeight="1" thickBot="1">
      <c r="A69" s="38" t="s">
        <v>32</v>
      </c>
      <c r="S69" s="390" t="s">
        <v>33</v>
      </c>
      <c r="T69" s="390"/>
      <c r="U69" s="392" t="s">
        <v>34</v>
      </c>
    </row>
    <row r="70" spans="1:21" ht="15.75" thickBot="1">
      <c r="A70" s="17" t="str">
        <f>A22</f>
        <v>(mil gal/yr)</v>
      </c>
      <c r="B70" s="28" t="str">
        <f t="shared" ref="B70:Q70" si="26">B22</f>
        <v>&lt; 2021</v>
      </c>
      <c r="C70" s="18">
        <f t="shared" si="26"/>
        <v>2021</v>
      </c>
      <c r="D70" s="18">
        <f t="shared" si="26"/>
        <v>2022</v>
      </c>
      <c r="E70" s="18">
        <f t="shared" si="26"/>
        <v>2023</v>
      </c>
      <c r="F70" s="18">
        <f t="shared" si="26"/>
        <v>2024</v>
      </c>
      <c r="G70" s="18">
        <f t="shared" si="26"/>
        <v>2025</v>
      </c>
      <c r="H70" s="18">
        <f t="shared" si="26"/>
        <v>2026</v>
      </c>
      <c r="I70" s="18">
        <f t="shared" si="26"/>
        <v>2027</v>
      </c>
      <c r="J70" s="18">
        <f t="shared" si="26"/>
        <v>2028</v>
      </c>
      <c r="K70" s="18">
        <f t="shared" si="26"/>
        <v>2029</v>
      </c>
      <c r="L70" s="18">
        <f t="shared" si="26"/>
        <v>2030</v>
      </c>
      <c r="M70" s="18">
        <f t="shared" si="26"/>
        <v>2031</v>
      </c>
      <c r="N70" s="18">
        <f t="shared" si="26"/>
        <v>2032</v>
      </c>
      <c r="O70" s="18">
        <f t="shared" si="26"/>
        <v>2033</v>
      </c>
      <c r="P70" s="18">
        <f t="shared" si="26"/>
        <v>2034</v>
      </c>
      <c r="Q70" s="18">
        <f t="shared" si="26"/>
        <v>2035</v>
      </c>
      <c r="S70" s="391"/>
      <c r="T70" s="391"/>
      <c r="U70" s="392"/>
    </row>
    <row r="71" spans="1:21">
      <c r="A71" s="43" t="s">
        <v>36</v>
      </c>
      <c r="B71" s="48">
        <f t="shared" ref="B71:Q71" si="27">B62*$S71</f>
        <v>0</v>
      </c>
      <c r="C71" s="48">
        <f t="shared" si="27"/>
        <v>0</v>
      </c>
      <c r="D71" s="48">
        <f t="shared" si="27"/>
        <v>0</v>
      </c>
      <c r="E71" s="48">
        <f t="shared" si="27"/>
        <v>165</v>
      </c>
      <c r="F71" s="49">
        <f t="shared" si="27"/>
        <v>165</v>
      </c>
      <c r="G71" s="49">
        <f t="shared" si="27"/>
        <v>165</v>
      </c>
      <c r="H71" s="49">
        <f t="shared" si="27"/>
        <v>495</v>
      </c>
      <c r="I71" s="49">
        <f t="shared" si="27"/>
        <v>709.70625000000007</v>
      </c>
      <c r="J71" s="49">
        <f t="shared" si="27"/>
        <v>924.41250000000014</v>
      </c>
      <c r="K71" s="49">
        <f t="shared" si="27"/>
        <v>1353.4125000000001</v>
      </c>
      <c r="L71" s="49">
        <f t="shared" si="27"/>
        <v>1353.4125000000001</v>
      </c>
      <c r="M71" s="49">
        <f t="shared" si="27"/>
        <v>1353.4125000000001</v>
      </c>
      <c r="N71" s="49">
        <f t="shared" si="27"/>
        <v>1765.9125000000001</v>
      </c>
      <c r="O71" s="49">
        <f t="shared" si="27"/>
        <v>1765.9125000000001</v>
      </c>
      <c r="P71" s="49">
        <f t="shared" si="27"/>
        <v>1765.9125000000001</v>
      </c>
      <c r="Q71" s="49">
        <f t="shared" si="27"/>
        <v>1765.9125000000001</v>
      </c>
      <c r="S71" s="44">
        <v>8.25</v>
      </c>
      <c r="T71" s="45" t="s">
        <v>37</v>
      </c>
      <c r="U71" s="45" t="s">
        <v>38</v>
      </c>
    </row>
    <row r="72" spans="1:21">
      <c r="A72" s="43" t="s">
        <v>39</v>
      </c>
      <c r="B72" s="48">
        <f t="shared" ref="B72:Q72" si="28">B79*$S72</f>
        <v>0</v>
      </c>
      <c r="C72" s="48">
        <f t="shared" si="28"/>
        <v>0</v>
      </c>
      <c r="D72" s="48">
        <f t="shared" si="28"/>
        <v>0</v>
      </c>
      <c r="E72" s="48">
        <f t="shared" si="28"/>
        <v>0</v>
      </c>
      <c r="F72" s="49">
        <f t="shared" si="28"/>
        <v>0</v>
      </c>
      <c r="G72" s="49">
        <f t="shared" si="28"/>
        <v>0</v>
      </c>
      <c r="H72" s="49">
        <f t="shared" si="28"/>
        <v>0</v>
      </c>
      <c r="I72" s="49">
        <f t="shared" si="28"/>
        <v>0</v>
      </c>
      <c r="J72" s="49">
        <f t="shared" si="28"/>
        <v>1763.6652173913046</v>
      </c>
      <c r="K72" s="49">
        <f t="shared" si="28"/>
        <v>1763.6652173913046</v>
      </c>
      <c r="L72" s="49">
        <f t="shared" si="28"/>
        <v>1763.6652173913046</v>
      </c>
      <c r="M72" s="49">
        <f t="shared" si="28"/>
        <v>1763.6652173913046</v>
      </c>
      <c r="N72" s="49">
        <f t="shared" si="28"/>
        <v>3527.3304347826092</v>
      </c>
      <c r="O72" s="49">
        <f t="shared" si="28"/>
        <v>3527.3304347826092</v>
      </c>
      <c r="P72" s="49">
        <f t="shared" si="28"/>
        <v>3527.3304347826092</v>
      </c>
      <c r="Q72" s="49">
        <f t="shared" si="28"/>
        <v>3527.3304347826092</v>
      </c>
      <c r="S72" s="44">
        <f>S80*56</f>
        <v>20.289855072463773</v>
      </c>
      <c r="T72" s="45" t="s">
        <v>37</v>
      </c>
    </row>
    <row r="73" spans="1:21">
      <c r="A73" s="43" t="s">
        <v>40</v>
      </c>
      <c r="B73" s="48">
        <f t="shared" ref="B73:Q75" si="29">B64*$S73</f>
        <v>0</v>
      </c>
      <c r="C73" s="48">
        <f t="shared" si="29"/>
        <v>0</v>
      </c>
      <c r="D73" s="48">
        <f t="shared" si="29"/>
        <v>0</v>
      </c>
      <c r="E73" s="48">
        <f t="shared" si="29"/>
        <v>0</v>
      </c>
      <c r="F73" s="49">
        <f t="shared" si="29"/>
        <v>0</v>
      </c>
      <c r="G73" s="49">
        <f t="shared" si="29"/>
        <v>0</v>
      </c>
      <c r="H73" s="49">
        <f t="shared" si="29"/>
        <v>0</v>
      </c>
      <c r="I73" s="49">
        <f t="shared" si="29"/>
        <v>0</v>
      </c>
      <c r="J73" s="49">
        <f t="shared" si="29"/>
        <v>0</v>
      </c>
      <c r="K73" s="49">
        <f t="shared" si="29"/>
        <v>0</v>
      </c>
      <c r="L73" s="49">
        <f t="shared" si="29"/>
        <v>0</v>
      </c>
      <c r="M73" s="49">
        <f t="shared" si="29"/>
        <v>0</v>
      </c>
      <c r="N73" s="49">
        <f t="shared" si="29"/>
        <v>0</v>
      </c>
      <c r="O73" s="49">
        <f t="shared" si="29"/>
        <v>0</v>
      </c>
      <c r="P73" s="49">
        <f t="shared" si="29"/>
        <v>0</v>
      </c>
      <c r="Q73" s="49">
        <f t="shared" si="29"/>
        <v>0</v>
      </c>
      <c r="S73" s="44">
        <v>35</v>
      </c>
      <c r="T73" s="45" t="s">
        <v>37</v>
      </c>
      <c r="U73" s="45" t="s">
        <v>41</v>
      </c>
    </row>
    <row r="74" spans="1:21">
      <c r="A74" s="43" t="s">
        <v>42</v>
      </c>
      <c r="B74" s="48">
        <f t="shared" si="29"/>
        <v>0</v>
      </c>
      <c r="C74" s="48">
        <f t="shared" si="29"/>
        <v>0</v>
      </c>
      <c r="D74" s="48">
        <f t="shared" si="29"/>
        <v>0</v>
      </c>
      <c r="E74" s="48">
        <f t="shared" si="29"/>
        <v>0</v>
      </c>
      <c r="F74" s="49">
        <f t="shared" si="29"/>
        <v>0</v>
      </c>
      <c r="G74" s="49">
        <f t="shared" si="29"/>
        <v>0</v>
      </c>
      <c r="H74" s="49">
        <f t="shared" si="29"/>
        <v>0</v>
      </c>
      <c r="I74" s="49">
        <f t="shared" si="29"/>
        <v>0</v>
      </c>
      <c r="J74" s="49">
        <f t="shared" si="29"/>
        <v>0</v>
      </c>
      <c r="K74" s="49">
        <f t="shared" si="29"/>
        <v>0</v>
      </c>
      <c r="L74" s="49">
        <f t="shared" si="29"/>
        <v>0</v>
      </c>
      <c r="M74" s="49">
        <f t="shared" si="29"/>
        <v>0</v>
      </c>
      <c r="N74" s="49">
        <f t="shared" si="29"/>
        <v>0</v>
      </c>
      <c r="O74" s="49">
        <f t="shared" si="29"/>
        <v>0</v>
      </c>
      <c r="P74" s="49">
        <f t="shared" si="29"/>
        <v>0</v>
      </c>
      <c r="Q74" s="49">
        <f t="shared" si="29"/>
        <v>0</v>
      </c>
      <c r="S74" s="44">
        <v>19.223267667659997</v>
      </c>
      <c r="T74" s="45" t="s">
        <v>37</v>
      </c>
      <c r="U74" s="46" t="s">
        <v>43</v>
      </c>
    </row>
    <row r="75" spans="1:21" ht="15.75" thickBot="1">
      <c r="A75" s="43" t="s">
        <v>44</v>
      </c>
      <c r="B75" s="48">
        <f t="shared" si="29"/>
        <v>0</v>
      </c>
      <c r="C75" s="48">
        <f t="shared" si="29"/>
        <v>0</v>
      </c>
      <c r="D75" s="48">
        <f t="shared" si="29"/>
        <v>0</v>
      </c>
      <c r="E75" s="48">
        <f t="shared" si="29"/>
        <v>0</v>
      </c>
      <c r="F75" s="49">
        <f t="shared" si="29"/>
        <v>0</v>
      </c>
      <c r="G75" s="49">
        <f t="shared" si="29"/>
        <v>0</v>
      </c>
      <c r="H75" s="49">
        <f t="shared" si="29"/>
        <v>5572</v>
      </c>
      <c r="I75" s="49">
        <f t="shared" si="29"/>
        <v>5572</v>
      </c>
      <c r="J75" s="49">
        <f t="shared" si="29"/>
        <v>5572</v>
      </c>
      <c r="K75" s="49">
        <f t="shared" si="29"/>
        <v>5572</v>
      </c>
      <c r="L75" s="49">
        <f t="shared" si="29"/>
        <v>6169</v>
      </c>
      <c r="M75" s="49">
        <f t="shared" si="29"/>
        <v>6169</v>
      </c>
      <c r="N75" s="49">
        <f t="shared" si="29"/>
        <v>6169</v>
      </c>
      <c r="O75" s="49">
        <f t="shared" si="29"/>
        <v>6169</v>
      </c>
      <c r="P75" s="49">
        <f t="shared" si="29"/>
        <v>6169</v>
      </c>
      <c r="Q75" s="49">
        <f t="shared" si="29"/>
        <v>6169</v>
      </c>
      <c r="S75" s="44">
        <v>39.799999999999997</v>
      </c>
      <c r="T75" s="45" t="s">
        <v>37</v>
      </c>
    </row>
    <row r="76" spans="1:21">
      <c r="A76" s="26"/>
      <c r="B76" s="26"/>
      <c r="C76" s="26"/>
      <c r="D76" s="26"/>
      <c r="E76" s="26"/>
      <c r="F76" s="26"/>
      <c r="G76" s="26"/>
      <c r="H76" s="26"/>
      <c r="I76" s="26"/>
      <c r="J76" s="26"/>
      <c r="K76" s="26"/>
      <c r="L76" s="26"/>
      <c r="M76" s="26"/>
      <c r="N76" s="26"/>
      <c r="O76" s="26"/>
      <c r="P76" s="26"/>
      <c r="Q76" s="26"/>
    </row>
    <row r="77" spans="1:21">
      <c r="A77" s="38" t="s">
        <v>45</v>
      </c>
    </row>
    <row r="78" spans="1:21">
      <c r="A78" s="43" t="s">
        <v>46</v>
      </c>
      <c r="B78" s="48">
        <f t="shared" ref="B78:Q78" si="30">B79*$S78</f>
        <v>0</v>
      </c>
      <c r="C78" s="48">
        <f t="shared" si="30"/>
        <v>0</v>
      </c>
      <c r="D78" s="48">
        <f t="shared" si="30"/>
        <v>0</v>
      </c>
      <c r="E78" s="49">
        <f t="shared" si="30"/>
        <v>0</v>
      </c>
      <c r="F78" s="49">
        <f t="shared" si="30"/>
        <v>0</v>
      </c>
      <c r="G78" s="49">
        <f t="shared" si="30"/>
        <v>0</v>
      </c>
      <c r="H78" s="49">
        <f t="shared" si="30"/>
        <v>0</v>
      </c>
      <c r="I78" s="49">
        <f t="shared" si="30"/>
        <v>0</v>
      </c>
      <c r="J78" s="49">
        <f t="shared" si="30"/>
        <v>572.82586499999991</v>
      </c>
      <c r="K78" s="49">
        <f t="shared" si="30"/>
        <v>572.82586499999991</v>
      </c>
      <c r="L78" s="49">
        <f t="shared" si="30"/>
        <v>572.82586499999991</v>
      </c>
      <c r="M78" s="49">
        <f t="shared" si="30"/>
        <v>572.82586499999991</v>
      </c>
      <c r="N78" s="49">
        <f t="shared" si="30"/>
        <v>1145.6517299999998</v>
      </c>
      <c r="O78" s="49">
        <f t="shared" si="30"/>
        <v>1145.6517299999998</v>
      </c>
      <c r="P78" s="49">
        <f t="shared" si="30"/>
        <v>1145.6517299999998</v>
      </c>
      <c r="Q78" s="49">
        <f t="shared" si="30"/>
        <v>1145.6517299999998</v>
      </c>
      <c r="S78" s="44">
        <v>6.59</v>
      </c>
      <c r="T78" s="45" t="s">
        <v>37</v>
      </c>
      <c r="U78" s="45"/>
    </row>
    <row r="79" spans="1:21">
      <c r="A79" s="43" t="s">
        <v>47</v>
      </c>
      <c r="B79" s="48">
        <f t="shared" ref="B79:Q79" si="31">B63*$S79</f>
        <v>0</v>
      </c>
      <c r="C79" s="48">
        <f t="shared" si="31"/>
        <v>0</v>
      </c>
      <c r="D79" s="48">
        <f t="shared" si="31"/>
        <v>0</v>
      </c>
      <c r="E79" s="49">
        <f t="shared" si="31"/>
        <v>0</v>
      </c>
      <c r="F79" s="49">
        <f t="shared" si="31"/>
        <v>0</v>
      </c>
      <c r="G79" s="49">
        <f t="shared" si="31"/>
        <v>0</v>
      </c>
      <c r="H79" s="49">
        <f t="shared" si="31"/>
        <v>0</v>
      </c>
      <c r="I79" s="49">
        <f t="shared" si="31"/>
        <v>0</v>
      </c>
      <c r="J79" s="49">
        <f t="shared" si="31"/>
        <v>86.92349999999999</v>
      </c>
      <c r="K79" s="49">
        <f t="shared" si="31"/>
        <v>86.92349999999999</v>
      </c>
      <c r="L79" s="49">
        <f t="shared" si="31"/>
        <v>86.92349999999999</v>
      </c>
      <c r="M79" s="49">
        <f t="shared" si="31"/>
        <v>86.92349999999999</v>
      </c>
      <c r="N79" s="49">
        <f t="shared" si="31"/>
        <v>173.84699999999998</v>
      </c>
      <c r="O79" s="49">
        <f t="shared" si="31"/>
        <v>173.84699999999998</v>
      </c>
      <c r="P79" s="49">
        <f t="shared" si="31"/>
        <v>173.84699999999998</v>
      </c>
      <c r="Q79" s="49">
        <f t="shared" si="31"/>
        <v>173.84699999999998</v>
      </c>
      <c r="S79" s="44">
        <v>1.67</v>
      </c>
      <c r="T79" s="45" t="s">
        <v>48</v>
      </c>
      <c r="U79" s="45" t="s">
        <v>49</v>
      </c>
    </row>
    <row r="80" spans="1:21">
      <c r="A80" s="43" t="s">
        <v>50</v>
      </c>
      <c r="B80" s="48">
        <f t="shared" ref="B80:Q80" si="32">B79*$S80</f>
        <v>0</v>
      </c>
      <c r="C80" s="48">
        <f t="shared" si="32"/>
        <v>0</v>
      </c>
      <c r="D80" s="48">
        <f t="shared" si="32"/>
        <v>0</v>
      </c>
      <c r="E80" s="49">
        <f t="shared" si="32"/>
        <v>0</v>
      </c>
      <c r="F80" s="49">
        <f t="shared" si="32"/>
        <v>0</v>
      </c>
      <c r="G80" s="49">
        <f t="shared" si="32"/>
        <v>0</v>
      </c>
      <c r="H80" s="49">
        <f t="shared" si="32"/>
        <v>0</v>
      </c>
      <c r="I80" s="49">
        <f t="shared" si="32"/>
        <v>0</v>
      </c>
      <c r="J80" s="49">
        <f t="shared" si="32"/>
        <v>31.494021739130435</v>
      </c>
      <c r="K80" s="49">
        <f t="shared" si="32"/>
        <v>31.494021739130435</v>
      </c>
      <c r="L80" s="49">
        <f t="shared" si="32"/>
        <v>31.494021739130435</v>
      </c>
      <c r="M80" s="49">
        <f t="shared" si="32"/>
        <v>31.494021739130435</v>
      </c>
      <c r="N80" s="49">
        <f t="shared" si="32"/>
        <v>62.98804347826087</v>
      </c>
      <c r="O80" s="49">
        <f t="shared" si="32"/>
        <v>62.98804347826087</v>
      </c>
      <c r="P80" s="49">
        <f t="shared" si="32"/>
        <v>62.98804347826087</v>
      </c>
      <c r="Q80" s="49">
        <f t="shared" si="32"/>
        <v>62.98804347826087</v>
      </c>
      <c r="S80" s="50">
        <f>1/S81</f>
        <v>0.3623188405797102</v>
      </c>
      <c r="T80" s="45" t="s">
        <v>51</v>
      </c>
      <c r="U80" s="20" t="s">
        <v>52</v>
      </c>
    </row>
    <row r="81" spans="1:22">
      <c r="S81" s="51">
        <v>2.76</v>
      </c>
      <c r="T81" s="45" t="s">
        <v>53</v>
      </c>
      <c r="U81" s="45" t="s">
        <v>54</v>
      </c>
    </row>
    <row r="82" spans="1:22">
      <c r="A82" s="43" t="s">
        <v>55</v>
      </c>
      <c r="C82" s="48"/>
      <c r="D82" s="48"/>
      <c r="E82" s="49"/>
      <c r="F82" s="49"/>
      <c r="G82" s="49"/>
      <c r="H82" s="49"/>
      <c r="I82" s="49"/>
      <c r="J82" s="49"/>
      <c r="K82" s="49"/>
      <c r="L82" s="49"/>
      <c r="M82" s="49"/>
      <c r="N82" s="49"/>
      <c r="O82" s="49"/>
      <c r="P82" s="49"/>
      <c r="Q82" s="49"/>
    </row>
    <row r="83" spans="1:22">
      <c r="A83" s="43" t="s">
        <v>56</v>
      </c>
      <c r="C83" s="52"/>
      <c r="D83" s="52"/>
      <c r="E83" s="53"/>
      <c r="F83" s="53"/>
      <c r="G83" s="53"/>
      <c r="H83" s="53"/>
      <c r="I83" s="53"/>
      <c r="J83" s="53"/>
      <c r="K83" s="53"/>
      <c r="L83" s="53"/>
      <c r="M83" s="53"/>
      <c r="N83" s="53"/>
      <c r="O83" s="53"/>
      <c r="P83" s="53"/>
      <c r="Q83" s="53"/>
    </row>
    <row r="84" spans="1:22">
      <c r="A84" s="43" t="s">
        <v>57</v>
      </c>
    </row>
    <row r="85" spans="1:22">
      <c r="A85" s="43" t="s">
        <v>58</v>
      </c>
    </row>
    <row r="86" spans="1:22">
      <c r="A86" s="43" t="s">
        <v>59</v>
      </c>
      <c r="C86" s="54"/>
      <c r="D86" s="54"/>
      <c r="E86" s="55"/>
      <c r="F86" s="55"/>
      <c r="G86" s="55"/>
      <c r="H86" s="55"/>
      <c r="I86" s="55"/>
      <c r="J86" s="55"/>
      <c r="K86" s="55"/>
      <c r="L86" s="55"/>
      <c r="M86" s="55"/>
      <c r="N86" s="55"/>
      <c r="O86" s="55"/>
      <c r="P86" s="55"/>
      <c r="Q86" s="55"/>
    </row>
    <row r="88" spans="1:22">
      <c r="A88" s="43" t="s">
        <v>60</v>
      </c>
      <c r="C88" s="48"/>
      <c r="D88" s="48"/>
      <c r="E88" s="49"/>
      <c r="F88" s="49"/>
      <c r="G88" s="49"/>
      <c r="H88" s="49"/>
      <c r="I88" s="49"/>
      <c r="J88" s="49"/>
      <c r="K88" s="49"/>
      <c r="L88" s="49"/>
      <c r="M88" s="49"/>
      <c r="N88" s="49"/>
      <c r="O88" s="49"/>
      <c r="P88" s="49"/>
      <c r="Q88" s="49"/>
    </row>
    <row r="89" spans="1:22">
      <c r="A89" s="43" t="s">
        <v>61</v>
      </c>
      <c r="C89" s="48"/>
      <c r="D89" s="48"/>
      <c r="E89" s="49"/>
      <c r="F89" s="49"/>
      <c r="G89" s="49"/>
      <c r="H89" s="49"/>
      <c r="I89" s="49"/>
      <c r="J89" s="49"/>
      <c r="K89" s="49"/>
      <c r="L89" s="49"/>
      <c r="M89" s="49"/>
      <c r="N89" s="49"/>
      <c r="O89" s="49"/>
      <c r="P89" s="49"/>
      <c r="Q89" s="49"/>
    </row>
    <row r="90" spans="1:22">
      <c r="A90" s="56"/>
      <c r="B90" s="56"/>
      <c r="C90" s="56"/>
      <c r="D90" s="56"/>
      <c r="E90" s="56"/>
      <c r="F90" s="56"/>
      <c r="G90" s="56"/>
      <c r="H90" s="56"/>
      <c r="I90" s="56"/>
      <c r="J90" s="56"/>
      <c r="K90" s="56"/>
      <c r="L90" s="56"/>
      <c r="M90" s="56"/>
      <c r="N90" s="56"/>
      <c r="O90" s="56"/>
      <c r="P90" s="56"/>
      <c r="Q90" s="56"/>
      <c r="R90" s="56"/>
    </row>
    <row r="91" spans="1:22" ht="15.75" thickBot="1">
      <c r="A91" s="57" t="s">
        <v>1198</v>
      </c>
      <c r="B91" s="56"/>
      <c r="C91" s="56"/>
      <c r="D91" s="56"/>
      <c r="E91" s="56"/>
      <c r="F91" s="56"/>
      <c r="G91" s="56"/>
      <c r="H91" s="56"/>
      <c r="I91" s="56"/>
      <c r="J91" s="56"/>
      <c r="K91" s="56"/>
      <c r="L91" s="56"/>
      <c r="M91" s="56"/>
      <c r="N91" s="56"/>
      <c r="O91" s="56"/>
      <c r="P91" s="56"/>
      <c r="Q91" s="56"/>
      <c r="R91" s="56"/>
      <c r="S91" s="56"/>
      <c r="T91" s="56"/>
      <c r="U91" s="56"/>
      <c r="V91" s="56"/>
    </row>
    <row r="92" spans="1:22" ht="15.75" thickBot="1">
      <c r="A92" s="58" t="str">
        <f>A22</f>
        <v>(mil gal/yr)</v>
      </c>
      <c r="B92" s="59" t="str">
        <f>B22</f>
        <v>&lt; 2021</v>
      </c>
      <c r="C92" s="59">
        <f t="shared" ref="C92:Q92" si="33">C22</f>
        <v>2021</v>
      </c>
      <c r="D92" s="59">
        <f t="shared" si="33"/>
        <v>2022</v>
      </c>
      <c r="E92" s="59">
        <f t="shared" si="33"/>
        <v>2023</v>
      </c>
      <c r="F92" s="59">
        <f t="shared" si="33"/>
        <v>2024</v>
      </c>
      <c r="G92" s="59">
        <f t="shared" si="33"/>
        <v>2025</v>
      </c>
      <c r="H92" s="59">
        <f t="shared" si="33"/>
        <v>2026</v>
      </c>
      <c r="I92" s="59">
        <f t="shared" si="33"/>
        <v>2027</v>
      </c>
      <c r="J92" s="59">
        <f t="shared" si="33"/>
        <v>2028</v>
      </c>
      <c r="K92" s="59">
        <f t="shared" si="33"/>
        <v>2029</v>
      </c>
      <c r="L92" s="59">
        <f t="shared" si="33"/>
        <v>2030</v>
      </c>
      <c r="M92" s="59">
        <f t="shared" si="33"/>
        <v>2031</v>
      </c>
      <c r="N92" s="59">
        <f t="shared" si="33"/>
        <v>2032</v>
      </c>
      <c r="O92" s="59">
        <f t="shared" si="33"/>
        <v>2033</v>
      </c>
      <c r="P92" s="59">
        <f t="shared" si="33"/>
        <v>2034</v>
      </c>
      <c r="Q92" s="59">
        <f t="shared" si="33"/>
        <v>2035</v>
      </c>
      <c r="R92" s="59">
        <v>2050</v>
      </c>
      <c r="S92" s="56"/>
      <c r="T92" s="60" t="s">
        <v>63</v>
      </c>
      <c r="U92" s="61"/>
      <c r="V92" s="61"/>
    </row>
    <row r="93" spans="1:22">
      <c r="A93" s="393" t="s">
        <v>64</v>
      </c>
      <c r="B93" s="393"/>
      <c r="C93" s="393"/>
      <c r="D93" s="393"/>
      <c r="E93" s="393"/>
      <c r="F93" s="393"/>
      <c r="G93" s="393"/>
      <c r="H93" s="393"/>
      <c r="I93" s="393"/>
      <c r="J93" s="393"/>
      <c r="K93" s="393"/>
      <c r="L93" s="393"/>
      <c r="M93" s="393"/>
      <c r="N93" s="393"/>
      <c r="O93" s="393"/>
      <c r="P93" s="393"/>
      <c r="Q93" s="393"/>
      <c r="R93" s="393"/>
      <c r="S93" s="56"/>
      <c r="T93" s="62" t="s">
        <v>65</v>
      </c>
      <c r="U93" s="63"/>
      <c r="V93" s="63"/>
    </row>
    <row r="94" spans="1:22">
      <c r="A94" s="64" t="s">
        <v>66</v>
      </c>
      <c r="B94" s="65"/>
      <c r="C94" s="65"/>
      <c r="D94" s="65"/>
      <c r="E94" s="65"/>
      <c r="F94" s="65"/>
      <c r="G94" s="65"/>
      <c r="H94" s="65"/>
      <c r="I94" s="65"/>
      <c r="J94" s="65"/>
      <c r="K94" s="65"/>
      <c r="L94" s="66">
        <v>3000</v>
      </c>
      <c r="M94" s="65"/>
      <c r="N94" s="65"/>
      <c r="O94" s="65"/>
      <c r="P94" s="65"/>
      <c r="Q94" s="65"/>
      <c r="R94" s="66">
        <v>35000</v>
      </c>
      <c r="S94" s="56"/>
      <c r="T94" s="386" t="s">
        <v>67</v>
      </c>
      <c r="U94" s="386"/>
      <c r="V94" s="386"/>
    </row>
    <row r="95" spans="1:22">
      <c r="A95" s="394" t="s">
        <v>68</v>
      </c>
      <c r="B95" s="394"/>
      <c r="C95" s="394"/>
      <c r="D95" s="394"/>
      <c r="E95" s="394"/>
      <c r="F95" s="394"/>
      <c r="G95" s="394"/>
      <c r="H95" s="394"/>
      <c r="I95" s="394"/>
      <c r="J95" s="394"/>
      <c r="K95" s="394"/>
      <c r="L95" s="394"/>
      <c r="M95" s="394"/>
      <c r="N95" s="394"/>
      <c r="O95" s="394"/>
      <c r="P95" s="394"/>
      <c r="Q95" s="394"/>
      <c r="R95" s="394"/>
      <c r="S95" s="56"/>
      <c r="T95" s="386"/>
      <c r="U95" s="386"/>
      <c r="V95" s="386"/>
    </row>
    <row r="96" spans="1:22" ht="18" customHeight="1">
      <c r="A96" s="64" t="s">
        <v>69</v>
      </c>
      <c r="B96" s="65"/>
      <c r="C96" s="65"/>
      <c r="D96" s="65"/>
      <c r="E96" s="65"/>
      <c r="F96" s="65"/>
      <c r="G96" s="65"/>
      <c r="H96" s="65"/>
      <c r="I96" s="65"/>
      <c r="J96" s="65"/>
      <c r="K96" s="65"/>
      <c r="L96" s="65"/>
      <c r="M96" s="65"/>
      <c r="N96" s="65"/>
      <c r="O96" s="65"/>
      <c r="P96" s="65"/>
      <c r="Q96" s="65"/>
      <c r="R96" s="65"/>
      <c r="S96" s="56"/>
      <c r="T96" s="62" t="s">
        <v>70</v>
      </c>
      <c r="U96" s="67"/>
      <c r="V96" s="67"/>
    </row>
    <row r="97" spans="1:22" ht="15" customHeight="1">
      <c r="A97" s="64" t="s">
        <v>71</v>
      </c>
      <c r="B97" s="65"/>
      <c r="C97" s="65"/>
      <c r="D97" s="65"/>
      <c r="E97" s="65"/>
      <c r="F97" s="65"/>
      <c r="G97" s="65"/>
      <c r="H97" s="65"/>
      <c r="I97" s="65"/>
      <c r="J97" s="65"/>
      <c r="K97" s="65"/>
      <c r="L97" s="65"/>
      <c r="M97" s="65"/>
      <c r="N97" s="65"/>
      <c r="O97" s="65"/>
      <c r="P97" s="65"/>
      <c r="Q97" s="65"/>
      <c r="R97" s="65"/>
      <c r="S97" s="56"/>
      <c r="T97" s="386" t="s">
        <v>72</v>
      </c>
      <c r="U97" s="386"/>
      <c r="V97" s="386"/>
    </row>
    <row r="98" spans="1:22">
      <c r="A98" s="64" t="s">
        <v>73</v>
      </c>
      <c r="B98" s="65"/>
      <c r="C98" s="65"/>
      <c r="D98" s="65"/>
      <c r="E98" s="65"/>
      <c r="F98" s="65"/>
      <c r="G98" s="65"/>
      <c r="H98" s="65"/>
      <c r="I98" s="65"/>
      <c r="J98" s="65"/>
      <c r="K98" s="65"/>
      <c r="L98" s="65"/>
      <c r="M98" s="65"/>
      <c r="N98" s="65"/>
      <c r="O98" s="65"/>
      <c r="P98" s="65"/>
      <c r="Q98" s="65"/>
      <c r="R98" s="65"/>
      <c r="S98" s="56"/>
      <c r="T98" s="386"/>
      <c r="U98" s="386"/>
      <c r="V98" s="386"/>
    </row>
    <row r="99" spans="1:22">
      <c r="A99" s="387" t="s">
        <v>74</v>
      </c>
      <c r="B99" s="387"/>
      <c r="C99" s="387"/>
      <c r="D99" s="387"/>
      <c r="E99" s="387"/>
      <c r="F99" s="387"/>
      <c r="G99" s="387"/>
      <c r="H99" s="387"/>
      <c r="I99" s="387"/>
      <c r="J99" s="387"/>
      <c r="K99" s="387"/>
      <c r="L99" s="387"/>
      <c r="M99" s="387"/>
      <c r="N99" s="387"/>
      <c r="O99" s="387"/>
      <c r="P99" s="387"/>
      <c r="Q99" s="387"/>
      <c r="R99" s="387"/>
      <c r="S99" s="56"/>
      <c r="T99" s="386"/>
      <c r="U99" s="386"/>
      <c r="V99" s="386"/>
    </row>
    <row r="100" spans="1:22">
      <c r="A100" s="64" t="s">
        <v>75</v>
      </c>
      <c r="B100" s="65"/>
      <c r="C100" s="65"/>
      <c r="D100" s="65"/>
      <c r="E100" s="65"/>
      <c r="F100" s="65"/>
      <c r="G100" s="65"/>
      <c r="H100" s="65"/>
      <c r="I100" s="65"/>
      <c r="J100" s="65"/>
      <c r="K100" s="65"/>
      <c r="L100" s="68">
        <f>MROUND(1000/3.78541,5)</f>
        <v>265</v>
      </c>
      <c r="M100" s="65"/>
      <c r="N100" s="65"/>
      <c r="O100" s="65"/>
      <c r="P100" s="65"/>
      <c r="Q100" s="65"/>
      <c r="R100" s="68">
        <f>MROUND(8000/3.78541,5)</f>
        <v>2115</v>
      </c>
      <c r="S100" s="56"/>
      <c r="T100" s="67"/>
      <c r="U100" s="67"/>
      <c r="V100" s="67"/>
    </row>
    <row r="101" spans="1:22">
      <c r="A101" s="388" t="s">
        <v>76</v>
      </c>
      <c r="B101" s="388"/>
      <c r="C101" s="388"/>
      <c r="D101" s="388"/>
      <c r="E101" s="388"/>
      <c r="F101" s="388"/>
      <c r="G101" s="388"/>
      <c r="H101" s="388"/>
      <c r="I101" s="388"/>
      <c r="J101" s="388"/>
      <c r="K101" s="388"/>
      <c r="L101" s="388"/>
      <c r="M101" s="388"/>
      <c r="N101" s="388"/>
      <c r="O101" s="388"/>
      <c r="P101" s="388"/>
      <c r="Q101" s="388"/>
      <c r="R101" s="388"/>
      <c r="S101" s="56"/>
      <c r="T101" s="67"/>
      <c r="U101" s="67"/>
      <c r="V101" s="67"/>
    </row>
    <row r="102" spans="1:22">
      <c r="A102" s="64" t="s">
        <v>77</v>
      </c>
      <c r="B102" s="65"/>
      <c r="C102" s="65"/>
      <c r="D102" s="65"/>
      <c r="E102" s="65"/>
      <c r="F102" s="65"/>
      <c r="G102" s="65"/>
      <c r="H102" s="65"/>
      <c r="I102" s="65"/>
      <c r="J102" s="65"/>
      <c r="K102" s="65"/>
      <c r="L102" s="68"/>
      <c r="M102" s="65"/>
      <c r="N102" s="65"/>
      <c r="O102" s="65"/>
      <c r="P102" s="65"/>
      <c r="Q102" s="65"/>
      <c r="R102" s="68"/>
      <c r="S102" s="56"/>
      <c r="T102" s="67"/>
      <c r="U102" s="67"/>
      <c r="V102" s="67"/>
    </row>
    <row r="103" spans="1:22">
      <c r="A103" s="388" t="s">
        <v>78</v>
      </c>
      <c r="B103" s="388"/>
      <c r="C103" s="388"/>
      <c r="D103" s="388"/>
      <c r="E103" s="388"/>
      <c r="F103" s="388"/>
      <c r="G103" s="388"/>
      <c r="H103" s="388"/>
      <c r="I103" s="388"/>
      <c r="J103" s="388"/>
      <c r="K103" s="388"/>
      <c r="L103" s="388"/>
      <c r="M103" s="388"/>
      <c r="N103" s="388"/>
      <c r="O103" s="388"/>
      <c r="P103" s="388"/>
      <c r="Q103" s="388"/>
      <c r="R103" s="388"/>
      <c r="S103" s="56"/>
      <c r="T103" s="67"/>
      <c r="U103" s="67"/>
      <c r="V103" s="67"/>
    </row>
    <row r="104" spans="1:22">
      <c r="A104" s="64" t="s">
        <v>66</v>
      </c>
      <c r="B104" s="65"/>
      <c r="C104" s="65"/>
      <c r="D104" s="65"/>
      <c r="E104" s="65"/>
      <c r="F104" s="65"/>
      <c r="G104" s="65"/>
      <c r="H104" s="65"/>
      <c r="I104" s="65"/>
      <c r="J104" s="65"/>
      <c r="K104" s="65"/>
      <c r="L104" s="68"/>
      <c r="M104" s="65"/>
      <c r="N104" s="65"/>
      <c r="O104" s="65"/>
      <c r="P104" s="65"/>
      <c r="Q104" s="65"/>
      <c r="R104" s="68"/>
      <c r="S104" s="56"/>
      <c r="T104" s="67"/>
      <c r="U104" s="67"/>
      <c r="V104" s="67"/>
    </row>
    <row r="105" spans="1:22" ht="15.75" thickBot="1">
      <c r="A105" s="69" t="s">
        <v>79</v>
      </c>
      <c r="B105" s="70">
        <f>SUM(B100,B96:B98,B94)</f>
        <v>0</v>
      </c>
      <c r="C105" s="70">
        <f t="shared" ref="C105:R105" si="34">SUM(C100,C96:C98,C94)</f>
        <v>0</v>
      </c>
      <c r="D105" s="70">
        <f t="shared" si="34"/>
        <v>0</v>
      </c>
      <c r="E105" s="70">
        <f t="shared" si="34"/>
        <v>0</v>
      </c>
      <c r="F105" s="70">
        <f t="shared" si="34"/>
        <v>0</v>
      </c>
      <c r="G105" s="70">
        <f t="shared" si="34"/>
        <v>0</v>
      </c>
      <c r="H105" s="70">
        <f t="shared" si="34"/>
        <v>0</v>
      </c>
      <c r="I105" s="70">
        <f t="shared" si="34"/>
        <v>0</v>
      </c>
      <c r="J105" s="70">
        <f t="shared" si="34"/>
        <v>0</v>
      </c>
      <c r="K105" s="70">
        <f t="shared" si="34"/>
        <v>0</v>
      </c>
      <c r="L105" s="70">
        <f t="shared" si="34"/>
        <v>3265</v>
      </c>
      <c r="M105" s="70">
        <f t="shared" si="34"/>
        <v>0</v>
      </c>
      <c r="N105" s="70">
        <f t="shared" si="34"/>
        <v>0</v>
      </c>
      <c r="O105" s="70">
        <f t="shared" si="34"/>
        <v>0</v>
      </c>
      <c r="P105" s="70">
        <f t="shared" si="34"/>
        <v>0</v>
      </c>
      <c r="Q105" s="70">
        <f t="shared" si="34"/>
        <v>0</v>
      </c>
      <c r="R105" s="70">
        <f t="shared" si="34"/>
        <v>37115</v>
      </c>
      <c r="S105" s="56"/>
      <c r="T105" s="67"/>
      <c r="U105" s="67"/>
      <c r="V105" s="67"/>
    </row>
    <row r="106" spans="1:22">
      <c r="A106" s="71" t="s">
        <v>80</v>
      </c>
      <c r="B106" s="72"/>
      <c r="C106" s="72"/>
      <c r="D106" s="72"/>
      <c r="E106" s="72"/>
      <c r="F106" s="72"/>
      <c r="G106" s="72"/>
      <c r="H106" s="72"/>
      <c r="I106" s="72"/>
      <c r="J106" s="72"/>
      <c r="K106" s="72"/>
      <c r="L106" s="72"/>
      <c r="M106" s="72"/>
      <c r="N106" s="72"/>
      <c r="O106" s="72"/>
      <c r="P106" s="72"/>
      <c r="Q106" s="72"/>
      <c r="R106" s="72"/>
      <c r="S106" s="56"/>
      <c r="T106" s="56"/>
      <c r="U106" s="56"/>
      <c r="V106" s="56"/>
    </row>
    <row r="107" spans="1:22">
      <c r="A107" s="73" t="s">
        <v>81</v>
      </c>
      <c r="B107" s="56"/>
      <c r="C107" s="56"/>
      <c r="D107" s="56"/>
      <c r="E107" s="56"/>
      <c r="F107" s="56"/>
      <c r="G107" s="56"/>
      <c r="H107" s="56"/>
      <c r="I107" s="56"/>
      <c r="J107" s="56"/>
      <c r="K107" s="56"/>
      <c r="L107" s="56"/>
      <c r="M107" s="56"/>
      <c r="N107" s="56"/>
      <c r="O107" s="56"/>
      <c r="P107" s="56"/>
      <c r="Q107" s="56"/>
      <c r="R107" s="56"/>
      <c r="S107" s="56"/>
      <c r="T107" s="56"/>
      <c r="U107" s="56"/>
      <c r="V107" s="56"/>
    </row>
    <row r="108" spans="1:22">
      <c r="A108" s="73" t="s">
        <v>82</v>
      </c>
      <c r="B108" s="56"/>
      <c r="C108" s="56"/>
      <c r="D108" s="56"/>
      <c r="E108" s="56"/>
      <c r="F108" s="56"/>
      <c r="G108" s="56"/>
      <c r="H108" s="56"/>
      <c r="I108" s="56"/>
      <c r="J108" s="56"/>
      <c r="K108" s="56"/>
      <c r="L108" s="56"/>
      <c r="M108" s="56"/>
      <c r="N108" s="56"/>
      <c r="O108" s="56"/>
      <c r="P108" s="56"/>
      <c r="Q108" s="56"/>
      <c r="R108" s="56"/>
      <c r="S108" s="56"/>
      <c r="T108" s="56"/>
      <c r="U108" s="56"/>
      <c r="V108" s="56"/>
    </row>
    <row r="109" spans="1:22">
      <c r="A109" s="73" t="s">
        <v>83</v>
      </c>
      <c r="B109" s="56"/>
      <c r="C109" s="56"/>
      <c r="D109" s="56"/>
      <c r="E109" s="56"/>
      <c r="F109" s="56"/>
      <c r="G109" s="56"/>
      <c r="H109" s="56"/>
      <c r="I109" s="56"/>
      <c r="J109" s="56"/>
      <c r="K109" s="56"/>
      <c r="L109" s="56"/>
      <c r="M109" s="56"/>
      <c r="N109" s="56"/>
      <c r="O109" s="56"/>
      <c r="P109" s="56"/>
      <c r="Q109" s="56"/>
      <c r="R109" s="56"/>
      <c r="S109" s="56"/>
      <c r="T109" s="56"/>
      <c r="U109" s="56"/>
      <c r="V109" s="56"/>
    </row>
    <row r="112" spans="1:22">
      <c r="A112" s="74" t="s">
        <v>84</v>
      </c>
    </row>
    <row r="114" spans="1:1">
      <c r="A114" s="20" t="s">
        <v>85</v>
      </c>
    </row>
    <row r="115" spans="1:1">
      <c r="A115" s="20" t="s">
        <v>86</v>
      </c>
    </row>
    <row r="116" spans="1:1">
      <c r="A116" s="20" t="s">
        <v>87</v>
      </c>
    </row>
    <row r="117" spans="1:1">
      <c r="A117" s="20" t="s">
        <v>88</v>
      </c>
    </row>
    <row r="118" spans="1:1">
      <c r="A118" s="20" t="s">
        <v>89</v>
      </c>
    </row>
    <row r="119" spans="1:1">
      <c r="A119" s="20" t="s">
        <v>90</v>
      </c>
    </row>
  </sheetData>
  <mergeCells count="10">
    <mergeCell ref="T97:V99"/>
    <mergeCell ref="A99:R99"/>
    <mergeCell ref="A101:R101"/>
    <mergeCell ref="A103:R103"/>
    <mergeCell ref="T42:T49"/>
    <mergeCell ref="S69:T70"/>
    <mergeCell ref="U69:U70"/>
    <mergeCell ref="A93:R93"/>
    <mergeCell ref="T94:V95"/>
    <mergeCell ref="A95:R9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B26F9-D508-4EBB-BADE-756C0E725E3E}">
  <dimension ref="A1:AD46"/>
  <sheetViews>
    <sheetView zoomScale="85" zoomScaleNormal="85" workbookViewId="0">
      <selection activeCell="Z25" sqref="Z25"/>
    </sheetView>
  </sheetViews>
  <sheetFormatPr defaultColWidth="9.140625" defaultRowHeight="11.25"/>
  <cols>
    <col min="1" max="1" width="9.140625" style="249"/>
    <col min="2" max="2" width="12.42578125" style="249" bestFit="1" customWidth="1"/>
    <col min="3" max="16384" width="9.140625" style="249"/>
  </cols>
  <sheetData>
    <row r="1" spans="1:30">
      <c r="A1" s="249" t="s">
        <v>1199</v>
      </c>
    </row>
    <row r="2" spans="1:30">
      <c r="C2" s="249">
        <v>2023</v>
      </c>
      <c r="D2" s="249">
        <v>2024</v>
      </c>
      <c r="E2" s="249">
        <v>2025</v>
      </c>
      <c r="F2" s="249">
        <v>2026</v>
      </c>
      <c r="G2" s="249">
        <v>2027</v>
      </c>
      <c r="H2" s="249">
        <v>2028</v>
      </c>
      <c r="I2" s="249">
        <v>2029</v>
      </c>
      <c r="J2" s="249">
        <v>2030</v>
      </c>
      <c r="K2" s="249">
        <v>2031</v>
      </c>
      <c r="L2" s="249">
        <v>2032</v>
      </c>
      <c r="M2" s="249">
        <v>2033</v>
      </c>
      <c r="N2" s="249">
        <v>2034</v>
      </c>
      <c r="O2" s="249">
        <v>2035</v>
      </c>
    </row>
    <row r="3" spans="1:30" ht="12" thickBot="1">
      <c r="A3" s="397" t="s">
        <v>1200</v>
      </c>
      <c r="B3" s="397"/>
      <c r="C3" s="250">
        <f>SUM(C4:C9)</f>
        <v>558.85109999999997</v>
      </c>
      <c r="D3" s="250">
        <f t="shared" ref="D3:O3" si="0">SUM(D4:D9)</f>
        <v>1396.343293698965</v>
      </c>
      <c r="E3" s="250">
        <f t="shared" si="0"/>
        <v>1906.7572811989651</v>
      </c>
      <c r="F3" s="250">
        <f t="shared" si="0"/>
        <v>2471.7972811989657</v>
      </c>
      <c r="G3" s="250">
        <f t="shared" si="0"/>
        <v>3597.9622811989657</v>
      </c>
      <c r="H3" s="250">
        <f t="shared" si="0"/>
        <v>3758.5672811989657</v>
      </c>
      <c r="I3" s="250">
        <f t="shared" si="0"/>
        <v>3868.5672811989657</v>
      </c>
      <c r="J3" s="250">
        <f t="shared" si="0"/>
        <v>3919.0672811989657</v>
      </c>
      <c r="K3" s="250">
        <f t="shared" si="0"/>
        <v>3922.4692811989657</v>
      </c>
      <c r="L3" s="250">
        <f t="shared" si="0"/>
        <v>3922.4692811989657</v>
      </c>
      <c r="M3" s="250">
        <f t="shared" si="0"/>
        <v>3922.4692811989657</v>
      </c>
      <c r="N3" s="250">
        <f t="shared" si="0"/>
        <v>3922.4692811989657</v>
      </c>
      <c r="O3" s="250">
        <f t="shared" si="0"/>
        <v>3922.4692811989657</v>
      </c>
      <c r="R3" s="249">
        <f>C2</f>
        <v>2023</v>
      </c>
      <c r="S3" s="249">
        <f t="shared" ref="S3:AB3" si="1">D2</f>
        <v>2024</v>
      </c>
      <c r="T3" s="249">
        <f t="shared" si="1"/>
        <v>2025</v>
      </c>
      <c r="U3" s="249">
        <f t="shared" si="1"/>
        <v>2026</v>
      </c>
      <c r="V3" s="249">
        <f t="shared" si="1"/>
        <v>2027</v>
      </c>
      <c r="W3" s="249">
        <f t="shared" si="1"/>
        <v>2028</v>
      </c>
      <c r="X3" s="249">
        <f t="shared" si="1"/>
        <v>2029</v>
      </c>
      <c r="Y3" s="249">
        <f t="shared" si="1"/>
        <v>2030</v>
      </c>
      <c r="Z3" s="249">
        <f t="shared" si="1"/>
        <v>2031</v>
      </c>
      <c r="AA3" s="249">
        <f t="shared" si="1"/>
        <v>2032</v>
      </c>
      <c r="AB3" s="249">
        <f t="shared" si="1"/>
        <v>2033</v>
      </c>
      <c r="AC3" s="249">
        <f>N2</f>
        <v>2034</v>
      </c>
      <c r="AD3" s="249">
        <f>O2</f>
        <v>2035</v>
      </c>
    </row>
    <row r="4" spans="1:30">
      <c r="A4" s="251"/>
      <c r="B4" s="251" t="s">
        <v>5</v>
      </c>
      <c r="C4" s="252">
        <f>'NAm Capacity Data'!E13</f>
        <v>482.35</v>
      </c>
      <c r="D4" s="252">
        <f>'NAm Capacity Data'!F13</f>
        <v>1310.2249999999999</v>
      </c>
      <c r="E4" s="252">
        <f>'NAm Capacity Data'!G13</f>
        <v>1720.0308</v>
      </c>
      <c r="F4" s="252">
        <f>'NAm Capacity Data'!H13</f>
        <v>2109.7708000000002</v>
      </c>
      <c r="G4" s="252">
        <f>'NAm Capacity Data'!I13</f>
        <v>2788.6458000000002</v>
      </c>
      <c r="H4" s="252">
        <f>'NAm Capacity Data'!J13</f>
        <v>2799.2708000000002</v>
      </c>
      <c r="I4" s="252">
        <f>'NAm Capacity Data'!K13</f>
        <v>2834.7708000000002</v>
      </c>
      <c r="J4" s="252">
        <f>'NAm Capacity Data'!L13</f>
        <v>2839.7708000000002</v>
      </c>
      <c r="K4" s="252">
        <f>'NAm Capacity Data'!M13</f>
        <v>2839.7708000000002</v>
      </c>
      <c r="L4" s="252">
        <f>'NAm Capacity Data'!N13</f>
        <v>2839.7708000000002</v>
      </c>
      <c r="M4" s="252">
        <f>'NAm Capacity Data'!O13</f>
        <v>2839.7708000000002</v>
      </c>
      <c r="N4" s="252">
        <f>'NAm Capacity Data'!P13</f>
        <v>2839.7708000000002</v>
      </c>
      <c r="O4" s="252">
        <f>'NAm Capacity Data'!Q13</f>
        <v>2839.7708000000002</v>
      </c>
      <c r="Q4" s="249" t="str">
        <f>A3</f>
        <v>North America</v>
      </c>
      <c r="R4" s="253">
        <f>C4*3.78541/1000</f>
        <v>1.8258925135000001</v>
      </c>
      <c r="S4" s="253">
        <f t="shared" ref="S4:AD4" si="2">D4*3.78541/1000</f>
        <v>4.9597388172499999</v>
      </c>
      <c r="T4" s="253">
        <f t="shared" si="2"/>
        <v>6.5110217906280008</v>
      </c>
      <c r="U4" s="253">
        <f t="shared" si="2"/>
        <v>7.9863474840280011</v>
      </c>
      <c r="V4" s="253">
        <f t="shared" si="2"/>
        <v>10.556167697778001</v>
      </c>
      <c r="W4" s="253">
        <f t="shared" si="2"/>
        <v>10.596387679028002</v>
      </c>
      <c r="X4" s="253">
        <f t="shared" si="2"/>
        <v>10.730769734028001</v>
      </c>
      <c r="Y4" s="253">
        <f t="shared" si="2"/>
        <v>10.749696784028002</v>
      </c>
      <c r="Z4" s="253">
        <f t="shared" si="2"/>
        <v>10.749696784028002</v>
      </c>
      <c r="AA4" s="253">
        <f t="shared" si="2"/>
        <v>10.749696784028002</v>
      </c>
      <c r="AB4" s="253">
        <f t="shared" si="2"/>
        <v>10.749696784028002</v>
      </c>
      <c r="AC4" s="253">
        <f t="shared" si="2"/>
        <v>10.749696784028002</v>
      </c>
      <c r="AD4" s="253">
        <f t="shared" si="2"/>
        <v>10.749696784028002</v>
      </c>
    </row>
    <row r="5" spans="1:30">
      <c r="B5" s="249" t="s">
        <v>6</v>
      </c>
      <c r="C5" s="254">
        <f>'NAm Capacity Data'!E14</f>
        <v>3.0001000000000002</v>
      </c>
      <c r="D5" s="254">
        <f>'NAm Capacity Data'!F14</f>
        <v>12.0001</v>
      </c>
      <c r="E5" s="254">
        <f>'NAm Capacity Data'!G14</f>
        <v>63.545725000000004</v>
      </c>
      <c r="F5" s="254">
        <f>'NAm Capacity Data'!H14</f>
        <v>236.045725</v>
      </c>
      <c r="G5" s="254">
        <f>'NAm Capacity Data'!I14</f>
        <v>481.045725</v>
      </c>
      <c r="H5" s="254">
        <f>'NAm Capacity Data'!J14</f>
        <v>597.29572499999995</v>
      </c>
      <c r="I5" s="254">
        <f>'NAm Capacity Data'!K14</f>
        <v>604.79572499999995</v>
      </c>
      <c r="J5" s="254">
        <f>'NAm Capacity Data'!L14</f>
        <v>604.79572499999995</v>
      </c>
      <c r="K5" s="254">
        <f>'NAm Capacity Data'!M14</f>
        <v>608.19772499999999</v>
      </c>
      <c r="L5" s="254">
        <f>'NAm Capacity Data'!N14</f>
        <v>608.19772499999999</v>
      </c>
      <c r="M5" s="254">
        <f>'NAm Capacity Data'!O14</f>
        <v>608.19772499999999</v>
      </c>
      <c r="N5" s="254">
        <f>'NAm Capacity Data'!P14</f>
        <v>608.19772499999999</v>
      </c>
      <c r="O5" s="254">
        <f>'NAm Capacity Data'!Q14</f>
        <v>608.19772499999999</v>
      </c>
      <c r="Q5" s="249" t="str">
        <f>A17</f>
        <v>Europe</v>
      </c>
      <c r="R5" s="253">
        <f>C18*3.78541/1000</f>
        <v>0.63083857650000008</v>
      </c>
      <c r="S5" s="253">
        <f t="shared" ref="S5:AD5" si="3">D18*3.78541/1000</f>
        <v>0.9688435135150002</v>
      </c>
      <c r="T5" s="253">
        <f t="shared" si="3"/>
        <v>3.74865149228925</v>
      </c>
      <c r="U5" s="253">
        <f t="shared" si="3"/>
        <v>4.2381364241922501</v>
      </c>
      <c r="V5" s="253">
        <f t="shared" si="3"/>
        <v>4.5985003585484998</v>
      </c>
      <c r="W5" s="253">
        <f t="shared" si="3"/>
        <v>4.7922149298885</v>
      </c>
      <c r="X5" s="253">
        <f t="shared" si="3"/>
        <v>4.7922149298885</v>
      </c>
      <c r="Y5" s="253">
        <f t="shared" si="3"/>
        <v>4.8265675256385006</v>
      </c>
      <c r="Z5" s="253">
        <f t="shared" si="3"/>
        <v>4.8265675256385006</v>
      </c>
      <c r="AA5" s="253">
        <f t="shared" si="3"/>
        <v>4.8265675256385006</v>
      </c>
      <c r="AB5" s="253">
        <f t="shared" si="3"/>
        <v>4.8265675256385006</v>
      </c>
      <c r="AC5" s="253">
        <f t="shared" si="3"/>
        <v>4.8265675256385006</v>
      </c>
      <c r="AD5" s="253">
        <f t="shared" si="3"/>
        <v>4.8265675256385006</v>
      </c>
    </row>
    <row r="6" spans="1:30">
      <c r="B6" s="249" t="s">
        <v>7</v>
      </c>
      <c r="C6" s="254">
        <f>'NAm Capacity Data'!E15</f>
        <v>0</v>
      </c>
      <c r="D6" s="254">
        <f>'NAm Capacity Data'!F15</f>
        <v>0</v>
      </c>
      <c r="E6" s="254">
        <f>'NAm Capacity Data'!G15</f>
        <v>39.018000000000001</v>
      </c>
      <c r="F6" s="254">
        <f>'NAm Capacity Data'!H15</f>
        <v>39.018000000000001</v>
      </c>
      <c r="G6" s="254">
        <f>'NAm Capacity Data'!I15</f>
        <v>222.93299999999999</v>
      </c>
      <c r="H6" s="254">
        <f>'NAm Capacity Data'!J15</f>
        <v>244.26299999999998</v>
      </c>
      <c r="I6" s="254">
        <f>'NAm Capacity Data'!K15</f>
        <v>303.76299999999998</v>
      </c>
      <c r="J6" s="254">
        <f>'NAm Capacity Data'!L15</f>
        <v>328.51299999999998</v>
      </c>
      <c r="K6" s="254">
        <f>'NAm Capacity Data'!M15</f>
        <v>328.51299999999998</v>
      </c>
      <c r="L6" s="254">
        <f>'NAm Capacity Data'!N15</f>
        <v>328.51299999999998</v>
      </c>
      <c r="M6" s="254">
        <f>'NAm Capacity Data'!O15</f>
        <v>328.51299999999998</v>
      </c>
      <c r="N6" s="254">
        <f>'NAm Capacity Data'!P15</f>
        <v>328.51299999999998</v>
      </c>
      <c r="O6" s="254">
        <f>'NAm Capacity Data'!Q15</f>
        <v>328.51299999999998</v>
      </c>
      <c r="Q6" s="249" t="str">
        <f>A31</f>
        <v>Asia</v>
      </c>
      <c r="R6" s="253">
        <f>C32*3.78541/1000</f>
        <v>1.52173482</v>
      </c>
      <c r="S6" s="253">
        <f t="shared" ref="S6:AD6" si="4">D32*3.78541/1000</f>
        <v>1.7966857094687501</v>
      </c>
      <c r="T6" s="253">
        <f t="shared" si="4"/>
        <v>2.6970551307642499</v>
      </c>
      <c r="U6" s="253">
        <f t="shared" si="4"/>
        <v>3.4862236854529995</v>
      </c>
      <c r="V6" s="253">
        <f t="shared" si="4"/>
        <v>3.4862236854529995</v>
      </c>
      <c r="W6" s="253">
        <f t="shared" si="4"/>
        <v>3.7569421269277998</v>
      </c>
      <c r="X6" s="253">
        <f t="shared" si="4"/>
        <v>3.7569421269277998</v>
      </c>
      <c r="Y6" s="253">
        <f t="shared" si="4"/>
        <v>4.0040347646778001</v>
      </c>
      <c r="Z6" s="253">
        <f t="shared" si="4"/>
        <v>4.0040347646778001</v>
      </c>
      <c r="AA6" s="253">
        <f t="shared" si="4"/>
        <v>4.0190249882778</v>
      </c>
      <c r="AB6" s="253">
        <f t="shared" si="4"/>
        <v>4.0190249882778</v>
      </c>
      <c r="AC6" s="253">
        <f t="shared" si="4"/>
        <v>4.0190249882778</v>
      </c>
      <c r="AD6" s="253">
        <f t="shared" si="4"/>
        <v>4.0190249882778</v>
      </c>
    </row>
    <row r="7" spans="1:30">
      <c r="B7" s="249" t="s">
        <v>8</v>
      </c>
      <c r="C7" s="254">
        <f>'NAm Capacity Data'!E16</f>
        <v>1E-3</v>
      </c>
      <c r="D7" s="254">
        <f>'NAm Capacity Data'!F16</f>
        <v>0.29819369896523751</v>
      </c>
      <c r="E7" s="254">
        <f>'NAm Capacity Data'!G16</f>
        <v>0.34275619896523751</v>
      </c>
      <c r="F7" s="254">
        <f>'NAm Capacity Data'!H16</f>
        <v>3.0927561989652377</v>
      </c>
      <c r="G7" s="254">
        <f>'NAm Capacity Data'!I16</f>
        <v>3.0927561989652377</v>
      </c>
      <c r="H7" s="254">
        <f>'NAm Capacity Data'!J16</f>
        <v>15.492756198965239</v>
      </c>
      <c r="I7" s="254">
        <f>'NAm Capacity Data'!K16</f>
        <v>22.992756198965239</v>
      </c>
      <c r="J7" s="254">
        <f>'NAm Capacity Data'!L16</f>
        <v>43.742756198965239</v>
      </c>
      <c r="K7" s="254">
        <f>'NAm Capacity Data'!M16</f>
        <v>43.742756198965239</v>
      </c>
      <c r="L7" s="254">
        <f>'NAm Capacity Data'!N16</f>
        <v>43.742756198965239</v>
      </c>
      <c r="M7" s="254">
        <f>'NAm Capacity Data'!O16</f>
        <v>43.742756198965239</v>
      </c>
      <c r="N7" s="254">
        <f>'NAm Capacity Data'!P16</f>
        <v>43.742756198965239</v>
      </c>
      <c r="O7" s="254">
        <f>'NAm Capacity Data'!Q16</f>
        <v>43.742756198965239</v>
      </c>
      <c r="Q7" s="249" t="str">
        <f>A10</f>
        <v>South America</v>
      </c>
      <c r="R7" s="253">
        <f>C11*3.78541/1000</f>
        <v>0</v>
      </c>
      <c r="S7" s="253">
        <f t="shared" ref="S7:AD7" si="5">D11*3.78541/1000</f>
        <v>0</v>
      </c>
      <c r="T7" s="253">
        <f t="shared" si="5"/>
        <v>0.44516421600000006</v>
      </c>
      <c r="U7" s="253">
        <f t="shared" si="5"/>
        <v>0.63254201100000007</v>
      </c>
      <c r="V7" s="253">
        <f t="shared" si="5"/>
        <v>0.97890702600000012</v>
      </c>
      <c r="W7" s="253">
        <f t="shared" si="5"/>
        <v>1.23424050132</v>
      </c>
      <c r="X7" s="253">
        <f t="shared" si="5"/>
        <v>1.32897038657</v>
      </c>
      <c r="Y7" s="253">
        <f t="shared" si="5"/>
        <v>1.5043654662149999</v>
      </c>
      <c r="Z7" s="253">
        <f t="shared" si="5"/>
        <v>1.5043654662149999</v>
      </c>
      <c r="AA7" s="253">
        <f t="shared" si="5"/>
        <v>1.5043654662149999</v>
      </c>
      <c r="AB7" s="253">
        <f t="shared" si="5"/>
        <v>1.5043654662149999</v>
      </c>
      <c r="AC7" s="253">
        <f t="shared" si="5"/>
        <v>1.5043654662149999</v>
      </c>
      <c r="AD7" s="253">
        <f t="shared" si="5"/>
        <v>1.5043654662149999</v>
      </c>
    </row>
    <row r="8" spans="1:30">
      <c r="B8" s="249" t="s">
        <v>9</v>
      </c>
      <c r="C8" s="254">
        <f>'NAm Capacity Data'!E17</f>
        <v>0</v>
      </c>
      <c r="D8" s="254">
        <f>'NAm Capacity Data'!F17</f>
        <v>0</v>
      </c>
      <c r="E8" s="254">
        <f>'NAm Capacity Data'!G17</f>
        <v>5</v>
      </c>
      <c r="F8" s="254">
        <f>'NAm Capacity Data'!H17</f>
        <v>5.05</v>
      </c>
      <c r="G8" s="254">
        <f>'NAm Capacity Data'!I17</f>
        <v>5.05</v>
      </c>
      <c r="H8" s="254">
        <f>'NAm Capacity Data'!J17</f>
        <v>5.05</v>
      </c>
      <c r="I8" s="254">
        <f>'NAm Capacity Data'!K17</f>
        <v>5.05</v>
      </c>
      <c r="J8" s="254">
        <f>'NAm Capacity Data'!L17</f>
        <v>5.05</v>
      </c>
      <c r="K8" s="254">
        <f>'NAm Capacity Data'!M17</f>
        <v>5.05</v>
      </c>
      <c r="L8" s="254">
        <f>'NAm Capacity Data'!N17</f>
        <v>5.05</v>
      </c>
      <c r="M8" s="254">
        <f>'NAm Capacity Data'!O17</f>
        <v>5.05</v>
      </c>
      <c r="N8" s="254">
        <f>'NAm Capacity Data'!P17</f>
        <v>5.05</v>
      </c>
      <c r="O8" s="254">
        <f>'NAm Capacity Data'!Q17</f>
        <v>5.05</v>
      </c>
      <c r="Q8" s="249" t="str">
        <f>A24</f>
        <v>Middle East/Africa</v>
      </c>
      <c r="R8" s="253">
        <f>C25*3.78541/1000</f>
        <v>0</v>
      </c>
      <c r="S8" s="253">
        <f t="shared" ref="S8:AD8" si="6">D25*3.78541/1000</f>
        <v>0</v>
      </c>
      <c r="T8" s="253">
        <f t="shared" si="6"/>
        <v>0</v>
      </c>
      <c r="U8" s="253">
        <f t="shared" si="6"/>
        <v>5.6781150000000002E-2</v>
      </c>
      <c r="V8" s="253">
        <f t="shared" si="6"/>
        <v>0.11096456238749999</v>
      </c>
      <c r="W8" s="253">
        <f t="shared" si="6"/>
        <v>0.16514797477499998</v>
      </c>
      <c r="X8" s="253">
        <f t="shared" si="6"/>
        <v>0.16514797477499998</v>
      </c>
      <c r="Y8" s="253">
        <f t="shared" si="6"/>
        <v>0.16514797477499998</v>
      </c>
      <c r="Z8" s="253">
        <f t="shared" si="6"/>
        <v>0.16514797477499998</v>
      </c>
      <c r="AA8" s="253">
        <f t="shared" si="6"/>
        <v>0.21246559977499999</v>
      </c>
      <c r="AB8" s="253">
        <f t="shared" si="6"/>
        <v>0.21246559977499999</v>
      </c>
      <c r="AC8" s="253">
        <f t="shared" si="6"/>
        <v>0.21246559977499999</v>
      </c>
      <c r="AD8" s="253">
        <f t="shared" si="6"/>
        <v>0.21246559977499999</v>
      </c>
    </row>
    <row r="9" spans="1:30">
      <c r="B9" s="249" t="s">
        <v>10</v>
      </c>
      <c r="C9" s="254">
        <f>'NAm Capacity Data'!E18</f>
        <v>73.5</v>
      </c>
      <c r="D9" s="254">
        <f>'NAm Capacity Data'!F18</f>
        <v>73.819999999999993</v>
      </c>
      <c r="E9" s="254">
        <f>'NAm Capacity Data'!G18</f>
        <v>78.819999999999993</v>
      </c>
      <c r="F9" s="254">
        <f>'NAm Capacity Data'!H18</f>
        <v>78.819999999999993</v>
      </c>
      <c r="G9" s="254">
        <f>'NAm Capacity Data'!I18</f>
        <v>97.194999999999993</v>
      </c>
      <c r="H9" s="254">
        <f>'NAm Capacity Data'!J18</f>
        <v>97.194999999999993</v>
      </c>
      <c r="I9" s="254">
        <f>'NAm Capacity Data'!K18</f>
        <v>97.194999999999993</v>
      </c>
      <c r="J9" s="254">
        <f>'NAm Capacity Data'!L18</f>
        <v>97.194999999999993</v>
      </c>
      <c r="K9" s="254">
        <f>'NAm Capacity Data'!M18</f>
        <v>97.194999999999993</v>
      </c>
      <c r="L9" s="254">
        <f>'NAm Capacity Data'!N18</f>
        <v>97.194999999999993</v>
      </c>
      <c r="M9" s="254">
        <f>'NAm Capacity Data'!O18</f>
        <v>97.194999999999993</v>
      </c>
      <c r="N9" s="254">
        <f>'NAm Capacity Data'!P18</f>
        <v>97.194999999999993</v>
      </c>
      <c r="O9" s="254">
        <f>'NAm Capacity Data'!Q18</f>
        <v>97.194999999999993</v>
      </c>
      <c r="R9" s="253">
        <f>SUM(R4:R8)</f>
        <v>3.9784659100000006</v>
      </c>
      <c r="S9" s="253" t="s">
        <v>1201</v>
      </c>
      <c r="T9" s="253">
        <f t="shared" ref="T9:AB9" si="7">SUM(T4:T8)</f>
        <v>13.401892629681502</v>
      </c>
      <c r="U9" s="253">
        <f t="shared" si="7"/>
        <v>16.400030754673249</v>
      </c>
      <c r="V9" s="253">
        <f t="shared" si="7"/>
        <v>19.730763330167001</v>
      </c>
      <c r="W9" s="253">
        <f t="shared" si="7"/>
        <v>20.544933211939298</v>
      </c>
      <c r="X9" s="253">
        <f t="shared" si="7"/>
        <v>20.774045152189299</v>
      </c>
      <c r="Y9" s="253">
        <f t="shared" si="7"/>
        <v>21.249812515334302</v>
      </c>
      <c r="Z9" s="253">
        <f t="shared" si="7"/>
        <v>21.249812515334302</v>
      </c>
      <c r="AA9" s="253">
        <f t="shared" si="7"/>
        <v>21.312120363934302</v>
      </c>
      <c r="AB9" s="253">
        <f t="shared" si="7"/>
        <v>21.312120363934302</v>
      </c>
    </row>
    <row r="10" spans="1:30" ht="12" thickBot="1">
      <c r="A10" s="397" t="s">
        <v>1202</v>
      </c>
      <c r="B10" s="397"/>
      <c r="C10" s="250">
        <f>SUM(C11:C16)</f>
        <v>0</v>
      </c>
      <c r="D10" s="250">
        <f t="shared" ref="D10:O10" si="8">SUM(D11:D16)</f>
        <v>0</v>
      </c>
      <c r="E10" s="250">
        <f t="shared" si="8"/>
        <v>117.65400000000001</v>
      </c>
      <c r="F10" s="250">
        <f t="shared" si="8"/>
        <v>167.15400000000002</v>
      </c>
      <c r="G10" s="250">
        <f t="shared" si="8"/>
        <v>258.654</v>
      </c>
      <c r="H10" s="250">
        <f t="shared" si="8"/>
        <v>330.24509999999998</v>
      </c>
      <c r="I10" s="250">
        <f t="shared" si="8"/>
        <v>355.27009999999996</v>
      </c>
      <c r="J10" s="250">
        <f t="shared" si="8"/>
        <v>479.67959999999994</v>
      </c>
      <c r="K10" s="250">
        <f t="shared" si="8"/>
        <v>480.34757499999995</v>
      </c>
      <c r="L10" s="250">
        <f t="shared" si="8"/>
        <v>480.34757499999995</v>
      </c>
      <c r="M10" s="250">
        <f t="shared" si="8"/>
        <v>480.34757499999995</v>
      </c>
      <c r="N10" s="250">
        <f t="shared" si="8"/>
        <v>480.34757499999995</v>
      </c>
      <c r="O10" s="250">
        <f t="shared" si="8"/>
        <v>480.34757499999995</v>
      </c>
    </row>
    <row r="11" spans="1:30">
      <c r="A11" s="251"/>
      <c r="B11" s="251" t="s">
        <v>5</v>
      </c>
      <c r="C11" s="252">
        <f>'SAm Capacity Data'!E13</f>
        <v>0</v>
      </c>
      <c r="D11" s="252">
        <f>'SAm Capacity Data'!F13</f>
        <v>0</v>
      </c>
      <c r="E11" s="252">
        <f>'SAm Capacity Data'!G13</f>
        <v>117.60000000000001</v>
      </c>
      <c r="F11" s="252">
        <f>'SAm Capacity Data'!H13</f>
        <v>167.10000000000002</v>
      </c>
      <c r="G11" s="252">
        <f>'SAm Capacity Data'!I13</f>
        <v>258.60000000000002</v>
      </c>
      <c r="H11" s="252">
        <f>'SAm Capacity Data'!J13</f>
        <v>326.05200000000002</v>
      </c>
      <c r="I11" s="252">
        <f>'SAm Capacity Data'!K13</f>
        <v>351.077</v>
      </c>
      <c r="J11" s="252">
        <f>'SAm Capacity Data'!L13</f>
        <v>397.41149999999999</v>
      </c>
      <c r="K11" s="252">
        <f>'SAm Capacity Data'!M13</f>
        <v>397.41149999999999</v>
      </c>
      <c r="L11" s="252">
        <f>'SAm Capacity Data'!N13</f>
        <v>397.41149999999999</v>
      </c>
      <c r="M11" s="252">
        <f>'SAm Capacity Data'!O13</f>
        <v>397.41149999999999</v>
      </c>
      <c r="N11" s="252">
        <f>'SAm Capacity Data'!P13</f>
        <v>397.41149999999999</v>
      </c>
      <c r="O11" s="252">
        <f>'SAm Capacity Data'!Q13</f>
        <v>397.41149999999999</v>
      </c>
    </row>
    <row r="12" spans="1:30">
      <c r="B12" s="249" t="s">
        <v>6</v>
      </c>
      <c r="C12" s="254">
        <f>'SAm Capacity Data'!E14</f>
        <v>0</v>
      </c>
      <c r="D12" s="254">
        <f>'SAm Capacity Data'!F14</f>
        <v>0</v>
      </c>
      <c r="E12" s="254">
        <f>'SAm Capacity Data'!G14</f>
        <v>0</v>
      </c>
      <c r="F12" s="254">
        <f>'SAm Capacity Data'!H14</f>
        <v>0</v>
      </c>
      <c r="G12" s="254">
        <f>'SAm Capacity Data'!I14</f>
        <v>0</v>
      </c>
      <c r="H12" s="254">
        <f>'SAm Capacity Data'!J14</f>
        <v>0</v>
      </c>
      <c r="I12" s="254">
        <f>'SAm Capacity Data'!K14</f>
        <v>0</v>
      </c>
      <c r="J12" s="254">
        <f>'SAm Capacity Data'!L14</f>
        <v>15.614999999999998</v>
      </c>
      <c r="K12" s="254">
        <f>'SAm Capacity Data'!M14</f>
        <v>15.614999999999998</v>
      </c>
      <c r="L12" s="254">
        <f>'SAm Capacity Data'!N14</f>
        <v>15.614999999999998</v>
      </c>
      <c r="M12" s="254">
        <f>'SAm Capacity Data'!O14</f>
        <v>15.614999999999998</v>
      </c>
      <c r="N12" s="254">
        <f>'SAm Capacity Data'!P14</f>
        <v>15.614999999999998</v>
      </c>
      <c r="O12" s="254">
        <f>'SAm Capacity Data'!Q14</f>
        <v>15.614999999999998</v>
      </c>
    </row>
    <row r="13" spans="1:30">
      <c r="B13" s="249" t="s">
        <v>7</v>
      </c>
      <c r="C13" s="254">
        <f>'SAm Capacity Data'!E15</f>
        <v>0</v>
      </c>
      <c r="D13" s="254">
        <f>'SAm Capacity Data'!F15</f>
        <v>0</v>
      </c>
      <c r="E13" s="254">
        <f>'SAm Capacity Data'!G15</f>
        <v>5.3999999999999992E-2</v>
      </c>
      <c r="F13" s="254">
        <f>'SAm Capacity Data'!H15</f>
        <v>5.3999999999999992E-2</v>
      </c>
      <c r="G13" s="254">
        <f>'SAm Capacity Data'!I15</f>
        <v>5.3999999999999992E-2</v>
      </c>
      <c r="H13" s="254">
        <f>'SAm Capacity Data'!J15</f>
        <v>5.3999999999999992E-2</v>
      </c>
      <c r="I13" s="254">
        <f>'SAm Capacity Data'!K15</f>
        <v>5.3999999999999992E-2</v>
      </c>
      <c r="J13" s="254">
        <f>'SAm Capacity Data'!L15</f>
        <v>5.3999999999999992E-2</v>
      </c>
      <c r="K13" s="254">
        <f>'SAm Capacity Data'!M15</f>
        <v>5.3999999999999992E-2</v>
      </c>
      <c r="L13" s="254">
        <f>'SAm Capacity Data'!N15</f>
        <v>5.3999999999999992E-2</v>
      </c>
      <c r="M13" s="254">
        <f>'SAm Capacity Data'!O15</f>
        <v>5.3999999999999992E-2</v>
      </c>
      <c r="N13" s="254">
        <f>'SAm Capacity Data'!P15</f>
        <v>5.3999999999999992E-2</v>
      </c>
      <c r="O13" s="254">
        <f>'SAm Capacity Data'!Q15</f>
        <v>5.3999999999999992E-2</v>
      </c>
    </row>
    <row r="14" spans="1:30">
      <c r="B14" s="249" t="s">
        <v>8</v>
      </c>
      <c r="C14" s="254">
        <f>'SAm Capacity Data'!E16</f>
        <v>0</v>
      </c>
      <c r="D14" s="254">
        <f>'SAm Capacity Data'!F16</f>
        <v>0</v>
      </c>
      <c r="E14" s="254">
        <f>'SAm Capacity Data'!G16</f>
        <v>0</v>
      </c>
      <c r="F14" s="254">
        <f>'SAm Capacity Data'!H16</f>
        <v>0</v>
      </c>
      <c r="G14" s="254">
        <f>'SAm Capacity Data'!I16</f>
        <v>0</v>
      </c>
      <c r="H14" s="254">
        <f>'SAm Capacity Data'!J16</f>
        <v>0</v>
      </c>
      <c r="I14" s="254">
        <f>'SAm Capacity Data'!K16</f>
        <v>0</v>
      </c>
      <c r="J14" s="254">
        <f>'SAm Capacity Data'!L16</f>
        <v>62.459999999999994</v>
      </c>
      <c r="K14" s="254">
        <f>'SAm Capacity Data'!M16</f>
        <v>63.127974999999992</v>
      </c>
      <c r="L14" s="254">
        <f>'SAm Capacity Data'!N16</f>
        <v>63.127974999999992</v>
      </c>
      <c r="M14" s="254">
        <f>'SAm Capacity Data'!O16</f>
        <v>63.127974999999992</v>
      </c>
      <c r="N14" s="254">
        <f>'SAm Capacity Data'!P16</f>
        <v>63.127974999999992</v>
      </c>
      <c r="O14" s="254">
        <f>'SAm Capacity Data'!Q16</f>
        <v>63.127974999999992</v>
      </c>
    </row>
    <row r="15" spans="1:30">
      <c r="B15" s="249" t="s">
        <v>9</v>
      </c>
      <c r="C15" s="254">
        <f>'SAm Capacity Data'!E17</f>
        <v>0</v>
      </c>
      <c r="D15" s="254">
        <f>'SAm Capacity Data'!F17</f>
        <v>0</v>
      </c>
      <c r="E15" s="254">
        <f>'SAm Capacity Data'!G17</f>
        <v>0</v>
      </c>
      <c r="F15" s="254">
        <f>'SAm Capacity Data'!H17</f>
        <v>0</v>
      </c>
      <c r="G15" s="254">
        <f>'SAm Capacity Data'!I17</f>
        <v>0</v>
      </c>
      <c r="H15" s="254">
        <f>'SAm Capacity Data'!J17</f>
        <v>0</v>
      </c>
      <c r="I15" s="254">
        <f>'SAm Capacity Data'!K17</f>
        <v>0</v>
      </c>
      <c r="J15" s="254">
        <f>'SAm Capacity Data'!L17</f>
        <v>0</v>
      </c>
      <c r="K15" s="254">
        <f>'SAm Capacity Data'!M17</f>
        <v>0</v>
      </c>
      <c r="L15" s="254">
        <f>'SAm Capacity Data'!N17</f>
        <v>0</v>
      </c>
      <c r="M15" s="254">
        <f>'SAm Capacity Data'!O17</f>
        <v>0</v>
      </c>
      <c r="N15" s="254">
        <f>'SAm Capacity Data'!P17</f>
        <v>0</v>
      </c>
      <c r="O15" s="254">
        <f>'SAm Capacity Data'!Q17</f>
        <v>0</v>
      </c>
    </row>
    <row r="16" spans="1:30">
      <c r="B16" s="249" t="s">
        <v>10</v>
      </c>
      <c r="C16" s="254">
        <f>'SAm Capacity Data'!E18</f>
        <v>0</v>
      </c>
      <c r="D16" s="254">
        <f>'SAm Capacity Data'!F18</f>
        <v>0</v>
      </c>
      <c r="E16" s="254">
        <f>'SAm Capacity Data'!G18</f>
        <v>0</v>
      </c>
      <c r="F16" s="254">
        <f>'SAm Capacity Data'!H18</f>
        <v>0</v>
      </c>
      <c r="G16" s="254">
        <f>'SAm Capacity Data'!I18</f>
        <v>0</v>
      </c>
      <c r="H16" s="254">
        <f>'SAm Capacity Data'!J18</f>
        <v>4.1391</v>
      </c>
      <c r="I16" s="254">
        <f>'SAm Capacity Data'!K18</f>
        <v>4.1391</v>
      </c>
      <c r="J16" s="254">
        <f>'SAm Capacity Data'!L18</f>
        <v>4.1391</v>
      </c>
      <c r="K16" s="254">
        <f>'SAm Capacity Data'!M18</f>
        <v>4.1391</v>
      </c>
      <c r="L16" s="254">
        <f>'SAm Capacity Data'!N18</f>
        <v>4.1391</v>
      </c>
      <c r="M16" s="254">
        <f>'SAm Capacity Data'!O18</f>
        <v>4.1391</v>
      </c>
      <c r="N16" s="254">
        <f>'SAm Capacity Data'!P18</f>
        <v>4.1391</v>
      </c>
      <c r="O16" s="254">
        <f>'SAm Capacity Data'!Q18</f>
        <v>4.1391</v>
      </c>
    </row>
    <row r="17" spans="1:15" ht="12" thickBot="1">
      <c r="A17" s="397" t="s">
        <v>1203</v>
      </c>
      <c r="B17" s="397"/>
      <c r="C17" s="250">
        <f>SUM(C18:C23)</f>
        <v>455.34797500000002</v>
      </c>
      <c r="D17" s="250">
        <f t="shared" ref="D17:O17" si="9">SUM(D18:D23)</f>
        <v>553.12389400000006</v>
      </c>
      <c r="E17" s="250">
        <f t="shared" si="9"/>
        <v>1414.6147190000002</v>
      </c>
      <c r="F17" s="250">
        <f t="shared" si="9"/>
        <v>1644.4849440000003</v>
      </c>
      <c r="G17" s="250">
        <f t="shared" si="9"/>
        <v>1811.4520690000002</v>
      </c>
      <c r="H17" s="250">
        <f t="shared" si="9"/>
        <v>2089.6570190000002</v>
      </c>
      <c r="I17" s="250">
        <f t="shared" si="9"/>
        <v>2136.8393190000002</v>
      </c>
      <c r="J17" s="250">
        <f t="shared" si="9"/>
        <v>2204.372719</v>
      </c>
      <c r="K17" s="250">
        <f t="shared" si="9"/>
        <v>2309.7224690000003</v>
      </c>
      <c r="L17" s="250">
        <f t="shared" si="9"/>
        <v>2470.1069690000004</v>
      </c>
      <c r="M17" s="250">
        <f t="shared" si="9"/>
        <v>2515.5369690000002</v>
      </c>
      <c r="N17" s="250">
        <f t="shared" si="9"/>
        <v>2515.5899890000001</v>
      </c>
      <c r="O17" s="250">
        <f t="shared" si="9"/>
        <v>2515.6104890000001</v>
      </c>
    </row>
    <row r="18" spans="1:15">
      <c r="A18" s="251"/>
      <c r="B18" s="251" t="s">
        <v>5</v>
      </c>
      <c r="C18" s="252">
        <f>'Europe Capacity Data'!E13</f>
        <v>166.65</v>
      </c>
      <c r="D18" s="252">
        <f>'Europe Capacity Data'!F13</f>
        <v>255.94150000000002</v>
      </c>
      <c r="E18" s="252">
        <f>'Europe Capacity Data'!G13</f>
        <v>990.28942500000005</v>
      </c>
      <c r="F18" s="252">
        <f>'Europe Capacity Data'!H13</f>
        <v>1119.5977250000001</v>
      </c>
      <c r="G18" s="252">
        <f>'Europe Capacity Data'!I13</f>
        <v>1214.79585</v>
      </c>
      <c r="H18" s="252">
        <f>'Europe Capacity Data'!J13</f>
        <v>1265.96985</v>
      </c>
      <c r="I18" s="252">
        <f>'Europe Capacity Data'!K13</f>
        <v>1265.96985</v>
      </c>
      <c r="J18" s="252">
        <f>'Europe Capacity Data'!L13</f>
        <v>1275.04485</v>
      </c>
      <c r="K18" s="252">
        <f>'Europe Capacity Data'!M13</f>
        <v>1275.04485</v>
      </c>
      <c r="L18" s="252">
        <f>'Europe Capacity Data'!N13</f>
        <v>1275.04485</v>
      </c>
      <c r="M18" s="252">
        <f>'Europe Capacity Data'!O13</f>
        <v>1275.04485</v>
      </c>
      <c r="N18" s="252">
        <f>'Europe Capacity Data'!P13</f>
        <v>1275.04485</v>
      </c>
      <c r="O18" s="252">
        <f>'Europe Capacity Data'!Q13</f>
        <v>1275.04485</v>
      </c>
    </row>
    <row r="19" spans="1:15">
      <c r="B19" s="249" t="s">
        <v>6</v>
      </c>
      <c r="C19" s="254">
        <f>'Europe Capacity Data'!E14</f>
        <v>0</v>
      </c>
      <c r="D19" s="254">
        <f>'Europe Capacity Data'!F14</f>
        <v>0</v>
      </c>
      <c r="E19" s="254">
        <f>'Europe Capacity Data'!G14</f>
        <v>72.655000000000001</v>
      </c>
      <c r="F19" s="254">
        <f>'Europe Capacity Data'!H14</f>
        <v>104.845</v>
      </c>
      <c r="G19" s="254">
        <f>'Europe Capacity Data'!I14</f>
        <v>107.85</v>
      </c>
      <c r="H19" s="254">
        <f>'Europe Capacity Data'!J14</f>
        <v>159.50444999999999</v>
      </c>
      <c r="I19" s="254">
        <f>'Europe Capacity Data'!K14</f>
        <v>165.31684999999999</v>
      </c>
      <c r="J19" s="254">
        <f>'Europe Capacity Data'!L14</f>
        <v>170.81684999999999</v>
      </c>
      <c r="K19" s="254">
        <f>'Europe Capacity Data'!M14</f>
        <v>170.81684999999999</v>
      </c>
      <c r="L19" s="254">
        <f>'Europe Capacity Data'!N14</f>
        <v>170.81684999999999</v>
      </c>
      <c r="M19" s="254">
        <f>'Europe Capacity Data'!O14</f>
        <v>170.81684999999999</v>
      </c>
      <c r="N19" s="254">
        <f>'Europe Capacity Data'!P14</f>
        <v>170.81684999999999</v>
      </c>
      <c r="O19" s="254">
        <f>'Europe Capacity Data'!Q14</f>
        <v>170.81684999999999</v>
      </c>
    </row>
    <row r="20" spans="1:15">
      <c r="B20" s="249" t="s">
        <v>7</v>
      </c>
      <c r="C20" s="254">
        <f>'Europe Capacity Data'!E15</f>
        <v>0</v>
      </c>
      <c r="D20" s="254">
        <f>'Europe Capacity Data'!F15</f>
        <v>0.25410000000000005</v>
      </c>
      <c r="E20" s="254">
        <f>'Europe Capacity Data'!G15</f>
        <v>41.235500000000002</v>
      </c>
      <c r="F20" s="254">
        <f>'Europe Capacity Data'!H15</f>
        <v>61.189500000000002</v>
      </c>
      <c r="G20" s="254">
        <f>'Europe Capacity Data'!I15</f>
        <v>84.953500000000005</v>
      </c>
      <c r="H20" s="254">
        <f>'Europe Capacity Data'!J15</f>
        <v>139.07100000000003</v>
      </c>
      <c r="I20" s="254">
        <f>'Europe Capacity Data'!K15</f>
        <v>139.07100000000003</v>
      </c>
      <c r="J20" s="254">
        <f>'Europe Capacity Data'!L15</f>
        <v>152.82100000000003</v>
      </c>
      <c r="K20" s="254">
        <f>'Europe Capacity Data'!M15</f>
        <v>152.82100000000003</v>
      </c>
      <c r="L20" s="254">
        <f>'Europe Capacity Data'!N15</f>
        <v>161.25250000000003</v>
      </c>
      <c r="M20" s="254">
        <f>'Europe Capacity Data'!O15</f>
        <v>161.25250000000003</v>
      </c>
      <c r="N20" s="254">
        <f>'Europe Capacity Data'!P15</f>
        <v>161.25250000000003</v>
      </c>
      <c r="O20" s="254">
        <f>'Europe Capacity Data'!Q15</f>
        <v>161.25250000000003</v>
      </c>
    </row>
    <row r="21" spans="1:15">
      <c r="B21" s="249" t="s">
        <v>8</v>
      </c>
      <c r="C21" s="254">
        <f>'Europe Capacity Data'!E16</f>
        <v>7.2599999999999998E-2</v>
      </c>
      <c r="D21" s="254">
        <f>'Europe Capacity Data'!F16</f>
        <v>0.63791900000000001</v>
      </c>
      <c r="E21" s="254">
        <f>'Europe Capacity Data'!G16</f>
        <v>1.479419</v>
      </c>
      <c r="F21" s="254">
        <f>'Europe Capacity Data'!H16</f>
        <v>45.445368999999999</v>
      </c>
      <c r="G21" s="254">
        <f>'Europe Capacity Data'!I16</f>
        <v>90.445368999999999</v>
      </c>
      <c r="H21" s="254">
        <f>'Europe Capacity Data'!J16</f>
        <v>182.82936899999999</v>
      </c>
      <c r="I21" s="254">
        <f>'Europe Capacity Data'!K16</f>
        <v>196.97426899999999</v>
      </c>
      <c r="J21" s="254">
        <f>'Europe Capacity Data'!L16</f>
        <v>236.18266899999998</v>
      </c>
      <c r="K21" s="254">
        <f>'Europe Capacity Data'!M16</f>
        <v>341.532419</v>
      </c>
      <c r="L21" s="254">
        <f>'Europe Capacity Data'!N16</f>
        <v>475.335419</v>
      </c>
      <c r="M21" s="254">
        <f>'Europe Capacity Data'!O16</f>
        <v>520.76541899999995</v>
      </c>
      <c r="N21" s="254">
        <f>'Europe Capacity Data'!P16</f>
        <v>520.8184389999999</v>
      </c>
      <c r="O21" s="254">
        <f>'Europe Capacity Data'!Q16</f>
        <v>520.83893899999987</v>
      </c>
    </row>
    <row r="22" spans="1:15">
      <c r="B22" s="249" t="s">
        <v>9</v>
      </c>
      <c r="C22" s="254">
        <f>'Europe Capacity Data'!E17</f>
        <v>0</v>
      </c>
      <c r="D22" s="254">
        <f>'Europe Capacity Data'!F17</f>
        <v>0</v>
      </c>
      <c r="E22" s="254">
        <f>'Europe Capacity Data'!G17</f>
        <v>0</v>
      </c>
      <c r="F22" s="254">
        <f>'Europe Capacity Data'!H17</f>
        <v>0.23622500000000002</v>
      </c>
      <c r="G22" s="254">
        <f>'Europe Capacity Data'!I17</f>
        <v>0.23622500000000002</v>
      </c>
      <c r="H22" s="254">
        <f>'Europe Capacity Data'!J17</f>
        <v>0.23622500000000002</v>
      </c>
      <c r="I22" s="254">
        <f>'Europe Capacity Data'!K17</f>
        <v>0.23622500000000002</v>
      </c>
      <c r="J22" s="254">
        <f>'Europe Capacity Data'!L17</f>
        <v>0.23622500000000002</v>
      </c>
      <c r="K22" s="254">
        <f>'Europe Capacity Data'!M17</f>
        <v>0.23622500000000002</v>
      </c>
      <c r="L22" s="254">
        <f>'Europe Capacity Data'!N17</f>
        <v>18.386225000000003</v>
      </c>
      <c r="M22" s="254">
        <f>'Europe Capacity Data'!O17</f>
        <v>18.386225000000003</v>
      </c>
      <c r="N22" s="254">
        <f>'Europe Capacity Data'!P17</f>
        <v>18.386225000000003</v>
      </c>
      <c r="O22" s="254">
        <f>'Europe Capacity Data'!Q17</f>
        <v>18.386225000000003</v>
      </c>
    </row>
    <row r="23" spans="1:15">
      <c r="B23" s="249" t="s">
        <v>10</v>
      </c>
      <c r="C23" s="254">
        <f>'Europe Capacity Data'!E18</f>
        <v>288.62537500000002</v>
      </c>
      <c r="D23" s="254">
        <f>'Europe Capacity Data'!F18</f>
        <v>296.29037500000004</v>
      </c>
      <c r="E23" s="254">
        <f>'Europe Capacity Data'!G18</f>
        <v>308.95537500000006</v>
      </c>
      <c r="F23" s="254">
        <f>'Europe Capacity Data'!H18</f>
        <v>313.17112500000007</v>
      </c>
      <c r="G23" s="254">
        <f>'Europe Capacity Data'!I18</f>
        <v>313.17112500000007</v>
      </c>
      <c r="H23" s="254">
        <f>'Europe Capacity Data'!J18</f>
        <v>342.04612500000007</v>
      </c>
      <c r="I23" s="254">
        <f>'Europe Capacity Data'!K18</f>
        <v>369.2711250000001</v>
      </c>
      <c r="J23" s="254">
        <f>'Europe Capacity Data'!L18</f>
        <v>369.2711250000001</v>
      </c>
      <c r="K23" s="254">
        <f>'Europe Capacity Data'!M18</f>
        <v>369.2711250000001</v>
      </c>
      <c r="L23" s="254">
        <f>'Europe Capacity Data'!N18</f>
        <v>369.2711250000001</v>
      </c>
      <c r="M23" s="254">
        <f>'Europe Capacity Data'!O18</f>
        <v>369.2711250000001</v>
      </c>
      <c r="N23" s="254">
        <f>'Europe Capacity Data'!P18</f>
        <v>369.2711250000001</v>
      </c>
      <c r="O23" s="254">
        <f>'Europe Capacity Data'!Q18</f>
        <v>369.2711250000001</v>
      </c>
    </row>
    <row r="24" spans="1:15" ht="12" thickBot="1">
      <c r="A24" s="397" t="s">
        <v>1204</v>
      </c>
      <c r="B24" s="397"/>
      <c r="C24" s="250">
        <f>SUM(C25:C30)</f>
        <v>11</v>
      </c>
      <c r="D24" s="250">
        <f t="shared" ref="D24:O24" si="10">SUM(D25:D30)</f>
        <v>11</v>
      </c>
      <c r="E24" s="250">
        <f t="shared" si="10"/>
        <v>11</v>
      </c>
      <c r="F24" s="250">
        <f t="shared" si="10"/>
        <v>118</v>
      </c>
      <c r="G24" s="250">
        <f t="shared" si="10"/>
        <v>132.31375</v>
      </c>
      <c r="H24" s="250">
        <f t="shared" si="10"/>
        <v>175.255</v>
      </c>
      <c r="I24" s="250">
        <f t="shared" si="10"/>
        <v>203.85499999999999</v>
      </c>
      <c r="J24" s="250">
        <f t="shared" si="10"/>
        <v>209.85499999999999</v>
      </c>
      <c r="K24" s="250">
        <f t="shared" si="10"/>
        <v>209.85499999999999</v>
      </c>
      <c r="L24" s="250">
        <f t="shared" si="10"/>
        <v>235.36749999999998</v>
      </c>
      <c r="M24" s="250">
        <f t="shared" si="10"/>
        <v>235.36749999999998</v>
      </c>
      <c r="N24" s="250">
        <f t="shared" si="10"/>
        <v>235.36749999999998</v>
      </c>
      <c r="O24" s="250">
        <f t="shared" si="10"/>
        <v>235.36749999999998</v>
      </c>
    </row>
    <row r="25" spans="1:15">
      <c r="A25" s="251"/>
      <c r="B25" s="251" t="s">
        <v>5</v>
      </c>
      <c r="C25" s="252">
        <f>'MEA Capacity Data'!E13</f>
        <v>0</v>
      </c>
      <c r="D25" s="252">
        <f>'MEA Capacity Data'!F13</f>
        <v>0</v>
      </c>
      <c r="E25" s="252">
        <f>'MEA Capacity Data'!G13</f>
        <v>0</v>
      </c>
      <c r="F25" s="252">
        <f>'MEA Capacity Data'!H13</f>
        <v>15</v>
      </c>
      <c r="G25" s="252">
        <f>'MEA Capacity Data'!I13</f>
        <v>29.313749999999999</v>
      </c>
      <c r="H25" s="252">
        <f>'MEA Capacity Data'!J13</f>
        <v>43.627499999999998</v>
      </c>
      <c r="I25" s="252">
        <f>'MEA Capacity Data'!K13</f>
        <v>43.627499999999998</v>
      </c>
      <c r="J25" s="252">
        <f>'MEA Capacity Data'!L13</f>
        <v>43.627499999999998</v>
      </c>
      <c r="K25" s="252">
        <f>'MEA Capacity Data'!M13</f>
        <v>43.627499999999998</v>
      </c>
      <c r="L25" s="252">
        <f>'MEA Capacity Data'!N13</f>
        <v>56.127499999999998</v>
      </c>
      <c r="M25" s="252">
        <f>'MEA Capacity Data'!O13</f>
        <v>56.127499999999998</v>
      </c>
      <c r="N25" s="252">
        <f>'MEA Capacity Data'!P13</f>
        <v>56.127499999999998</v>
      </c>
      <c r="O25" s="252">
        <f>'MEA Capacity Data'!Q13</f>
        <v>56.127499999999998</v>
      </c>
    </row>
    <row r="26" spans="1:15">
      <c r="B26" s="249" t="s">
        <v>6</v>
      </c>
      <c r="C26" s="254">
        <f>'MEA Capacity Data'!E14</f>
        <v>0</v>
      </c>
      <c r="D26" s="254">
        <f>'MEA Capacity Data'!F14</f>
        <v>0</v>
      </c>
      <c r="E26" s="254">
        <f>'MEA Capacity Data'!G14</f>
        <v>0</v>
      </c>
      <c r="F26" s="254">
        <f>'MEA Capacity Data'!H14</f>
        <v>0</v>
      </c>
      <c r="G26" s="254">
        <f>'MEA Capacity Data'!I14</f>
        <v>0</v>
      </c>
      <c r="H26" s="254">
        <f>'MEA Capacity Data'!J14</f>
        <v>28.627500000000001</v>
      </c>
      <c r="I26" s="254">
        <f>'MEA Capacity Data'!K14</f>
        <v>28.627500000000001</v>
      </c>
      <c r="J26" s="254">
        <f>'MEA Capacity Data'!L14</f>
        <v>28.627500000000001</v>
      </c>
      <c r="K26" s="254">
        <f>'MEA Capacity Data'!M14</f>
        <v>28.627500000000001</v>
      </c>
      <c r="L26" s="254">
        <f>'MEA Capacity Data'!N14</f>
        <v>41.64</v>
      </c>
      <c r="M26" s="254">
        <f>'MEA Capacity Data'!O14</f>
        <v>41.64</v>
      </c>
      <c r="N26" s="254">
        <f>'MEA Capacity Data'!P14</f>
        <v>41.64</v>
      </c>
      <c r="O26" s="254">
        <f>'MEA Capacity Data'!Q14</f>
        <v>41.64</v>
      </c>
    </row>
    <row r="27" spans="1:15">
      <c r="B27" s="249" t="s">
        <v>7</v>
      </c>
      <c r="C27" s="254">
        <f>'MEA Capacity Data'!E15</f>
        <v>0</v>
      </c>
      <c r="D27" s="254">
        <f>'MEA Capacity Data'!F15</f>
        <v>0</v>
      </c>
      <c r="E27" s="254">
        <f>'MEA Capacity Data'!G15</f>
        <v>0</v>
      </c>
      <c r="F27" s="254">
        <f>'MEA Capacity Data'!H15</f>
        <v>77</v>
      </c>
      <c r="G27" s="254">
        <f>'MEA Capacity Data'!I15</f>
        <v>77</v>
      </c>
      <c r="H27" s="254">
        <f>'MEA Capacity Data'!J15</f>
        <v>77</v>
      </c>
      <c r="I27" s="254">
        <f>'MEA Capacity Data'!K15</f>
        <v>77</v>
      </c>
      <c r="J27" s="254">
        <f>'MEA Capacity Data'!L15</f>
        <v>83</v>
      </c>
      <c r="K27" s="254">
        <f>'MEA Capacity Data'!M15</f>
        <v>83</v>
      </c>
      <c r="L27" s="254">
        <f>'MEA Capacity Data'!N15</f>
        <v>83</v>
      </c>
      <c r="M27" s="254">
        <f>'MEA Capacity Data'!O15</f>
        <v>83</v>
      </c>
      <c r="N27" s="254">
        <f>'MEA Capacity Data'!P15</f>
        <v>83</v>
      </c>
      <c r="O27" s="254">
        <f>'MEA Capacity Data'!Q15</f>
        <v>83</v>
      </c>
    </row>
    <row r="28" spans="1:15">
      <c r="B28" s="249" t="s">
        <v>8</v>
      </c>
      <c r="C28" s="254">
        <f>'MEA Capacity Data'!E16</f>
        <v>0</v>
      </c>
      <c r="D28" s="254">
        <f>'MEA Capacity Data'!F16</f>
        <v>0</v>
      </c>
      <c r="E28" s="254">
        <f>'MEA Capacity Data'!G16</f>
        <v>0</v>
      </c>
      <c r="F28" s="254">
        <f>'MEA Capacity Data'!H16</f>
        <v>0</v>
      </c>
      <c r="G28" s="254">
        <f>'MEA Capacity Data'!I16</f>
        <v>0</v>
      </c>
      <c r="H28" s="254">
        <f>'MEA Capacity Data'!J16</f>
        <v>0</v>
      </c>
      <c r="I28" s="254">
        <f>'MEA Capacity Data'!K16</f>
        <v>0</v>
      </c>
      <c r="J28" s="254">
        <f>'MEA Capacity Data'!L16</f>
        <v>0</v>
      </c>
      <c r="K28" s="254">
        <f>'MEA Capacity Data'!M16</f>
        <v>0</v>
      </c>
      <c r="L28" s="254">
        <f>'MEA Capacity Data'!N16</f>
        <v>0</v>
      </c>
      <c r="M28" s="254">
        <f>'MEA Capacity Data'!O16</f>
        <v>0</v>
      </c>
      <c r="N28" s="254">
        <f>'MEA Capacity Data'!P16</f>
        <v>0</v>
      </c>
      <c r="O28" s="254">
        <f>'MEA Capacity Data'!Q16</f>
        <v>0</v>
      </c>
    </row>
    <row r="29" spans="1:15">
      <c r="B29" s="249" t="s">
        <v>9</v>
      </c>
      <c r="C29" s="254">
        <f>'MEA Capacity Data'!E17</f>
        <v>0</v>
      </c>
      <c r="D29" s="254">
        <f>'MEA Capacity Data'!F17</f>
        <v>0</v>
      </c>
      <c r="E29" s="254">
        <f>'MEA Capacity Data'!G17</f>
        <v>0</v>
      </c>
      <c r="F29" s="254">
        <f>'MEA Capacity Data'!H17</f>
        <v>0</v>
      </c>
      <c r="G29" s="254">
        <f>'MEA Capacity Data'!I17</f>
        <v>0</v>
      </c>
      <c r="H29" s="254">
        <f>'MEA Capacity Data'!J17</f>
        <v>0</v>
      </c>
      <c r="I29" s="254">
        <f>'MEA Capacity Data'!K17</f>
        <v>0</v>
      </c>
      <c r="J29" s="254">
        <f>'MEA Capacity Data'!L17</f>
        <v>0</v>
      </c>
      <c r="K29" s="254">
        <f>'MEA Capacity Data'!M17</f>
        <v>0</v>
      </c>
      <c r="L29" s="254">
        <f>'MEA Capacity Data'!N17</f>
        <v>0</v>
      </c>
      <c r="M29" s="254">
        <f>'MEA Capacity Data'!O17</f>
        <v>0</v>
      </c>
      <c r="N29" s="254">
        <f>'MEA Capacity Data'!P17</f>
        <v>0</v>
      </c>
      <c r="O29" s="254">
        <f>'MEA Capacity Data'!Q17</f>
        <v>0</v>
      </c>
    </row>
    <row r="30" spans="1:15">
      <c r="B30" s="249" t="s">
        <v>10</v>
      </c>
      <c r="C30" s="254">
        <f>'MEA Capacity Data'!E18</f>
        <v>11</v>
      </c>
      <c r="D30" s="254">
        <f>'MEA Capacity Data'!F18</f>
        <v>11</v>
      </c>
      <c r="E30" s="254">
        <f>'MEA Capacity Data'!G18</f>
        <v>11</v>
      </c>
      <c r="F30" s="254">
        <f>'MEA Capacity Data'!H18</f>
        <v>26</v>
      </c>
      <c r="G30" s="254">
        <f>'MEA Capacity Data'!I18</f>
        <v>26</v>
      </c>
      <c r="H30" s="254">
        <f>'MEA Capacity Data'!J18</f>
        <v>26</v>
      </c>
      <c r="I30" s="254">
        <f>'MEA Capacity Data'!K18</f>
        <v>54.6</v>
      </c>
      <c r="J30" s="254">
        <f>'MEA Capacity Data'!L18</f>
        <v>54.6</v>
      </c>
      <c r="K30" s="254">
        <f>'MEA Capacity Data'!M18</f>
        <v>54.6</v>
      </c>
      <c r="L30" s="254">
        <f>'MEA Capacity Data'!N18</f>
        <v>54.6</v>
      </c>
      <c r="M30" s="254">
        <f>'MEA Capacity Data'!O18</f>
        <v>54.6</v>
      </c>
      <c r="N30" s="254">
        <f>'MEA Capacity Data'!P18</f>
        <v>54.6</v>
      </c>
      <c r="O30" s="254">
        <f>'MEA Capacity Data'!Q18</f>
        <v>54.6</v>
      </c>
    </row>
    <row r="31" spans="1:15" ht="12" thickBot="1">
      <c r="A31" s="397" t="s">
        <v>1205</v>
      </c>
      <c r="B31" s="397"/>
      <c r="C31" s="250">
        <f>SUM(C32:C37)</f>
        <v>408.53910000000002</v>
      </c>
      <c r="D31" s="250">
        <f t="shared" ref="D31:O31" si="11">SUM(D32:D37)</f>
        <v>547.22284999999999</v>
      </c>
      <c r="E31" s="250">
        <f t="shared" si="11"/>
        <v>785.07539999999995</v>
      </c>
      <c r="F31" s="250">
        <f t="shared" si="11"/>
        <v>993.55177499999991</v>
      </c>
      <c r="G31" s="250">
        <f t="shared" si="11"/>
        <v>1093.4111499999999</v>
      </c>
      <c r="H31" s="250">
        <f t="shared" si="11"/>
        <v>1169.14318</v>
      </c>
      <c r="I31" s="250">
        <f t="shared" si="11"/>
        <v>1195.28838</v>
      </c>
      <c r="J31" s="250">
        <f t="shared" si="11"/>
        <v>1402.6051100000002</v>
      </c>
      <c r="K31" s="250">
        <f t="shared" si="11"/>
        <v>1402.6051100000002</v>
      </c>
      <c r="L31" s="250">
        <f t="shared" si="11"/>
        <v>1417.3651100000002</v>
      </c>
      <c r="M31" s="250">
        <f t="shared" si="11"/>
        <v>1417.3651100000002</v>
      </c>
      <c r="N31" s="250">
        <f t="shared" si="11"/>
        <v>1417.3651100000002</v>
      </c>
      <c r="O31" s="250">
        <f t="shared" si="11"/>
        <v>1417.3651100000002</v>
      </c>
    </row>
    <row r="32" spans="1:15">
      <c r="A32" s="251"/>
      <c r="B32" s="251" t="s">
        <v>5</v>
      </c>
      <c r="C32" s="252">
        <f>'Asia Capacity Data'!E13</f>
        <v>402</v>
      </c>
      <c r="D32" s="252">
        <f>'Asia Capacity Data'!F13</f>
        <v>474.63437499999998</v>
      </c>
      <c r="E32" s="252">
        <f>'Asia Capacity Data'!G13</f>
        <v>712.48692499999993</v>
      </c>
      <c r="F32" s="252">
        <f>'Asia Capacity Data'!H13</f>
        <v>920.96329999999989</v>
      </c>
      <c r="G32" s="252">
        <f>'Asia Capacity Data'!I13</f>
        <v>920.96329999999989</v>
      </c>
      <c r="H32" s="252">
        <f>'Asia Capacity Data'!J13</f>
        <v>992.47957999999994</v>
      </c>
      <c r="I32" s="252">
        <f>'Asia Capacity Data'!K13</f>
        <v>992.47957999999994</v>
      </c>
      <c r="J32" s="252">
        <f>'Asia Capacity Data'!L13</f>
        <v>1057.75458</v>
      </c>
      <c r="K32" s="252">
        <f>'Asia Capacity Data'!M13</f>
        <v>1057.75458</v>
      </c>
      <c r="L32" s="252">
        <f>'Asia Capacity Data'!N13</f>
        <v>1061.7145800000001</v>
      </c>
      <c r="M32" s="252">
        <f>'Asia Capacity Data'!O13</f>
        <v>1061.7145800000001</v>
      </c>
      <c r="N32" s="252">
        <f>'Asia Capacity Data'!P13</f>
        <v>1061.7145800000001</v>
      </c>
      <c r="O32" s="252">
        <f>'Asia Capacity Data'!Q13</f>
        <v>1061.7145800000001</v>
      </c>
    </row>
    <row r="33" spans="1:15">
      <c r="B33" s="249" t="s">
        <v>6</v>
      </c>
      <c r="C33" s="254">
        <f>'Asia Capacity Data'!E14</f>
        <v>0</v>
      </c>
      <c r="D33" s="254">
        <f>'Asia Capacity Data'!F14</f>
        <v>0</v>
      </c>
      <c r="E33" s="254">
        <f>'Asia Capacity Data'!G14</f>
        <v>0</v>
      </c>
      <c r="F33" s="254">
        <f>'Asia Capacity Data'!H14</f>
        <v>0</v>
      </c>
      <c r="G33" s="254">
        <f>'Asia Capacity Data'!I14</f>
        <v>99.859375</v>
      </c>
      <c r="H33" s="254">
        <f>'Asia Capacity Data'!J14</f>
        <v>99.859375</v>
      </c>
      <c r="I33" s="254">
        <f>'Asia Capacity Data'!K14</f>
        <v>126.004575</v>
      </c>
      <c r="J33" s="254">
        <f>'Asia Capacity Data'!L14</f>
        <v>253.39782500000001</v>
      </c>
      <c r="K33" s="254">
        <f>'Asia Capacity Data'!M14</f>
        <v>253.39782500000001</v>
      </c>
      <c r="L33" s="254">
        <f>'Asia Capacity Data'!N14</f>
        <v>264.19782500000002</v>
      </c>
      <c r="M33" s="254">
        <f>'Asia Capacity Data'!O14</f>
        <v>264.19782500000002</v>
      </c>
      <c r="N33" s="254">
        <f>'Asia Capacity Data'!P14</f>
        <v>264.19782500000002</v>
      </c>
      <c r="O33" s="254">
        <f>'Asia Capacity Data'!Q14</f>
        <v>264.19782500000002</v>
      </c>
    </row>
    <row r="34" spans="1:15">
      <c r="B34" s="249" t="s">
        <v>7</v>
      </c>
      <c r="C34" s="254">
        <f>'Asia Capacity Data'!E15</f>
        <v>0</v>
      </c>
      <c r="D34" s="254">
        <f>'Asia Capacity Data'!F15</f>
        <v>0</v>
      </c>
      <c r="E34" s="254">
        <f>'Asia Capacity Data'!G15</f>
        <v>0</v>
      </c>
      <c r="F34" s="254">
        <f>'Asia Capacity Data'!H15</f>
        <v>0</v>
      </c>
      <c r="G34" s="254">
        <f>'Asia Capacity Data'!I15</f>
        <v>0</v>
      </c>
      <c r="H34" s="254">
        <f>'Asia Capacity Data'!J15</f>
        <v>0</v>
      </c>
      <c r="I34" s="254">
        <f>'Asia Capacity Data'!K15</f>
        <v>0</v>
      </c>
      <c r="J34" s="254">
        <f>'Asia Capacity Data'!L15</f>
        <v>4.3450000000000006</v>
      </c>
      <c r="K34" s="254">
        <f>'Asia Capacity Data'!M15</f>
        <v>4.3450000000000006</v>
      </c>
      <c r="L34" s="254">
        <f>'Asia Capacity Data'!N15</f>
        <v>4.3450000000000006</v>
      </c>
      <c r="M34" s="254">
        <f>'Asia Capacity Data'!O15</f>
        <v>4.3450000000000006</v>
      </c>
      <c r="N34" s="254">
        <f>'Asia Capacity Data'!P15</f>
        <v>4.3450000000000006</v>
      </c>
      <c r="O34" s="254">
        <f>'Asia Capacity Data'!Q15</f>
        <v>4.3450000000000006</v>
      </c>
    </row>
    <row r="35" spans="1:15">
      <c r="B35" s="249" t="s">
        <v>8</v>
      </c>
      <c r="C35" s="254">
        <f>'Asia Capacity Data'!E16</f>
        <v>0</v>
      </c>
      <c r="D35" s="254">
        <f>'Asia Capacity Data'!F16</f>
        <v>0</v>
      </c>
      <c r="E35" s="254">
        <f>'Asia Capacity Data'!G16</f>
        <v>0</v>
      </c>
      <c r="F35" s="254">
        <f>'Asia Capacity Data'!H16</f>
        <v>0</v>
      </c>
      <c r="G35" s="254">
        <f>'Asia Capacity Data'!I16</f>
        <v>0</v>
      </c>
      <c r="H35" s="254">
        <f>'Asia Capacity Data'!J16</f>
        <v>0</v>
      </c>
      <c r="I35" s="254">
        <f>'Asia Capacity Data'!K16</f>
        <v>0</v>
      </c>
      <c r="J35" s="254">
        <f>'Asia Capacity Data'!L16</f>
        <v>10.30348</v>
      </c>
      <c r="K35" s="254">
        <f>'Asia Capacity Data'!M16</f>
        <v>10.30348</v>
      </c>
      <c r="L35" s="254">
        <f>'Asia Capacity Data'!N16</f>
        <v>10.30348</v>
      </c>
      <c r="M35" s="254">
        <f>'Asia Capacity Data'!O16</f>
        <v>10.30348</v>
      </c>
      <c r="N35" s="254">
        <f>'Asia Capacity Data'!P16</f>
        <v>10.30348</v>
      </c>
      <c r="O35" s="254">
        <f>'Asia Capacity Data'!Q16</f>
        <v>10.30348</v>
      </c>
    </row>
    <row r="36" spans="1:15">
      <c r="B36" s="249" t="s">
        <v>9</v>
      </c>
      <c r="C36" s="254">
        <f>'Asia Capacity Data'!E17</f>
        <v>0</v>
      </c>
      <c r="D36" s="254">
        <f>'Asia Capacity Data'!F17</f>
        <v>0</v>
      </c>
      <c r="E36" s="254">
        <f>'Asia Capacity Data'!G17</f>
        <v>0</v>
      </c>
      <c r="F36" s="254">
        <f>'Asia Capacity Data'!H17</f>
        <v>0</v>
      </c>
      <c r="G36" s="254">
        <f>'Asia Capacity Data'!I17</f>
        <v>0</v>
      </c>
      <c r="H36" s="254">
        <f>'Asia Capacity Data'!J17</f>
        <v>0</v>
      </c>
      <c r="I36" s="254">
        <f>'Asia Capacity Data'!K17</f>
        <v>0</v>
      </c>
      <c r="J36" s="254">
        <f>'Asia Capacity Data'!L17</f>
        <v>0</v>
      </c>
      <c r="K36" s="254">
        <f>'Asia Capacity Data'!M17</f>
        <v>0</v>
      </c>
      <c r="L36" s="254">
        <f>'Asia Capacity Data'!N17</f>
        <v>0</v>
      </c>
      <c r="M36" s="254">
        <f>'Asia Capacity Data'!O17</f>
        <v>0</v>
      </c>
      <c r="N36" s="254">
        <f>'Asia Capacity Data'!P17</f>
        <v>0</v>
      </c>
      <c r="O36" s="254">
        <f>'Asia Capacity Data'!Q17</f>
        <v>0</v>
      </c>
    </row>
    <row r="37" spans="1:15">
      <c r="B37" s="249" t="s">
        <v>10</v>
      </c>
      <c r="C37" s="254">
        <f>'Asia Capacity Data'!E18</f>
        <v>6.5391000000000004</v>
      </c>
      <c r="D37" s="254">
        <f>'Asia Capacity Data'!F18</f>
        <v>72.588475000000017</v>
      </c>
      <c r="E37" s="254">
        <f>'Asia Capacity Data'!G18</f>
        <v>72.588475000000017</v>
      </c>
      <c r="F37" s="254">
        <f>'Asia Capacity Data'!H18</f>
        <v>72.588475000000017</v>
      </c>
      <c r="G37" s="254">
        <f>'Asia Capacity Data'!I18</f>
        <v>72.588475000000017</v>
      </c>
      <c r="H37" s="254">
        <f>'Asia Capacity Data'!J18</f>
        <v>76.804225000000017</v>
      </c>
      <c r="I37" s="254">
        <f>'Asia Capacity Data'!K18</f>
        <v>76.804225000000017</v>
      </c>
      <c r="J37" s="254">
        <f>'Asia Capacity Data'!L18</f>
        <v>76.804225000000017</v>
      </c>
      <c r="K37" s="254">
        <f>'Asia Capacity Data'!M18</f>
        <v>76.804225000000017</v>
      </c>
      <c r="L37" s="254">
        <f>'Asia Capacity Data'!N18</f>
        <v>76.804225000000017</v>
      </c>
      <c r="M37" s="254">
        <f>'Asia Capacity Data'!O18</f>
        <v>76.804225000000017</v>
      </c>
      <c r="N37" s="254">
        <f>'Asia Capacity Data'!P18</f>
        <v>76.804225000000017</v>
      </c>
      <c r="O37" s="254">
        <f>'Asia Capacity Data'!Q18</f>
        <v>76.804225000000017</v>
      </c>
    </row>
    <row r="38" spans="1:15">
      <c r="C38" s="254"/>
      <c r="D38" s="254"/>
      <c r="E38" s="254"/>
      <c r="F38" s="254"/>
      <c r="G38" s="254"/>
      <c r="H38" s="254"/>
      <c r="I38" s="254"/>
      <c r="J38" s="254"/>
      <c r="K38" s="254"/>
      <c r="L38" s="254"/>
      <c r="M38" s="254"/>
      <c r="N38" s="254"/>
      <c r="O38" s="254"/>
    </row>
    <row r="39" spans="1:15">
      <c r="C39" s="254"/>
      <c r="D39" s="254"/>
      <c r="E39" s="254"/>
      <c r="F39" s="254"/>
      <c r="G39" s="254"/>
      <c r="H39" s="254"/>
      <c r="I39" s="254"/>
      <c r="J39" s="254"/>
      <c r="K39" s="254"/>
      <c r="L39" s="254"/>
      <c r="M39" s="254"/>
      <c r="N39" s="254"/>
      <c r="O39" s="254"/>
    </row>
    <row r="40" spans="1:15">
      <c r="C40" s="254"/>
      <c r="D40" s="254"/>
      <c r="E40" s="254"/>
      <c r="F40" s="254"/>
      <c r="G40" s="254"/>
      <c r="H40" s="254"/>
      <c r="I40" s="254"/>
      <c r="J40" s="254"/>
      <c r="K40" s="254"/>
      <c r="L40" s="254"/>
      <c r="M40" s="254"/>
      <c r="N40" s="254"/>
      <c r="O40" s="254"/>
    </row>
    <row r="41" spans="1:15">
      <c r="A41" s="249" t="s">
        <v>1206</v>
      </c>
      <c r="C41" s="249">
        <f>C2</f>
        <v>2023</v>
      </c>
      <c r="D41" s="249">
        <f t="shared" ref="D41:O41" si="12">D2</f>
        <v>2024</v>
      </c>
      <c r="E41" s="249">
        <f t="shared" si="12"/>
        <v>2025</v>
      </c>
      <c r="F41" s="249">
        <f t="shared" si="12"/>
        <v>2026</v>
      </c>
      <c r="G41" s="249">
        <f t="shared" si="12"/>
        <v>2027</v>
      </c>
      <c r="H41" s="249">
        <f t="shared" si="12"/>
        <v>2028</v>
      </c>
      <c r="I41" s="249">
        <f t="shared" si="12"/>
        <v>2029</v>
      </c>
      <c r="J41" s="249">
        <f t="shared" si="12"/>
        <v>2030</v>
      </c>
      <c r="K41" s="249">
        <f t="shared" si="12"/>
        <v>2031</v>
      </c>
      <c r="L41" s="249">
        <f t="shared" si="12"/>
        <v>2032</v>
      </c>
      <c r="M41" s="249">
        <f t="shared" si="12"/>
        <v>2033</v>
      </c>
      <c r="N41" s="249">
        <f t="shared" si="12"/>
        <v>2034</v>
      </c>
      <c r="O41" s="249">
        <f t="shared" si="12"/>
        <v>2035</v>
      </c>
    </row>
    <row r="42" spans="1:15">
      <c r="A42" s="249" t="str">
        <f>A3</f>
        <v>North America</v>
      </c>
      <c r="C42" s="254">
        <f>C3-SUM(C4:C5)</f>
        <v>73.500999999999976</v>
      </c>
      <c r="D42" s="254">
        <f t="shared" ref="D42:O42" si="13">D3-SUM(D4:D5)</f>
        <v>74.118193698965115</v>
      </c>
      <c r="E42" s="254">
        <f t="shared" si="13"/>
        <v>123.18075619896513</v>
      </c>
      <c r="F42" s="254">
        <f t="shared" si="13"/>
        <v>125.98075619896554</v>
      </c>
      <c r="G42" s="254">
        <f t="shared" si="13"/>
        <v>328.2707561989655</v>
      </c>
      <c r="H42" s="254">
        <f t="shared" si="13"/>
        <v>362.00075619896552</v>
      </c>
      <c r="I42" s="254">
        <f t="shared" si="13"/>
        <v>429.00075619896552</v>
      </c>
      <c r="J42" s="254">
        <f t="shared" si="13"/>
        <v>474.50075619896552</v>
      </c>
      <c r="K42" s="254">
        <f t="shared" si="13"/>
        <v>474.50075619896552</v>
      </c>
      <c r="L42" s="254">
        <f t="shared" si="13"/>
        <v>474.50075619896552</v>
      </c>
      <c r="M42" s="254">
        <f t="shared" si="13"/>
        <v>474.50075619896552</v>
      </c>
      <c r="N42" s="254">
        <f t="shared" si="13"/>
        <v>474.50075619896552</v>
      </c>
      <c r="O42" s="254">
        <f t="shared" si="13"/>
        <v>474.50075619896552</v>
      </c>
    </row>
    <row r="43" spans="1:15">
      <c r="A43" s="249" t="str">
        <f>A10</f>
        <v>South America</v>
      </c>
      <c r="C43" s="254">
        <f>C10-SUM(C11:C12)</f>
        <v>0</v>
      </c>
      <c r="D43" s="254">
        <f t="shared" ref="D43:O43" si="14">D10-SUM(D11:D12)</f>
        <v>0</v>
      </c>
      <c r="E43" s="254">
        <f t="shared" si="14"/>
        <v>5.4000000000002046E-2</v>
      </c>
      <c r="F43" s="254">
        <f t="shared" si="14"/>
        <v>5.4000000000002046E-2</v>
      </c>
      <c r="G43" s="254">
        <f t="shared" si="14"/>
        <v>5.3999999999973625E-2</v>
      </c>
      <c r="H43" s="254">
        <f t="shared" si="14"/>
        <v>4.1930999999999585</v>
      </c>
      <c r="I43" s="254">
        <f t="shared" si="14"/>
        <v>4.1930999999999585</v>
      </c>
      <c r="J43" s="254">
        <f t="shared" si="14"/>
        <v>66.653099999999938</v>
      </c>
      <c r="K43" s="254">
        <f t="shared" si="14"/>
        <v>67.321074999999951</v>
      </c>
      <c r="L43" s="254">
        <f t="shared" si="14"/>
        <v>67.321074999999951</v>
      </c>
      <c r="M43" s="254">
        <f t="shared" si="14"/>
        <v>67.321074999999951</v>
      </c>
      <c r="N43" s="254">
        <f t="shared" si="14"/>
        <v>67.321074999999951</v>
      </c>
      <c r="O43" s="254">
        <f t="shared" si="14"/>
        <v>67.321074999999951</v>
      </c>
    </row>
    <row r="44" spans="1:15">
      <c r="A44" s="249" t="str">
        <f>A17</f>
        <v>Europe</v>
      </c>
      <c r="C44" s="254">
        <f>C17-SUM(C18:C19)</f>
        <v>288.69797500000004</v>
      </c>
      <c r="D44" s="254">
        <f t="shared" ref="D44:O44" si="15">D17-SUM(D18:D19)</f>
        <v>297.18239400000004</v>
      </c>
      <c r="E44" s="254">
        <f t="shared" si="15"/>
        <v>351.67029400000001</v>
      </c>
      <c r="F44" s="254">
        <f t="shared" si="15"/>
        <v>420.04221900000016</v>
      </c>
      <c r="G44" s="254">
        <f t="shared" si="15"/>
        <v>488.80621900000028</v>
      </c>
      <c r="H44" s="254">
        <f t="shared" si="15"/>
        <v>664.18271900000036</v>
      </c>
      <c r="I44" s="254">
        <f t="shared" si="15"/>
        <v>705.55261900000028</v>
      </c>
      <c r="J44" s="254">
        <f t="shared" si="15"/>
        <v>758.51101900000003</v>
      </c>
      <c r="K44" s="254">
        <f t="shared" si="15"/>
        <v>863.86076900000035</v>
      </c>
      <c r="L44" s="254">
        <f t="shared" si="15"/>
        <v>1024.2452690000005</v>
      </c>
      <c r="M44" s="254">
        <f t="shared" si="15"/>
        <v>1069.6752690000003</v>
      </c>
      <c r="N44" s="254">
        <f t="shared" si="15"/>
        <v>1069.7282890000001</v>
      </c>
      <c r="O44" s="254">
        <f t="shared" si="15"/>
        <v>1069.7487890000002</v>
      </c>
    </row>
    <row r="45" spans="1:15">
      <c r="A45" s="249" t="str">
        <f>A24</f>
        <v>Middle East/Africa</v>
      </c>
      <c r="C45" s="254">
        <f>C24-SUM(C25:C26)</f>
        <v>11</v>
      </c>
      <c r="D45" s="254">
        <f t="shared" ref="D45:O45" si="16">D24-SUM(D25:D26)</f>
        <v>11</v>
      </c>
      <c r="E45" s="254">
        <f t="shared" si="16"/>
        <v>11</v>
      </c>
      <c r="F45" s="254">
        <f t="shared" si="16"/>
        <v>103</v>
      </c>
      <c r="G45" s="254">
        <f t="shared" si="16"/>
        <v>103</v>
      </c>
      <c r="H45" s="254">
        <f t="shared" si="16"/>
        <v>103</v>
      </c>
      <c r="I45" s="254">
        <f t="shared" si="16"/>
        <v>131.6</v>
      </c>
      <c r="J45" s="254">
        <f t="shared" si="16"/>
        <v>137.6</v>
      </c>
      <c r="K45" s="254">
        <f t="shared" si="16"/>
        <v>137.6</v>
      </c>
      <c r="L45" s="254">
        <f t="shared" si="16"/>
        <v>137.59999999999997</v>
      </c>
      <c r="M45" s="254">
        <f t="shared" si="16"/>
        <v>137.59999999999997</v>
      </c>
      <c r="N45" s="254">
        <f t="shared" si="16"/>
        <v>137.59999999999997</v>
      </c>
      <c r="O45" s="254">
        <f t="shared" si="16"/>
        <v>137.59999999999997</v>
      </c>
    </row>
    <row r="46" spans="1:15">
      <c r="A46" s="249" t="str">
        <f>A31</f>
        <v>Asia</v>
      </c>
      <c r="C46" s="254">
        <f>C31-SUM(C32:C33)</f>
        <v>6.539100000000019</v>
      </c>
      <c r="D46" s="254">
        <f t="shared" ref="D46:O46" si="17">D31-SUM(D32:D33)</f>
        <v>72.588475000000017</v>
      </c>
      <c r="E46" s="254">
        <f t="shared" si="17"/>
        <v>72.588475000000017</v>
      </c>
      <c r="F46" s="254">
        <f t="shared" si="17"/>
        <v>72.588475000000017</v>
      </c>
      <c r="G46" s="254">
        <f t="shared" si="17"/>
        <v>72.588475000000017</v>
      </c>
      <c r="H46" s="254">
        <f t="shared" si="17"/>
        <v>76.804225000000088</v>
      </c>
      <c r="I46" s="254">
        <f t="shared" si="17"/>
        <v>76.804225000000088</v>
      </c>
      <c r="J46" s="254">
        <f t="shared" si="17"/>
        <v>91.452705000000151</v>
      </c>
      <c r="K46" s="254">
        <f t="shared" si="17"/>
        <v>91.452705000000151</v>
      </c>
      <c r="L46" s="254">
        <f t="shared" si="17"/>
        <v>91.452705000000151</v>
      </c>
      <c r="M46" s="254">
        <f t="shared" si="17"/>
        <v>91.452705000000151</v>
      </c>
      <c r="N46" s="254">
        <f t="shared" si="17"/>
        <v>91.452705000000151</v>
      </c>
      <c r="O46" s="254">
        <f t="shared" si="17"/>
        <v>91.452705000000151</v>
      </c>
    </row>
  </sheetData>
  <mergeCells count="5">
    <mergeCell ref="A3:B3"/>
    <mergeCell ref="A10:B10"/>
    <mergeCell ref="A17:B17"/>
    <mergeCell ref="A24:B24"/>
    <mergeCell ref="A31:B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Charts</vt:lpstr>
      </vt:variant>
      <vt:variant>
        <vt:i4>3</vt:i4>
      </vt:variant>
    </vt:vector>
  </HeadingPairs>
  <TitlesOfParts>
    <vt:vector size="16" baseType="lpstr">
      <vt:lpstr>Graph Dashboard</vt:lpstr>
      <vt:lpstr>Global Capacity Data</vt:lpstr>
      <vt:lpstr>NAm</vt:lpstr>
      <vt:lpstr>NAm Capacity Data</vt:lpstr>
      <vt:lpstr>SAm</vt:lpstr>
      <vt:lpstr>SAm Capacity Data</vt:lpstr>
      <vt:lpstr>Europe</vt:lpstr>
      <vt:lpstr>Europe Capacity Data</vt:lpstr>
      <vt:lpstr>Asia</vt:lpstr>
      <vt:lpstr>Asia Capacity Data</vt:lpstr>
      <vt:lpstr>MEA</vt:lpstr>
      <vt:lpstr>MEA Capacity Data</vt:lpstr>
      <vt:lpstr>Capacity by Region</vt:lpstr>
      <vt:lpstr>HEFA by Region</vt:lpstr>
      <vt:lpstr>AtJ by Region</vt:lpstr>
      <vt:lpstr>Non-HEFA or AtJ by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2025-07-15T09:57:07Z</dcterms:created>
  <dcterms:modified xsi:type="dcterms:W3CDTF">2025-09-10T09:38:21Z</dcterms:modified>
</cp:coreProperties>
</file>