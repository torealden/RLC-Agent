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824FD4BF-CD6F-429F-BC7C-07DBD90B443D}" xr6:coauthVersionLast="47" xr6:coauthVersionMax="47" xr10:uidLastSave="{00000000-0000-0000-0000-000000000000}"/>
  <bookViews>
    <workbookView xWindow="2775" yWindow="1170" windowWidth="22860" windowHeight="12030" xr2:uid="{5BD9A3D8-5801-4A43-AAEC-C8048669BC1B}"/>
  </bookViews>
  <sheets>
    <sheet name="Dashboard" sheetId="1" r:id="rId1"/>
    <sheet name="RINs and HOBO Forecast" sheetId="2" r:id="rId2"/>
    <sheet name="HOBO History" sheetId="3" r:id="rId3"/>
    <sheet name="HOBO vs Production" sheetId="4" r:id="rId4"/>
    <sheet name="Chart2" sheetId="5" r:id="rId5"/>
    <sheet name="Chart3" sheetId="6" r:id="rId6"/>
    <sheet name="Chart4" sheetId="7" r:id="rId7"/>
    <sheet name="Chart5" sheetId="8" r:id="rId8"/>
    <sheet name="Chart6" sheetId="9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61" i="4" l="1"/>
  <c r="W261" i="4"/>
  <c r="S261" i="4"/>
  <c r="O261" i="4"/>
  <c r="N261" i="4"/>
  <c r="P261" i="4" s="1"/>
  <c r="AA261" i="4" s="1"/>
  <c r="L261" i="4"/>
  <c r="K261" i="4"/>
  <c r="M261" i="4" s="1"/>
  <c r="G261" i="4"/>
  <c r="F261" i="4"/>
  <c r="H261" i="4" s="1"/>
  <c r="D261" i="4"/>
  <c r="E261" i="4" s="1"/>
  <c r="C261" i="4"/>
  <c r="AM260" i="4"/>
  <c r="W260" i="4"/>
  <c r="S260" i="4"/>
  <c r="O260" i="4"/>
  <c r="N260" i="4"/>
  <c r="L260" i="4"/>
  <c r="K260" i="4"/>
  <c r="M260" i="4" s="1"/>
  <c r="G260" i="4"/>
  <c r="F260" i="4"/>
  <c r="H260" i="4" s="1"/>
  <c r="E260" i="4"/>
  <c r="D260" i="4"/>
  <c r="C260" i="4"/>
  <c r="AM259" i="4"/>
  <c r="W259" i="4"/>
  <c r="S259" i="4"/>
  <c r="O259" i="4"/>
  <c r="N259" i="4"/>
  <c r="P259" i="4" s="1"/>
  <c r="AA259" i="4" s="1"/>
  <c r="L259" i="4"/>
  <c r="K259" i="4"/>
  <c r="M259" i="4" s="1"/>
  <c r="H259" i="4"/>
  <c r="G259" i="4"/>
  <c r="F259" i="4"/>
  <c r="D259" i="4"/>
  <c r="C259" i="4"/>
  <c r="E259" i="4" s="1"/>
  <c r="AM258" i="4"/>
  <c r="AA258" i="4"/>
  <c r="W258" i="4"/>
  <c r="S258" i="4"/>
  <c r="O258" i="4"/>
  <c r="P258" i="4" s="1"/>
  <c r="N258" i="4"/>
  <c r="L258" i="4"/>
  <c r="K258" i="4"/>
  <c r="M258" i="4" s="1"/>
  <c r="G258" i="4"/>
  <c r="F258" i="4"/>
  <c r="E258" i="4"/>
  <c r="D258" i="4"/>
  <c r="C258" i="4"/>
  <c r="AM257" i="4"/>
  <c r="W257" i="4"/>
  <c r="S257" i="4"/>
  <c r="P257" i="4"/>
  <c r="AA257" i="4" s="1"/>
  <c r="O257" i="4"/>
  <c r="N257" i="4"/>
  <c r="L257" i="4"/>
  <c r="M257" i="4" s="1"/>
  <c r="K257" i="4"/>
  <c r="G257" i="4"/>
  <c r="F257" i="4"/>
  <c r="H257" i="4" s="1"/>
  <c r="D257" i="4"/>
  <c r="C257" i="4"/>
  <c r="E257" i="4" s="1"/>
  <c r="AM256" i="4"/>
  <c r="W256" i="4"/>
  <c r="S256" i="4"/>
  <c r="O256" i="4"/>
  <c r="N256" i="4"/>
  <c r="P256" i="4" s="1"/>
  <c r="AA256" i="4" s="1"/>
  <c r="L256" i="4"/>
  <c r="K256" i="4"/>
  <c r="M256" i="4" s="1"/>
  <c r="G256" i="4"/>
  <c r="H256" i="4" s="1"/>
  <c r="F256" i="4"/>
  <c r="D256" i="4"/>
  <c r="C256" i="4"/>
  <c r="E256" i="4" s="1"/>
  <c r="AM255" i="4"/>
  <c r="W255" i="4"/>
  <c r="S255" i="4"/>
  <c r="O255" i="4"/>
  <c r="P255" i="4" s="1"/>
  <c r="AA255" i="4" s="1"/>
  <c r="N255" i="4"/>
  <c r="L255" i="4"/>
  <c r="K255" i="4"/>
  <c r="M255" i="4" s="1"/>
  <c r="G255" i="4"/>
  <c r="F255" i="4"/>
  <c r="H255" i="4" s="1"/>
  <c r="D255" i="4"/>
  <c r="E255" i="4" s="1"/>
  <c r="C255" i="4"/>
  <c r="AM254" i="4"/>
  <c r="W254" i="4"/>
  <c r="S254" i="4"/>
  <c r="O254" i="4"/>
  <c r="N254" i="4"/>
  <c r="L254" i="4"/>
  <c r="K254" i="4"/>
  <c r="M254" i="4" s="1"/>
  <c r="H254" i="4"/>
  <c r="G254" i="4"/>
  <c r="F254" i="4"/>
  <c r="D254" i="4"/>
  <c r="C254" i="4"/>
  <c r="AM253" i="4"/>
  <c r="W253" i="4"/>
  <c r="S253" i="4"/>
  <c r="P253" i="4"/>
  <c r="AA253" i="4" s="1"/>
  <c r="O253" i="4"/>
  <c r="N253" i="4"/>
  <c r="M253" i="4"/>
  <c r="L253" i="4"/>
  <c r="K253" i="4"/>
  <c r="G253" i="4"/>
  <c r="F253" i="4"/>
  <c r="H253" i="4" s="1"/>
  <c r="E253" i="4"/>
  <c r="D253" i="4"/>
  <c r="C253" i="4"/>
  <c r="AM252" i="4"/>
  <c r="W252" i="4"/>
  <c r="S252" i="4"/>
  <c r="O252" i="4"/>
  <c r="N252" i="4"/>
  <c r="P252" i="4" s="1"/>
  <c r="AA252" i="4" s="1"/>
  <c r="L252" i="4"/>
  <c r="M252" i="4" s="1"/>
  <c r="K252" i="4"/>
  <c r="G252" i="4"/>
  <c r="F252" i="4"/>
  <c r="H252" i="4" s="1"/>
  <c r="E252" i="4"/>
  <c r="D252" i="4"/>
  <c r="C252" i="4"/>
  <c r="AM251" i="4"/>
  <c r="AA251" i="4"/>
  <c r="W251" i="4"/>
  <c r="S251" i="4"/>
  <c r="P251" i="4"/>
  <c r="O251" i="4"/>
  <c r="N251" i="4"/>
  <c r="L251" i="4"/>
  <c r="K251" i="4"/>
  <c r="G251" i="4"/>
  <c r="F251" i="4"/>
  <c r="H251" i="4" s="1"/>
  <c r="D251" i="4"/>
  <c r="C251" i="4"/>
  <c r="E251" i="4" s="1"/>
  <c r="AM250" i="4"/>
  <c r="W250" i="4"/>
  <c r="S250" i="4"/>
  <c r="O250" i="4"/>
  <c r="P250" i="4" s="1"/>
  <c r="AA250" i="4" s="1"/>
  <c r="N250" i="4"/>
  <c r="M250" i="4"/>
  <c r="L250" i="4"/>
  <c r="K250" i="4"/>
  <c r="G250" i="4"/>
  <c r="F250" i="4"/>
  <c r="H250" i="4" s="1"/>
  <c r="D250" i="4"/>
  <c r="C250" i="4"/>
  <c r="E250" i="4" s="1"/>
  <c r="AM249" i="4"/>
  <c r="W249" i="4"/>
  <c r="S249" i="4"/>
  <c r="O249" i="4"/>
  <c r="N249" i="4"/>
  <c r="P249" i="4" s="1"/>
  <c r="AA249" i="4" s="1"/>
  <c r="L249" i="4"/>
  <c r="K249" i="4"/>
  <c r="M249" i="4" s="1"/>
  <c r="H249" i="4"/>
  <c r="G249" i="4"/>
  <c r="F249" i="4"/>
  <c r="D249" i="4"/>
  <c r="C249" i="4"/>
  <c r="AM248" i="4"/>
  <c r="W248" i="4"/>
  <c r="S248" i="4"/>
  <c r="O248" i="4"/>
  <c r="P248" i="4" s="1"/>
  <c r="AA248" i="4" s="1"/>
  <c r="N248" i="4"/>
  <c r="L248" i="4"/>
  <c r="K248" i="4"/>
  <c r="M248" i="4" s="1"/>
  <c r="G248" i="4"/>
  <c r="H248" i="4" s="1"/>
  <c r="F248" i="4"/>
  <c r="E248" i="4"/>
  <c r="D248" i="4"/>
  <c r="C248" i="4"/>
  <c r="AM247" i="4"/>
  <c r="W247" i="4"/>
  <c r="S247" i="4"/>
  <c r="O247" i="4"/>
  <c r="N247" i="4"/>
  <c r="P247" i="4" s="1"/>
  <c r="AA247" i="4" s="1"/>
  <c r="L247" i="4"/>
  <c r="K247" i="4"/>
  <c r="M247" i="4" s="1"/>
  <c r="G247" i="4"/>
  <c r="F247" i="4"/>
  <c r="H247" i="4" s="1"/>
  <c r="D247" i="4"/>
  <c r="C247" i="4"/>
  <c r="E247" i="4" s="1"/>
  <c r="AM246" i="4"/>
  <c r="AA246" i="4"/>
  <c r="W246" i="4"/>
  <c r="S246" i="4"/>
  <c r="O246" i="4"/>
  <c r="N246" i="4"/>
  <c r="P246" i="4" s="1"/>
  <c r="L246" i="4"/>
  <c r="K246" i="4"/>
  <c r="M246" i="4" s="1"/>
  <c r="G246" i="4"/>
  <c r="F246" i="4"/>
  <c r="H246" i="4" s="1"/>
  <c r="D246" i="4"/>
  <c r="C246" i="4"/>
  <c r="E246" i="4" s="1"/>
  <c r="AM245" i="4"/>
  <c r="W245" i="4"/>
  <c r="S245" i="4"/>
  <c r="P245" i="4"/>
  <c r="AA245" i="4" s="1"/>
  <c r="O245" i="4"/>
  <c r="N245" i="4"/>
  <c r="L245" i="4"/>
  <c r="K245" i="4"/>
  <c r="M245" i="4" s="1"/>
  <c r="G245" i="4"/>
  <c r="F245" i="4"/>
  <c r="H245" i="4" s="1"/>
  <c r="E245" i="4"/>
  <c r="D245" i="4"/>
  <c r="C245" i="4"/>
  <c r="AM244" i="4"/>
  <c r="AA244" i="4"/>
  <c r="W244" i="4"/>
  <c r="S244" i="4"/>
  <c r="P244" i="4"/>
  <c r="O244" i="4"/>
  <c r="N244" i="4"/>
  <c r="M244" i="4"/>
  <c r="L244" i="4"/>
  <c r="K244" i="4"/>
  <c r="G244" i="4"/>
  <c r="F244" i="4"/>
  <c r="H244" i="4" s="1"/>
  <c r="D244" i="4"/>
  <c r="C244" i="4"/>
  <c r="E244" i="4" s="1"/>
  <c r="AM243" i="4"/>
  <c r="W243" i="4"/>
  <c r="S243" i="4"/>
  <c r="O243" i="4"/>
  <c r="N243" i="4"/>
  <c r="P243" i="4" s="1"/>
  <c r="AA243" i="4" s="1"/>
  <c r="M243" i="4"/>
  <c r="L243" i="4"/>
  <c r="K243" i="4"/>
  <c r="H243" i="4"/>
  <c r="G243" i="4"/>
  <c r="F243" i="4"/>
  <c r="D243" i="4"/>
  <c r="C243" i="4"/>
  <c r="E243" i="4" s="1"/>
  <c r="AM242" i="4"/>
  <c r="W242" i="4"/>
  <c r="S242" i="4"/>
  <c r="O242" i="4"/>
  <c r="N242" i="4"/>
  <c r="P242" i="4" s="1"/>
  <c r="AA242" i="4" s="1"/>
  <c r="L242" i="4"/>
  <c r="K242" i="4"/>
  <c r="M242" i="4" s="1"/>
  <c r="H242" i="4"/>
  <c r="G242" i="4"/>
  <c r="F242" i="4"/>
  <c r="E242" i="4"/>
  <c r="D242" i="4"/>
  <c r="C242" i="4"/>
  <c r="AM241" i="4"/>
  <c r="W241" i="4"/>
  <c r="S241" i="4"/>
  <c r="O241" i="4"/>
  <c r="P241" i="4" s="1"/>
  <c r="AA241" i="4" s="1"/>
  <c r="N241" i="4"/>
  <c r="M241" i="4"/>
  <c r="L241" i="4"/>
  <c r="K241" i="4"/>
  <c r="G241" i="4"/>
  <c r="F241" i="4"/>
  <c r="H241" i="4" s="1"/>
  <c r="E241" i="4"/>
  <c r="D241" i="4"/>
  <c r="C241" i="4"/>
  <c r="AM240" i="4"/>
  <c r="W240" i="4"/>
  <c r="S240" i="4"/>
  <c r="O240" i="4"/>
  <c r="N240" i="4"/>
  <c r="P240" i="4" s="1"/>
  <c r="AA240" i="4" s="1"/>
  <c r="L240" i="4"/>
  <c r="K240" i="4"/>
  <c r="M240" i="4" s="1"/>
  <c r="G240" i="4"/>
  <c r="F240" i="4"/>
  <c r="H240" i="4" s="1"/>
  <c r="E240" i="4"/>
  <c r="D240" i="4"/>
  <c r="C240" i="4"/>
  <c r="AM239" i="4"/>
  <c r="W239" i="4"/>
  <c r="S239" i="4"/>
  <c r="O239" i="4"/>
  <c r="P239" i="4" s="1"/>
  <c r="AA239" i="4" s="1"/>
  <c r="N239" i="4"/>
  <c r="L239" i="4"/>
  <c r="K239" i="4"/>
  <c r="M239" i="4" s="1"/>
  <c r="G239" i="4"/>
  <c r="F239" i="4"/>
  <c r="H239" i="4" s="1"/>
  <c r="D239" i="4"/>
  <c r="C239" i="4"/>
  <c r="E239" i="4" s="1"/>
  <c r="AM238" i="4"/>
  <c r="W238" i="4"/>
  <c r="S238" i="4"/>
  <c r="O238" i="4"/>
  <c r="N238" i="4"/>
  <c r="P238" i="4" s="1"/>
  <c r="AA238" i="4" s="1"/>
  <c r="L238" i="4"/>
  <c r="K238" i="4"/>
  <c r="M238" i="4" s="1"/>
  <c r="H238" i="4"/>
  <c r="G238" i="4"/>
  <c r="F238" i="4"/>
  <c r="D238" i="4"/>
  <c r="C238" i="4"/>
  <c r="E238" i="4" s="1"/>
  <c r="AM237" i="4"/>
  <c r="AA237" i="4"/>
  <c r="W237" i="4"/>
  <c r="S237" i="4"/>
  <c r="O237" i="4"/>
  <c r="N237" i="4"/>
  <c r="P237" i="4" s="1"/>
  <c r="L237" i="4"/>
  <c r="K237" i="4"/>
  <c r="M237" i="4" s="1"/>
  <c r="G237" i="4"/>
  <c r="F237" i="4"/>
  <c r="H237" i="4" s="1"/>
  <c r="D237" i="4"/>
  <c r="E237" i="4" s="1"/>
  <c r="C237" i="4"/>
  <c r="AM236" i="4"/>
  <c r="W236" i="4"/>
  <c r="S236" i="4"/>
  <c r="O236" i="4"/>
  <c r="P236" i="4" s="1"/>
  <c r="AA236" i="4" s="1"/>
  <c r="N236" i="4"/>
  <c r="L236" i="4"/>
  <c r="K236" i="4"/>
  <c r="M236" i="4" s="1"/>
  <c r="G236" i="4"/>
  <c r="F236" i="4"/>
  <c r="H236" i="4" s="1"/>
  <c r="E236" i="4"/>
  <c r="D236" i="4"/>
  <c r="C236" i="4"/>
  <c r="AM235" i="4"/>
  <c r="AA235" i="4"/>
  <c r="W235" i="4"/>
  <c r="S235" i="4"/>
  <c r="O235" i="4"/>
  <c r="N235" i="4"/>
  <c r="P235" i="4" s="1"/>
  <c r="L235" i="4"/>
  <c r="M235" i="4" s="1"/>
  <c r="K235" i="4"/>
  <c r="G235" i="4"/>
  <c r="F235" i="4"/>
  <c r="H235" i="4" s="1"/>
  <c r="D235" i="4"/>
  <c r="C235" i="4"/>
  <c r="E235" i="4" s="1"/>
  <c r="AM234" i="4"/>
  <c r="W234" i="4"/>
  <c r="S234" i="4"/>
  <c r="P234" i="4"/>
  <c r="AA234" i="4" s="1"/>
  <c r="O234" i="4"/>
  <c r="N234" i="4"/>
  <c r="M234" i="4"/>
  <c r="L234" i="4"/>
  <c r="K234" i="4"/>
  <c r="G234" i="4"/>
  <c r="H234" i="4" s="1"/>
  <c r="F234" i="4"/>
  <c r="D234" i="4"/>
  <c r="C234" i="4"/>
  <c r="E234" i="4" s="1"/>
  <c r="AM233" i="4"/>
  <c r="W233" i="4"/>
  <c r="S233" i="4"/>
  <c r="O233" i="4"/>
  <c r="N233" i="4"/>
  <c r="P233" i="4" s="1"/>
  <c r="AA233" i="4" s="1"/>
  <c r="L233" i="4"/>
  <c r="K233" i="4"/>
  <c r="M233" i="4" s="1"/>
  <c r="G233" i="4"/>
  <c r="H233" i="4" s="1"/>
  <c r="F233" i="4"/>
  <c r="D233" i="4"/>
  <c r="E233" i="4" s="1"/>
  <c r="C233" i="4"/>
  <c r="AM232" i="4"/>
  <c r="W232" i="4"/>
  <c r="S232" i="4"/>
  <c r="O232" i="4"/>
  <c r="N232" i="4"/>
  <c r="P232" i="4" s="1"/>
  <c r="AA232" i="4" s="1"/>
  <c r="L232" i="4"/>
  <c r="K232" i="4"/>
  <c r="M232" i="4" s="1"/>
  <c r="G232" i="4"/>
  <c r="F232" i="4"/>
  <c r="H232" i="4" s="1"/>
  <c r="D232" i="4"/>
  <c r="C232" i="4"/>
  <c r="AM231" i="4"/>
  <c r="W231" i="4"/>
  <c r="S231" i="4"/>
  <c r="P231" i="4"/>
  <c r="AA231" i="4" s="1"/>
  <c r="O231" i="4"/>
  <c r="N231" i="4"/>
  <c r="L231" i="4"/>
  <c r="K231" i="4"/>
  <c r="M231" i="4" s="1"/>
  <c r="H231" i="4"/>
  <c r="G231" i="4"/>
  <c r="F231" i="4"/>
  <c r="D231" i="4"/>
  <c r="C231" i="4"/>
  <c r="AM230" i="4"/>
  <c r="AA230" i="4"/>
  <c r="W230" i="4"/>
  <c r="S230" i="4"/>
  <c r="O230" i="4"/>
  <c r="N230" i="4"/>
  <c r="P230" i="4" s="1"/>
  <c r="L230" i="4"/>
  <c r="K230" i="4"/>
  <c r="M230" i="4" s="1"/>
  <c r="G230" i="4"/>
  <c r="F230" i="4"/>
  <c r="H230" i="4" s="1"/>
  <c r="D230" i="4"/>
  <c r="C230" i="4"/>
  <c r="E230" i="4" s="1"/>
  <c r="AM229" i="4"/>
  <c r="AA229" i="4"/>
  <c r="W229" i="4"/>
  <c r="S229" i="4"/>
  <c r="P229" i="4"/>
  <c r="O229" i="4"/>
  <c r="N229" i="4"/>
  <c r="L229" i="4"/>
  <c r="K229" i="4"/>
  <c r="G229" i="4"/>
  <c r="F229" i="4"/>
  <c r="H229" i="4" s="1"/>
  <c r="D229" i="4"/>
  <c r="C229" i="4"/>
  <c r="E229" i="4" s="1"/>
  <c r="AM228" i="4"/>
  <c r="AA228" i="4"/>
  <c r="W228" i="4"/>
  <c r="S228" i="4"/>
  <c r="O228" i="4"/>
  <c r="N228" i="4"/>
  <c r="P228" i="4" s="1"/>
  <c r="M228" i="4"/>
  <c r="L228" i="4"/>
  <c r="K228" i="4"/>
  <c r="G228" i="4"/>
  <c r="F228" i="4"/>
  <c r="H228" i="4" s="1"/>
  <c r="D228" i="4"/>
  <c r="C228" i="4"/>
  <c r="E228" i="4" s="1"/>
  <c r="AM227" i="4"/>
  <c r="W227" i="4"/>
  <c r="S227" i="4"/>
  <c r="O227" i="4"/>
  <c r="N227" i="4"/>
  <c r="P227" i="4" s="1"/>
  <c r="AA227" i="4" s="1"/>
  <c r="L227" i="4"/>
  <c r="K227" i="4"/>
  <c r="M227" i="4" s="1"/>
  <c r="H227" i="4"/>
  <c r="G227" i="4"/>
  <c r="F227" i="4"/>
  <c r="D227" i="4"/>
  <c r="C227" i="4"/>
  <c r="AM226" i="4"/>
  <c r="W226" i="4"/>
  <c r="S226" i="4"/>
  <c r="O226" i="4"/>
  <c r="N226" i="4"/>
  <c r="L226" i="4"/>
  <c r="K226" i="4"/>
  <c r="M226" i="4" s="1"/>
  <c r="G226" i="4"/>
  <c r="F226" i="4"/>
  <c r="H226" i="4" s="1"/>
  <c r="E226" i="4"/>
  <c r="D226" i="4"/>
  <c r="C226" i="4"/>
  <c r="AM225" i="4"/>
  <c r="W225" i="4"/>
  <c r="S225" i="4"/>
  <c r="O225" i="4"/>
  <c r="N225" i="4"/>
  <c r="P225" i="4" s="1"/>
  <c r="AA225" i="4" s="1"/>
  <c r="L225" i="4"/>
  <c r="K225" i="4"/>
  <c r="M225" i="4" s="1"/>
  <c r="G225" i="4"/>
  <c r="H225" i="4" s="1"/>
  <c r="F225" i="4"/>
  <c r="D225" i="4"/>
  <c r="C225" i="4"/>
  <c r="E225" i="4" s="1"/>
  <c r="AM224" i="4"/>
  <c r="W224" i="4"/>
  <c r="S224" i="4"/>
  <c r="O224" i="4"/>
  <c r="N224" i="4"/>
  <c r="P224" i="4" s="1"/>
  <c r="AA224" i="4" s="1"/>
  <c r="M224" i="4"/>
  <c r="L224" i="4"/>
  <c r="K224" i="4"/>
  <c r="G224" i="4"/>
  <c r="F224" i="4"/>
  <c r="H224" i="4" s="1"/>
  <c r="D224" i="4"/>
  <c r="C224" i="4"/>
  <c r="E224" i="4" s="1"/>
  <c r="AM223" i="4"/>
  <c r="W223" i="4"/>
  <c r="S223" i="4"/>
  <c r="P223" i="4"/>
  <c r="AA223" i="4" s="1"/>
  <c r="O223" i="4"/>
  <c r="N223" i="4"/>
  <c r="L223" i="4"/>
  <c r="K223" i="4"/>
  <c r="M223" i="4" s="1"/>
  <c r="G223" i="4"/>
  <c r="H223" i="4" s="1"/>
  <c r="F223" i="4"/>
  <c r="D223" i="4"/>
  <c r="C223" i="4"/>
  <c r="E223" i="4" s="1"/>
  <c r="AM222" i="4"/>
  <c r="AA222" i="4"/>
  <c r="W222" i="4"/>
  <c r="S222" i="4"/>
  <c r="P222" i="4"/>
  <c r="O222" i="4"/>
  <c r="N222" i="4"/>
  <c r="L222" i="4"/>
  <c r="K222" i="4"/>
  <c r="M222" i="4" s="1"/>
  <c r="G222" i="4"/>
  <c r="F222" i="4"/>
  <c r="H222" i="4" s="1"/>
  <c r="E222" i="4"/>
  <c r="D222" i="4"/>
  <c r="C222" i="4"/>
  <c r="AM221" i="4"/>
  <c r="W221" i="4"/>
  <c r="S221" i="4"/>
  <c r="P221" i="4"/>
  <c r="AA221" i="4" s="1"/>
  <c r="O221" i="4"/>
  <c r="N221" i="4"/>
  <c r="M221" i="4"/>
  <c r="L221" i="4"/>
  <c r="K221" i="4"/>
  <c r="G221" i="4"/>
  <c r="F221" i="4"/>
  <c r="H221" i="4" s="1"/>
  <c r="D221" i="4"/>
  <c r="C221" i="4"/>
  <c r="E221" i="4" s="1"/>
  <c r="AM220" i="4"/>
  <c r="W220" i="4"/>
  <c r="S220" i="4"/>
  <c r="O220" i="4"/>
  <c r="N220" i="4"/>
  <c r="P220" i="4" s="1"/>
  <c r="AA220" i="4" s="1"/>
  <c r="L220" i="4"/>
  <c r="K220" i="4"/>
  <c r="M220" i="4" s="1"/>
  <c r="H220" i="4"/>
  <c r="G220" i="4"/>
  <c r="F220" i="4"/>
  <c r="D220" i="4"/>
  <c r="C220" i="4"/>
  <c r="E220" i="4" s="1"/>
  <c r="AM219" i="4"/>
  <c r="W219" i="4"/>
  <c r="S219" i="4"/>
  <c r="O219" i="4"/>
  <c r="N219" i="4"/>
  <c r="P219" i="4" s="1"/>
  <c r="AA219" i="4" s="1"/>
  <c r="L219" i="4"/>
  <c r="K219" i="4"/>
  <c r="M219" i="4" s="1"/>
  <c r="G219" i="4"/>
  <c r="F219" i="4"/>
  <c r="H219" i="4" s="1"/>
  <c r="E219" i="4"/>
  <c r="D219" i="4"/>
  <c r="C219" i="4"/>
  <c r="AM218" i="4"/>
  <c r="W218" i="4"/>
  <c r="S218" i="4"/>
  <c r="O218" i="4"/>
  <c r="P218" i="4" s="1"/>
  <c r="AA218" i="4" s="1"/>
  <c r="N218" i="4"/>
  <c r="L218" i="4"/>
  <c r="K218" i="4"/>
  <c r="M218" i="4" s="1"/>
  <c r="G218" i="4"/>
  <c r="F218" i="4"/>
  <c r="H218" i="4" s="1"/>
  <c r="D218" i="4"/>
  <c r="E218" i="4" s="1"/>
  <c r="C218" i="4"/>
  <c r="AM217" i="4"/>
  <c r="W217" i="4"/>
  <c r="S217" i="4"/>
  <c r="P217" i="4"/>
  <c r="AA217" i="4" s="1"/>
  <c r="O217" i="4"/>
  <c r="N217" i="4"/>
  <c r="M217" i="4"/>
  <c r="L217" i="4"/>
  <c r="K217" i="4"/>
  <c r="G217" i="4"/>
  <c r="H217" i="4" s="1"/>
  <c r="F217" i="4"/>
  <c r="D217" i="4"/>
  <c r="C217" i="4"/>
  <c r="E217" i="4" s="1"/>
  <c r="AM216" i="4"/>
  <c r="W216" i="4"/>
  <c r="S216" i="4"/>
  <c r="O216" i="4"/>
  <c r="N216" i="4"/>
  <c r="P216" i="4" s="1"/>
  <c r="AA216" i="4" s="1"/>
  <c r="L216" i="4"/>
  <c r="M216" i="4" s="1"/>
  <c r="K216" i="4"/>
  <c r="G216" i="4"/>
  <c r="F216" i="4"/>
  <c r="H216" i="4" s="1"/>
  <c r="D216" i="4"/>
  <c r="C216" i="4"/>
  <c r="E216" i="4" s="1"/>
  <c r="AM215" i="4"/>
  <c r="W215" i="4"/>
  <c r="S215" i="4"/>
  <c r="O215" i="4"/>
  <c r="N215" i="4"/>
  <c r="P215" i="4" s="1"/>
  <c r="AA215" i="4" s="1"/>
  <c r="L215" i="4"/>
  <c r="K215" i="4"/>
  <c r="M215" i="4" s="1"/>
  <c r="G215" i="4"/>
  <c r="F215" i="4"/>
  <c r="H215" i="4" s="1"/>
  <c r="D215" i="4"/>
  <c r="C215" i="4"/>
  <c r="E215" i="4" s="1"/>
  <c r="AM214" i="4"/>
  <c r="W214" i="4"/>
  <c r="S214" i="4"/>
  <c r="O214" i="4"/>
  <c r="P214" i="4" s="1"/>
  <c r="AA214" i="4" s="1"/>
  <c r="N214" i="4"/>
  <c r="L214" i="4"/>
  <c r="K214" i="4"/>
  <c r="M214" i="4" s="1"/>
  <c r="G214" i="4"/>
  <c r="F214" i="4"/>
  <c r="D214" i="4"/>
  <c r="C214" i="4"/>
  <c r="E214" i="4" s="1"/>
  <c r="AM213" i="4"/>
  <c r="W213" i="4"/>
  <c r="S213" i="4"/>
  <c r="O213" i="4"/>
  <c r="N213" i="4"/>
  <c r="P213" i="4" s="1"/>
  <c r="AA213" i="4" s="1"/>
  <c r="M213" i="4"/>
  <c r="L213" i="4"/>
  <c r="K213" i="4"/>
  <c r="G213" i="4"/>
  <c r="F213" i="4"/>
  <c r="H213" i="4" s="1"/>
  <c r="D213" i="4"/>
  <c r="C213" i="4"/>
  <c r="AM212" i="4"/>
  <c r="W212" i="4"/>
  <c r="S212" i="4"/>
  <c r="O212" i="4"/>
  <c r="N212" i="4"/>
  <c r="L212" i="4"/>
  <c r="K212" i="4"/>
  <c r="M212" i="4" s="1"/>
  <c r="G212" i="4"/>
  <c r="H212" i="4" s="1"/>
  <c r="F212" i="4"/>
  <c r="D212" i="4"/>
  <c r="C212" i="4"/>
  <c r="E212" i="4" s="1"/>
  <c r="AM211" i="4"/>
  <c r="W211" i="4"/>
  <c r="S211" i="4"/>
  <c r="O211" i="4"/>
  <c r="N211" i="4"/>
  <c r="P211" i="4" s="1"/>
  <c r="AA211" i="4" s="1"/>
  <c r="L211" i="4"/>
  <c r="K211" i="4"/>
  <c r="M211" i="4" s="1"/>
  <c r="G211" i="4"/>
  <c r="F211" i="4"/>
  <c r="H211" i="4" s="1"/>
  <c r="E211" i="4"/>
  <c r="D211" i="4"/>
  <c r="C211" i="4"/>
  <c r="AM210" i="4"/>
  <c r="W210" i="4"/>
  <c r="S210" i="4"/>
  <c r="P210" i="4"/>
  <c r="AA210" i="4" s="1"/>
  <c r="O210" i="4"/>
  <c r="N210" i="4"/>
  <c r="L210" i="4"/>
  <c r="K210" i="4"/>
  <c r="M210" i="4" s="1"/>
  <c r="G210" i="4"/>
  <c r="F210" i="4"/>
  <c r="H210" i="4" s="1"/>
  <c r="E210" i="4"/>
  <c r="D210" i="4"/>
  <c r="C210" i="4"/>
  <c r="AM209" i="4"/>
  <c r="W209" i="4"/>
  <c r="S209" i="4"/>
  <c r="O209" i="4"/>
  <c r="N209" i="4"/>
  <c r="P209" i="4" s="1"/>
  <c r="AA209" i="4" s="1"/>
  <c r="L209" i="4"/>
  <c r="K209" i="4"/>
  <c r="M209" i="4" s="1"/>
  <c r="H209" i="4"/>
  <c r="G209" i="4"/>
  <c r="F209" i="4"/>
  <c r="D209" i="4"/>
  <c r="C209" i="4"/>
  <c r="AM208" i="4"/>
  <c r="W208" i="4"/>
  <c r="S208" i="4"/>
  <c r="O208" i="4"/>
  <c r="N208" i="4"/>
  <c r="P208" i="4" s="1"/>
  <c r="AA208" i="4" s="1"/>
  <c r="L208" i="4"/>
  <c r="K208" i="4"/>
  <c r="M208" i="4" s="1"/>
  <c r="H208" i="4"/>
  <c r="G208" i="4"/>
  <c r="F208" i="4"/>
  <c r="D208" i="4"/>
  <c r="C208" i="4"/>
  <c r="E208" i="4" s="1"/>
  <c r="AM207" i="4"/>
  <c r="AA207" i="4"/>
  <c r="W207" i="4"/>
  <c r="V207" i="4"/>
  <c r="S207" i="4"/>
  <c r="P207" i="4"/>
  <c r="O207" i="4"/>
  <c r="N207" i="4"/>
  <c r="M207" i="4"/>
  <c r="L207" i="4"/>
  <c r="K207" i="4"/>
  <c r="G207" i="4"/>
  <c r="H207" i="4" s="1"/>
  <c r="F207" i="4"/>
  <c r="D207" i="4"/>
  <c r="C207" i="4"/>
  <c r="E207" i="4" s="1"/>
  <c r="AM206" i="4"/>
  <c r="W206" i="4"/>
  <c r="V206" i="4"/>
  <c r="S206" i="4"/>
  <c r="O206" i="4"/>
  <c r="P206" i="4" s="1"/>
  <c r="AA206" i="4" s="1"/>
  <c r="N206" i="4"/>
  <c r="L206" i="4"/>
  <c r="K206" i="4"/>
  <c r="M206" i="4" s="1"/>
  <c r="G206" i="4"/>
  <c r="F206" i="4"/>
  <c r="D206" i="4"/>
  <c r="C206" i="4"/>
  <c r="E206" i="4" s="1"/>
  <c r="AM205" i="4"/>
  <c r="W205" i="4"/>
  <c r="V205" i="4"/>
  <c r="S205" i="4"/>
  <c r="O205" i="4"/>
  <c r="P205" i="4" s="1"/>
  <c r="AA205" i="4" s="1"/>
  <c r="N205" i="4"/>
  <c r="M205" i="4"/>
  <c r="L205" i="4"/>
  <c r="K205" i="4"/>
  <c r="G205" i="4"/>
  <c r="F205" i="4"/>
  <c r="H205" i="4" s="1"/>
  <c r="D205" i="4"/>
  <c r="E205" i="4" s="1"/>
  <c r="C205" i="4"/>
  <c r="AM204" i="4"/>
  <c r="W204" i="4"/>
  <c r="V204" i="4"/>
  <c r="S204" i="4"/>
  <c r="O204" i="4"/>
  <c r="N204" i="4"/>
  <c r="P204" i="4" s="1"/>
  <c r="AA204" i="4" s="1"/>
  <c r="L204" i="4"/>
  <c r="K204" i="4"/>
  <c r="M204" i="4" s="1"/>
  <c r="H204" i="4"/>
  <c r="G204" i="4"/>
  <c r="F204" i="4"/>
  <c r="D204" i="4"/>
  <c r="C204" i="4"/>
  <c r="E204" i="4" s="1"/>
  <c r="AM203" i="4"/>
  <c r="AA203" i="4"/>
  <c r="W203" i="4"/>
  <c r="V203" i="4"/>
  <c r="S203" i="4"/>
  <c r="O203" i="4"/>
  <c r="N203" i="4"/>
  <c r="P203" i="4" s="1"/>
  <c r="L203" i="4"/>
  <c r="K203" i="4"/>
  <c r="M203" i="4" s="1"/>
  <c r="G203" i="4"/>
  <c r="H203" i="4" s="1"/>
  <c r="F203" i="4"/>
  <c r="D203" i="4"/>
  <c r="C203" i="4"/>
  <c r="E203" i="4" s="1"/>
  <c r="AM202" i="4"/>
  <c r="W202" i="4"/>
  <c r="V202" i="4"/>
  <c r="S202" i="4"/>
  <c r="P202" i="4"/>
  <c r="AA202" i="4" s="1"/>
  <c r="O202" i="4"/>
  <c r="N202" i="4"/>
  <c r="L202" i="4"/>
  <c r="K202" i="4"/>
  <c r="M202" i="4" s="1"/>
  <c r="G202" i="4"/>
  <c r="F202" i="4"/>
  <c r="H202" i="4" s="1"/>
  <c r="E202" i="4"/>
  <c r="D202" i="4"/>
  <c r="C202" i="4"/>
  <c r="AM201" i="4"/>
  <c r="W201" i="4"/>
  <c r="V201" i="4"/>
  <c r="S201" i="4"/>
  <c r="O201" i="4"/>
  <c r="N201" i="4"/>
  <c r="P201" i="4" s="1"/>
  <c r="AA201" i="4" s="1"/>
  <c r="M201" i="4"/>
  <c r="L201" i="4"/>
  <c r="K201" i="4"/>
  <c r="G201" i="4"/>
  <c r="F201" i="4"/>
  <c r="H201" i="4" s="1"/>
  <c r="D201" i="4"/>
  <c r="C201" i="4"/>
  <c r="E201" i="4" s="1"/>
  <c r="AM200" i="4"/>
  <c r="W200" i="4"/>
  <c r="V200" i="4"/>
  <c r="S200" i="4"/>
  <c r="P200" i="4"/>
  <c r="AA200" i="4" s="1"/>
  <c r="O200" i="4"/>
  <c r="N200" i="4"/>
  <c r="M200" i="4"/>
  <c r="L200" i="4"/>
  <c r="K200" i="4"/>
  <c r="G200" i="4"/>
  <c r="H200" i="4" s="1"/>
  <c r="F200" i="4"/>
  <c r="D200" i="4"/>
  <c r="C200" i="4"/>
  <c r="E200" i="4" s="1"/>
  <c r="AM199" i="4"/>
  <c r="W199" i="4"/>
  <c r="V199" i="4"/>
  <c r="S199" i="4"/>
  <c r="O199" i="4"/>
  <c r="N199" i="4"/>
  <c r="P199" i="4" s="1"/>
  <c r="AA199" i="4" s="1"/>
  <c r="M199" i="4"/>
  <c r="L199" i="4"/>
  <c r="K199" i="4"/>
  <c r="G199" i="4"/>
  <c r="H199" i="4" s="1"/>
  <c r="F199" i="4"/>
  <c r="E199" i="4"/>
  <c r="D199" i="4"/>
  <c r="C199" i="4"/>
  <c r="AM198" i="4"/>
  <c r="W198" i="4"/>
  <c r="V198" i="4"/>
  <c r="S198" i="4"/>
  <c r="O198" i="4"/>
  <c r="N198" i="4"/>
  <c r="L198" i="4"/>
  <c r="K198" i="4"/>
  <c r="M198" i="4" s="1"/>
  <c r="G198" i="4"/>
  <c r="F198" i="4"/>
  <c r="H198" i="4" s="1"/>
  <c r="E198" i="4"/>
  <c r="D198" i="4"/>
  <c r="C198" i="4"/>
  <c r="AM197" i="4"/>
  <c r="W197" i="4"/>
  <c r="V197" i="4"/>
  <c r="S197" i="4"/>
  <c r="O197" i="4"/>
  <c r="N197" i="4"/>
  <c r="P197" i="4" s="1"/>
  <c r="AA197" i="4" s="1"/>
  <c r="L197" i="4"/>
  <c r="K197" i="4"/>
  <c r="M197" i="4" s="1"/>
  <c r="G197" i="4"/>
  <c r="F197" i="4"/>
  <c r="H197" i="4" s="1"/>
  <c r="E197" i="4"/>
  <c r="D197" i="4"/>
  <c r="C197" i="4"/>
  <c r="AM196" i="4"/>
  <c r="AA196" i="4"/>
  <c r="W196" i="4"/>
  <c r="V196" i="4"/>
  <c r="S196" i="4"/>
  <c r="P196" i="4"/>
  <c r="O196" i="4"/>
  <c r="N196" i="4"/>
  <c r="L196" i="4"/>
  <c r="K196" i="4"/>
  <c r="M196" i="4" s="1"/>
  <c r="G196" i="4"/>
  <c r="F196" i="4"/>
  <c r="H196" i="4" s="1"/>
  <c r="D196" i="4"/>
  <c r="C196" i="4"/>
  <c r="E196" i="4" s="1"/>
  <c r="AM195" i="4"/>
  <c r="W195" i="4"/>
  <c r="V195" i="4"/>
  <c r="S195" i="4"/>
  <c r="O195" i="4"/>
  <c r="P195" i="4" s="1"/>
  <c r="AA195" i="4" s="1"/>
  <c r="N195" i="4"/>
  <c r="L195" i="4"/>
  <c r="K195" i="4"/>
  <c r="M195" i="4" s="1"/>
  <c r="G195" i="4"/>
  <c r="F195" i="4"/>
  <c r="H195" i="4" s="1"/>
  <c r="D195" i="4"/>
  <c r="C195" i="4"/>
  <c r="E195" i="4" s="1"/>
  <c r="AM194" i="4"/>
  <c r="W194" i="4"/>
  <c r="V194" i="4"/>
  <c r="S194" i="4"/>
  <c r="O194" i="4"/>
  <c r="N194" i="4"/>
  <c r="P194" i="4" s="1"/>
  <c r="AA194" i="4" s="1"/>
  <c r="M194" i="4"/>
  <c r="L194" i="4"/>
  <c r="K194" i="4"/>
  <c r="G194" i="4"/>
  <c r="F194" i="4"/>
  <c r="D194" i="4"/>
  <c r="C194" i="4"/>
  <c r="E194" i="4" s="1"/>
  <c r="AM193" i="4"/>
  <c r="AA193" i="4"/>
  <c r="W193" i="4"/>
  <c r="V193" i="4"/>
  <c r="S193" i="4"/>
  <c r="O193" i="4"/>
  <c r="N193" i="4"/>
  <c r="P193" i="4" s="1"/>
  <c r="L193" i="4"/>
  <c r="M193" i="4" s="1"/>
  <c r="K193" i="4"/>
  <c r="H193" i="4"/>
  <c r="G193" i="4"/>
  <c r="F193" i="4"/>
  <c r="E193" i="4"/>
  <c r="D193" i="4"/>
  <c r="C193" i="4"/>
  <c r="AM192" i="4"/>
  <c r="W192" i="4"/>
  <c r="V192" i="4"/>
  <c r="S192" i="4"/>
  <c r="O192" i="4"/>
  <c r="N192" i="4"/>
  <c r="P192" i="4" s="1"/>
  <c r="AA192" i="4" s="1"/>
  <c r="M192" i="4"/>
  <c r="L192" i="4"/>
  <c r="K192" i="4"/>
  <c r="G192" i="4"/>
  <c r="H192" i="4" s="1"/>
  <c r="F192" i="4"/>
  <c r="D192" i="4"/>
  <c r="C192" i="4"/>
  <c r="E192" i="4" s="1"/>
  <c r="AM191" i="4"/>
  <c r="W191" i="4"/>
  <c r="V191" i="4"/>
  <c r="S191" i="4"/>
  <c r="O191" i="4"/>
  <c r="P191" i="4" s="1"/>
  <c r="AA191" i="4" s="1"/>
  <c r="N191" i="4"/>
  <c r="L191" i="4"/>
  <c r="K191" i="4"/>
  <c r="M191" i="4" s="1"/>
  <c r="H191" i="4"/>
  <c r="G191" i="4"/>
  <c r="F191" i="4"/>
  <c r="E191" i="4"/>
  <c r="D191" i="4"/>
  <c r="C191" i="4"/>
  <c r="AM190" i="4"/>
  <c r="W190" i="4"/>
  <c r="V190" i="4"/>
  <c r="S190" i="4"/>
  <c r="O190" i="4"/>
  <c r="N190" i="4"/>
  <c r="P190" i="4" s="1"/>
  <c r="AA190" i="4" s="1"/>
  <c r="L190" i="4"/>
  <c r="K190" i="4"/>
  <c r="M190" i="4" s="1"/>
  <c r="G190" i="4"/>
  <c r="F190" i="4"/>
  <c r="H190" i="4" s="1"/>
  <c r="D190" i="4"/>
  <c r="C190" i="4"/>
  <c r="E190" i="4" s="1"/>
  <c r="AM189" i="4"/>
  <c r="W189" i="4"/>
  <c r="V189" i="4"/>
  <c r="S189" i="4"/>
  <c r="P189" i="4"/>
  <c r="AA189" i="4" s="1"/>
  <c r="O189" i="4"/>
  <c r="N189" i="4"/>
  <c r="L189" i="4"/>
  <c r="K189" i="4"/>
  <c r="G189" i="4"/>
  <c r="F189" i="4"/>
  <c r="H189" i="4" s="1"/>
  <c r="E189" i="4"/>
  <c r="D189" i="4"/>
  <c r="C189" i="4"/>
  <c r="AM188" i="4"/>
  <c r="W188" i="4"/>
  <c r="V188" i="4"/>
  <c r="S188" i="4"/>
  <c r="O188" i="4"/>
  <c r="N188" i="4"/>
  <c r="P188" i="4" s="1"/>
  <c r="AA188" i="4" s="1"/>
  <c r="L188" i="4"/>
  <c r="M188" i="4" s="1"/>
  <c r="K188" i="4"/>
  <c r="G188" i="4"/>
  <c r="F188" i="4"/>
  <c r="H188" i="4" s="1"/>
  <c r="E188" i="4"/>
  <c r="D188" i="4"/>
  <c r="C188" i="4"/>
  <c r="AM187" i="4"/>
  <c r="W187" i="4"/>
  <c r="V187" i="4"/>
  <c r="S187" i="4"/>
  <c r="O187" i="4"/>
  <c r="N187" i="4"/>
  <c r="L187" i="4"/>
  <c r="K187" i="4"/>
  <c r="M187" i="4" s="1"/>
  <c r="G187" i="4"/>
  <c r="F187" i="4"/>
  <c r="H187" i="4" s="1"/>
  <c r="E187" i="4"/>
  <c r="D187" i="4"/>
  <c r="C187" i="4"/>
  <c r="AM186" i="4"/>
  <c r="W186" i="4"/>
  <c r="V186" i="4"/>
  <c r="S186" i="4"/>
  <c r="O186" i="4"/>
  <c r="N186" i="4"/>
  <c r="M186" i="4"/>
  <c r="L186" i="4"/>
  <c r="K186" i="4"/>
  <c r="G186" i="4"/>
  <c r="H186" i="4" s="1"/>
  <c r="F186" i="4"/>
  <c r="D186" i="4"/>
  <c r="E186" i="4" s="1"/>
  <c r="C186" i="4"/>
  <c r="AM185" i="4"/>
  <c r="AA185" i="4"/>
  <c r="W185" i="4"/>
  <c r="V185" i="4"/>
  <c r="S185" i="4"/>
  <c r="P185" i="4"/>
  <c r="O185" i="4"/>
  <c r="N185" i="4"/>
  <c r="M185" i="4"/>
  <c r="L185" i="4"/>
  <c r="K185" i="4"/>
  <c r="G185" i="4"/>
  <c r="F185" i="4"/>
  <c r="H185" i="4" s="1"/>
  <c r="D185" i="4"/>
  <c r="C185" i="4"/>
  <c r="E185" i="4" s="1"/>
  <c r="AM184" i="4"/>
  <c r="W184" i="4"/>
  <c r="V184" i="4"/>
  <c r="S184" i="4"/>
  <c r="P184" i="4"/>
  <c r="AA184" i="4" s="1"/>
  <c r="O184" i="4"/>
  <c r="N184" i="4"/>
  <c r="L184" i="4"/>
  <c r="K184" i="4"/>
  <c r="M184" i="4" s="1"/>
  <c r="G184" i="4"/>
  <c r="F184" i="4"/>
  <c r="H184" i="4" s="1"/>
  <c r="D184" i="4"/>
  <c r="E184" i="4" s="1"/>
  <c r="C184" i="4"/>
  <c r="AM183" i="4"/>
  <c r="W183" i="4"/>
  <c r="V183" i="4"/>
  <c r="S183" i="4"/>
  <c r="O183" i="4"/>
  <c r="N183" i="4"/>
  <c r="P183" i="4" s="1"/>
  <c r="AA183" i="4" s="1"/>
  <c r="M183" i="4"/>
  <c r="L183" i="4"/>
  <c r="K183" i="4"/>
  <c r="G183" i="4"/>
  <c r="F183" i="4"/>
  <c r="H183" i="4" s="1"/>
  <c r="E183" i="4"/>
  <c r="D183" i="4"/>
  <c r="C183" i="4"/>
  <c r="AM182" i="4"/>
  <c r="W182" i="4"/>
  <c r="V182" i="4"/>
  <c r="S182" i="4"/>
  <c r="O182" i="4"/>
  <c r="P182" i="4" s="1"/>
  <c r="AA182" i="4" s="1"/>
  <c r="N182" i="4"/>
  <c r="L182" i="4"/>
  <c r="K182" i="4"/>
  <c r="M182" i="4" s="1"/>
  <c r="H182" i="4"/>
  <c r="G182" i="4"/>
  <c r="F182" i="4"/>
  <c r="D182" i="4"/>
  <c r="C182" i="4"/>
  <c r="E182" i="4" s="1"/>
  <c r="AM181" i="4"/>
  <c r="W181" i="4"/>
  <c r="V181" i="4"/>
  <c r="S181" i="4"/>
  <c r="O181" i="4"/>
  <c r="N181" i="4"/>
  <c r="P181" i="4" s="1"/>
  <c r="AA181" i="4" s="1"/>
  <c r="M181" i="4"/>
  <c r="L181" i="4"/>
  <c r="K181" i="4"/>
  <c r="G181" i="4"/>
  <c r="H181" i="4" s="1"/>
  <c r="F181" i="4"/>
  <c r="D181" i="4"/>
  <c r="C181" i="4"/>
  <c r="E181" i="4" s="1"/>
  <c r="AM180" i="4"/>
  <c r="W180" i="4"/>
  <c r="V180" i="4"/>
  <c r="S180" i="4"/>
  <c r="P180" i="4"/>
  <c r="AA180" i="4" s="1"/>
  <c r="O180" i="4"/>
  <c r="N180" i="4"/>
  <c r="L180" i="4"/>
  <c r="K180" i="4"/>
  <c r="M180" i="4" s="1"/>
  <c r="H180" i="4"/>
  <c r="G180" i="4"/>
  <c r="F180" i="4"/>
  <c r="E180" i="4"/>
  <c r="D180" i="4"/>
  <c r="C180" i="4"/>
  <c r="AM179" i="4"/>
  <c r="W179" i="4"/>
  <c r="V179" i="4"/>
  <c r="S179" i="4"/>
  <c r="O179" i="4"/>
  <c r="N179" i="4"/>
  <c r="P179" i="4" s="1"/>
  <c r="AA179" i="4" s="1"/>
  <c r="L179" i="4"/>
  <c r="K179" i="4"/>
  <c r="M179" i="4" s="1"/>
  <c r="G179" i="4"/>
  <c r="F179" i="4"/>
  <c r="H179" i="4" s="1"/>
  <c r="E179" i="4"/>
  <c r="D179" i="4"/>
  <c r="C179" i="4"/>
  <c r="AM178" i="4"/>
  <c r="W178" i="4"/>
  <c r="V178" i="4"/>
  <c r="S178" i="4"/>
  <c r="P178" i="4"/>
  <c r="AA178" i="4" s="1"/>
  <c r="O178" i="4"/>
  <c r="N178" i="4"/>
  <c r="L178" i="4"/>
  <c r="K178" i="4"/>
  <c r="M178" i="4" s="1"/>
  <c r="G178" i="4"/>
  <c r="F178" i="4"/>
  <c r="H178" i="4" s="1"/>
  <c r="D178" i="4"/>
  <c r="E178" i="4" s="1"/>
  <c r="C178" i="4"/>
  <c r="AM177" i="4"/>
  <c r="W177" i="4"/>
  <c r="V177" i="4"/>
  <c r="S177" i="4"/>
  <c r="O177" i="4"/>
  <c r="N177" i="4"/>
  <c r="P177" i="4" s="1"/>
  <c r="AA177" i="4" s="1"/>
  <c r="L177" i="4"/>
  <c r="K177" i="4"/>
  <c r="M177" i="4" s="1"/>
  <c r="G177" i="4"/>
  <c r="F177" i="4"/>
  <c r="H177" i="4" s="1"/>
  <c r="D177" i="4"/>
  <c r="C177" i="4"/>
  <c r="E177" i="4" s="1"/>
  <c r="AM176" i="4"/>
  <c r="W176" i="4"/>
  <c r="V176" i="4"/>
  <c r="S176" i="4"/>
  <c r="O176" i="4"/>
  <c r="N176" i="4"/>
  <c r="L176" i="4"/>
  <c r="K176" i="4"/>
  <c r="M176" i="4" s="1"/>
  <c r="G176" i="4"/>
  <c r="F176" i="4"/>
  <c r="H176" i="4" s="1"/>
  <c r="D176" i="4"/>
  <c r="C176" i="4"/>
  <c r="E176" i="4" s="1"/>
  <c r="AM175" i="4"/>
  <c r="W175" i="4"/>
  <c r="V175" i="4"/>
  <c r="S175" i="4"/>
  <c r="O175" i="4"/>
  <c r="N175" i="4"/>
  <c r="P175" i="4" s="1"/>
  <c r="AA175" i="4" s="1"/>
  <c r="M175" i="4"/>
  <c r="L175" i="4"/>
  <c r="K175" i="4"/>
  <c r="G175" i="4"/>
  <c r="F175" i="4"/>
  <c r="H175" i="4" s="1"/>
  <c r="D175" i="4"/>
  <c r="C175" i="4"/>
  <c r="E175" i="4" s="1"/>
  <c r="AM174" i="4"/>
  <c r="AA174" i="4"/>
  <c r="W174" i="4"/>
  <c r="V174" i="4"/>
  <c r="S174" i="4"/>
  <c r="P174" i="4"/>
  <c r="O174" i="4"/>
  <c r="N174" i="4"/>
  <c r="L174" i="4"/>
  <c r="K174" i="4"/>
  <c r="M174" i="4" s="1"/>
  <c r="H174" i="4"/>
  <c r="G174" i="4"/>
  <c r="F174" i="4"/>
  <c r="D174" i="4"/>
  <c r="C174" i="4"/>
  <c r="E174" i="4" s="1"/>
  <c r="AM173" i="4"/>
  <c r="W173" i="4"/>
  <c r="V173" i="4"/>
  <c r="S173" i="4"/>
  <c r="O173" i="4"/>
  <c r="P173" i="4" s="1"/>
  <c r="AA173" i="4" s="1"/>
  <c r="N173" i="4"/>
  <c r="L173" i="4"/>
  <c r="K173" i="4"/>
  <c r="M173" i="4" s="1"/>
  <c r="G173" i="4"/>
  <c r="F173" i="4"/>
  <c r="H173" i="4" s="1"/>
  <c r="E173" i="4"/>
  <c r="D173" i="4"/>
  <c r="C173" i="4"/>
  <c r="AM172" i="4"/>
  <c r="W172" i="4"/>
  <c r="V172" i="4"/>
  <c r="S172" i="4"/>
  <c r="O172" i="4"/>
  <c r="N172" i="4"/>
  <c r="M172" i="4"/>
  <c r="L172" i="4"/>
  <c r="K172" i="4"/>
  <c r="G172" i="4"/>
  <c r="F172" i="4"/>
  <c r="H172" i="4" s="1"/>
  <c r="D172" i="4"/>
  <c r="C172" i="4"/>
  <c r="E172" i="4" s="1"/>
  <c r="AM171" i="4"/>
  <c r="W171" i="4"/>
  <c r="V171" i="4"/>
  <c r="S171" i="4"/>
  <c r="O171" i="4"/>
  <c r="N171" i="4"/>
  <c r="P171" i="4" s="1"/>
  <c r="AA171" i="4" s="1"/>
  <c r="L171" i="4"/>
  <c r="M171" i="4" s="1"/>
  <c r="K171" i="4"/>
  <c r="H171" i="4"/>
  <c r="G171" i="4"/>
  <c r="F171" i="4"/>
  <c r="D171" i="4"/>
  <c r="C171" i="4"/>
  <c r="E171" i="4" s="1"/>
  <c r="AM170" i="4"/>
  <c r="W170" i="4"/>
  <c r="V170" i="4"/>
  <c r="S170" i="4"/>
  <c r="O170" i="4"/>
  <c r="N170" i="4"/>
  <c r="P170" i="4" s="1"/>
  <c r="AA170" i="4" s="1"/>
  <c r="L170" i="4"/>
  <c r="K170" i="4"/>
  <c r="M170" i="4" s="1"/>
  <c r="H170" i="4"/>
  <c r="G170" i="4"/>
  <c r="F170" i="4"/>
  <c r="D170" i="4"/>
  <c r="C170" i="4"/>
  <c r="E170" i="4" s="1"/>
  <c r="AM169" i="4"/>
  <c r="W169" i="4"/>
  <c r="V169" i="4"/>
  <c r="S169" i="4"/>
  <c r="O169" i="4"/>
  <c r="N169" i="4"/>
  <c r="P169" i="4" s="1"/>
  <c r="AA169" i="4" s="1"/>
  <c r="L169" i="4"/>
  <c r="K169" i="4"/>
  <c r="M169" i="4" s="1"/>
  <c r="G169" i="4"/>
  <c r="H169" i="4" s="1"/>
  <c r="F169" i="4"/>
  <c r="E169" i="4"/>
  <c r="D169" i="4"/>
  <c r="C169" i="4"/>
  <c r="AM168" i="4"/>
  <c r="W168" i="4"/>
  <c r="V168" i="4"/>
  <c r="S168" i="4"/>
  <c r="O168" i="4"/>
  <c r="P168" i="4" s="1"/>
  <c r="AA168" i="4" s="1"/>
  <c r="N168" i="4"/>
  <c r="L168" i="4"/>
  <c r="K168" i="4"/>
  <c r="M168" i="4" s="1"/>
  <c r="G168" i="4"/>
  <c r="F168" i="4"/>
  <c r="H168" i="4" s="1"/>
  <c r="D168" i="4"/>
  <c r="C168" i="4"/>
  <c r="E168" i="4" s="1"/>
  <c r="AM167" i="4"/>
  <c r="W167" i="4"/>
  <c r="V167" i="4"/>
  <c r="S167" i="4"/>
  <c r="O167" i="4"/>
  <c r="P167" i="4" s="1"/>
  <c r="AA167" i="4" s="1"/>
  <c r="N167" i="4"/>
  <c r="L167" i="4"/>
  <c r="K167" i="4"/>
  <c r="M167" i="4" s="1"/>
  <c r="H167" i="4"/>
  <c r="G167" i="4"/>
  <c r="F167" i="4"/>
  <c r="D167" i="4"/>
  <c r="C167" i="4"/>
  <c r="AM166" i="4"/>
  <c r="W166" i="4"/>
  <c r="V166" i="4"/>
  <c r="S166" i="4"/>
  <c r="O166" i="4"/>
  <c r="N166" i="4"/>
  <c r="P166" i="4" s="1"/>
  <c r="AA166" i="4" s="1"/>
  <c r="L166" i="4"/>
  <c r="K166" i="4"/>
  <c r="M166" i="4" s="1"/>
  <c r="G166" i="4"/>
  <c r="F166" i="4"/>
  <c r="H166" i="4" s="1"/>
  <c r="D166" i="4"/>
  <c r="C166" i="4"/>
  <c r="E166" i="4" s="1"/>
  <c r="AM165" i="4"/>
  <c r="W165" i="4"/>
  <c r="V165" i="4"/>
  <c r="S165" i="4"/>
  <c r="O165" i="4"/>
  <c r="N165" i="4"/>
  <c r="P165" i="4" s="1"/>
  <c r="AA165" i="4" s="1"/>
  <c r="M165" i="4"/>
  <c r="L165" i="4"/>
  <c r="K165" i="4"/>
  <c r="H165" i="4"/>
  <c r="G165" i="4"/>
  <c r="F165" i="4"/>
  <c r="D165" i="4"/>
  <c r="E165" i="4" s="1"/>
  <c r="C165" i="4"/>
  <c r="AM164" i="4"/>
  <c r="W164" i="4"/>
  <c r="V164" i="4"/>
  <c r="S164" i="4"/>
  <c r="O164" i="4"/>
  <c r="N164" i="4"/>
  <c r="P164" i="4" s="1"/>
  <c r="AA164" i="4" s="1"/>
  <c r="L164" i="4"/>
  <c r="K164" i="4"/>
  <c r="M164" i="4" s="1"/>
  <c r="G164" i="4"/>
  <c r="F164" i="4"/>
  <c r="H164" i="4" s="1"/>
  <c r="D164" i="4"/>
  <c r="C164" i="4"/>
  <c r="E164" i="4" s="1"/>
  <c r="AM163" i="4"/>
  <c r="AA163" i="4"/>
  <c r="W163" i="4"/>
  <c r="V163" i="4"/>
  <c r="S163" i="4"/>
  <c r="P163" i="4"/>
  <c r="O163" i="4"/>
  <c r="N163" i="4"/>
  <c r="L163" i="4"/>
  <c r="K163" i="4"/>
  <c r="M163" i="4" s="1"/>
  <c r="G163" i="4"/>
  <c r="F163" i="4"/>
  <c r="H163" i="4" s="1"/>
  <c r="D163" i="4"/>
  <c r="C163" i="4"/>
  <c r="E163" i="4" s="1"/>
  <c r="AM162" i="4"/>
  <c r="W162" i="4"/>
  <c r="V162" i="4"/>
  <c r="S162" i="4"/>
  <c r="P162" i="4"/>
  <c r="AA162" i="4" s="1"/>
  <c r="O162" i="4"/>
  <c r="N162" i="4"/>
  <c r="L162" i="4"/>
  <c r="K162" i="4"/>
  <c r="M162" i="4" s="1"/>
  <c r="G162" i="4"/>
  <c r="F162" i="4"/>
  <c r="H162" i="4" s="1"/>
  <c r="D162" i="4"/>
  <c r="C162" i="4"/>
  <c r="E162" i="4" s="1"/>
  <c r="AM161" i="4"/>
  <c r="W161" i="4"/>
  <c r="V161" i="4"/>
  <c r="S161" i="4"/>
  <c r="O161" i="4"/>
  <c r="N161" i="4"/>
  <c r="P161" i="4" s="1"/>
  <c r="AA161" i="4" s="1"/>
  <c r="M161" i="4"/>
  <c r="L161" i="4"/>
  <c r="K161" i="4"/>
  <c r="G161" i="4"/>
  <c r="F161" i="4"/>
  <c r="H161" i="4" s="1"/>
  <c r="E161" i="4"/>
  <c r="D161" i="4"/>
  <c r="C161" i="4"/>
  <c r="AM160" i="4"/>
  <c r="W160" i="4"/>
  <c r="V160" i="4"/>
  <c r="S160" i="4"/>
  <c r="O160" i="4"/>
  <c r="N160" i="4"/>
  <c r="P160" i="4" s="1"/>
  <c r="AA160" i="4" s="1"/>
  <c r="M160" i="4"/>
  <c r="L160" i="4"/>
  <c r="K160" i="4"/>
  <c r="H160" i="4"/>
  <c r="G160" i="4"/>
  <c r="F160" i="4"/>
  <c r="D160" i="4"/>
  <c r="C160" i="4"/>
  <c r="E160" i="4" s="1"/>
  <c r="AM159" i="4"/>
  <c r="W159" i="4"/>
  <c r="V159" i="4"/>
  <c r="S159" i="4"/>
  <c r="O159" i="4"/>
  <c r="P159" i="4" s="1"/>
  <c r="AA159" i="4" s="1"/>
  <c r="N159" i="4"/>
  <c r="L159" i="4"/>
  <c r="K159" i="4"/>
  <c r="M159" i="4" s="1"/>
  <c r="H159" i="4"/>
  <c r="G159" i="4"/>
  <c r="F159" i="4"/>
  <c r="D159" i="4"/>
  <c r="C159" i="4"/>
  <c r="E159" i="4" s="1"/>
  <c r="AM158" i="4"/>
  <c r="W158" i="4"/>
  <c r="V158" i="4"/>
  <c r="S158" i="4"/>
  <c r="O158" i="4"/>
  <c r="N158" i="4"/>
  <c r="P158" i="4" s="1"/>
  <c r="AA158" i="4" s="1"/>
  <c r="M158" i="4"/>
  <c r="L158" i="4"/>
  <c r="K158" i="4"/>
  <c r="G158" i="4"/>
  <c r="H158" i="4" s="1"/>
  <c r="F158" i="4"/>
  <c r="E158" i="4"/>
  <c r="D158" i="4"/>
  <c r="C158" i="4"/>
  <c r="AM157" i="4"/>
  <c r="W157" i="4"/>
  <c r="V157" i="4"/>
  <c r="S157" i="4"/>
  <c r="O157" i="4"/>
  <c r="N157" i="4"/>
  <c r="P157" i="4" s="1"/>
  <c r="AA157" i="4" s="1"/>
  <c r="L157" i="4"/>
  <c r="M157" i="4" s="1"/>
  <c r="K157" i="4"/>
  <c r="H157" i="4"/>
  <c r="G157" i="4"/>
  <c r="F157" i="4"/>
  <c r="D157" i="4"/>
  <c r="C157" i="4"/>
  <c r="AM156" i="4"/>
  <c r="W156" i="4"/>
  <c r="V156" i="4"/>
  <c r="S156" i="4"/>
  <c r="O156" i="4"/>
  <c r="N156" i="4"/>
  <c r="P156" i="4" s="1"/>
  <c r="AA156" i="4" s="1"/>
  <c r="L156" i="4"/>
  <c r="K156" i="4"/>
  <c r="M156" i="4" s="1"/>
  <c r="G156" i="4"/>
  <c r="F156" i="4"/>
  <c r="H156" i="4" s="1"/>
  <c r="E156" i="4"/>
  <c r="D156" i="4"/>
  <c r="C156" i="4"/>
  <c r="AM155" i="4"/>
  <c r="W155" i="4"/>
  <c r="V155" i="4"/>
  <c r="S155" i="4"/>
  <c r="P155" i="4"/>
  <c r="AA155" i="4" s="1"/>
  <c r="O155" i="4"/>
  <c r="N155" i="4"/>
  <c r="M155" i="4"/>
  <c r="L155" i="4"/>
  <c r="K155" i="4"/>
  <c r="G155" i="4"/>
  <c r="F155" i="4"/>
  <c r="H155" i="4" s="1"/>
  <c r="D155" i="4"/>
  <c r="C155" i="4"/>
  <c r="E155" i="4" s="1"/>
  <c r="AM154" i="4"/>
  <c r="W154" i="4"/>
  <c r="V154" i="4"/>
  <c r="S154" i="4"/>
  <c r="O154" i="4"/>
  <c r="N154" i="4"/>
  <c r="P154" i="4" s="1"/>
  <c r="AA154" i="4" s="1"/>
  <c r="L154" i="4"/>
  <c r="K154" i="4"/>
  <c r="M154" i="4" s="1"/>
  <c r="H154" i="4"/>
  <c r="G154" i="4"/>
  <c r="F154" i="4"/>
  <c r="D154" i="4"/>
  <c r="C154" i="4"/>
  <c r="E154" i="4" s="1"/>
  <c r="AM153" i="4"/>
  <c r="W153" i="4"/>
  <c r="V153" i="4"/>
  <c r="S153" i="4"/>
  <c r="O153" i="4"/>
  <c r="N153" i="4"/>
  <c r="P153" i="4" s="1"/>
  <c r="AA153" i="4" s="1"/>
  <c r="L153" i="4"/>
  <c r="K153" i="4"/>
  <c r="M153" i="4" s="1"/>
  <c r="G153" i="4"/>
  <c r="H153" i="4" s="1"/>
  <c r="F153" i="4"/>
  <c r="D153" i="4"/>
  <c r="E153" i="4" s="1"/>
  <c r="C153" i="4"/>
  <c r="AM152" i="4"/>
  <c r="AA152" i="4"/>
  <c r="W152" i="4"/>
  <c r="V152" i="4"/>
  <c r="S152" i="4"/>
  <c r="P152" i="4"/>
  <c r="O152" i="4"/>
  <c r="N152" i="4"/>
  <c r="M152" i="4"/>
  <c r="L152" i="4"/>
  <c r="K152" i="4"/>
  <c r="G152" i="4"/>
  <c r="F152" i="4"/>
  <c r="H152" i="4" s="1"/>
  <c r="D152" i="4"/>
  <c r="C152" i="4"/>
  <c r="E152" i="4" s="1"/>
  <c r="AM151" i="4"/>
  <c r="W151" i="4"/>
  <c r="V151" i="4"/>
  <c r="S151" i="4"/>
  <c r="O151" i="4"/>
  <c r="P151" i="4" s="1"/>
  <c r="AA151" i="4" s="1"/>
  <c r="N151" i="4"/>
  <c r="L151" i="4"/>
  <c r="K151" i="4"/>
  <c r="M151" i="4" s="1"/>
  <c r="G151" i="4"/>
  <c r="F151" i="4"/>
  <c r="E151" i="4"/>
  <c r="D151" i="4"/>
  <c r="C151" i="4"/>
  <c r="AM150" i="4"/>
  <c r="AA150" i="4"/>
  <c r="W150" i="4"/>
  <c r="V150" i="4"/>
  <c r="S150" i="4"/>
  <c r="P150" i="4"/>
  <c r="O150" i="4"/>
  <c r="N150" i="4"/>
  <c r="M150" i="4"/>
  <c r="L150" i="4"/>
  <c r="K150" i="4"/>
  <c r="G150" i="4"/>
  <c r="F150" i="4"/>
  <c r="H150" i="4" s="1"/>
  <c r="D150" i="4"/>
  <c r="C150" i="4"/>
  <c r="AM149" i="4"/>
  <c r="W149" i="4"/>
  <c r="V149" i="4"/>
  <c r="S149" i="4"/>
  <c r="O149" i="4"/>
  <c r="N149" i="4"/>
  <c r="P149" i="4" s="1"/>
  <c r="AA149" i="4" s="1"/>
  <c r="M149" i="4"/>
  <c r="L149" i="4"/>
  <c r="K149" i="4"/>
  <c r="H149" i="4"/>
  <c r="G149" i="4"/>
  <c r="F149" i="4"/>
  <c r="D149" i="4"/>
  <c r="C149" i="4"/>
  <c r="E149" i="4" s="1"/>
  <c r="AM148" i="4"/>
  <c r="W148" i="4"/>
  <c r="V148" i="4"/>
  <c r="S148" i="4"/>
  <c r="O148" i="4"/>
  <c r="P148" i="4" s="1"/>
  <c r="AA148" i="4" s="1"/>
  <c r="N148" i="4"/>
  <c r="L148" i="4"/>
  <c r="K148" i="4"/>
  <c r="M148" i="4" s="1"/>
  <c r="G148" i="4"/>
  <c r="H148" i="4" s="1"/>
  <c r="F148" i="4"/>
  <c r="D148" i="4"/>
  <c r="C148" i="4"/>
  <c r="E148" i="4" s="1"/>
  <c r="AM147" i="4"/>
  <c r="W147" i="4"/>
  <c r="V147" i="4"/>
  <c r="S147" i="4"/>
  <c r="O147" i="4"/>
  <c r="N147" i="4"/>
  <c r="P147" i="4" s="1"/>
  <c r="AA147" i="4" s="1"/>
  <c r="M147" i="4"/>
  <c r="L147" i="4"/>
  <c r="K147" i="4"/>
  <c r="G147" i="4"/>
  <c r="F147" i="4"/>
  <c r="H147" i="4" s="1"/>
  <c r="E147" i="4"/>
  <c r="D147" i="4"/>
  <c r="C147" i="4"/>
  <c r="AM146" i="4"/>
  <c r="W146" i="4"/>
  <c r="V146" i="4"/>
  <c r="S146" i="4"/>
  <c r="O146" i="4"/>
  <c r="N146" i="4"/>
  <c r="P146" i="4" s="1"/>
  <c r="AA146" i="4" s="1"/>
  <c r="L146" i="4"/>
  <c r="M146" i="4" s="1"/>
  <c r="K146" i="4"/>
  <c r="H146" i="4"/>
  <c r="G146" i="4"/>
  <c r="F146" i="4"/>
  <c r="D146" i="4"/>
  <c r="C146" i="4"/>
  <c r="E146" i="4" s="1"/>
  <c r="AM145" i="4"/>
  <c r="W145" i="4"/>
  <c r="V145" i="4"/>
  <c r="S145" i="4"/>
  <c r="O145" i="4"/>
  <c r="N145" i="4"/>
  <c r="P145" i="4" s="1"/>
  <c r="AA145" i="4" s="1"/>
  <c r="M145" i="4"/>
  <c r="L145" i="4"/>
  <c r="K145" i="4"/>
  <c r="G145" i="4"/>
  <c r="H145" i="4" s="1"/>
  <c r="F145" i="4"/>
  <c r="D145" i="4"/>
  <c r="C145" i="4"/>
  <c r="E145" i="4" s="1"/>
  <c r="AM144" i="4"/>
  <c r="W144" i="4"/>
  <c r="V144" i="4"/>
  <c r="S144" i="4"/>
  <c r="O144" i="4"/>
  <c r="N144" i="4"/>
  <c r="P144" i="4" s="1"/>
  <c r="AA144" i="4" s="1"/>
  <c r="L144" i="4"/>
  <c r="K144" i="4"/>
  <c r="M144" i="4" s="1"/>
  <c r="H144" i="4"/>
  <c r="G144" i="4"/>
  <c r="F144" i="4"/>
  <c r="D144" i="4"/>
  <c r="C144" i="4"/>
  <c r="AM143" i="4"/>
  <c r="W143" i="4"/>
  <c r="V143" i="4"/>
  <c r="S143" i="4"/>
  <c r="O143" i="4"/>
  <c r="N143" i="4"/>
  <c r="P143" i="4" s="1"/>
  <c r="AA143" i="4" s="1"/>
  <c r="M143" i="4"/>
  <c r="L143" i="4"/>
  <c r="K143" i="4"/>
  <c r="G143" i="4"/>
  <c r="F143" i="4"/>
  <c r="H143" i="4" s="1"/>
  <c r="D143" i="4"/>
  <c r="C143" i="4"/>
  <c r="E143" i="4" s="1"/>
  <c r="AM142" i="4"/>
  <c r="W142" i="4"/>
  <c r="V142" i="4"/>
  <c r="S142" i="4"/>
  <c r="O142" i="4"/>
  <c r="N142" i="4"/>
  <c r="P142" i="4" s="1"/>
  <c r="AA142" i="4" s="1"/>
  <c r="L142" i="4"/>
  <c r="K142" i="4"/>
  <c r="M142" i="4" s="1"/>
  <c r="H142" i="4"/>
  <c r="G142" i="4"/>
  <c r="F142" i="4"/>
  <c r="D142" i="4"/>
  <c r="C142" i="4"/>
  <c r="E142" i="4" s="1"/>
  <c r="AM141" i="4"/>
  <c r="AA141" i="4"/>
  <c r="W141" i="4"/>
  <c r="V141" i="4"/>
  <c r="S141" i="4"/>
  <c r="P141" i="4"/>
  <c r="O141" i="4"/>
  <c r="N141" i="4"/>
  <c r="M141" i="4"/>
  <c r="L141" i="4"/>
  <c r="K141" i="4"/>
  <c r="G141" i="4"/>
  <c r="F141" i="4"/>
  <c r="H141" i="4" s="1"/>
  <c r="D141" i="4"/>
  <c r="C141" i="4"/>
  <c r="E141" i="4" s="1"/>
  <c r="AM140" i="4"/>
  <c r="AA140" i="4"/>
  <c r="W140" i="4"/>
  <c r="V140" i="4"/>
  <c r="S140" i="4"/>
  <c r="P140" i="4"/>
  <c r="O140" i="4"/>
  <c r="N140" i="4"/>
  <c r="L140" i="4"/>
  <c r="K140" i="4"/>
  <c r="M140" i="4" s="1"/>
  <c r="G140" i="4"/>
  <c r="F140" i="4"/>
  <c r="H140" i="4" s="1"/>
  <c r="D140" i="4"/>
  <c r="C140" i="4"/>
  <c r="E140" i="4" s="1"/>
  <c r="AM139" i="4"/>
  <c r="W139" i="4"/>
  <c r="V139" i="4"/>
  <c r="S139" i="4"/>
  <c r="O139" i="4"/>
  <c r="N139" i="4"/>
  <c r="P139" i="4" s="1"/>
  <c r="AA139" i="4" s="1"/>
  <c r="M139" i="4"/>
  <c r="L139" i="4"/>
  <c r="K139" i="4"/>
  <c r="G139" i="4"/>
  <c r="F139" i="4"/>
  <c r="E139" i="4"/>
  <c r="D139" i="4"/>
  <c r="C139" i="4"/>
  <c r="AM138" i="4"/>
  <c r="W138" i="4"/>
  <c r="V138" i="4"/>
  <c r="S138" i="4"/>
  <c r="P138" i="4"/>
  <c r="AA138" i="4" s="1"/>
  <c r="O138" i="4"/>
  <c r="N138" i="4"/>
  <c r="L138" i="4"/>
  <c r="K138" i="4"/>
  <c r="M138" i="4" s="1"/>
  <c r="H138" i="4"/>
  <c r="G138" i="4"/>
  <c r="F138" i="4"/>
  <c r="E138" i="4"/>
  <c r="D138" i="4"/>
  <c r="C138" i="4"/>
  <c r="AM137" i="4"/>
  <c r="W137" i="4"/>
  <c r="V137" i="4"/>
  <c r="S137" i="4"/>
  <c r="O137" i="4"/>
  <c r="N137" i="4"/>
  <c r="P137" i="4" s="1"/>
  <c r="AA137" i="4" s="1"/>
  <c r="L137" i="4"/>
  <c r="K137" i="4"/>
  <c r="M137" i="4" s="1"/>
  <c r="H137" i="4"/>
  <c r="G137" i="4"/>
  <c r="F137" i="4"/>
  <c r="D137" i="4"/>
  <c r="C137" i="4"/>
  <c r="E137" i="4" s="1"/>
  <c r="AM136" i="4"/>
  <c r="W136" i="4"/>
  <c r="V136" i="4"/>
  <c r="S136" i="4"/>
  <c r="P136" i="4"/>
  <c r="AA136" i="4" s="1"/>
  <c r="O136" i="4"/>
  <c r="N136" i="4"/>
  <c r="L136" i="4"/>
  <c r="K136" i="4"/>
  <c r="H136" i="4"/>
  <c r="G136" i="4"/>
  <c r="F136" i="4"/>
  <c r="E136" i="4"/>
  <c r="D136" i="4"/>
  <c r="C136" i="4"/>
  <c r="AM135" i="4"/>
  <c r="AA135" i="4"/>
  <c r="W135" i="4"/>
  <c r="V135" i="4"/>
  <c r="S135" i="4"/>
  <c r="O135" i="4"/>
  <c r="N135" i="4"/>
  <c r="P135" i="4" s="1"/>
  <c r="M135" i="4"/>
  <c r="L135" i="4"/>
  <c r="K135" i="4"/>
  <c r="G135" i="4"/>
  <c r="F135" i="4"/>
  <c r="D135" i="4"/>
  <c r="C135" i="4"/>
  <c r="E135" i="4" s="1"/>
  <c r="AM134" i="4"/>
  <c r="W134" i="4"/>
  <c r="V134" i="4"/>
  <c r="S134" i="4"/>
  <c r="O134" i="4"/>
  <c r="N134" i="4"/>
  <c r="P134" i="4" s="1"/>
  <c r="AA134" i="4" s="1"/>
  <c r="L134" i="4"/>
  <c r="M134" i="4" s="1"/>
  <c r="K134" i="4"/>
  <c r="G134" i="4"/>
  <c r="F134" i="4"/>
  <c r="H134" i="4" s="1"/>
  <c r="D134" i="4"/>
  <c r="C134" i="4"/>
  <c r="E134" i="4" s="1"/>
  <c r="AM133" i="4"/>
  <c r="W133" i="4"/>
  <c r="V133" i="4"/>
  <c r="S133" i="4"/>
  <c r="O133" i="4"/>
  <c r="N133" i="4"/>
  <c r="L133" i="4"/>
  <c r="K133" i="4"/>
  <c r="M133" i="4" s="1"/>
  <c r="G133" i="4"/>
  <c r="F133" i="4"/>
  <c r="H133" i="4" s="1"/>
  <c r="E133" i="4"/>
  <c r="D133" i="4"/>
  <c r="C133" i="4"/>
  <c r="AM132" i="4"/>
  <c r="W132" i="4"/>
  <c r="V132" i="4"/>
  <c r="S132" i="4"/>
  <c r="O132" i="4"/>
  <c r="N132" i="4"/>
  <c r="P132" i="4" s="1"/>
  <c r="AA132" i="4" s="1"/>
  <c r="M132" i="4"/>
  <c r="L132" i="4"/>
  <c r="K132" i="4"/>
  <c r="G132" i="4"/>
  <c r="F132" i="4"/>
  <c r="H132" i="4" s="1"/>
  <c r="D132" i="4"/>
  <c r="C132" i="4"/>
  <c r="E132" i="4" s="1"/>
  <c r="AM131" i="4"/>
  <c r="W131" i="4"/>
  <c r="V131" i="4"/>
  <c r="S131" i="4"/>
  <c r="O131" i="4"/>
  <c r="N131" i="4"/>
  <c r="P131" i="4" s="1"/>
  <c r="AA131" i="4" s="1"/>
  <c r="L131" i="4"/>
  <c r="M131" i="4" s="1"/>
  <c r="K131" i="4"/>
  <c r="G131" i="4"/>
  <c r="F131" i="4"/>
  <c r="H131" i="4" s="1"/>
  <c r="E131" i="4"/>
  <c r="D131" i="4"/>
  <c r="C131" i="4"/>
  <c r="AM130" i="4"/>
  <c r="AA130" i="4"/>
  <c r="W130" i="4"/>
  <c r="V130" i="4"/>
  <c r="S130" i="4"/>
  <c r="P130" i="4"/>
  <c r="O130" i="4"/>
  <c r="N130" i="4"/>
  <c r="L130" i="4"/>
  <c r="K130" i="4"/>
  <c r="M130" i="4" s="1"/>
  <c r="G130" i="4"/>
  <c r="F130" i="4"/>
  <c r="H130" i="4" s="1"/>
  <c r="E130" i="4"/>
  <c r="D130" i="4"/>
  <c r="C130" i="4"/>
  <c r="AM129" i="4"/>
  <c r="W129" i="4"/>
  <c r="V129" i="4"/>
  <c r="S129" i="4"/>
  <c r="O129" i="4"/>
  <c r="P129" i="4" s="1"/>
  <c r="AA129" i="4" s="1"/>
  <c r="N129" i="4"/>
  <c r="L129" i="4"/>
  <c r="K129" i="4"/>
  <c r="M129" i="4" s="1"/>
  <c r="G129" i="4"/>
  <c r="F129" i="4"/>
  <c r="H129" i="4" s="1"/>
  <c r="D129" i="4"/>
  <c r="C129" i="4"/>
  <c r="E129" i="4" s="1"/>
  <c r="AM128" i="4"/>
  <c r="W128" i="4"/>
  <c r="V128" i="4"/>
  <c r="S128" i="4"/>
  <c r="O128" i="4"/>
  <c r="N128" i="4"/>
  <c r="P128" i="4" s="1"/>
  <c r="AA128" i="4" s="1"/>
  <c r="M128" i="4"/>
  <c r="L128" i="4"/>
  <c r="K128" i="4"/>
  <c r="G128" i="4"/>
  <c r="F128" i="4"/>
  <c r="D128" i="4"/>
  <c r="C128" i="4"/>
  <c r="E128" i="4" s="1"/>
  <c r="AM127" i="4"/>
  <c r="W127" i="4"/>
  <c r="V127" i="4"/>
  <c r="S127" i="4"/>
  <c r="O127" i="4"/>
  <c r="P127" i="4" s="1"/>
  <c r="AA127" i="4" s="1"/>
  <c r="N127" i="4"/>
  <c r="L127" i="4"/>
  <c r="K127" i="4"/>
  <c r="M127" i="4" s="1"/>
  <c r="H127" i="4"/>
  <c r="G127" i="4"/>
  <c r="F127" i="4"/>
  <c r="E127" i="4"/>
  <c r="D127" i="4"/>
  <c r="C127" i="4"/>
  <c r="AM126" i="4"/>
  <c r="AF126" i="4"/>
  <c r="W126" i="4"/>
  <c r="V126" i="4"/>
  <c r="S126" i="4"/>
  <c r="P126" i="4"/>
  <c r="AA126" i="4" s="1"/>
  <c r="O126" i="4"/>
  <c r="N126" i="4"/>
  <c r="M126" i="4"/>
  <c r="L126" i="4"/>
  <c r="K126" i="4"/>
  <c r="G126" i="4"/>
  <c r="F126" i="4"/>
  <c r="H126" i="4" s="1"/>
  <c r="D126" i="4"/>
  <c r="C126" i="4"/>
  <c r="E126" i="4" s="1"/>
  <c r="AM125" i="4"/>
  <c r="AF125" i="4"/>
  <c r="W125" i="4"/>
  <c r="V125" i="4"/>
  <c r="S125" i="4"/>
  <c r="P125" i="4"/>
  <c r="AA125" i="4" s="1"/>
  <c r="O125" i="4"/>
  <c r="N125" i="4"/>
  <c r="L125" i="4"/>
  <c r="K125" i="4"/>
  <c r="M125" i="4" s="1"/>
  <c r="G125" i="4"/>
  <c r="F125" i="4"/>
  <c r="H125" i="4" s="1"/>
  <c r="D125" i="4"/>
  <c r="C125" i="4"/>
  <c r="E125" i="4" s="1"/>
  <c r="AM124" i="4"/>
  <c r="AF124" i="4"/>
  <c r="AA124" i="4"/>
  <c r="W124" i="4"/>
  <c r="V124" i="4"/>
  <c r="S124" i="4"/>
  <c r="P124" i="4"/>
  <c r="O124" i="4"/>
  <c r="N124" i="4"/>
  <c r="L124" i="4"/>
  <c r="K124" i="4"/>
  <c r="M124" i="4" s="1"/>
  <c r="H124" i="4"/>
  <c r="G124" i="4"/>
  <c r="F124" i="4"/>
  <c r="D124" i="4"/>
  <c r="C124" i="4"/>
  <c r="E124" i="4" s="1"/>
  <c r="AM123" i="4"/>
  <c r="AF123" i="4"/>
  <c r="W123" i="4"/>
  <c r="V123" i="4"/>
  <c r="S123" i="4"/>
  <c r="O123" i="4"/>
  <c r="N123" i="4"/>
  <c r="L123" i="4"/>
  <c r="K123" i="4"/>
  <c r="M123" i="4" s="1"/>
  <c r="G123" i="4"/>
  <c r="F123" i="4"/>
  <c r="H123" i="4" s="1"/>
  <c r="D123" i="4"/>
  <c r="C123" i="4"/>
  <c r="E123" i="4" s="1"/>
  <c r="AM122" i="4"/>
  <c r="AF122" i="4"/>
  <c r="W122" i="4"/>
  <c r="V122" i="4"/>
  <c r="S122" i="4"/>
  <c r="O122" i="4"/>
  <c r="N122" i="4"/>
  <c r="L122" i="4"/>
  <c r="K122" i="4"/>
  <c r="M122" i="4" s="1"/>
  <c r="G122" i="4"/>
  <c r="F122" i="4"/>
  <c r="H122" i="4" s="1"/>
  <c r="D122" i="4"/>
  <c r="C122" i="4"/>
  <c r="E122" i="4" s="1"/>
  <c r="AM121" i="4"/>
  <c r="AF121" i="4"/>
  <c r="W121" i="4"/>
  <c r="V121" i="4"/>
  <c r="S121" i="4"/>
  <c r="O121" i="4"/>
  <c r="P121" i="4" s="1"/>
  <c r="AA121" i="4" s="1"/>
  <c r="N121" i="4"/>
  <c r="L121" i="4"/>
  <c r="K121" i="4"/>
  <c r="M121" i="4" s="1"/>
  <c r="G121" i="4"/>
  <c r="F121" i="4"/>
  <c r="H121" i="4" s="1"/>
  <c r="D121" i="4"/>
  <c r="C121" i="4"/>
  <c r="E121" i="4" s="1"/>
  <c r="AM120" i="4"/>
  <c r="AF120" i="4"/>
  <c r="W120" i="4"/>
  <c r="V120" i="4"/>
  <c r="S120" i="4"/>
  <c r="O120" i="4"/>
  <c r="P120" i="4" s="1"/>
  <c r="AA120" i="4" s="1"/>
  <c r="N120" i="4"/>
  <c r="L120" i="4"/>
  <c r="K120" i="4"/>
  <c r="M120" i="4" s="1"/>
  <c r="H120" i="4"/>
  <c r="G120" i="4"/>
  <c r="F120" i="4"/>
  <c r="D120" i="4"/>
  <c r="C120" i="4"/>
  <c r="E120" i="4" s="1"/>
  <c r="AM119" i="4"/>
  <c r="AF119" i="4"/>
  <c r="W119" i="4"/>
  <c r="V119" i="4"/>
  <c r="S119" i="4"/>
  <c r="O119" i="4"/>
  <c r="N119" i="4"/>
  <c r="P119" i="4" s="1"/>
  <c r="AA119" i="4" s="1"/>
  <c r="M119" i="4"/>
  <c r="L119" i="4"/>
  <c r="K119" i="4"/>
  <c r="G119" i="4"/>
  <c r="F119" i="4"/>
  <c r="H119" i="4" s="1"/>
  <c r="D119" i="4"/>
  <c r="C119" i="4"/>
  <c r="E119" i="4" s="1"/>
  <c r="AM118" i="4"/>
  <c r="AF118" i="4"/>
  <c r="W118" i="4"/>
  <c r="V118" i="4"/>
  <c r="S118" i="4"/>
  <c r="O118" i="4"/>
  <c r="P118" i="4" s="1"/>
  <c r="AA118" i="4" s="1"/>
  <c r="N118" i="4"/>
  <c r="M118" i="4"/>
  <c r="L118" i="4"/>
  <c r="K118" i="4"/>
  <c r="G118" i="4"/>
  <c r="F118" i="4"/>
  <c r="H118" i="4" s="1"/>
  <c r="E118" i="4"/>
  <c r="D118" i="4"/>
  <c r="C118" i="4"/>
  <c r="AM117" i="4"/>
  <c r="AF117" i="4"/>
  <c r="W117" i="4"/>
  <c r="V117" i="4"/>
  <c r="S117" i="4"/>
  <c r="O117" i="4"/>
  <c r="N117" i="4"/>
  <c r="P117" i="4" s="1"/>
  <c r="AA117" i="4" s="1"/>
  <c r="L117" i="4"/>
  <c r="M117" i="4" s="1"/>
  <c r="K117" i="4"/>
  <c r="G117" i="4"/>
  <c r="H117" i="4" s="1"/>
  <c r="F117" i="4"/>
  <c r="D117" i="4"/>
  <c r="C117" i="4"/>
  <c r="E117" i="4" s="1"/>
  <c r="AM116" i="4"/>
  <c r="AF116" i="4"/>
  <c r="W116" i="4"/>
  <c r="V116" i="4"/>
  <c r="S116" i="4"/>
  <c r="O116" i="4"/>
  <c r="N116" i="4"/>
  <c r="P116" i="4" s="1"/>
  <c r="AA116" i="4" s="1"/>
  <c r="M116" i="4"/>
  <c r="L116" i="4"/>
  <c r="K116" i="4"/>
  <c r="H116" i="4"/>
  <c r="G116" i="4"/>
  <c r="F116" i="4"/>
  <c r="D116" i="4"/>
  <c r="C116" i="4"/>
  <c r="E116" i="4" s="1"/>
  <c r="AM115" i="4"/>
  <c r="AF115" i="4"/>
  <c r="W115" i="4"/>
  <c r="V115" i="4"/>
  <c r="S115" i="4"/>
  <c r="O115" i="4"/>
  <c r="N115" i="4"/>
  <c r="P115" i="4" s="1"/>
  <c r="AA115" i="4" s="1"/>
  <c r="M115" i="4"/>
  <c r="L115" i="4"/>
  <c r="K115" i="4"/>
  <c r="G115" i="4"/>
  <c r="F115" i="4"/>
  <c r="D115" i="4"/>
  <c r="C115" i="4"/>
  <c r="E115" i="4" s="1"/>
  <c r="AM114" i="4"/>
  <c r="AF114" i="4"/>
  <c r="W114" i="4"/>
  <c r="V114" i="4"/>
  <c r="S114" i="4"/>
  <c r="O114" i="4"/>
  <c r="P114" i="4" s="1"/>
  <c r="AA114" i="4" s="1"/>
  <c r="N114" i="4"/>
  <c r="L114" i="4"/>
  <c r="K114" i="4"/>
  <c r="M114" i="4" s="1"/>
  <c r="G114" i="4"/>
  <c r="F114" i="4"/>
  <c r="D114" i="4"/>
  <c r="C114" i="4"/>
  <c r="E114" i="4" s="1"/>
  <c r="AM113" i="4"/>
  <c r="AF113" i="4"/>
  <c r="AA113" i="4"/>
  <c r="W113" i="4"/>
  <c r="V113" i="4"/>
  <c r="S113" i="4"/>
  <c r="P113" i="4"/>
  <c r="O113" i="4"/>
  <c r="N113" i="4"/>
  <c r="L113" i="4"/>
  <c r="K113" i="4"/>
  <c r="M113" i="4" s="1"/>
  <c r="G113" i="4"/>
  <c r="F113" i="4"/>
  <c r="H113" i="4" s="1"/>
  <c r="D113" i="4"/>
  <c r="C113" i="4"/>
  <c r="E113" i="4" s="1"/>
  <c r="AM112" i="4"/>
  <c r="AF112" i="4"/>
  <c r="AA112" i="4"/>
  <c r="W112" i="4"/>
  <c r="V112" i="4"/>
  <c r="S112" i="4"/>
  <c r="O112" i="4"/>
  <c r="N112" i="4"/>
  <c r="P112" i="4" s="1"/>
  <c r="L112" i="4"/>
  <c r="K112" i="4"/>
  <c r="G112" i="4"/>
  <c r="F112" i="4"/>
  <c r="H112" i="4" s="1"/>
  <c r="E112" i="4"/>
  <c r="D112" i="4"/>
  <c r="C112" i="4"/>
  <c r="AM111" i="4"/>
  <c r="AF111" i="4"/>
  <c r="W111" i="4"/>
  <c r="V111" i="4"/>
  <c r="S111" i="4"/>
  <c r="O111" i="4"/>
  <c r="N111" i="4"/>
  <c r="P111" i="4" s="1"/>
  <c r="AA111" i="4" s="1"/>
  <c r="L111" i="4"/>
  <c r="K111" i="4"/>
  <c r="M111" i="4" s="1"/>
  <c r="G111" i="4"/>
  <c r="F111" i="4"/>
  <c r="H111" i="4" s="1"/>
  <c r="D111" i="4"/>
  <c r="C111" i="4"/>
  <c r="AM110" i="4"/>
  <c r="AF110" i="4"/>
  <c r="W110" i="4"/>
  <c r="V110" i="4"/>
  <c r="S110" i="4"/>
  <c r="P110" i="4"/>
  <c r="AA110" i="4" s="1"/>
  <c r="O110" i="4"/>
  <c r="N110" i="4"/>
  <c r="L110" i="4"/>
  <c r="K110" i="4"/>
  <c r="M110" i="4" s="1"/>
  <c r="G110" i="4"/>
  <c r="F110" i="4"/>
  <c r="H110" i="4" s="1"/>
  <c r="D110" i="4"/>
  <c r="E110" i="4" s="1"/>
  <c r="C110" i="4"/>
  <c r="AM109" i="4"/>
  <c r="AF109" i="4"/>
  <c r="W109" i="4"/>
  <c r="V109" i="4"/>
  <c r="S109" i="4"/>
  <c r="P109" i="4"/>
  <c r="AA109" i="4" s="1"/>
  <c r="O109" i="4"/>
  <c r="N109" i="4"/>
  <c r="L109" i="4"/>
  <c r="K109" i="4"/>
  <c r="M109" i="4" s="1"/>
  <c r="G109" i="4"/>
  <c r="F109" i="4"/>
  <c r="H109" i="4" s="1"/>
  <c r="E109" i="4"/>
  <c r="D109" i="4"/>
  <c r="C109" i="4"/>
  <c r="AM108" i="4"/>
  <c r="AF108" i="4"/>
  <c r="W108" i="4"/>
  <c r="V108" i="4"/>
  <c r="S108" i="4"/>
  <c r="O108" i="4"/>
  <c r="P108" i="4" s="1"/>
  <c r="AA108" i="4" s="1"/>
  <c r="N108" i="4"/>
  <c r="L108" i="4"/>
  <c r="K108" i="4"/>
  <c r="M108" i="4" s="1"/>
  <c r="H108" i="4"/>
  <c r="G108" i="4"/>
  <c r="F108" i="4"/>
  <c r="D108" i="4"/>
  <c r="C108" i="4"/>
  <c r="AM107" i="4"/>
  <c r="AF107" i="4"/>
  <c r="W107" i="4"/>
  <c r="V107" i="4"/>
  <c r="S107" i="4"/>
  <c r="O107" i="4"/>
  <c r="N107" i="4"/>
  <c r="P107" i="4" s="1"/>
  <c r="AA107" i="4" s="1"/>
  <c r="M107" i="4"/>
  <c r="L107" i="4"/>
  <c r="K107" i="4"/>
  <c r="G107" i="4"/>
  <c r="F107" i="4"/>
  <c r="H107" i="4" s="1"/>
  <c r="E107" i="4"/>
  <c r="D107" i="4"/>
  <c r="C107" i="4"/>
  <c r="AM106" i="4"/>
  <c r="AF106" i="4"/>
  <c r="W106" i="4"/>
  <c r="V106" i="4"/>
  <c r="S106" i="4"/>
  <c r="O106" i="4"/>
  <c r="N106" i="4"/>
  <c r="P106" i="4" s="1"/>
  <c r="AA106" i="4" s="1"/>
  <c r="M106" i="4"/>
  <c r="L106" i="4"/>
  <c r="K106" i="4"/>
  <c r="G106" i="4"/>
  <c r="H106" i="4" s="1"/>
  <c r="F106" i="4"/>
  <c r="D106" i="4"/>
  <c r="C106" i="4"/>
  <c r="E106" i="4" s="1"/>
  <c r="AM105" i="4"/>
  <c r="AF105" i="4"/>
  <c r="AA105" i="4"/>
  <c r="W105" i="4"/>
  <c r="V105" i="4"/>
  <c r="S105" i="4"/>
  <c r="P105" i="4"/>
  <c r="O105" i="4"/>
  <c r="N105" i="4"/>
  <c r="M105" i="4"/>
  <c r="L105" i="4"/>
  <c r="K105" i="4"/>
  <c r="H105" i="4"/>
  <c r="G105" i="4"/>
  <c r="F105" i="4"/>
  <c r="D105" i="4"/>
  <c r="C105" i="4"/>
  <c r="E105" i="4" s="1"/>
  <c r="AM104" i="4"/>
  <c r="AF104" i="4"/>
  <c r="AA104" i="4"/>
  <c r="W104" i="4"/>
  <c r="V104" i="4"/>
  <c r="S104" i="4"/>
  <c r="P104" i="4"/>
  <c r="O104" i="4"/>
  <c r="N104" i="4"/>
  <c r="M104" i="4"/>
  <c r="L104" i="4"/>
  <c r="K104" i="4"/>
  <c r="G104" i="4"/>
  <c r="F104" i="4"/>
  <c r="H104" i="4" s="1"/>
  <c r="D104" i="4"/>
  <c r="C104" i="4"/>
  <c r="E104" i="4" s="1"/>
  <c r="AM103" i="4"/>
  <c r="AF103" i="4"/>
  <c r="W103" i="4"/>
  <c r="V103" i="4"/>
  <c r="S103" i="4"/>
  <c r="P103" i="4"/>
  <c r="AA103" i="4" s="1"/>
  <c r="O103" i="4"/>
  <c r="N103" i="4"/>
  <c r="L103" i="4"/>
  <c r="K103" i="4"/>
  <c r="M103" i="4" s="1"/>
  <c r="G103" i="4"/>
  <c r="F103" i="4"/>
  <c r="H103" i="4" s="1"/>
  <c r="D103" i="4"/>
  <c r="C103" i="4"/>
  <c r="E103" i="4" s="1"/>
  <c r="AM102" i="4"/>
  <c r="AF102" i="4"/>
  <c r="AA102" i="4"/>
  <c r="W102" i="4"/>
  <c r="V102" i="4"/>
  <c r="S102" i="4"/>
  <c r="P102" i="4"/>
  <c r="O102" i="4"/>
  <c r="N102" i="4"/>
  <c r="L102" i="4"/>
  <c r="K102" i="4"/>
  <c r="M102" i="4" s="1"/>
  <c r="G102" i="4"/>
  <c r="F102" i="4"/>
  <c r="H102" i="4" s="1"/>
  <c r="D102" i="4"/>
  <c r="C102" i="4"/>
  <c r="E102" i="4" s="1"/>
  <c r="AM101" i="4"/>
  <c r="AF101" i="4"/>
  <c r="AA101" i="4"/>
  <c r="W101" i="4"/>
  <c r="V101" i="4"/>
  <c r="S101" i="4"/>
  <c r="O101" i="4"/>
  <c r="N101" i="4"/>
  <c r="P101" i="4" s="1"/>
  <c r="M101" i="4"/>
  <c r="L101" i="4"/>
  <c r="K101" i="4"/>
  <c r="G101" i="4"/>
  <c r="F101" i="4"/>
  <c r="H101" i="4" s="1"/>
  <c r="D101" i="4"/>
  <c r="E101" i="4" s="1"/>
  <c r="C101" i="4"/>
  <c r="AM100" i="4"/>
  <c r="AF100" i="4"/>
  <c r="W100" i="4"/>
  <c r="V100" i="4"/>
  <c r="S100" i="4"/>
  <c r="O100" i="4"/>
  <c r="N100" i="4"/>
  <c r="P100" i="4" s="1"/>
  <c r="AA100" i="4" s="1"/>
  <c r="M100" i="4"/>
  <c r="L100" i="4"/>
  <c r="K100" i="4"/>
  <c r="G100" i="4"/>
  <c r="F100" i="4"/>
  <c r="H100" i="4" s="1"/>
  <c r="D100" i="4"/>
  <c r="C100" i="4"/>
  <c r="E100" i="4" s="1"/>
  <c r="AM99" i="4"/>
  <c r="AF99" i="4"/>
  <c r="W99" i="4"/>
  <c r="V99" i="4"/>
  <c r="S99" i="4"/>
  <c r="O99" i="4"/>
  <c r="N99" i="4"/>
  <c r="P99" i="4" s="1"/>
  <c r="AA99" i="4" s="1"/>
  <c r="M99" i="4"/>
  <c r="L99" i="4"/>
  <c r="K99" i="4"/>
  <c r="G99" i="4"/>
  <c r="F99" i="4"/>
  <c r="D99" i="4"/>
  <c r="C99" i="4"/>
  <c r="E99" i="4" s="1"/>
  <c r="AM98" i="4"/>
  <c r="AF98" i="4"/>
  <c r="W98" i="4"/>
  <c r="V98" i="4"/>
  <c r="S98" i="4"/>
  <c r="P98" i="4"/>
  <c r="AA98" i="4" s="1"/>
  <c r="O98" i="4"/>
  <c r="N98" i="4"/>
  <c r="L98" i="4"/>
  <c r="K98" i="4"/>
  <c r="M98" i="4" s="1"/>
  <c r="G98" i="4"/>
  <c r="F98" i="4"/>
  <c r="H98" i="4" s="1"/>
  <c r="D98" i="4"/>
  <c r="C98" i="4"/>
  <c r="E98" i="4" s="1"/>
  <c r="AM97" i="4"/>
  <c r="AF97" i="4"/>
  <c r="AA97" i="4"/>
  <c r="W97" i="4"/>
  <c r="V97" i="4"/>
  <c r="S97" i="4"/>
  <c r="P97" i="4"/>
  <c r="O97" i="4"/>
  <c r="N97" i="4"/>
  <c r="L97" i="4"/>
  <c r="K97" i="4"/>
  <c r="M97" i="4" s="1"/>
  <c r="G97" i="4"/>
  <c r="F97" i="4"/>
  <c r="H97" i="4" s="1"/>
  <c r="D97" i="4"/>
  <c r="C97" i="4"/>
  <c r="E97" i="4" s="1"/>
  <c r="AM96" i="4"/>
  <c r="AF96" i="4"/>
  <c r="W96" i="4"/>
  <c r="V96" i="4"/>
  <c r="S96" i="4"/>
  <c r="P96" i="4"/>
  <c r="AA96" i="4" s="1"/>
  <c r="O96" i="4"/>
  <c r="N96" i="4"/>
  <c r="L96" i="4"/>
  <c r="K96" i="4"/>
  <c r="M96" i="4" s="1"/>
  <c r="H96" i="4"/>
  <c r="G96" i="4"/>
  <c r="F96" i="4"/>
  <c r="E96" i="4"/>
  <c r="D96" i="4"/>
  <c r="C96" i="4"/>
  <c r="AM95" i="4"/>
  <c r="AF95" i="4"/>
  <c r="W95" i="4"/>
  <c r="V95" i="4"/>
  <c r="S95" i="4"/>
  <c r="O95" i="4"/>
  <c r="N95" i="4"/>
  <c r="P95" i="4" s="1"/>
  <c r="AA95" i="4" s="1"/>
  <c r="L95" i="4"/>
  <c r="K95" i="4"/>
  <c r="M95" i="4" s="1"/>
  <c r="H95" i="4"/>
  <c r="G95" i="4"/>
  <c r="F95" i="4"/>
  <c r="D95" i="4"/>
  <c r="C95" i="4"/>
  <c r="E95" i="4" s="1"/>
  <c r="AR94" i="4" a="1"/>
  <c r="AR94" i="4" s="1"/>
  <c r="AM94" i="4"/>
  <c r="AF94" i="4"/>
  <c r="AG94" i="4" s="1"/>
  <c r="W94" i="4"/>
  <c r="V94" i="4"/>
  <c r="S94" i="4"/>
  <c r="O94" i="4"/>
  <c r="P94" i="4" s="1"/>
  <c r="AA94" i="4" s="1"/>
  <c r="N94" i="4"/>
  <c r="L94" i="4"/>
  <c r="M94" i="4" s="1"/>
  <c r="K94" i="4"/>
  <c r="G94" i="4"/>
  <c r="F94" i="4"/>
  <c r="H94" i="4" s="1"/>
  <c r="D94" i="4"/>
  <c r="C94" i="4"/>
  <c r="E94" i="4" s="1"/>
  <c r="AR93" i="4"/>
  <c r="AE92" i="4" s="1"/>
  <c r="AR93" i="4" a="1"/>
  <c r="AM93" i="4"/>
  <c r="AF93" i="4"/>
  <c r="AG93" i="4" s="1"/>
  <c r="AE93" i="4"/>
  <c r="W93" i="4"/>
  <c r="V93" i="4"/>
  <c r="S93" i="4"/>
  <c r="P93" i="4"/>
  <c r="AA93" i="4" s="1"/>
  <c r="O93" i="4"/>
  <c r="N93" i="4"/>
  <c r="L93" i="4"/>
  <c r="K93" i="4"/>
  <c r="M93" i="4" s="1"/>
  <c r="G93" i="4"/>
  <c r="F93" i="4"/>
  <c r="H93" i="4" s="1"/>
  <c r="D93" i="4"/>
  <c r="C93" i="4"/>
  <c r="E93" i="4" s="1"/>
  <c r="AR92" i="4"/>
  <c r="AE91" i="4" s="1"/>
  <c r="AR92" i="4" a="1"/>
  <c r="AM92" i="4"/>
  <c r="AF92" i="4"/>
  <c r="AG92" i="4" s="1"/>
  <c r="AA92" i="4"/>
  <c r="W92" i="4"/>
  <c r="V92" i="4"/>
  <c r="S92" i="4"/>
  <c r="O92" i="4"/>
  <c r="N92" i="4"/>
  <c r="P92" i="4" s="1"/>
  <c r="L92" i="4"/>
  <c r="K92" i="4"/>
  <c r="M92" i="4" s="1"/>
  <c r="G92" i="4"/>
  <c r="F92" i="4"/>
  <c r="H92" i="4" s="1"/>
  <c r="E92" i="4"/>
  <c r="D92" i="4"/>
  <c r="C92" i="4"/>
  <c r="AR91" i="4"/>
  <c r="AE90" i="4" s="1"/>
  <c r="AR91" i="4" a="1"/>
  <c r="AM91" i="4"/>
  <c r="AF91" i="4"/>
  <c r="AG91" i="4" s="1"/>
  <c r="W91" i="4"/>
  <c r="V91" i="4"/>
  <c r="S91" i="4"/>
  <c r="O91" i="4"/>
  <c r="N91" i="4"/>
  <c r="P91" i="4" s="1"/>
  <c r="AA91" i="4" s="1"/>
  <c r="L91" i="4"/>
  <c r="K91" i="4"/>
  <c r="G91" i="4"/>
  <c r="F91" i="4"/>
  <c r="H91" i="4" s="1"/>
  <c r="D91" i="4"/>
  <c r="C91" i="4"/>
  <c r="AR90" i="4" a="1"/>
  <c r="AR90" i="4" s="1"/>
  <c r="AE89" i="4" s="1"/>
  <c r="AM90" i="4"/>
  <c r="AF90" i="4"/>
  <c r="AA90" i="4"/>
  <c r="W90" i="4"/>
  <c r="V90" i="4"/>
  <c r="S90" i="4"/>
  <c r="O90" i="4"/>
  <c r="N90" i="4"/>
  <c r="P90" i="4" s="1"/>
  <c r="M90" i="4"/>
  <c r="L90" i="4"/>
  <c r="K90" i="4"/>
  <c r="G90" i="4"/>
  <c r="F90" i="4"/>
  <c r="D90" i="4"/>
  <c r="C90" i="4"/>
  <c r="E90" i="4" s="1"/>
  <c r="AR89" i="4" a="1"/>
  <c r="AR89" i="4" s="1"/>
  <c r="AM89" i="4"/>
  <c r="AG89" i="4"/>
  <c r="AF89" i="4"/>
  <c r="AA89" i="4"/>
  <c r="W89" i="4"/>
  <c r="V89" i="4"/>
  <c r="S89" i="4"/>
  <c r="O89" i="4"/>
  <c r="N89" i="4"/>
  <c r="P89" i="4" s="1"/>
  <c r="M89" i="4"/>
  <c r="L89" i="4"/>
  <c r="K89" i="4"/>
  <c r="G89" i="4"/>
  <c r="F89" i="4"/>
  <c r="H89" i="4" s="1"/>
  <c r="E89" i="4"/>
  <c r="D89" i="4"/>
  <c r="C89" i="4"/>
  <c r="AR88" i="4" a="1"/>
  <c r="AR88" i="4" s="1"/>
  <c r="AM88" i="4"/>
  <c r="AG88" i="4"/>
  <c r="AF88" i="4"/>
  <c r="AE88" i="4"/>
  <c r="AA88" i="4"/>
  <c r="W88" i="4"/>
  <c r="V88" i="4"/>
  <c r="S88" i="4"/>
  <c r="O88" i="4"/>
  <c r="N88" i="4"/>
  <c r="P88" i="4" s="1"/>
  <c r="L88" i="4"/>
  <c r="K88" i="4"/>
  <c r="M88" i="4" s="1"/>
  <c r="G88" i="4"/>
  <c r="F88" i="4"/>
  <c r="H88" i="4" s="1"/>
  <c r="D88" i="4"/>
  <c r="E88" i="4" s="1"/>
  <c r="C88" i="4"/>
  <c r="AR87" i="4"/>
  <c r="AE86" i="4" s="1"/>
  <c r="AR87" i="4" a="1"/>
  <c r="AM87" i="4"/>
  <c r="AF87" i="4"/>
  <c r="AG87" i="4" s="1"/>
  <c r="AE87" i="4"/>
  <c r="AA87" i="4"/>
  <c r="W87" i="4"/>
  <c r="V87" i="4"/>
  <c r="S87" i="4"/>
  <c r="P87" i="4"/>
  <c r="O87" i="4"/>
  <c r="N87" i="4"/>
  <c r="L87" i="4"/>
  <c r="K87" i="4"/>
  <c r="G87" i="4"/>
  <c r="H87" i="4" s="1"/>
  <c r="F87" i="4"/>
  <c r="E87" i="4"/>
  <c r="D87" i="4"/>
  <c r="C87" i="4"/>
  <c r="AR86" i="4"/>
  <c r="AE85" i="4" s="1"/>
  <c r="AR86" i="4" a="1"/>
  <c r="AM86" i="4"/>
  <c r="AF86" i="4"/>
  <c r="AG86" i="4" s="1"/>
  <c r="W86" i="4"/>
  <c r="V86" i="4"/>
  <c r="S86" i="4"/>
  <c r="O86" i="4"/>
  <c r="N86" i="4"/>
  <c r="P86" i="4" s="1"/>
  <c r="AA86" i="4" s="1"/>
  <c r="L86" i="4"/>
  <c r="M86" i="4" s="1"/>
  <c r="K86" i="4"/>
  <c r="H86" i="4"/>
  <c r="G86" i="4"/>
  <c r="F86" i="4"/>
  <c r="D86" i="4"/>
  <c r="C86" i="4"/>
  <c r="E86" i="4" s="1"/>
  <c r="AR85" i="4" a="1"/>
  <c r="AR85" i="4" s="1"/>
  <c r="AE84" i="4" s="1"/>
  <c r="AM85" i="4"/>
  <c r="AF85" i="4"/>
  <c r="AG85" i="4" s="1"/>
  <c r="W85" i="4"/>
  <c r="V85" i="4"/>
  <c r="S85" i="4"/>
  <c r="O85" i="4"/>
  <c r="P85" i="4" s="1"/>
  <c r="AA85" i="4" s="1"/>
  <c r="N85" i="4"/>
  <c r="L85" i="4"/>
  <c r="K85" i="4"/>
  <c r="M85" i="4" s="1"/>
  <c r="G85" i="4"/>
  <c r="F85" i="4"/>
  <c r="H85" i="4" s="1"/>
  <c r="E85" i="4"/>
  <c r="D85" i="4"/>
  <c r="C85" i="4"/>
  <c r="AR84" i="4" a="1"/>
  <c r="AR84" i="4" s="1"/>
  <c r="AE83" i="4" s="1"/>
  <c r="AM84" i="4"/>
  <c r="AF84" i="4"/>
  <c r="W84" i="4"/>
  <c r="V84" i="4"/>
  <c r="S84" i="4"/>
  <c r="P84" i="4"/>
  <c r="AA84" i="4" s="1"/>
  <c r="O84" i="4"/>
  <c r="N84" i="4"/>
  <c r="L84" i="4"/>
  <c r="K84" i="4"/>
  <c r="M84" i="4" s="1"/>
  <c r="G84" i="4"/>
  <c r="F84" i="4"/>
  <c r="H84" i="4" s="1"/>
  <c r="D84" i="4"/>
  <c r="C84" i="4"/>
  <c r="E84" i="4" s="1"/>
  <c r="AR83" i="4"/>
  <c r="AR83" i="4" a="1"/>
  <c r="AM83" i="4"/>
  <c r="AF83" i="4"/>
  <c r="W83" i="4"/>
  <c r="V83" i="4"/>
  <c r="S83" i="4"/>
  <c r="O83" i="4"/>
  <c r="N83" i="4"/>
  <c r="P83" i="4" s="1"/>
  <c r="AA83" i="4" s="1"/>
  <c r="L83" i="4"/>
  <c r="K83" i="4"/>
  <c r="M83" i="4" s="1"/>
  <c r="G83" i="4"/>
  <c r="F83" i="4"/>
  <c r="H83" i="4" s="1"/>
  <c r="D83" i="4"/>
  <c r="C83" i="4"/>
  <c r="E83" i="4" s="1"/>
  <c r="AR82" i="4" a="1"/>
  <c r="AR82" i="4" s="1"/>
  <c r="AE81" i="4" s="1"/>
  <c r="AM82" i="4"/>
  <c r="AF82" i="4"/>
  <c r="W82" i="4"/>
  <c r="V82" i="4"/>
  <c r="S82" i="4"/>
  <c r="P82" i="4"/>
  <c r="AA82" i="4" s="1"/>
  <c r="O82" i="4"/>
  <c r="N82" i="4"/>
  <c r="M82" i="4"/>
  <c r="L82" i="4"/>
  <c r="K82" i="4"/>
  <c r="G82" i="4"/>
  <c r="H82" i="4" s="1"/>
  <c r="F82" i="4"/>
  <c r="D82" i="4"/>
  <c r="E82" i="4" s="1"/>
  <c r="C82" i="4"/>
  <c r="AR81" i="4"/>
  <c r="AE80" i="4" s="1"/>
  <c r="AR81" i="4" a="1"/>
  <c r="AM81" i="4"/>
  <c r="AG81" i="4"/>
  <c r="AF81" i="4"/>
  <c r="W81" i="4"/>
  <c r="V81" i="4"/>
  <c r="S81" i="4"/>
  <c r="O81" i="4"/>
  <c r="N81" i="4"/>
  <c r="M81" i="4"/>
  <c r="L81" i="4"/>
  <c r="K81" i="4"/>
  <c r="H81" i="4"/>
  <c r="G81" i="4"/>
  <c r="F81" i="4"/>
  <c r="E81" i="4"/>
  <c r="D81" i="4"/>
  <c r="C81" i="4"/>
  <c r="AR80" i="4" a="1"/>
  <c r="AR80" i="4" s="1"/>
  <c r="AM80" i="4"/>
  <c r="AG80" i="4"/>
  <c r="AF80" i="4"/>
  <c r="W80" i="4"/>
  <c r="V80" i="4"/>
  <c r="S80" i="4"/>
  <c r="O80" i="4"/>
  <c r="N80" i="4"/>
  <c r="P80" i="4" s="1"/>
  <c r="AA80" i="4" s="1"/>
  <c r="L80" i="4"/>
  <c r="K80" i="4"/>
  <c r="M80" i="4" s="1"/>
  <c r="H80" i="4"/>
  <c r="G80" i="4"/>
  <c r="F80" i="4"/>
  <c r="D80" i="4"/>
  <c r="C80" i="4"/>
  <c r="AR79" i="4" a="1"/>
  <c r="AR79" i="4" s="1"/>
  <c r="AM79" i="4"/>
  <c r="AF79" i="4"/>
  <c r="AG79" i="4" s="1"/>
  <c r="AE79" i="4"/>
  <c r="W79" i="4"/>
  <c r="V79" i="4"/>
  <c r="S79" i="4"/>
  <c r="O79" i="4"/>
  <c r="N79" i="4"/>
  <c r="P79" i="4" s="1"/>
  <c r="AA79" i="4" s="1"/>
  <c r="L79" i="4"/>
  <c r="K79" i="4"/>
  <c r="M79" i="4" s="1"/>
  <c r="G79" i="4"/>
  <c r="F79" i="4"/>
  <c r="H79" i="4" s="1"/>
  <c r="D79" i="4"/>
  <c r="C79" i="4"/>
  <c r="E79" i="4" s="1"/>
  <c r="AR78" i="4"/>
  <c r="AE77" i="4" s="1"/>
  <c r="AR78" i="4" a="1"/>
  <c r="AM78" i="4"/>
  <c r="AF78" i="4"/>
  <c r="AG78" i="4" s="1"/>
  <c r="AE78" i="4"/>
  <c r="W78" i="4"/>
  <c r="V78" i="4"/>
  <c r="S78" i="4"/>
  <c r="O78" i="4"/>
  <c r="N78" i="4"/>
  <c r="P78" i="4" s="1"/>
  <c r="AA78" i="4" s="1"/>
  <c r="L78" i="4"/>
  <c r="K78" i="4"/>
  <c r="M78" i="4" s="1"/>
  <c r="H78" i="4"/>
  <c r="G78" i="4"/>
  <c r="F78" i="4"/>
  <c r="D78" i="4"/>
  <c r="C78" i="4"/>
  <c r="E78" i="4" s="1"/>
  <c r="AR77" i="4"/>
  <c r="AE76" i="4" s="1"/>
  <c r="AR77" i="4" a="1"/>
  <c r="AM77" i="4"/>
  <c r="AF77" i="4"/>
  <c r="AG77" i="4" s="1"/>
  <c r="W77" i="4"/>
  <c r="V77" i="4"/>
  <c r="S77" i="4"/>
  <c r="O77" i="4"/>
  <c r="N77" i="4"/>
  <c r="P77" i="4" s="1"/>
  <c r="AA77" i="4" s="1"/>
  <c r="M77" i="4"/>
  <c r="L77" i="4"/>
  <c r="K77" i="4"/>
  <c r="G77" i="4"/>
  <c r="F77" i="4"/>
  <c r="H77" i="4" s="1"/>
  <c r="D77" i="4"/>
  <c r="C77" i="4"/>
  <c r="E77" i="4" s="1"/>
  <c r="AR76" i="4" a="1"/>
  <c r="AR76" i="4" s="1"/>
  <c r="AM76" i="4"/>
  <c r="AF76" i="4"/>
  <c r="W76" i="4"/>
  <c r="V76" i="4"/>
  <c r="S76" i="4"/>
  <c r="O76" i="4"/>
  <c r="N76" i="4"/>
  <c r="P76" i="4" s="1"/>
  <c r="AA76" i="4" s="1"/>
  <c r="L76" i="4"/>
  <c r="K76" i="4"/>
  <c r="M76" i="4" s="1"/>
  <c r="H76" i="4"/>
  <c r="G76" i="4"/>
  <c r="F76" i="4"/>
  <c r="D76" i="4"/>
  <c r="C76" i="4"/>
  <c r="E76" i="4" s="1"/>
  <c r="AR75" i="4"/>
  <c r="AR75" i="4" a="1"/>
  <c r="AM75" i="4"/>
  <c r="AF75" i="4"/>
  <c r="W75" i="4"/>
  <c r="V75" i="4"/>
  <c r="S75" i="4"/>
  <c r="O75" i="4"/>
  <c r="P75" i="4" s="1"/>
  <c r="AA75" i="4" s="1"/>
  <c r="N75" i="4"/>
  <c r="L75" i="4"/>
  <c r="K75" i="4"/>
  <c r="M75" i="4" s="1"/>
  <c r="G75" i="4"/>
  <c r="F75" i="4"/>
  <c r="H75" i="4" s="1"/>
  <c r="D75" i="4"/>
  <c r="C75" i="4"/>
  <c r="E75" i="4" s="1"/>
  <c r="AR74" i="4"/>
  <c r="AE73" i="4" s="1"/>
  <c r="AR74" i="4" a="1"/>
  <c r="AM74" i="4"/>
  <c r="AF74" i="4"/>
  <c r="W74" i="4"/>
  <c r="V74" i="4"/>
  <c r="S74" i="4"/>
  <c r="P74" i="4"/>
  <c r="AA74" i="4" s="1"/>
  <c r="O74" i="4"/>
  <c r="N74" i="4"/>
  <c r="L74" i="4"/>
  <c r="K74" i="4"/>
  <c r="G74" i="4"/>
  <c r="F74" i="4"/>
  <c r="H74" i="4" s="1"/>
  <c r="D74" i="4"/>
  <c r="E74" i="4" s="1"/>
  <c r="C74" i="4"/>
  <c r="B74" i="4"/>
  <c r="AR73" i="4" a="1"/>
  <c r="AR73" i="4" s="1"/>
  <c r="AM73" i="4"/>
  <c r="AF73" i="4"/>
  <c r="W73" i="4"/>
  <c r="V73" i="4"/>
  <c r="S73" i="4"/>
  <c r="O73" i="4"/>
  <c r="N73" i="4"/>
  <c r="L73" i="4"/>
  <c r="M73" i="4" s="1"/>
  <c r="K73" i="4"/>
  <c r="G73" i="4"/>
  <c r="F73" i="4"/>
  <c r="H73" i="4" s="1"/>
  <c r="D73" i="4"/>
  <c r="C73" i="4"/>
  <c r="B73" i="4"/>
  <c r="AR72" i="4" a="1"/>
  <c r="AR72" i="4" s="1"/>
  <c r="AM72" i="4"/>
  <c r="AF72" i="4"/>
  <c r="W72" i="4"/>
  <c r="V72" i="4"/>
  <c r="S72" i="4"/>
  <c r="O72" i="4"/>
  <c r="N72" i="4"/>
  <c r="P72" i="4" s="1"/>
  <c r="AA72" i="4" s="1"/>
  <c r="L72" i="4"/>
  <c r="M72" i="4" s="1"/>
  <c r="K72" i="4"/>
  <c r="G72" i="4"/>
  <c r="F72" i="4"/>
  <c r="D72" i="4"/>
  <c r="C72" i="4"/>
  <c r="E72" i="4" s="1"/>
  <c r="B72" i="4"/>
  <c r="AR71" i="4" a="1"/>
  <c r="AR71" i="4" s="1"/>
  <c r="AE70" i="4" s="1"/>
  <c r="AM71" i="4"/>
  <c r="AF71" i="4"/>
  <c r="W71" i="4"/>
  <c r="V71" i="4"/>
  <c r="S71" i="4"/>
  <c r="O71" i="4"/>
  <c r="N71" i="4"/>
  <c r="P71" i="4" s="1"/>
  <c r="AA71" i="4" s="1"/>
  <c r="L71" i="4"/>
  <c r="K71" i="4"/>
  <c r="M71" i="4" s="1"/>
  <c r="H71" i="4"/>
  <c r="G71" i="4"/>
  <c r="F71" i="4"/>
  <c r="D71" i="4"/>
  <c r="C71" i="4"/>
  <c r="E71" i="4" s="1"/>
  <c r="B71" i="4"/>
  <c r="AR70" i="4" a="1"/>
  <c r="AR70" i="4" s="1"/>
  <c r="AM70" i="4"/>
  <c r="AG70" i="4"/>
  <c r="AF70" i="4"/>
  <c r="W70" i="4"/>
  <c r="V70" i="4"/>
  <c r="S70" i="4"/>
  <c r="O70" i="4"/>
  <c r="N70" i="4"/>
  <c r="P70" i="4" s="1"/>
  <c r="AA70" i="4" s="1"/>
  <c r="L70" i="4"/>
  <c r="K70" i="4"/>
  <c r="M70" i="4" s="1"/>
  <c r="G70" i="4"/>
  <c r="F70" i="4"/>
  <c r="H70" i="4" s="1"/>
  <c r="D70" i="4"/>
  <c r="C70" i="4"/>
  <c r="E70" i="4" s="1"/>
  <c r="B70" i="4"/>
  <c r="AR69" i="4" a="1"/>
  <c r="AR69" i="4" s="1"/>
  <c r="AE68" i="4" s="1"/>
  <c r="AM69" i="4"/>
  <c r="AJ69" i="4"/>
  <c r="AF69" i="4"/>
  <c r="AG69" i="4" s="1"/>
  <c r="AE69" i="4"/>
  <c r="W69" i="4"/>
  <c r="V69" i="4"/>
  <c r="S69" i="4"/>
  <c r="O69" i="4"/>
  <c r="N69" i="4"/>
  <c r="P69" i="4" s="1"/>
  <c r="AA69" i="4" s="1"/>
  <c r="L69" i="4"/>
  <c r="K69" i="4"/>
  <c r="M69" i="4" s="1"/>
  <c r="I69" i="4"/>
  <c r="J69" i="4" s="1"/>
  <c r="G69" i="4"/>
  <c r="F69" i="4"/>
  <c r="H69" i="4" s="1"/>
  <c r="E69" i="4"/>
  <c r="D69" i="4"/>
  <c r="C69" i="4"/>
  <c r="B69" i="4"/>
  <c r="AR68" i="4" a="1"/>
  <c r="AR68" i="4" s="1"/>
  <c r="AE67" i="4" s="1"/>
  <c r="AM68" i="4"/>
  <c r="AJ68" i="4"/>
  <c r="AF68" i="4"/>
  <c r="W68" i="4"/>
  <c r="V68" i="4"/>
  <c r="S68" i="4"/>
  <c r="P68" i="4"/>
  <c r="O68" i="4"/>
  <c r="N68" i="4"/>
  <c r="L68" i="4"/>
  <c r="K68" i="4"/>
  <c r="I68" i="4"/>
  <c r="AA68" i="4" s="1"/>
  <c r="G68" i="4"/>
  <c r="F68" i="4"/>
  <c r="H68" i="4" s="1"/>
  <c r="D68" i="4"/>
  <c r="C68" i="4"/>
  <c r="E68" i="4" s="1"/>
  <c r="B68" i="4"/>
  <c r="AR67" i="4"/>
  <c r="AE66" i="4" s="1"/>
  <c r="AR67" i="4" a="1"/>
  <c r="AM67" i="4"/>
  <c r="AJ67" i="4"/>
  <c r="AF67" i="4"/>
  <c r="W67" i="4"/>
  <c r="V67" i="4"/>
  <c r="S67" i="4"/>
  <c r="P67" i="4"/>
  <c r="O67" i="4"/>
  <c r="N67" i="4"/>
  <c r="L67" i="4"/>
  <c r="K67" i="4"/>
  <c r="I67" i="4"/>
  <c r="G67" i="4"/>
  <c r="F67" i="4"/>
  <c r="H67" i="4" s="1"/>
  <c r="D67" i="4"/>
  <c r="C67" i="4"/>
  <c r="E67" i="4" s="1"/>
  <c r="B67" i="4"/>
  <c r="J67" i="4" s="1"/>
  <c r="AR66" i="4" a="1"/>
  <c r="AR66" i="4" s="1"/>
  <c r="AE65" i="4" s="1"/>
  <c r="AM66" i="4"/>
  <c r="AJ66" i="4"/>
  <c r="AF66" i="4"/>
  <c r="W66" i="4"/>
  <c r="V66" i="4"/>
  <c r="S66" i="4"/>
  <c r="P66" i="4"/>
  <c r="O66" i="4"/>
  <c r="N66" i="4"/>
  <c r="L66" i="4"/>
  <c r="K66" i="4"/>
  <c r="M66" i="4" s="1"/>
  <c r="J66" i="4"/>
  <c r="I66" i="4"/>
  <c r="AA66" i="4" s="1"/>
  <c r="G66" i="4"/>
  <c r="F66" i="4"/>
  <c r="H66" i="4" s="1"/>
  <c r="E66" i="4"/>
  <c r="D66" i="4"/>
  <c r="C66" i="4"/>
  <c r="B66" i="4"/>
  <c r="AR65" i="4"/>
  <c r="AE64" i="4" s="1"/>
  <c r="AR65" i="4" a="1"/>
  <c r="AM65" i="4"/>
  <c r="AJ65" i="4"/>
  <c r="AF65" i="4"/>
  <c r="AG65" i="4" s="1"/>
  <c r="W65" i="4"/>
  <c r="V65" i="4"/>
  <c r="S65" i="4"/>
  <c r="O65" i="4"/>
  <c r="N65" i="4"/>
  <c r="L65" i="4"/>
  <c r="K65" i="4"/>
  <c r="M65" i="4" s="1"/>
  <c r="J65" i="4"/>
  <c r="I65" i="4"/>
  <c r="G65" i="4"/>
  <c r="F65" i="4"/>
  <c r="H65" i="4" s="1"/>
  <c r="E65" i="4"/>
  <c r="D65" i="4"/>
  <c r="C65" i="4"/>
  <c r="B65" i="4"/>
  <c r="AR64" i="4" a="1"/>
  <c r="AR64" i="4" s="1"/>
  <c r="AE63" i="4" s="1"/>
  <c r="AM64" i="4"/>
  <c r="AJ64" i="4"/>
  <c r="AF64" i="4"/>
  <c r="W64" i="4"/>
  <c r="V64" i="4"/>
  <c r="S64" i="4"/>
  <c r="P64" i="4"/>
  <c r="AA64" i="4" s="1"/>
  <c r="O64" i="4"/>
  <c r="N64" i="4"/>
  <c r="L64" i="4"/>
  <c r="K64" i="4"/>
  <c r="J64" i="4"/>
  <c r="I64" i="4"/>
  <c r="G64" i="4"/>
  <c r="F64" i="4"/>
  <c r="H64" i="4" s="1"/>
  <c r="E64" i="4"/>
  <c r="D64" i="4"/>
  <c r="C64" i="4"/>
  <c r="B64" i="4"/>
  <c r="AR63" i="4"/>
  <c r="AR63" i="4" a="1"/>
  <c r="AM63" i="4"/>
  <c r="AJ63" i="4"/>
  <c r="AF63" i="4"/>
  <c r="AG63" i="4" s="1"/>
  <c r="W63" i="4"/>
  <c r="V63" i="4"/>
  <c r="S63" i="4"/>
  <c r="O63" i="4"/>
  <c r="N63" i="4"/>
  <c r="P63" i="4" s="1"/>
  <c r="L63" i="4"/>
  <c r="M63" i="4" s="1"/>
  <c r="K63" i="4"/>
  <c r="J63" i="4"/>
  <c r="I63" i="4"/>
  <c r="H63" i="4"/>
  <c r="G63" i="4"/>
  <c r="F63" i="4"/>
  <c r="D63" i="4"/>
  <c r="C63" i="4"/>
  <c r="E63" i="4" s="1"/>
  <c r="AR62" i="4" a="1"/>
  <c r="AR62" i="4" s="1"/>
  <c r="AM62" i="4"/>
  <c r="AJ62" i="4"/>
  <c r="AF62" i="4"/>
  <c r="AG62" i="4" s="1"/>
  <c r="AE62" i="4"/>
  <c r="W62" i="4"/>
  <c r="V62" i="4"/>
  <c r="S62" i="4"/>
  <c r="O62" i="4"/>
  <c r="N62" i="4"/>
  <c r="P62" i="4" s="1"/>
  <c r="M62" i="4"/>
  <c r="L62" i="4"/>
  <c r="K62" i="4"/>
  <c r="J62" i="4"/>
  <c r="I62" i="4"/>
  <c r="G62" i="4"/>
  <c r="F62" i="4"/>
  <c r="H62" i="4" s="1"/>
  <c r="E62" i="4"/>
  <c r="D62" i="4"/>
  <c r="C62" i="4"/>
  <c r="AR61" i="4" a="1"/>
  <c r="AR61" i="4" s="1"/>
  <c r="AM61" i="4"/>
  <c r="AJ61" i="4"/>
  <c r="AG61" i="4"/>
  <c r="AF61" i="4"/>
  <c r="AE61" i="4"/>
  <c r="W61" i="4"/>
  <c r="V61" i="4"/>
  <c r="S61" i="4"/>
  <c r="P61" i="4"/>
  <c r="AA61" i="4" s="1"/>
  <c r="O61" i="4"/>
  <c r="N61" i="4"/>
  <c r="M61" i="4"/>
  <c r="L61" i="4"/>
  <c r="K61" i="4"/>
  <c r="I61" i="4"/>
  <c r="J61" i="4" s="1"/>
  <c r="G61" i="4"/>
  <c r="F61" i="4"/>
  <c r="H61" i="4" s="1"/>
  <c r="D61" i="4"/>
  <c r="C61" i="4"/>
  <c r="E61" i="4" s="1"/>
  <c r="AM60" i="4"/>
  <c r="AJ60" i="4"/>
  <c r="AF60" i="4"/>
  <c r="AE60" i="4" a="1"/>
  <c r="AE60" i="4" s="1"/>
  <c r="AA60" i="4"/>
  <c r="W60" i="4"/>
  <c r="V60" i="4"/>
  <c r="S60" i="4"/>
  <c r="P60" i="4"/>
  <c r="O60" i="4"/>
  <c r="N60" i="4"/>
  <c r="M60" i="4"/>
  <c r="L60" i="4"/>
  <c r="K60" i="4"/>
  <c r="I60" i="4"/>
  <c r="J60" i="4" s="1"/>
  <c r="G60" i="4"/>
  <c r="F60" i="4"/>
  <c r="H60" i="4" s="1"/>
  <c r="D60" i="4"/>
  <c r="C60" i="4"/>
  <c r="E60" i="4" s="1"/>
  <c r="AM59" i="4"/>
  <c r="AJ59" i="4"/>
  <c r="AF59" i="4"/>
  <c r="AG59" i="4" s="1"/>
  <c r="AE59" i="4" a="1"/>
  <c r="AE59" i="4" s="1"/>
  <c r="AA59" i="4"/>
  <c r="W59" i="4"/>
  <c r="V59" i="4"/>
  <c r="S59" i="4"/>
  <c r="O59" i="4"/>
  <c r="N59" i="4"/>
  <c r="P59" i="4" s="1"/>
  <c r="L59" i="4"/>
  <c r="K59" i="4"/>
  <c r="M59" i="4" s="1"/>
  <c r="J59" i="4"/>
  <c r="I59" i="4"/>
  <c r="G59" i="4"/>
  <c r="H59" i="4" s="1"/>
  <c r="F59" i="4"/>
  <c r="D59" i="4"/>
  <c r="C59" i="4"/>
  <c r="E59" i="4" s="1"/>
  <c r="AM58" i="4"/>
  <c r="AJ58" i="4"/>
  <c r="AF58" i="4"/>
  <c r="AG58" i="4" s="1"/>
  <c r="AE58" i="4"/>
  <c r="AE58" i="4" a="1"/>
  <c r="W58" i="4"/>
  <c r="V58" i="4"/>
  <c r="S58" i="4"/>
  <c r="O58" i="4"/>
  <c r="N58" i="4"/>
  <c r="P58" i="4" s="1"/>
  <c r="M58" i="4"/>
  <c r="L58" i="4"/>
  <c r="K58" i="4"/>
  <c r="I58" i="4"/>
  <c r="AA58" i="4" s="1"/>
  <c r="G58" i="4"/>
  <c r="F58" i="4"/>
  <c r="H58" i="4" s="1"/>
  <c r="D58" i="4"/>
  <c r="C58" i="4"/>
  <c r="E58" i="4" s="1"/>
  <c r="AM57" i="4"/>
  <c r="AK57" i="4"/>
  <c r="AK58" i="4" s="1"/>
  <c r="AJ57" i="4"/>
  <c r="AL57" i="4" s="1"/>
  <c r="AF57" i="4"/>
  <c r="AE57" i="4" a="1"/>
  <c r="AE57" i="4" s="1"/>
  <c r="W57" i="4"/>
  <c r="V57" i="4"/>
  <c r="S57" i="4"/>
  <c r="O57" i="4"/>
  <c r="N57" i="4"/>
  <c r="P57" i="4" s="1"/>
  <c r="L57" i="4"/>
  <c r="K57" i="4"/>
  <c r="M57" i="4" s="1"/>
  <c r="J57" i="4"/>
  <c r="I57" i="4"/>
  <c r="G57" i="4"/>
  <c r="F57" i="4"/>
  <c r="H57" i="4" s="1"/>
  <c r="D57" i="4"/>
  <c r="C57" i="4"/>
  <c r="E57" i="4" s="1"/>
  <c r="AM56" i="4"/>
  <c r="AK56" i="4"/>
  <c r="AJ56" i="4"/>
  <c r="AL56" i="4" s="1"/>
  <c r="AF56" i="4"/>
  <c r="AE56" i="4"/>
  <c r="AG56" i="4" s="1"/>
  <c r="AE56" i="4" a="1"/>
  <c r="W56" i="4"/>
  <c r="V56" i="4"/>
  <c r="S56" i="4"/>
  <c r="P56" i="4"/>
  <c r="O56" i="4"/>
  <c r="N56" i="4"/>
  <c r="M56" i="4"/>
  <c r="L56" i="4"/>
  <c r="K56" i="4"/>
  <c r="I56" i="4"/>
  <c r="AA56" i="4" s="1"/>
  <c r="G56" i="4"/>
  <c r="H56" i="4" s="1"/>
  <c r="F56" i="4"/>
  <c r="D56" i="4"/>
  <c r="C56" i="4"/>
  <c r="E56" i="4" s="1"/>
  <c r="AM55" i="4"/>
  <c r="AL55" i="4"/>
  <c r="AF55" i="4"/>
  <c r="AG55" i="4" s="1"/>
  <c r="Y55" i="4"/>
  <c r="W55" i="4"/>
  <c r="S55" i="4"/>
  <c r="P55" i="4"/>
  <c r="O55" i="4"/>
  <c r="N55" i="4"/>
  <c r="M55" i="4"/>
  <c r="L55" i="4"/>
  <c r="K55" i="4"/>
  <c r="J55" i="4"/>
  <c r="I55" i="4"/>
  <c r="G55" i="4"/>
  <c r="F55" i="4"/>
  <c r="H55" i="4" s="1"/>
  <c r="D55" i="4"/>
  <c r="C55" i="4"/>
  <c r="E55" i="4" s="1"/>
  <c r="AM54" i="4"/>
  <c r="AL54" i="4"/>
  <c r="AF54" i="4"/>
  <c r="AG54" i="4" s="1"/>
  <c r="Y54" i="4"/>
  <c r="W54" i="4"/>
  <c r="S54" i="4"/>
  <c r="O54" i="4"/>
  <c r="P54" i="4" s="1"/>
  <c r="N54" i="4"/>
  <c r="M54" i="4"/>
  <c r="L54" i="4"/>
  <c r="K54" i="4"/>
  <c r="J54" i="4"/>
  <c r="I54" i="4"/>
  <c r="G54" i="4"/>
  <c r="F54" i="4"/>
  <c r="E54" i="4"/>
  <c r="D54" i="4"/>
  <c r="C54" i="4"/>
  <c r="AM53" i="4"/>
  <c r="AL53" i="4"/>
  <c r="AG53" i="4"/>
  <c r="AF53" i="4"/>
  <c r="Y53" i="4"/>
  <c r="W53" i="4"/>
  <c r="S53" i="4"/>
  <c r="O53" i="4"/>
  <c r="N53" i="4"/>
  <c r="L53" i="4"/>
  <c r="K53" i="4"/>
  <c r="M53" i="4" s="1"/>
  <c r="I53" i="4"/>
  <c r="J53" i="4" s="1"/>
  <c r="H53" i="4"/>
  <c r="G53" i="4"/>
  <c r="F53" i="4"/>
  <c r="D53" i="4"/>
  <c r="E53" i="4" s="1"/>
  <c r="C53" i="4"/>
  <c r="AM52" i="4"/>
  <c r="AL52" i="4"/>
  <c r="AG52" i="4"/>
  <c r="AF52" i="4"/>
  <c r="Y52" i="4"/>
  <c r="W52" i="4"/>
  <c r="S52" i="4"/>
  <c r="O52" i="4"/>
  <c r="N52" i="4"/>
  <c r="P52" i="4" s="1"/>
  <c r="L52" i="4"/>
  <c r="M52" i="4" s="1"/>
  <c r="K52" i="4"/>
  <c r="J52" i="4"/>
  <c r="I52" i="4"/>
  <c r="G52" i="4"/>
  <c r="F52" i="4"/>
  <c r="H52" i="4" s="1"/>
  <c r="D52" i="4"/>
  <c r="C52" i="4"/>
  <c r="E52" i="4" s="1"/>
  <c r="AM51" i="4"/>
  <c r="AL51" i="4"/>
  <c r="AF51" i="4"/>
  <c r="AG51" i="4" s="1"/>
  <c r="Y51" i="4"/>
  <c r="W51" i="4"/>
  <c r="S51" i="4"/>
  <c r="O51" i="4"/>
  <c r="N51" i="4"/>
  <c r="P51" i="4" s="1"/>
  <c r="L51" i="4"/>
  <c r="K51" i="4"/>
  <c r="M51" i="4" s="1"/>
  <c r="J51" i="4"/>
  <c r="I51" i="4"/>
  <c r="G51" i="4"/>
  <c r="F51" i="4"/>
  <c r="H51" i="4" s="1"/>
  <c r="D51" i="4"/>
  <c r="C51" i="4"/>
  <c r="E51" i="4" s="1"/>
  <c r="AM50" i="4"/>
  <c r="AL50" i="4"/>
  <c r="AF50" i="4"/>
  <c r="AG50" i="4" s="1"/>
  <c r="Y50" i="4"/>
  <c r="W50" i="4"/>
  <c r="S50" i="4"/>
  <c r="P50" i="4"/>
  <c r="O50" i="4"/>
  <c r="N50" i="4"/>
  <c r="L50" i="4"/>
  <c r="K50" i="4"/>
  <c r="I50" i="4"/>
  <c r="J50" i="4" s="1"/>
  <c r="G50" i="4"/>
  <c r="H50" i="4" s="1"/>
  <c r="F50" i="4"/>
  <c r="D50" i="4"/>
  <c r="C50" i="4"/>
  <c r="E50" i="4" s="1"/>
  <c r="AM49" i="4"/>
  <c r="AL49" i="4"/>
  <c r="AF49" i="4"/>
  <c r="AG49" i="4" s="1"/>
  <c r="Y49" i="4"/>
  <c r="W49" i="4"/>
  <c r="S49" i="4"/>
  <c r="O49" i="4"/>
  <c r="N49" i="4"/>
  <c r="P49" i="4" s="1"/>
  <c r="L49" i="4"/>
  <c r="M49" i="4" s="1"/>
  <c r="K49" i="4"/>
  <c r="I49" i="4"/>
  <c r="J49" i="4" s="1"/>
  <c r="G49" i="4"/>
  <c r="F49" i="4"/>
  <c r="H49" i="4" s="1"/>
  <c r="E49" i="4"/>
  <c r="D49" i="4"/>
  <c r="C49" i="4"/>
  <c r="AM48" i="4"/>
  <c r="AL48" i="4"/>
  <c r="AG48" i="4"/>
  <c r="AF48" i="4"/>
  <c r="Y48" i="4"/>
  <c r="W48" i="4"/>
  <c r="S48" i="4"/>
  <c r="O48" i="4"/>
  <c r="N48" i="4"/>
  <c r="P48" i="4" s="1"/>
  <c r="M48" i="4"/>
  <c r="L48" i="4"/>
  <c r="K48" i="4"/>
  <c r="I48" i="4"/>
  <c r="J48" i="4" s="1"/>
  <c r="G48" i="4"/>
  <c r="F48" i="4"/>
  <c r="H48" i="4" s="1"/>
  <c r="D48" i="4"/>
  <c r="C48" i="4"/>
  <c r="E48" i="4" s="1"/>
  <c r="AM47" i="4"/>
  <c r="AL47" i="4"/>
  <c r="AG47" i="4"/>
  <c r="AF47" i="4"/>
  <c r="Y47" i="4"/>
  <c r="W47" i="4"/>
  <c r="S47" i="4"/>
  <c r="P47" i="4"/>
  <c r="O47" i="4"/>
  <c r="N47" i="4"/>
  <c r="L47" i="4"/>
  <c r="M47" i="4" s="1"/>
  <c r="K47" i="4"/>
  <c r="J47" i="4"/>
  <c r="I47" i="4"/>
  <c r="H47" i="4"/>
  <c r="G47" i="4"/>
  <c r="F47" i="4"/>
  <c r="E47" i="4"/>
  <c r="D47" i="4"/>
  <c r="C47" i="4"/>
  <c r="AM46" i="4"/>
  <c r="AL46" i="4"/>
  <c r="AF46" i="4"/>
  <c r="AG46" i="4" s="1"/>
  <c r="Y46" i="4"/>
  <c r="W46" i="4"/>
  <c r="S46" i="4"/>
  <c r="O46" i="4"/>
  <c r="N46" i="4"/>
  <c r="P46" i="4" s="1"/>
  <c r="L46" i="4"/>
  <c r="K46" i="4"/>
  <c r="M46" i="4" s="1"/>
  <c r="J46" i="4"/>
  <c r="I46" i="4"/>
  <c r="G46" i="4"/>
  <c r="F46" i="4"/>
  <c r="H46" i="4" s="1"/>
  <c r="D46" i="4"/>
  <c r="C46" i="4"/>
  <c r="E46" i="4" s="1"/>
  <c r="AM45" i="4"/>
  <c r="AL45" i="4"/>
  <c r="AG45" i="4"/>
  <c r="AF45" i="4"/>
  <c r="Y45" i="4"/>
  <c r="W45" i="4"/>
  <c r="S45" i="4"/>
  <c r="O45" i="4"/>
  <c r="N45" i="4"/>
  <c r="P45" i="4" s="1"/>
  <c r="L45" i="4"/>
  <c r="K45" i="4"/>
  <c r="M45" i="4" s="1"/>
  <c r="J45" i="4"/>
  <c r="I45" i="4"/>
  <c r="H45" i="4"/>
  <c r="G45" i="4"/>
  <c r="F45" i="4"/>
  <c r="D45" i="4"/>
  <c r="C45" i="4"/>
  <c r="E45" i="4" s="1"/>
  <c r="AM44" i="4"/>
  <c r="AL44" i="4"/>
  <c r="AF44" i="4"/>
  <c r="AG44" i="4" s="1"/>
  <c r="Y44" i="4"/>
  <c r="W44" i="4"/>
  <c r="S44" i="4"/>
  <c r="O44" i="4"/>
  <c r="N44" i="4"/>
  <c r="P44" i="4" s="1"/>
  <c r="L44" i="4"/>
  <c r="K44" i="4"/>
  <c r="M44" i="4" s="1"/>
  <c r="I44" i="4"/>
  <c r="J44" i="4" s="1"/>
  <c r="H44" i="4"/>
  <c r="G44" i="4"/>
  <c r="F44" i="4"/>
  <c r="D44" i="4"/>
  <c r="E44" i="4" s="1"/>
  <c r="C44" i="4"/>
  <c r="AM43" i="4"/>
  <c r="AL43" i="4"/>
  <c r="AF43" i="4"/>
  <c r="AG43" i="4" s="1"/>
  <c r="Y43" i="4"/>
  <c r="W43" i="4"/>
  <c r="S43" i="4"/>
  <c r="P43" i="4"/>
  <c r="O43" i="4"/>
  <c r="N43" i="4"/>
  <c r="L43" i="4"/>
  <c r="K43" i="4"/>
  <c r="J43" i="4"/>
  <c r="I43" i="4"/>
  <c r="H43" i="4"/>
  <c r="G43" i="4"/>
  <c r="F43" i="4"/>
  <c r="E43" i="4"/>
  <c r="D43" i="4"/>
  <c r="C43" i="4"/>
  <c r="AM42" i="4"/>
  <c r="AL42" i="4"/>
  <c r="AF42" i="4"/>
  <c r="AG42" i="4" s="1"/>
  <c r="Y42" i="4"/>
  <c r="W42" i="4"/>
  <c r="S42" i="4"/>
  <c r="P42" i="4"/>
  <c r="O42" i="4"/>
  <c r="N42" i="4"/>
  <c r="L42" i="4"/>
  <c r="K42" i="4"/>
  <c r="M42" i="4" s="1"/>
  <c r="J42" i="4"/>
  <c r="I42" i="4"/>
  <c r="G42" i="4"/>
  <c r="F42" i="4"/>
  <c r="H42" i="4" s="1"/>
  <c r="D42" i="4"/>
  <c r="C42" i="4"/>
  <c r="E42" i="4" s="1"/>
  <c r="AM41" i="4"/>
  <c r="AL41" i="4"/>
  <c r="AG41" i="4"/>
  <c r="AF41" i="4"/>
  <c r="Y41" i="4"/>
  <c r="W41" i="4"/>
  <c r="S41" i="4"/>
  <c r="O41" i="4"/>
  <c r="N41" i="4"/>
  <c r="P41" i="4" s="1"/>
  <c r="L41" i="4"/>
  <c r="K41" i="4"/>
  <c r="M41" i="4" s="1"/>
  <c r="I41" i="4"/>
  <c r="J41" i="4" s="1"/>
  <c r="H41" i="4"/>
  <c r="G41" i="4"/>
  <c r="F41" i="4"/>
  <c r="D41" i="4"/>
  <c r="C41" i="4"/>
  <c r="E41" i="4" s="1"/>
  <c r="AM40" i="4"/>
  <c r="AL40" i="4"/>
  <c r="AG40" i="4"/>
  <c r="AF40" i="4"/>
  <c r="Y40" i="4"/>
  <c r="W40" i="4"/>
  <c r="S40" i="4"/>
  <c r="O40" i="4"/>
  <c r="N40" i="4"/>
  <c r="P40" i="4" s="1"/>
  <c r="M40" i="4"/>
  <c r="L40" i="4"/>
  <c r="K40" i="4"/>
  <c r="I40" i="4"/>
  <c r="J40" i="4" s="1"/>
  <c r="H40" i="4"/>
  <c r="G40" i="4"/>
  <c r="F40" i="4"/>
  <c r="D40" i="4"/>
  <c r="E40" i="4" s="1"/>
  <c r="C40" i="4"/>
  <c r="AM39" i="4"/>
  <c r="AL39" i="4"/>
  <c r="AF39" i="4"/>
  <c r="AG39" i="4" s="1"/>
  <c r="Y39" i="4"/>
  <c r="W39" i="4"/>
  <c r="S39" i="4"/>
  <c r="O39" i="4"/>
  <c r="N39" i="4"/>
  <c r="L39" i="4"/>
  <c r="M39" i="4" s="1"/>
  <c r="K39" i="4"/>
  <c r="I39" i="4"/>
  <c r="J39" i="4" s="1"/>
  <c r="G39" i="4"/>
  <c r="F39" i="4"/>
  <c r="H39" i="4" s="1"/>
  <c r="D39" i="4"/>
  <c r="C39" i="4"/>
  <c r="E39" i="4" s="1"/>
  <c r="AM38" i="4"/>
  <c r="AL38" i="4"/>
  <c r="AF38" i="4"/>
  <c r="AG38" i="4" s="1"/>
  <c r="Y38" i="4"/>
  <c r="W38" i="4"/>
  <c r="S38" i="4"/>
  <c r="O38" i="4"/>
  <c r="P38" i="4" s="1"/>
  <c r="N38" i="4"/>
  <c r="L38" i="4"/>
  <c r="M38" i="4" s="1"/>
  <c r="K38" i="4"/>
  <c r="I38" i="4"/>
  <c r="J38" i="4" s="1"/>
  <c r="G38" i="4"/>
  <c r="F38" i="4"/>
  <c r="H38" i="4" s="1"/>
  <c r="D38" i="4"/>
  <c r="C38" i="4"/>
  <c r="E38" i="4" s="1"/>
  <c r="AM37" i="4"/>
  <c r="AL37" i="4"/>
  <c r="AG37" i="4"/>
  <c r="AF37" i="4"/>
  <c r="Y37" i="4"/>
  <c r="W37" i="4"/>
  <c r="S37" i="4"/>
  <c r="O37" i="4"/>
  <c r="P37" i="4" s="1"/>
  <c r="N37" i="4"/>
  <c r="L37" i="4"/>
  <c r="K37" i="4"/>
  <c r="M37" i="4" s="1"/>
  <c r="J37" i="4"/>
  <c r="I37" i="4"/>
  <c r="G37" i="4"/>
  <c r="F37" i="4"/>
  <c r="H37" i="4" s="1"/>
  <c r="D37" i="4"/>
  <c r="C37" i="4"/>
  <c r="E37" i="4" s="1"/>
  <c r="AM36" i="4"/>
  <c r="AL36" i="4"/>
  <c r="AF36" i="4"/>
  <c r="AG36" i="4" s="1"/>
  <c r="Y36" i="4"/>
  <c r="W36" i="4"/>
  <c r="S36" i="4"/>
  <c r="O36" i="4"/>
  <c r="N36" i="4"/>
  <c r="P36" i="4" s="1"/>
  <c r="L36" i="4"/>
  <c r="K36" i="4"/>
  <c r="M36" i="4" s="1"/>
  <c r="I36" i="4"/>
  <c r="J36" i="4" s="1"/>
  <c r="G36" i="4"/>
  <c r="F36" i="4"/>
  <c r="H36" i="4" s="1"/>
  <c r="D36" i="4"/>
  <c r="C36" i="4"/>
  <c r="AM35" i="4"/>
  <c r="AL35" i="4"/>
  <c r="AG35" i="4"/>
  <c r="AF35" i="4"/>
  <c r="Y35" i="4"/>
  <c r="W35" i="4"/>
  <c r="S35" i="4"/>
  <c r="P35" i="4"/>
  <c r="O35" i="4"/>
  <c r="N35" i="4"/>
  <c r="L35" i="4"/>
  <c r="K35" i="4"/>
  <c r="M35" i="4" s="1"/>
  <c r="I35" i="4"/>
  <c r="J35" i="4" s="1"/>
  <c r="H35" i="4"/>
  <c r="G35" i="4"/>
  <c r="F35" i="4"/>
  <c r="D35" i="4"/>
  <c r="E35" i="4" s="1"/>
  <c r="C35" i="4"/>
  <c r="AM34" i="4"/>
  <c r="AL34" i="4"/>
  <c r="AG34" i="4"/>
  <c r="AF34" i="4"/>
  <c r="Y34" i="4"/>
  <c r="W34" i="4"/>
  <c r="S34" i="4"/>
  <c r="O34" i="4"/>
  <c r="N34" i="4"/>
  <c r="P34" i="4" s="1"/>
  <c r="L34" i="4"/>
  <c r="M34" i="4" s="1"/>
  <c r="K34" i="4"/>
  <c r="J34" i="4"/>
  <c r="I34" i="4"/>
  <c r="H34" i="4"/>
  <c r="G34" i="4"/>
  <c r="F34" i="4"/>
  <c r="D34" i="4"/>
  <c r="C34" i="4"/>
  <c r="E34" i="4" s="1"/>
  <c r="AM33" i="4"/>
  <c r="AL33" i="4"/>
  <c r="AF33" i="4"/>
  <c r="AG33" i="4" s="1"/>
  <c r="Y33" i="4"/>
  <c r="W33" i="4"/>
  <c r="S33" i="4"/>
  <c r="O33" i="4"/>
  <c r="P33" i="4" s="1"/>
  <c r="N33" i="4"/>
  <c r="L33" i="4"/>
  <c r="M33" i="4" s="1"/>
  <c r="K33" i="4"/>
  <c r="J33" i="4"/>
  <c r="I33" i="4"/>
  <c r="H33" i="4"/>
  <c r="G33" i="4"/>
  <c r="F33" i="4"/>
  <c r="D33" i="4"/>
  <c r="C33" i="4"/>
  <c r="E33" i="4" s="1"/>
  <c r="AM32" i="4"/>
  <c r="AL32" i="4"/>
  <c r="AG32" i="4"/>
  <c r="AF32" i="4"/>
  <c r="Y32" i="4"/>
  <c r="W32" i="4"/>
  <c r="S32" i="4"/>
  <c r="O32" i="4"/>
  <c r="N32" i="4"/>
  <c r="P32" i="4" s="1"/>
  <c r="M32" i="4"/>
  <c r="L32" i="4"/>
  <c r="K32" i="4"/>
  <c r="J32" i="4"/>
  <c r="I32" i="4"/>
  <c r="G32" i="4"/>
  <c r="F32" i="4"/>
  <c r="H32" i="4" s="1"/>
  <c r="E32" i="4"/>
  <c r="D32" i="4"/>
  <c r="C32" i="4"/>
  <c r="AM31" i="4"/>
  <c r="AL31" i="4"/>
  <c r="AF31" i="4"/>
  <c r="AG31" i="4" s="1"/>
  <c r="Y31" i="4"/>
  <c r="W31" i="4"/>
  <c r="S31" i="4"/>
  <c r="O31" i="4"/>
  <c r="N31" i="4"/>
  <c r="P31" i="4" s="1"/>
  <c r="L31" i="4"/>
  <c r="K31" i="4"/>
  <c r="M31" i="4" s="1"/>
  <c r="I31" i="4"/>
  <c r="J31" i="4" s="1"/>
  <c r="G31" i="4"/>
  <c r="H31" i="4" s="1"/>
  <c r="F31" i="4"/>
  <c r="E31" i="4"/>
  <c r="D31" i="4"/>
  <c r="C31" i="4"/>
  <c r="AM30" i="4"/>
  <c r="AL30" i="4"/>
  <c r="AF30" i="4"/>
  <c r="AG30" i="4" s="1"/>
  <c r="Y30" i="4"/>
  <c r="W30" i="4"/>
  <c r="S30" i="4"/>
  <c r="O30" i="4"/>
  <c r="N30" i="4"/>
  <c r="P30" i="4" s="1"/>
  <c r="L30" i="4"/>
  <c r="K30" i="4"/>
  <c r="M30" i="4" s="1"/>
  <c r="I30" i="4"/>
  <c r="J30" i="4" s="1"/>
  <c r="H30" i="4"/>
  <c r="G30" i="4"/>
  <c r="F30" i="4"/>
  <c r="D30" i="4"/>
  <c r="E30" i="4" s="1"/>
  <c r="C30" i="4"/>
  <c r="AM29" i="4"/>
  <c r="AL29" i="4"/>
  <c r="AG29" i="4"/>
  <c r="AF29" i="4"/>
  <c r="Y29" i="4"/>
  <c r="W29" i="4"/>
  <c r="S29" i="4"/>
  <c r="O29" i="4"/>
  <c r="N29" i="4"/>
  <c r="P29" i="4" s="1"/>
  <c r="M29" i="4"/>
  <c r="L29" i="4"/>
  <c r="K29" i="4"/>
  <c r="J29" i="4"/>
  <c r="I29" i="4"/>
  <c r="G29" i="4"/>
  <c r="H29" i="4" s="1"/>
  <c r="F29" i="4"/>
  <c r="D29" i="4"/>
  <c r="C29" i="4"/>
  <c r="E29" i="4" s="1"/>
  <c r="AM28" i="4"/>
  <c r="AL28" i="4"/>
  <c r="AF28" i="4"/>
  <c r="AG28" i="4" s="1"/>
  <c r="Y28" i="4"/>
  <c r="W28" i="4"/>
  <c r="S28" i="4"/>
  <c r="O28" i="4"/>
  <c r="N28" i="4"/>
  <c r="P28" i="4" s="1"/>
  <c r="L28" i="4"/>
  <c r="K28" i="4"/>
  <c r="M28" i="4" s="1"/>
  <c r="J28" i="4"/>
  <c r="I28" i="4"/>
  <c r="G28" i="4"/>
  <c r="F28" i="4"/>
  <c r="H28" i="4" s="1"/>
  <c r="E28" i="4"/>
  <c r="D28" i="4"/>
  <c r="C28" i="4"/>
  <c r="AM27" i="4"/>
  <c r="AL27" i="4"/>
  <c r="AF27" i="4"/>
  <c r="AG27" i="4" s="1"/>
  <c r="Y27" i="4"/>
  <c r="W27" i="4"/>
  <c r="S27" i="4"/>
  <c r="O27" i="4"/>
  <c r="N27" i="4"/>
  <c r="P27" i="4" s="1"/>
  <c r="L27" i="4"/>
  <c r="K27" i="4"/>
  <c r="M27" i="4" s="1"/>
  <c r="J27" i="4"/>
  <c r="I27" i="4"/>
  <c r="G27" i="4"/>
  <c r="F27" i="4"/>
  <c r="H27" i="4" s="1"/>
  <c r="D27" i="4"/>
  <c r="C27" i="4"/>
  <c r="E27" i="4" s="1"/>
  <c r="AM26" i="4"/>
  <c r="AL26" i="4"/>
  <c r="AG26" i="4"/>
  <c r="AF26" i="4"/>
  <c r="Y26" i="4"/>
  <c r="W26" i="4"/>
  <c r="S26" i="4"/>
  <c r="O26" i="4"/>
  <c r="N26" i="4"/>
  <c r="P26" i="4" s="1"/>
  <c r="L26" i="4"/>
  <c r="K26" i="4"/>
  <c r="M26" i="4" s="1"/>
  <c r="I26" i="4"/>
  <c r="J26" i="4" s="1"/>
  <c r="H26" i="4"/>
  <c r="G26" i="4"/>
  <c r="F26" i="4"/>
  <c r="D26" i="4"/>
  <c r="C26" i="4"/>
  <c r="E26" i="4" s="1"/>
  <c r="AM25" i="4"/>
  <c r="AL25" i="4"/>
  <c r="AG25" i="4"/>
  <c r="AF25" i="4"/>
  <c r="Y25" i="4"/>
  <c r="W25" i="4"/>
  <c r="S25" i="4"/>
  <c r="O25" i="4"/>
  <c r="N25" i="4"/>
  <c r="L25" i="4"/>
  <c r="K25" i="4"/>
  <c r="M25" i="4" s="1"/>
  <c r="I25" i="4"/>
  <c r="J25" i="4" s="1"/>
  <c r="G25" i="4"/>
  <c r="F25" i="4"/>
  <c r="H25" i="4" s="1"/>
  <c r="D25" i="4"/>
  <c r="E25" i="4" s="1"/>
  <c r="C25" i="4"/>
  <c r="AM24" i="4"/>
  <c r="AL24" i="4"/>
  <c r="AG24" i="4"/>
  <c r="AF24" i="4"/>
  <c r="Y24" i="4"/>
  <c r="W24" i="4"/>
  <c r="S24" i="4"/>
  <c r="O24" i="4"/>
  <c r="N24" i="4"/>
  <c r="P24" i="4" s="1"/>
  <c r="L24" i="4"/>
  <c r="K24" i="4"/>
  <c r="M24" i="4" s="1"/>
  <c r="J24" i="4"/>
  <c r="I24" i="4"/>
  <c r="G24" i="4"/>
  <c r="F24" i="4"/>
  <c r="H24" i="4" s="1"/>
  <c r="D24" i="4"/>
  <c r="C24" i="4"/>
  <c r="E24" i="4" s="1"/>
  <c r="AM23" i="4"/>
  <c r="AL23" i="4"/>
  <c r="AF23" i="4"/>
  <c r="AG23" i="4" s="1"/>
  <c r="Y23" i="4"/>
  <c r="W23" i="4"/>
  <c r="S23" i="4"/>
  <c r="O23" i="4"/>
  <c r="N23" i="4"/>
  <c r="P23" i="4" s="1"/>
  <c r="L23" i="4"/>
  <c r="K23" i="4"/>
  <c r="M23" i="4" s="1"/>
  <c r="J23" i="4"/>
  <c r="I23" i="4"/>
  <c r="G23" i="4"/>
  <c r="H23" i="4" s="1"/>
  <c r="F23" i="4"/>
  <c r="D23" i="4"/>
  <c r="C23" i="4"/>
  <c r="E23" i="4" s="1"/>
  <c r="AM22" i="4"/>
  <c r="AL22" i="4"/>
  <c r="AF22" i="4"/>
  <c r="AG22" i="4" s="1"/>
  <c r="Y22" i="4"/>
  <c r="W22" i="4"/>
  <c r="S22" i="4"/>
  <c r="O22" i="4"/>
  <c r="N22" i="4"/>
  <c r="P22" i="4" s="1"/>
  <c r="L22" i="4"/>
  <c r="M22" i="4" s="1"/>
  <c r="K22" i="4"/>
  <c r="I22" i="4"/>
  <c r="J22" i="4" s="1"/>
  <c r="H22" i="4"/>
  <c r="G22" i="4"/>
  <c r="F22" i="4"/>
  <c r="E22" i="4"/>
  <c r="D22" i="4"/>
  <c r="C22" i="4"/>
  <c r="AM21" i="4"/>
  <c r="AL21" i="4"/>
  <c r="AF21" i="4"/>
  <c r="AG21" i="4" s="1"/>
  <c r="Y21" i="4"/>
  <c r="W21" i="4"/>
  <c r="S21" i="4"/>
  <c r="P21" i="4"/>
  <c r="O21" i="4"/>
  <c r="N21" i="4"/>
  <c r="M21" i="4"/>
  <c r="L21" i="4"/>
  <c r="K21" i="4"/>
  <c r="I21" i="4"/>
  <c r="J21" i="4" s="1"/>
  <c r="G21" i="4"/>
  <c r="F21" i="4"/>
  <c r="H21" i="4" s="1"/>
  <c r="D21" i="4"/>
  <c r="C21" i="4"/>
  <c r="E21" i="4" s="1"/>
  <c r="AM20" i="4"/>
  <c r="AL20" i="4"/>
  <c r="AF20" i="4"/>
  <c r="AG20" i="4" s="1"/>
  <c r="Y20" i="4"/>
  <c r="W20" i="4"/>
  <c r="S20" i="4"/>
  <c r="O20" i="4"/>
  <c r="P20" i="4" s="1"/>
  <c r="N20" i="4"/>
  <c r="L20" i="4"/>
  <c r="K20" i="4"/>
  <c r="M20" i="4" s="1"/>
  <c r="I20" i="4"/>
  <c r="J20" i="4" s="1"/>
  <c r="G20" i="4"/>
  <c r="F20" i="4"/>
  <c r="E20" i="4"/>
  <c r="D20" i="4"/>
  <c r="C20" i="4"/>
  <c r="AM19" i="4"/>
  <c r="AL19" i="4"/>
  <c r="AF19" i="4"/>
  <c r="AG19" i="4" s="1"/>
  <c r="Y19" i="4"/>
  <c r="W19" i="4"/>
  <c r="S19" i="4"/>
  <c r="O19" i="4"/>
  <c r="N19" i="4"/>
  <c r="P19" i="4" s="1"/>
  <c r="L19" i="4"/>
  <c r="K19" i="4"/>
  <c r="M19" i="4" s="1"/>
  <c r="I19" i="4"/>
  <c r="J19" i="4" s="1"/>
  <c r="G19" i="4"/>
  <c r="H19" i="4" s="1"/>
  <c r="F19" i="4"/>
  <c r="D19" i="4"/>
  <c r="E19" i="4" s="1"/>
  <c r="C19" i="4"/>
  <c r="AM18" i="4"/>
  <c r="AL18" i="4"/>
  <c r="AF18" i="4"/>
  <c r="AG18" i="4" s="1"/>
  <c r="Y18" i="4"/>
  <c r="W18" i="4"/>
  <c r="S18" i="4"/>
  <c r="P18" i="4"/>
  <c r="O18" i="4"/>
  <c r="N18" i="4"/>
  <c r="M18" i="4"/>
  <c r="L18" i="4"/>
  <c r="K18" i="4"/>
  <c r="I18" i="4"/>
  <c r="J18" i="4" s="1"/>
  <c r="G18" i="4"/>
  <c r="F18" i="4"/>
  <c r="H18" i="4" s="1"/>
  <c r="D18" i="4"/>
  <c r="C18" i="4"/>
  <c r="AM17" i="4"/>
  <c r="AL17" i="4"/>
  <c r="AG17" i="4"/>
  <c r="AF17" i="4"/>
  <c r="Y17" i="4"/>
  <c r="W17" i="4"/>
  <c r="S17" i="4"/>
  <c r="O17" i="4"/>
  <c r="N17" i="4"/>
  <c r="P17" i="4" s="1"/>
  <c r="L17" i="4"/>
  <c r="M17" i="4" s="1"/>
  <c r="K17" i="4"/>
  <c r="I17" i="4"/>
  <c r="J17" i="4" s="1"/>
  <c r="G17" i="4"/>
  <c r="H17" i="4" s="1"/>
  <c r="F17" i="4"/>
  <c r="D17" i="4"/>
  <c r="E17" i="4" s="1"/>
  <c r="C17" i="4"/>
  <c r="AM16" i="4"/>
  <c r="AL16" i="4"/>
  <c r="AF16" i="4"/>
  <c r="AG16" i="4" s="1"/>
  <c r="Y16" i="4"/>
  <c r="W16" i="4"/>
  <c r="S16" i="4"/>
  <c r="O16" i="4"/>
  <c r="N16" i="4"/>
  <c r="P16" i="4" s="1"/>
  <c r="L16" i="4"/>
  <c r="K16" i="4"/>
  <c r="M16" i="4" s="1"/>
  <c r="I16" i="4"/>
  <c r="J16" i="4" s="1"/>
  <c r="H16" i="4"/>
  <c r="G16" i="4"/>
  <c r="F16" i="4"/>
  <c r="E16" i="4"/>
  <c r="D16" i="4"/>
  <c r="C16" i="4"/>
  <c r="AM15" i="4"/>
  <c r="AL15" i="4"/>
  <c r="AF15" i="4"/>
  <c r="AG15" i="4" s="1"/>
  <c r="Y15" i="4"/>
  <c r="W15" i="4"/>
  <c r="S15" i="4"/>
  <c r="P15" i="4"/>
  <c r="O15" i="4"/>
  <c r="N15" i="4"/>
  <c r="M15" i="4"/>
  <c r="L15" i="4"/>
  <c r="K15" i="4"/>
  <c r="J15" i="4"/>
  <c r="I15" i="4"/>
  <c r="G15" i="4"/>
  <c r="F15" i="4"/>
  <c r="H15" i="4" s="1"/>
  <c r="D15" i="4"/>
  <c r="C15" i="4"/>
  <c r="E15" i="4" s="1"/>
  <c r="AM14" i="4"/>
  <c r="AL14" i="4"/>
  <c r="AG14" i="4"/>
  <c r="AF14" i="4"/>
  <c r="Y14" i="4"/>
  <c r="W14" i="4"/>
  <c r="S14" i="4"/>
  <c r="O14" i="4"/>
  <c r="N14" i="4"/>
  <c r="P14" i="4" s="1"/>
  <c r="L14" i="4"/>
  <c r="K14" i="4"/>
  <c r="M14" i="4" s="1"/>
  <c r="J14" i="4"/>
  <c r="I14" i="4"/>
  <c r="G14" i="4"/>
  <c r="F14" i="4"/>
  <c r="H14" i="4" s="1"/>
  <c r="D14" i="4"/>
  <c r="C14" i="4"/>
  <c r="E14" i="4" s="1"/>
  <c r="AM13" i="4"/>
  <c r="AL13" i="4"/>
  <c r="AG13" i="4"/>
  <c r="AF13" i="4"/>
  <c r="Y13" i="4"/>
  <c r="W13" i="4"/>
  <c r="S13" i="4"/>
  <c r="P13" i="4"/>
  <c r="O13" i="4"/>
  <c r="N13" i="4"/>
  <c r="L13" i="4"/>
  <c r="K13" i="4"/>
  <c r="M13" i="4" s="1"/>
  <c r="I13" i="4"/>
  <c r="J13" i="4" s="1"/>
  <c r="G13" i="4"/>
  <c r="F13" i="4"/>
  <c r="H13" i="4" s="1"/>
  <c r="D13" i="4"/>
  <c r="C13" i="4"/>
  <c r="E13" i="4" s="1"/>
  <c r="AM12" i="4"/>
  <c r="AL12" i="4"/>
  <c r="AF12" i="4"/>
  <c r="AG12" i="4" s="1"/>
  <c r="Y12" i="4"/>
  <c r="W12" i="4"/>
  <c r="S12" i="4"/>
  <c r="O12" i="4"/>
  <c r="P12" i="4" s="1"/>
  <c r="N12" i="4"/>
  <c r="L12" i="4"/>
  <c r="K12" i="4"/>
  <c r="M12" i="4" s="1"/>
  <c r="I12" i="4"/>
  <c r="J12" i="4" s="1"/>
  <c r="H12" i="4"/>
  <c r="G12" i="4"/>
  <c r="F12" i="4"/>
  <c r="D12" i="4"/>
  <c r="E12" i="4" s="1"/>
  <c r="C12" i="4"/>
  <c r="AM11" i="4"/>
  <c r="AL11" i="4"/>
  <c r="AF11" i="4"/>
  <c r="AG11" i="4" s="1"/>
  <c r="Y11" i="4"/>
  <c r="W11" i="4"/>
  <c r="S11" i="4"/>
  <c r="O11" i="4"/>
  <c r="N11" i="4"/>
  <c r="P11" i="4" s="1"/>
  <c r="M11" i="4"/>
  <c r="L11" i="4"/>
  <c r="K11" i="4"/>
  <c r="I11" i="4"/>
  <c r="J11" i="4" s="1"/>
  <c r="G11" i="4"/>
  <c r="F11" i="4"/>
  <c r="H11" i="4" s="1"/>
  <c r="D11" i="4"/>
  <c r="C11" i="4"/>
  <c r="AM10" i="4"/>
  <c r="AL10" i="4"/>
  <c r="AF10" i="4"/>
  <c r="AG10" i="4" s="1"/>
  <c r="Y10" i="4"/>
  <c r="W10" i="4"/>
  <c r="S10" i="4"/>
  <c r="O10" i="4"/>
  <c r="P10" i="4" s="1"/>
  <c r="N10" i="4"/>
  <c r="L10" i="4"/>
  <c r="M10" i="4" s="1"/>
  <c r="K10" i="4"/>
  <c r="J10" i="4"/>
  <c r="I10" i="4"/>
  <c r="G10" i="4"/>
  <c r="F10" i="4"/>
  <c r="H10" i="4" s="1"/>
  <c r="D10" i="4"/>
  <c r="C10" i="4"/>
  <c r="E10" i="4" s="1"/>
  <c r="AM9" i="4"/>
  <c r="AL9" i="4"/>
  <c r="AF9" i="4"/>
  <c r="AG9" i="4" s="1"/>
  <c r="Y9" i="4"/>
  <c r="W9" i="4"/>
  <c r="S9" i="4"/>
  <c r="O9" i="4"/>
  <c r="N9" i="4"/>
  <c r="P9" i="4" s="1"/>
  <c r="L9" i="4"/>
  <c r="K9" i="4"/>
  <c r="M9" i="4" s="1"/>
  <c r="I9" i="4"/>
  <c r="J9" i="4" s="1"/>
  <c r="H9" i="4"/>
  <c r="G9" i="4"/>
  <c r="F9" i="4"/>
  <c r="D9" i="4"/>
  <c r="E9" i="4" s="1"/>
  <c r="C9" i="4"/>
  <c r="AM8" i="4"/>
  <c r="AL8" i="4"/>
  <c r="AG8" i="4"/>
  <c r="AF8" i="4"/>
  <c r="Y8" i="4"/>
  <c r="W8" i="4"/>
  <c r="S8" i="4"/>
  <c r="O8" i="4"/>
  <c r="P8" i="4" s="1"/>
  <c r="N8" i="4"/>
  <c r="L8" i="4"/>
  <c r="K8" i="4"/>
  <c r="M8" i="4" s="1"/>
  <c r="I8" i="4"/>
  <c r="J8" i="4" s="1"/>
  <c r="G8" i="4"/>
  <c r="H8" i="4" s="1"/>
  <c r="F8" i="4"/>
  <c r="D8" i="4"/>
  <c r="C8" i="4"/>
  <c r="E8" i="4" s="1"/>
  <c r="Y7" i="4"/>
  <c r="W7" i="4"/>
  <c r="S7" i="4"/>
  <c r="O7" i="4"/>
  <c r="N7" i="4"/>
  <c r="P7" i="4" s="1"/>
  <c r="L7" i="4"/>
  <c r="K7" i="4"/>
  <c r="M7" i="4" s="1"/>
  <c r="J7" i="4"/>
  <c r="I7" i="4"/>
  <c r="G7" i="4"/>
  <c r="F7" i="4"/>
  <c r="H7" i="4" s="1"/>
  <c r="D7" i="4"/>
  <c r="C7" i="4"/>
  <c r="E7" i="4" s="1"/>
  <c r="Y6" i="4"/>
  <c r="W6" i="4"/>
  <c r="S6" i="4"/>
  <c r="O6" i="4"/>
  <c r="P6" i="4" s="1"/>
  <c r="N6" i="4"/>
  <c r="L6" i="4"/>
  <c r="K6" i="4"/>
  <c r="M6" i="4" s="1"/>
  <c r="I6" i="4"/>
  <c r="J6" i="4" s="1"/>
  <c r="G6" i="4"/>
  <c r="F6" i="4"/>
  <c r="H6" i="4" s="1"/>
  <c r="D6" i="4"/>
  <c r="C6" i="4"/>
  <c r="E6" i="4" s="1"/>
  <c r="Y5" i="4"/>
  <c r="W5" i="4"/>
  <c r="S5" i="4"/>
  <c r="O5" i="4"/>
  <c r="N5" i="4"/>
  <c r="P5" i="4" s="1"/>
  <c r="L5" i="4"/>
  <c r="M5" i="4" s="1"/>
  <c r="K5" i="4"/>
  <c r="J5" i="4"/>
  <c r="I5" i="4"/>
  <c r="G5" i="4"/>
  <c r="F5" i="4"/>
  <c r="H5" i="4" s="1"/>
  <c r="D5" i="4"/>
  <c r="C5" i="4"/>
  <c r="E5" i="4" s="1"/>
  <c r="Y4" i="4"/>
  <c r="W4" i="4"/>
  <c r="S4" i="4"/>
  <c r="O4" i="4"/>
  <c r="P4" i="4" s="1"/>
  <c r="N4" i="4"/>
  <c r="L4" i="4"/>
  <c r="K4" i="4"/>
  <c r="M4" i="4" s="1"/>
  <c r="J4" i="4"/>
  <c r="I4" i="4"/>
  <c r="H4" i="4"/>
  <c r="G4" i="4"/>
  <c r="F4" i="4"/>
  <c r="E4" i="4"/>
  <c r="D4" i="4"/>
  <c r="C4" i="4"/>
  <c r="Y3" i="4"/>
  <c r="W3" i="4"/>
  <c r="S3" i="4"/>
  <c r="O3" i="4"/>
  <c r="N3" i="4"/>
  <c r="L3" i="4"/>
  <c r="M3" i="4" s="1"/>
  <c r="K3" i="4"/>
  <c r="J3" i="4"/>
  <c r="I3" i="4"/>
  <c r="G3" i="4"/>
  <c r="F3" i="4"/>
  <c r="H3" i="4" s="1"/>
  <c r="D3" i="4"/>
  <c r="C3" i="4"/>
  <c r="E3" i="4" s="1"/>
  <c r="Y2" i="4"/>
  <c r="W2" i="4"/>
  <c r="S2" i="4"/>
  <c r="O2" i="4"/>
  <c r="N2" i="4"/>
  <c r="L2" i="4"/>
  <c r="K2" i="4"/>
  <c r="M2" i="4" s="1"/>
  <c r="I2" i="4"/>
  <c r="J2" i="4" s="1"/>
  <c r="G2" i="4"/>
  <c r="F2" i="4"/>
  <c r="H2" i="4" s="1"/>
  <c r="D2" i="4"/>
  <c r="E2" i="4" s="1"/>
  <c r="C2" i="4"/>
  <c r="B264" i="3"/>
  <c r="B263" i="3"/>
  <c r="B262" i="3"/>
  <c r="B261" i="3"/>
  <c r="B260" i="3"/>
  <c r="X95" i="3"/>
  <c r="W95" i="3"/>
  <c r="X94" i="3"/>
  <c r="W94" i="3"/>
  <c r="V94" i="3" s="1"/>
  <c r="X93" i="3"/>
  <c r="W93" i="3"/>
  <c r="X92" i="3"/>
  <c r="W92" i="3"/>
  <c r="V92" i="3" s="1"/>
  <c r="X91" i="3"/>
  <c r="W91" i="3"/>
  <c r="V91" i="3"/>
  <c r="X90" i="3"/>
  <c r="W90" i="3"/>
  <c r="V90" i="3"/>
  <c r="X89" i="3"/>
  <c r="W89" i="3"/>
  <c r="V89" i="3"/>
  <c r="X88" i="3"/>
  <c r="W88" i="3"/>
  <c r="V88" i="3" s="1"/>
  <c r="X87" i="3"/>
  <c r="W87" i="3"/>
  <c r="V87" i="3" s="1"/>
  <c r="X86" i="3"/>
  <c r="W86" i="3"/>
  <c r="V86" i="3"/>
  <c r="X85" i="3"/>
  <c r="V85" i="3" s="1"/>
  <c r="W85" i="3"/>
  <c r="X84" i="3"/>
  <c r="V84" i="3" s="1"/>
  <c r="W84" i="3"/>
  <c r="X83" i="3"/>
  <c r="W83" i="3"/>
  <c r="V83" i="3"/>
  <c r="X82" i="3"/>
  <c r="W82" i="3"/>
  <c r="X81" i="3"/>
  <c r="W81" i="3"/>
  <c r="V81" i="3"/>
  <c r="X80" i="3"/>
  <c r="W80" i="3"/>
  <c r="V80" i="3" s="1"/>
  <c r="X79" i="3"/>
  <c r="W79" i="3"/>
  <c r="V79" i="3" s="1"/>
  <c r="X78" i="3"/>
  <c r="V78" i="3" s="1"/>
  <c r="W78" i="3"/>
  <c r="X77" i="3"/>
  <c r="W77" i="3"/>
  <c r="V77" i="3" s="1"/>
  <c r="X76" i="3"/>
  <c r="W76" i="3"/>
  <c r="X75" i="3"/>
  <c r="W75" i="3"/>
  <c r="V75" i="3" s="1"/>
  <c r="X74" i="3"/>
  <c r="W74" i="3"/>
  <c r="V74" i="3"/>
  <c r="X73" i="3"/>
  <c r="W73" i="3"/>
  <c r="X72" i="3"/>
  <c r="V72" i="3" s="1"/>
  <c r="W72" i="3"/>
  <c r="X71" i="3"/>
  <c r="W71" i="3"/>
  <c r="V71" i="3" s="1"/>
  <c r="X70" i="3"/>
  <c r="W70" i="3"/>
  <c r="V70" i="3" s="1"/>
  <c r="X69" i="3"/>
  <c r="V69" i="3" s="1"/>
  <c r="W69" i="3"/>
  <c r="X68" i="3"/>
  <c r="W68" i="3"/>
  <c r="V68" i="3"/>
  <c r="X67" i="3"/>
  <c r="V67" i="3" s="1"/>
  <c r="W67" i="3"/>
  <c r="X66" i="3"/>
  <c r="W66" i="3"/>
  <c r="V66" i="3" s="1"/>
  <c r="X65" i="3"/>
  <c r="W65" i="3"/>
  <c r="V65" i="3" s="1"/>
  <c r="X64" i="3"/>
  <c r="W64" i="3"/>
  <c r="V64" i="3" s="1"/>
  <c r="X63" i="3"/>
  <c r="W63" i="3"/>
  <c r="V63" i="3"/>
  <c r="X62" i="3"/>
  <c r="W62" i="3"/>
  <c r="X61" i="3"/>
  <c r="W61" i="3"/>
  <c r="X60" i="3"/>
  <c r="W60" i="3"/>
  <c r="X59" i="3"/>
  <c r="W59" i="3"/>
  <c r="V59" i="3"/>
  <c r="X58" i="3"/>
  <c r="W58" i="3"/>
  <c r="X57" i="3"/>
  <c r="W57" i="3"/>
  <c r="V57" i="3" s="1"/>
  <c r="X56" i="3"/>
  <c r="W56" i="3"/>
  <c r="X55" i="3"/>
  <c r="W55" i="3"/>
  <c r="V55" i="3" s="1"/>
  <c r="X54" i="3"/>
  <c r="W54" i="3"/>
  <c r="V54" i="3" s="1"/>
  <c r="X53" i="3"/>
  <c r="W53" i="3"/>
  <c r="V53" i="3" s="1"/>
  <c r="X52" i="3"/>
  <c r="W52" i="3"/>
  <c r="V52" i="3"/>
  <c r="X51" i="3"/>
  <c r="W51" i="3"/>
  <c r="V51" i="3" s="1"/>
  <c r="X50" i="3"/>
  <c r="W50" i="3"/>
  <c r="X49" i="3"/>
  <c r="W49" i="3"/>
  <c r="V49" i="3" s="1"/>
  <c r="X48" i="3"/>
  <c r="V48" i="3" s="1"/>
  <c r="W48" i="3"/>
  <c r="X47" i="3"/>
  <c r="W47" i="3"/>
  <c r="V47" i="3" s="1"/>
  <c r="X46" i="3"/>
  <c r="V46" i="3" s="1"/>
  <c r="W46" i="3"/>
  <c r="X45" i="3"/>
  <c r="W45" i="3"/>
  <c r="V45" i="3"/>
  <c r="X44" i="3"/>
  <c r="W44" i="3"/>
  <c r="V44" i="3"/>
  <c r="X43" i="3"/>
  <c r="W43" i="3"/>
  <c r="V43" i="3" s="1"/>
  <c r="X42" i="3"/>
  <c r="W42" i="3"/>
  <c r="V42" i="3" s="1"/>
  <c r="X41" i="3"/>
  <c r="W41" i="3"/>
  <c r="V41" i="3"/>
  <c r="X40" i="3"/>
  <c r="V40" i="3" s="1"/>
  <c r="W40" i="3"/>
  <c r="X39" i="3"/>
  <c r="W39" i="3"/>
  <c r="X38" i="3"/>
  <c r="W38" i="3"/>
  <c r="X37" i="3"/>
  <c r="V37" i="3" s="1"/>
  <c r="W37" i="3"/>
  <c r="X36" i="3"/>
  <c r="W36" i="3"/>
  <c r="V36" i="3" s="1"/>
  <c r="X35" i="3"/>
  <c r="W35" i="3"/>
  <c r="V35" i="3"/>
  <c r="X34" i="3"/>
  <c r="W34" i="3"/>
  <c r="X33" i="3"/>
  <c r="W33" i="3"/>
  <c r="X32" i="3"/>
  <c r="W32" i="3"/>
  <c r="X31" i="3"/>
  <c r="W31" i="3"/>
  <c r="V31" i="3" s="1"/>
  <c r="X30" i="3"/>
  <c r="V30" i="3" s="1"/>
  <c r="W30" i="3"/>
  <c r="X29" i="3"/>
  <c r="W29" i="3"/>
  <c r="V29" i="3" s="1"/>
  <c r="X28" i="3"/>
  <c r="V28" i="3" s="1"/>
  <c r="W28" i="3"/>
  <c r="X27" i="3"/>
  <c r="W27" i="3"/>
  <c r="V27" i="3" s="1"/>
  <c r="X26" i="3"/>
  <c r="V26" i="3" s="1"/>
  <c r="W26" i="3"/>
  <c r="X25" i="3"/>
  <c r="W25" i="3"/>
  <c r="V25" i="3"/>
  <c r="X24" i="3"/>
  <c r="W24" i="3"/>
  <c r="V24" i="3" s="1"/>
  <c r="X23" i="3"/>
  <c r="W23" i="3"/>
  <c r="V23" i="3"/>
  <c r="X22" i="3"/>
  <c r="W22" i="3"/>
  <c r="V22" i="3"/>
  <c r="X21" i="3"/>
  <c r="W21" i="3"/>
  <c r="X20" i="3"/>
  <c r="W20" i="3"/>
  <c r="X19" i="3"/>
  <c r="W19" i="3"/>
  <c r="V19" i="3"/>
  <c r="X18" i="3"/>
  <c r="W18" i="3"/>
  <c r="X17" i="3"/>
  <c r="W17" i="3"/>
  <c r="X16" i="3"/>
  <c r="W16" i="3"/>
  <c r="V16" i="3" s="1"/>
  <c r="X15" i="3"/>
  <c r="W15" i="3"/>
  <c r="V15" i="3" s="1"/>
  <c r="X14" i="3"/>
  <c r="W14" i="3"/>
  <c r="V14" i="3" s="1"/>
  <c r="X13" i="3"/>
  <c r="V13" i="3" s="1"/>
  <c r="W13" i="3"/>
  <c r="X12" i="3"/>
  <c r="V12" i="3" s="1"/>
  <c r="W12" i="3"/>
  <c r="X11" i="3"/>
  <c r="W11" i="3"/>
  <c r="V11" i="3" s="1"/>
  <c r="X10" i="3"/>
  <c r="W10" i="3"/>
  <c r="V10" i="3" s="1"/>
  <c r="X9" i="3"/>
  <c r="W9" i="3"/>
  <c r="V9" i="3" s="1"/>
  <c r="X8" i="3"/>
  <c r="W8" i="3"/>
  <c r="V8" i="3"/>
  <c r="X7" i="3"/>
  <c r="W7" i="3"/>
  <c r="V7" i="3"/>
  <c r="X6" i="3"/>
  <c r="W6" i="3"/>
  <c r="V6" i="3" s="1"/>
  <c r="X5" i="3"/>
  <c r="W5" i="3"/>
  <c r="V5" i="3" s="1"/>
  <c r="X4" i="3"/>
  <c r="V4" i="3" s="1"/>
  <c r="W4" i="3"/>
  <c r="X3" i="3"/>
  <c r="W3" i="3"/>
  <c r="V3" i="3" s="1"/>
  <c r="X2" i="3"/>
  <c r="V2" i="3" s="1"/>
  <c r="W2" i="3"/>
  <c r="B258" i="3"/>
  <c r="B257" i="3"/>
  <c r="B256" i="3"/>
  <c r="B255" i="3"/>
  <c r="B254" i="3"/>
  <c r="B253" i="3"/>
  <c r="B249" i="3"/>
  <c r="B248" i="3"/>
  <c r="B245" i="3"/>
  <c r="B244" i="3"/>
  <c r="B237" i="3"/>
  <c r="B234" i="3"/>
  <c r="B227" i="3"/>
  <c r="B223" i="3"/>
  <c r="B222" i="3"/>
  <c r="B219" i="3"/>
  <c r="B217" i="3"/>
  <c r="B216" i="3"/>
  <c r="B215" i="3"/>
  <c r="B214" i="3"/>
  <c r="B213" i="3"/>
  <c r="B212" i="3"/>
  <c r="B211" i="3"/>
  <c r="B210" i="3"/>
  <c r="B209" i="3"/>
  <c r="B200" i="3"/>
  <c r="B194" i="3"/>
  <c r="B189" i="3"/>
  <c r="B188" i="3"/>
  <c r="B187" i="3"/>
  <c r="B183" i="3"/>
  <c r="B182" i="3"/>
  <c r="B179" i="3"/>
  <c r="B178" i="3"/>
  <c r="B175" i="3"/>
  <c r="B173" i="3"/>
  <c r="B172" i="3"/>
  <c r="B171" i="3"/>
  <c r="B170" i="3"/>
  <c r="B169" i="3"/>
  <c r="B165" i="3"/>
  <c r="B153" i="3"/>
  <c r="B149" i="3"/>
  <c r="B148" i="3"/>
  <c r="B147" i="3"/>
  <c r="B146" i="3"/>
  <c r="B145" i="3"/>
  <c r="B144" i="3"/>
  <c r="B143" i="3"/>
  <c r="B139" i="3"/>
  <c r="B138" i="3"/>
  <c r="B135" i="3"/>
  <c r="B134" i="3"/>
  <c r="B131" i="3"/>
  <c r="B129" i="3"/>
  <c r="B124" i="3"/>
  <c r="B117" i="3"/>
  <c r="B112" i="3"/>
  <c r="B109" i="3"/>
  <c r="B107" i="3"/>
  <c r="B106" i="3"/>
  <c r="B105" i="3"/>
  <c r="B104" i="3"/>
  <c r="B103" i="3"/>
  <c r="B102" i="3"/>
  <c r="B101" i="3"/>
  <c r="B100" i="3"/>
  <c r="B99" i="3"/>
  <c r="B95" i="3"/>
  <c r="B94" i="3"/>
  <c r="B83" i="3"/>
  <c r="B80" i="3"/>
  <c r="B79" i="3"/>
  <c r="B77" i="3"/>
  <c r="B73" i="3"/>
  <c r="B72" i="3"/>
  <c r="B69" i="3"/>
  <c r="B68" i="3"/>
  <c r="B65" i="3"/>
  <c r="B63" i="3"/>
  <c r="B62" i="3"/>
  <c r="B61" i="3"/>
  <c r="B60" i="3"/>
  <c r="B59" i="3"/>
  <c r="B58" i="3"/>
  <c r="B56" i="3"/>
  <c r="B46" i="3"/>
  <c r="B40" i="3"/>
  <c r="B39" i="3"/>
  <c r="B37" i="3"/>
  <c r="B36" i="3"/>
  <c r="B35" i="3"/>
  <c r="B34" i="3"/>
  <c r="B33" i="3"/>
  <c r="B29" i="3"/>
  <c r="B28" i="3"/>
  <c r="B25" i="3"/>
  <c r="B24" i="3"/>
  <c r="B21" i="3"/>
  <c r="B18" i="3"/>
  <c r="B16" i="3"/>
  <c r="B15" i="3"/>
  <c r="B11" i="3"/>
  <c r="B3" i="3"/>
  <c r="B2" i="3"/>
  <c r="B2" i="3" a="1"/>
  <c r="A251" i="3"/>
  <c r="A250" i="3"/>
  <c r="A249" i="3"/>
  <c r="A248" i="3"/>
  <c r="A244" i="3"/>
  <c r="A229" i="3"/>
  <c r="A228" i="3"/>
  <c r="A227" i="3"/>
  <c r="A226" i="3"/>
  <c r="A222" i="3"/>
  <c r="A206" i="3"/>
  <c r="A205" i="3"/>
  <c r="A204" i="3"/>
  <c r="A184" i="3"/>
  <c r="A183" i="3"/>
  <c r="A163" i="3"/>
  <c r="A162" i="3"/>
  <c r="A161" i="3"/>
  <c r="A160" i="3"/>
  <c r="A156" i="3"/>
  <c r="A141" i="3"/>
  <c r="A140" i="3"/>
  <c r="A139" i="3"/>
  <c r="A138" i="3"/>
  <c r="A134" i="3"/>
  <c r="A119" i="3"/>
  <c r="A118" i="3"/>
  <c r="A116" i="3"/>
  <c r="A112" i="3"/>
  <c r="A97" i="3"/>
  <c r="A96" i="3"/>
  <c r="A90" i="3"/>
  <c r="A75" i="3"/>
  <c r="A72" i="3"/>
  <c r="A68" i="3"/>
  <c r="A53" i="3"/>
  <c r="A52" i="3"/>
  <c r="A51" i="3"/>
  <c r="A50" i="3"/>
  <c r="A46" i="3"/>
  <c r="A31" i="3"/>
  <c r="A30" i="3"/>
  <c r="A29" i="3"/>
  <c r="A28" i="3"/>
  <c r="A9" i="3"/>
  <c r="A8" i="3"/>
  <c r="A7" i="3"/>
  <c r="A6" i="3"/>
  <c r="A2" i="3"/>
  <c r="A2" i="3" a="1"/>
  <c r="A185" i="3" s="1"/>
  <c r="F106" i="2"/>
  <c r="E106" i="2"/>
  <c r="D106" i="2"/>
  <c r="C106" i="2"/>
  <c r="B106" i="2"/>
  <c r="F105" i="2"/>
  <c r="E105" i="2"/>
  <c r="D105" i="2"/>
  <c r="C105" i="2"/>
  <c r="B105" i="2"/>
  <c r="F104" i="2"/>
  <c r="E104" i="2"/>
  <c r="D104" i="2"/>
  <c r="C104" i="2"/>
  <c r="B104" i="2"/>
  <c r="F103" i="2"/>
  <c r="E103" i="2"/>
  <c r="D103" i="2"/>
  <c r="C103" i="2"/>
  <c r="B103" i="2"/>
  <c r="F102" i="2"/>
  <c r="E102" i="2"/>
  <c r="D102" i="2"/>
  <c r="C102" i="2"/>
  <c r="B102" i="2"/>
  <c r="AK59" i="4" l="1"/>
  <c r="AK60" i="4" s="1"/>
  <c r="AK61" i="4" s="1"/>
  <c r="AK62" i="4" s="1"/>
  <c r="AK63" i="4" s="1"/>
  <c r="AK64" i="4" s="1"/>
  <c r="AL58" i="4"/>
  <c r="AG60" i="4"/>
  <c r="AL59" i="4"/>
  <c r="AG72" i="4"/>
  <c r="AE71" i="4"/>
  <c r="V17" i="3"/>
  <c r="E73" i="4"/>
  <c r="E254" i="4"/>
  <c r="AL60" i="4"/>
  <c r="V34" i="3"/>
  <c r="AE75" i="4"/>
  <c r="AG76" i="4"/>
  <c r="V95" i="3"/>
  <c r="M50" i="4"/>
  <c r="H54" i="4"/>
  <c r="M64" i="4"/>
  <c r="E36" i="4"/>
  <c r="P65" i="4"/>
  <c r="AA65" i="4" s="1"/>
  <c r="E111" i="4"/>
  <c r="AE82" i="4"/>
  <c r="AG83" i="4"/>
  <c r="AL62" i="4"/>
  <c r="AE72" i="4"/>
  <c r="AG73" i="4"/>
  <c r="AG95" i="4"/>
  <c r="V62" i="3"/>
  <c r="J58" i="4"/>
  <c r="AG68" i="4"/>
  <c r="AJ70" i="4"/>
  <c r="H72" i="4"/>
  <c r="AE74" i="4"/>
  <c r="AG75" i="4"/>
  <c r="E91" i="4"/>
  <c r="P254" i="4"/>
  <c r="AA254" i="4" s="1"/>
  <c r="J56" i="4"/>
  <c r="V18" i="3"/>
  <c r="AG66" i="4"/>
  <c r="J68" i="4"/>
  <c r="AG67" i="4"/>
  <c r="V61" i="3"/>
  <c r="P3" i="4"/>
  <c r="AG64" i="4"/>
  <c r="M91" i="4"/>
  <c r="E232" i="4"/>
  <c r="V73" i="3"/>
  <c r="P39" i="4"/>
  <c r="AA57" i="4"/>
  <c r="AL63" i="4"/>
  <c r="M68" i="4"/>
  <c r="M74" i="4"/>
  <c r="M112" i="4"/>
  <c r="E144" i="4"/>
  <c r="B252" i="3"/>
  <c r="B231" i="3"/>
  <c r="B193" i="3"/>
  <c r="B160" i="3"/>
  <c r="B125" i="3"/>
  <c r="B90" i="3"/>
  <c r="B57" i="3"/>
  <c r="B19" i="3"/>
  <c r="B259" i="3"/>
  <c r="F255" i="3" s="1"/>
  <c r="B226" i="3"/>
  <c r="B191" i="3"/>
  <c r="B156" i="3"/>
  <c r="B123" i="3"/>
  <c r="B85" i="3"/>
  <c r="B55" i="3"/>
  <c r="B17" i="3"/>
  <c r="B38" i="3"/>
  <c r="B78" i="3"/>
  <c r="B113" i="3"/>
  <c r="B150" i="3"/>
  <c r="B190" i="3"/>
  <c r="B232" i="3"/>
  <c r="V21" i="3"/>
  <c r="V38" i="3"/>
  <c r="V56" i="3"/>
  <c r="E11" i="4"/>
  <c r="P73" i="4"/>
  <c r="AA73" i="4" s="1"/>
  <c r="P172" i="4"/>
  <c r="AA172" i="4" s="1"/>
  <c r="B116" i="3"/>
  <c r="B151" i="3"/>
  <c r="B192" i="3"/>
  <c r="B233" i="3"/>
  <c r="P25" i="4"/>
  <c r="H99" i="4"/>
  <c r="A73" i="3"/>
  <c r="A178" i="3"/>
  <c r="B6" i="3"/>
  <c r="B41" i="3"/>
  <c r="B81" i="3"/>
  <c r="B121" i="3"/>
  <c r="B157" i="3"/>
  <c r="B195" i="3"/>
  <c r="B235" i="3"/>
  <c r="V39" i="3"/>
  <c r="H151" i="4"/>
  <c r="E157" i="4"/>
  <c r="H258" i="4"/>
  <c r="A74" i="3"/>
  <c r="A182" i="3"/>
  <c r="B7" i="3"/>
  <c r="B43" i="3"/>
  <c r="B82" i="3"/>
  <c r="B122" i="3"/>
  <c r="B161" i="3"/>
  <c r="B197" i="3"/>
  <c r="B236" i="3"/>
  <c r="V58" i="3"/>
  <c r="V76" i="3"/>
  <c r="V93" i="3"/>
  <c r="P2" i="4"/>
  <c r="E150" i="4"/>
  <c r="E209" i="4"/>
  <c r="E231" i="4"/>
  <c r="B12" i="3"/>
  <c r="B47" i="3"/>
  <c r="B84" i="3"/>
  <c r="B126" i="3"/>
  <c r="B166" i="3"/>
  <c r="B201" i="3"/>
  <c r="B238" i="3"/>
  <c r="H20" i="4"/>
  <c r="AA62" i="4"/>
  <c r="AA63" i="4"/>
  <c r="AG74" i="4"/>
  <c r="P81" i="4"/>
  <c r="AA81" i="4" s="1"/>
  <c r="M87" i="4"/>
  <c r="AG90" i="4"/>
  <c r="P133" i="4"/>
  <c r="AA133" i="4" s="1"/>
  <c r="A94" i="3"/>
  <c r="B13" i="3"/>
  <c r="B50" i="3"/>
  <c r="B87" i="3"/>
  <c r="B127" i="3"/>
  <c r="B167" i="3"/>
  <c r="B204" i="3"/>
  <c r="B239" i="3"/>
  <c r="A247" i="3"/>
  <c r="A207" i="3"/>
  <c r="A117" i="3"/>
  <c r="A24" i="3"/>
  <c r="A95" i="3"/>
  <c r="A200" i="3"/>
  <c r="B14" i="3"/>
  <c r="B51" i="3"/>
  <c r="B91" i="3"/>
  <c r="B128" i="3"/>
  <c r="B168" i="3"/>
  <c r="B205" i="3"/>
  <c r="B241" i="3"/>
  <c r="V32" i="3"/>
  <c r="V50" i="3"/>
  <c r="E18" i="4"/>
  <c r="M43" i="4"/>
  <c r="P53" i="4"/>
  <c r="AR95" i="4"/>
  <c r="H139" i="4"/>
  <c r="P212" i="4"/>
  <c r="AA212" i="4" s="1"/>
  <c r="E167" i="4"/>
  <c r="P187" i="4"/>
  <c r="AA187" i="4" s="1"/>
  <c r="P226" i="4"/>
  <c r="AA226" i="4" s="1"/>
  <c r="AG84" i="4"/>
  <c r="AA67" i="4"/>
  <c r="E108" i="4"/>
  <c r="M136" i="4"/>
  <c r="P186" i="4"/>
  <c r="AA186" i="4" s="1"/>
  <c r="E227" i="4"/>
  <c r="AG71" i="4"/>
  <c r="V20" i="3"/>
  <c r="V82" i="3"/>
  <c r="AG57" i="4"/>
  <c r="M67" i="4"/>
  <c r="H90" i="4"/>
  <c r="H135" i="4"/>
  <c r="M189" i="4"/>
  <c r="H206" i="4"/>
  <c r="P198" i="4"/>
  <c r="AA198" i="4" s="1"/>
  <c r="H214" i="4"/>
  <c r="M251" i="4"/>
  <c r="AG82" i="4"/>
  <c r="H114" i="4"/>
  <c r="H115" i="4"/>
  <c r="H128" i="4"/>
  <c r="E213" i="4"/>
  <c r="E249" i="4"/>
  <c r="V33" i="3"/>
  <c r="V60" i="3"/>
  <c r="E80" i="4"/>
  <c r="P122" i="4"/>
  <c r="AA122" i="4" s="1"/>
  <c r="P123" i="4"/>
  <c r="AA123" i="4" s="1"/>
  <c r="P176" i="4"/>
  <c r="AA176" i="4" s="1"/>
  <c r="H194" i="4"/>
  <c r="M229" i="4"/>
  <c r="P260" i="4"/>
  <c r="AA260" i="4" s="1"/>
  <c r="A11" i="3"/>
  <c r="A33" i="3"/>
  <c r="A55" i="3"/>
  <c r="A77" i="3"/>
  <c r="A99" i="3"/>
  <c r="A121" i="3"/>
  <c r="A143" i="3"/>
  <c r="A165" i="3"/>
  <c r="A187" i="3"/>
  <c r="A209" i="3"/>
  <c r="A231" i="3"/>
  <c r="A253" i="3"/>
  <c r="A10" i="3"/>
  <c r="A54" i="3"/>
  <c r="A98" i="3"/>
  <c r="A120" i="3"/>
  <c r="A142" i="3"/>
  <c r="A186" i="3"/>
  <c r="A208" i="3"/>
  <c r="A230" i="3"/>
  <c r="A252" i="3"/>
  <c r="A12" i="3"/>
  <c r="A34" i="3"/>
  <c r="A56" i="3"/>
  <c r="A78" i="3"/>
  <c r="A100" i="3"/>
  <c r="A122" i="3"/>
  <c r="A144" i="3"/>
  <c r="A166" i="3"/>
  <c r="A188" i="3"/>
  <c r="A210" i="3"/>
  <c r="A232" i="3"/>
  <c r="A254" i="3"/>
  <c r="A76" i="3"/>
  <c r="A101" i="3"/>
  <c r="A14" i="3"/>
  <c r="A36" i="3"/>
  <c r="A58" i="3"/>
  <c r="A80" i="3"/>
  <c r="A102" i="3"/>
  <c r="A124" i="3"/>
  <c r="A146" i="3"/>
  <c r="A168" i="3"/>
  <c r="A190" i="3"/>
  <c r="A212" i="3"/>
  <c r="A234" i="3"/>
  <c r="A256" i="3"/>
  <c r="A15" i="3"/>
  <c r="A37" i="3"/>
  <c r="A59" i="3"/>
  <c r="A81" i="3"/>
  <c r="A103" i="3"/>
  <c r="A125" i="3"/>
  <c r="A147" i="3"/>
  <c r="A169" i="3"/>
  <c r="A191" i="3"/>
  <c r="A213" i="3"/>
  <c r="A235" i="3"/>
  <c r="A257" i="3"/>
  <c r="B20" i="3"/>
  <c r="B42" i="3"/>
  <c r="B64" i="3"/>
  <c r="B86" i="3"/>
  <c r="B108" i="3"/>
  <c r="B130" i="3"/>
  <c r="B152" i="3"/>
  <c r="B174" i="3"/>
  <c r="B196" i="3"/>
  <c r="B218" i="3"/>
  <c r="B240" i="3"/>
  <c r="F249" i="3" s="1"/>
  <c r="A16" i="3"/>
  <c r="A38" i="3"/>
  <c r="A60" i="3"/>
  <c r="A82" i="3"/>
  <c r="A104" i="3"/>
  <c r="A126" i="3"/>
  <c r="A148" i="3"/>
  <c r="A170" i="3"/>
  <c r="A214" i="3"/>
  <c r="A236" i="3"/>
  <c r="A258" i="3"/>
  <c r="A17" i="3"/>
  <c r="A39" i="3"/>
  <c r="A61" i="3"/>
  <c r="A83" i="3"/>
  <c r="A105" i="3"/>
  <c r="A127" i="3"/>
  <c r="A149" i="3"/>
  <c r="A171" i="3"/>
  <c r="A193" i="3"/>
  <c r="A215" i="3"/>
  <c r="A237" i="3"/>
  <c r="A259" i="3"/>
  <c r="B22" i="3"/>
  <c r="B44" i="3"/>
  <c r="B66" i="3"/>
  <c r="B88" i="3"/>
  <c r="B110" i="3"/>
  <c r="B132" i="3"/>
  <c r="B154" i="3"/>
  <c r="B176" i="3"/>
  <c r="B198" i="3"/>
  <c r="B220" i="3"/>
  <c r="B242" i="3"/>
  <c r="A164" i="3"/>
  <c r="A13" i="3"/>
  <c r="A35" i="3"/>
  <c r="A57" i="3"/>
  <c r="A79" i="3"/>
  <c r="A123" i="3"/>
  <c r="A145" i="3"/>
  <c r="A167" i="3"/>
  <c r="A189" i="3"/>
  <c r="A211" i="3"/>
  <c r="A233" i="3"/>
  <c r="A255" i="3"/>
  <c r="A192" i="3"/>
  <c r="A18" i="3"/>
  <c r="A40" i="3"/>
  <c r="A62" i="3"/>
  <c r="A84" i="3"/>
  <c r="A106" i="3"/>
  <c r="A128" i="3"/>
  <c r="A150" i="3"/>
  <c r="A172" i="3"/>
  <c r="A194" i="3"/>
  <c r="A216" i="3"/>
  <c r="A238" i="3"/>
  <c r="B23" i="3"/>
  <c r="B45" i="3"/>
  <c r="B67" i="3"/>
  <c r="B89" i="3"/>
  <c r="B111" i="3"/>
  <c r="B133" i="3"/>
  <c r="B155" i="3"/>
  <c r="B177" i="3"/>
  <c r="B199" i="3"/>
  <c r="B221" i="3"/>
  <c r="B243" i="3"/>
  <c r="A32" i="3"/>
  <c r="A19" i="3"/>
  <c r="A41" i="3"/>
  <c r="A63" i="3"/>
  <c r="A85" i="3"/>
  <c r="A107" i="3"/>
  <c r="A129" i="3"/>
  <c r="A151" i="3"/>
  <c r="A173" i="3"/>
  <c r="A195" i="3"/>
  <c r="A217" i="3"/>
  <c r="A239" i="3"/>
  <c r="A20" i="3"/>
  <c r="A42" i="3"/>
  <c r="A64" i="3"/>
  <c r="A86" i="3"/>
  <c r="A108" i="3"/>
  <c r="A130" i="3"/>
  <c r="A152" i="3"/>
  <c r="A174" i="3"/>
  <c r="A196" i="3"/>
  <c r="A218" i="3"/>
  <c r="A240" i="3"/>
  <c r="A21" i="3"/>
  <c r="A43" i="3"/>
  <c r="A65" i="3"/>
  <c r="A87" i="3"/>
  <c r="A109" i="3"/>
  <c r="A131" i="3"/>
  <c r="A153" i="3"/>
  <c r="A175" i="3"/>
  <c r="A197" i="3"/>
  <c r="A219" i="3"/>
  <c r="A241" i="3"/>
  <c r="B4" i="3"/>
  <c r="B26" i="3"/>
  <c r="B48" i="3"/>
  <c r="B70" i="3"/>
  <c r="B92" i="3"/>
  <c r="B114" i="3"/>
  <c r="B136" i="3"/>
  <c r="B158" i="3"/>
  <c r="B180" i="3"/>
  <c r="B202" i="3"/>
  <c r="B224" i="3"/>
  <c r="B246" i="3"/>
  <c r="A22" i="3"/>
  <c r="A44" i="3"/>
  <c r="A66" i="3"/>
  <c r="A88" i="3"/>
  <c r="A110" i="3"/>
  <c r="A132" i="3"/>
  <c r="A154" i="3"/>
  <c r="A176" i="3"/>
  <c r="A198" i="3"/>
  <c r="A220" i="3"/>
  <c r="A242" i="3"/>
  <c r="B5" i="3"/>
  <c r="B27" i="3"/>
  <c r="B49" i="3"/>
  <c r="B71" i="3"/>
  <c r="B93" i="3"/>
  <c r="B115" i="3"/>
  <c r="B137" i="3"/>
  <c r="B159" i="3"/>
  <c r="B181" i="3"/>
  <c r="B203" i="3"/>
  <c r="B225" i="3"/>
  <c r="B247" i="3"/>
  <c r="A23" i="3"/>
  <c r="A45" i="3"/>
  <c r="A67" i="3"/>
  <c r="A89" i="3"/>
  <c r="A111" i="3"/>
  <c r="A133" i="3"/>
  <c r="A155" i="3"/>
  <c r="A177" i="3"/>
  <c r="A199" i="3"/>
  <c r="A221" i="3"/>
  <c r="A243" i="3"/>
  <c r="A4" i="3"/>
  <c r="A26" i="3"/>
  <c r="A48" i="3"/>
  <c r="A70" i="3"/>
  <c r="A92" i="3"/>
  <c r="A114" i="3"/>
  <c r="A136" i="3"/>
  <c r="A158" i="3"/>
  <c r="A180" i="3"/>
  <c r="A202" i="3"/>
  <c r="A224" i="3"/>
  <c r="A246" i="3"/>
  <c r="B9" i="3"/>
  <c r="B31" i="3"/>
  <c r="B53" i="3"/>
  <c r="B75" i="3"/>
  <c r="B97" i="3"/>
  <c r="B119" i="3"/>
  <c r="B141" i="3"/>
  <c r="B163" i="3"/>
  <c r="B185" i="3"/>
  <c r="B207" i="3"/>
  <c r="B229" i="3"/>
  <c r="B251" i="3"/>
  <c r="A3" i="3"/>
  <c r="A25" i="3"/>
  <c r="A47" i="3"/>
  <c r="A69" i="3"/>
  <c r="A91" i="3"/>
  <c r="A113" i="3"/>
  <c r="A135" i="3"/>
  <c r="A157" i="3"/>
  <c r="A179" i="3"/>
  <c r="A201" i="3"/>
  <c r="A223" i="3"/>
  <c r="A245" i="3"/>
  <c r="B8" i="3"/>
  <c r="B30" i="3"/>
  <c r="B52" i="3"/>
  <c r="B74" i="3"/>
  <c r="B96" i="3"/>
  <c r="B118" i="3"/>
  <c r="B140" i="3"/>
  <c r="B162" i="3"/>
  <c r="B184" i="3"/>
  <c r="B206" i="3"/>
  <c r="B228" i="3"/>
  <c r="B250" i="3"/>
  <c r="A5" i="3"/>
  <c r="A27" i="3"/>
  <c r="A49" i="3"/>
  <c r="A71" i="3"/>
  <c r="A93" i="3"/>
  <c r="A115" i="3"/>
  <c r="A137" i="3"/>
  <c r="A159" i="3"/>
  <c r="A181" i="3"/>
  <c r="A203" i="3"/>
  <c r="A225" i="3"/>
  <c r="B10" i="3"/>
  <c r="B32" i="3"/>
  <c r="B54" i="3"/>
  <c r="B76" i="3"/>
  <c r="B98" i="3"/>
  <c r="B120" i="3"/>
  <c r="B142" i="3"/>
  <c r="B164" i="3"/>
  <c r="B186" i="3"/>
  <c r="B208" i="3"/>
  <c r="B230" i="3"/>
  <c r="AJ71" i="4" l="1"/>
  <c r="F232" i="3"/>
  <c r="C262" i="3"/>
  <c r="D264" i="3"/>
  <c r="AK65" i="4"/>
  <c r="AL64" i="4"/>
  <c r="AL61" i="4"/>
  <c r="F208" i="3"/>
  <c r="C260" i="3"/>
  <c r="AR96" i="4"/>
  <c r="AE94" i="4"/>
  <c r="D262" i="3"/>
  <c r="C264" i="3"/>
  <c r="D263" i="3"/>
  <c r="C261" i="3"/>
  <c r="D261" i="3"/>
  <c r="C263" i="3"/>
  <c r="D260" i="3"/>
  <c r="AK66" i="4" l="1"/>
  <c r="AL65" i="4"/>
  <c r="AG96" i="4"/>
  <c r="AR97" i="4"/>
  <c r="AE95" i="4"/>
  <c r="AJ72" i="4"/>
  <c r="AJ73" i="4" l="1"/>
  <c r="AG97" i="4"/>
  <c r="AE96" i="4"/>
  <c r="AR98" i="4"/>
  <c r="AK67" i="4"/>
  <c r="AL66" i="4"/>
  <c r="AK68" i="4" l="1"/>
  <c r="AL67" i="4"/>
  <c r="AE97" i="4"/>
  <c r="AR99" i="4"/>
  <c r="AG98" i="4"/>
  <c r="AJ74" i="4"/>
  <c r="AJ75" i="4" l="1"/>
  <c r="AE98" i="4"/>
  <c r="AG99" i="4"/>
  <c r="AR100" i="4"/>
  <c r="AK69" i="4"/>
  <c r="AL68" i="4"/>
  <c r="AK70" i="4" l="1"/>
  <c r="AL69" i="4"/>
  <c r="AE99" i="4"/>
  <c r="AG100" i="4"/>
  <c r="AR101" i="4"/>
  <c r="AJ76" i="4"/>
  <c r="AJ77" i="4" l="1"/>
  <c r="AE100" i="4"/>
  <c r="AG101" i="4"/>
  <c r="AR102" i="4"/>
  <c r="AK71" i="4"/>
  <c r="AL70" i="4"/>
  <c r="AK72" i="4" l="1"/>
  <c r="AL71" i="4"/>
  <c r="AJ78" i="4"/>
  <c r="AE101" i="4"/>
  <c r="AG102" i="4"/>
  <c r="AR103" i="4"/>
  <c r="AE102" i="4" l="1"/>
  <c r="AR104" i="4"/>
  <c r="AG103" i="4"/>
  <c r="AJ79" i="4"/>
  <c r="AK73" i="4"/>
  <c r="AL72" i="4"/>
  <c r="AJ80" i="4" l="1"/>
  <c r="AK74" i="4"/>
  <c r="AL73" i="4"/>
  <c r="AR105" i="4"/>
  <c r="AE103" i="4"/>
  <c r="AG104" i="4"/>
  <c r="AK75" i="4" l="1"/>
  <c r="AL74" i="4"/>
  <c r="AR106" i="4"/>
  <c r="AE104" i="4"/>
  <c r="AG105" i="4"/>
  <c r="AJ81" i="4"/>
  <c r="AJ82" i="4" l="1"/>
  <c r="AR107" i="4"/>
  <c r="AE105" i="4"/>
  <c r="AG106" i="4"/>
  <c r="AK76" i="4"/>
  <c r="AL75" i="4"/>
  <c r="AK77" i="4" l="1"/>
  <c r="AL76" i="4"/>
  <c r="AE106" i="4"/>
  <c r="AR108" i="4"/>
  <c r="AG107" i="4"/>
  <c r="AJ83" i="4"/>
  <c r="AJ84" i="4" l="1"/>
  <c r="AG108" i="4"/>
  <c r="AE107" i="4"/>
  <c r="AR109" i="4"/>
  <c r="AK78" i="4"/>
  <c r="AL77" i="4"/>
  <c r="AK79" i="4" l="1"/>
  <c r="AL78" i="4"/>
  <c r="AE108" i="4"/>
  <c r="AR110" i="4"/>
  <c r="AG109" i="4"/>
  <c r="AJ85" i="4"/>
  <c r="AE109" i="4" l="1"/>
  <c r="AG110" i="4"/>
  <c r="AR111" i="4"/>
  <c r="AJ86" i="4"/>
  <c r="AK80" i="4"/>
  <c r="AL79" i="4"/>
  <c r="AJ87" i="4" l="1"/>
  <c r="AK81" i="4"/>
  <c r="AL80" i="4"/>
  <c r="AE110" i="4"/>
  <c r="AR112" i="4"/>
  <c r="AG111" i="4"/>
  <c r="AK82" i="4" l="1"/>
  <c r="AL81" i="4"/>
  <c r="AG112" i="4"/>
  <c r="AE111" i="4"/>
  <c r="AR113" i="4"/>
  <c r="AJ88" i="4"/>
  <c r="AJ89" i="4" l="1"/>
  <c r="AR114" i="4"/>
  <c r="AG113" i="4"/>
  <c r="AE112" i="4"/>
  <c r="AK83" i="4"/>
  <c r="AL82" i="4"/>
  <c r="AK84" i="4" l="1"/>
  <c r="AL83" i="4"/>
  <c r="AR115" i="4"/>
  <c r="AE113" i="4"/>
  <c r="AG114" i="4"/>
  <c r="AJ90" i="4"/>
  <c r="AJ91" i="4" l="1"/>
  <c r="AR116" i="4"/>
  <c r="AE114" i="4"/>
  <c r="AG115" i="4"/>
  <c r="AK85" i="4"/>
  <c r="AL84" i="4"/>
  <c r="AK86" i="4" l="1"/>
  <c r="AL85" i="4"/>
  <c r="AR117" i="4"/>
  <c r="AE115" i="4"/>
  <c r="AG116" i="4"/>
  <c r="AJ92" i="4"/>
  <c r="AJ93" i="4" l="1"/>
  <c r="AR118" i="4"/>
  <c r="AE116" i="4"/>
  <c r="AG117" i="4"/>
  <c r="AK87" i="4"/>
  <c r="AL86" i="4"/>
  <c r="AK88" i="4" l="1"/>
  <c r="AL87" i="4"/>
  <c r="AR119" i="4"/>
  <c r="AE117" i="4"/>
  <c r="AG118" i="4"/>
  <c r="AJ94" i="4"/>
  <c r="AJ95" i="4" l="1"/>
  <c r="AE118" i="4"/>
  <c r="AG119" i="4"/>
  <c r="AR120" i="4"/>
  <c r="AK89" i="4"/>
  <c r="AL88" i="4"/>
  <c r="AK90" i="4" l="1"/>
  <c r="AL89" i="4"/>
  <c r="AE119" i="4"/>
  <c r="AR121" i="4"/>
  <c r="AG120" i="4"/>
  <c r="AJ96" i="4"/>
  <c r="AJ97" i="4" l="1"/>
  <c r="AE120" i="4"/>
  <c r="AR122" i="4"/>
  <c r="AG121" i="4"/>
  <c r="AK91" i="4"/>
  <c r="AL90" i="4"/>
  <c r="AK92" i="4" l="1"/>
  <c r="AL91" i="4"/>
  <c r="AE121" i="4"/>
  <c r="AR123" i="4"/>
  <c r="AG122" i="4"/>
  <c r="AJ98" i="4"/>
  <c r="AJ99" i="4" l="1"/>
  <c r="AR124" i="4"/>
  <c r="AE122" i="4"/>
  <c r="AG123" i="4"/>
  <c r="AK93" i="4"/>
  <c r="AL92" i="4"/>
  <c r="AE123" i="4" l="1"/>
  <c r="AR125" i="4"/>
  <c r="AG124" i="4"/>
  <c r="AK94" i="4"/>
  <c r="AL93" i="4"/>
  <c r="AJ100" i="4"/>
  <c r="AJ101" i="4" l="1"/>
  <c r="AK95" i="4"/>
  <c r="AL94" i="4"/>
  <c r="AR126" i="4"/>
  <c r="AG125" i="4"/>
  <c r="AE124" i="4"/>
  <c r="AG126" i="4" l="1"/>
  <c r="AE125" i="4"/>
  <c r="AE126" i="4" s="1"/>
  <c r="AK96" i="4"/>
  <c r="AL95" i="4"/>
  <c r="AJ102" i="4"/>
  <c r="AJ103" i="4" l="1"/>
  <c r="AK97" i="4"/>
  <c r="AL96" i="4"/>
  <c r="AK98" i="4" l="1"/>
  <c r="AL97" i="4"/>
  <c r="AJ104" i="4"/>
  <c r="AJ105" i="4" l="1"/>
  <c r="AK99" i="4"/>
  <c r="AL98" i="4"/>
  <c r="AK100" i="4" l="1"/>
  <c r="AL99" i="4"/>
  <c r="AJ106" i="4"/>
  <c r="AJ107" i="4" l="1"/>
  <c r="AK101" i="4"/>
  <c r="AL100" i="4"/>
  <c r="AK102" i="4" l="1"/>
  <c r="AL101" i="4"/>
  <c r="AJ108" i="4"/>
  <c r="AJ109" i="4" l="1"/>
  <c r="AK103" i="4"/>
  <c r="AL102" i="4"/>
  <c r="AK104" i="4" l="1"/>
  <c r="AL103" i="4"/>
  <c r="AJ110" i="4"/>
  <c r="AJ111" i="4" l="1"/>
  <c r="AK105" i="4"/>
  <c r="AL104" i="4"/>
  <c r="AK106" i="4" l="1"/>
  <c r="AL105" i="4"/>
  <c r="AJ112" i="4"/>
  <c r="AJ113" i="4" l="1"/>
  <c r="AK107" i="4"/>
  <c r="AL106" i="4"/>
  <c r="AK108" i="4" l="1"/>
  <c r="AL107" i="4"/>
  <c r="AJ114" i="4"/>
  <c r="AJ115" i="4" l="1"/>
  <c r="AK109" i="4"/>
  <c r="AL108" i="4"/>
  <c r="AK110" i="4" l="1"/>
  <c r="AL109" i="4"/>
  <c r="AJ116" i="4"/>
  <c r="AJ117" i="4" l="1"/>
  <c r="AK111" i="4"/>
  <c r="AL110" i="4"/>
  <c r="AK112" i="4" l="1"/>
  <c r="AL111" i="4"/>
  <c r="AJ118" i="4"/>
  <c r="AJ119" i="4" l="1"/>
  <c r="AK113" i="4"/>
  <c r="AL112" i="4"/>
  <c r="AK114" i="4" l="1"/>
  <c r="AL113" i="4"/>
  <c r="AJ120" i="4"/>
  <c r="AJ121" i="4" l="1"/>
  <c r="AK115" i="4"/>
  <c r="AL114" i="4"/>
  <c r="AK116" i="4" l="1"/>
  <c r="AL115" i="4"/>
  <c r="AJ122" i="4"/>
  <c r="AJ123" i="4" l="1"/>
  <c r="AK117" i="4"/>
  <c r="AL116" i="4"/>
  <c r="AJ124" i="4" l="1"/>
  <c r="AK118" i="4"/>
  <c r="AL117" i="4"/>
  <c r="AK119" i="4" l="1"/>
  <c r="AL118" i="4"/>
  <c r="AJ125" i="4"/>
  <c r="AJ126" i="4" l="1"/>
  <c r="AK120" i="4"/>
  <c r="AL119" i="4"/>
  <c r="AK121" i="4" l="1"/>
  <c r="AL120" i="4"/>
  <c r="AJ127" i="4"/>
  <c r="AK122" i="4" l="1"/>
  <c r="AL121" i="4"/>
  <c r="AJ128" i="4"/>
  <c r="AJ129" i="4" l="1"/>
  <c r="AK123" i="4"/>
  <c r="AL122" i="4"/>
  <c r="AK124" i="4" l="1"/>
  <c r="AL123" i="4"/>
  <c r="AJ130" i="4"/>
  <c r="AJ131" i="4" l="1"/>
  <c r="AK125" i="4"/>
  <c r="AL124" i="4"/>
  <c r="AK126" i="4" l="1"/>
  <c r="AL125" i="4"/>
  <c r="AJ132" i="4"/>
  <c r="AJ133" i="4" l="1"/>
  <c r="AK127" i="4"/>
  <c r="AL126" i="4"/>
  <c r="AK128" i="4" l="1"/>
  <c r="AL127" i="4"/>
  <c r="AJ134" i="4"/>
  <c r="AJ135" i="4" l="1"/>
  <c r="AK129" i="4"/>
  <c r="AL128" i="4"/>
  <c r="AK130" i="4" l="1"/>
  <c r="AL129" i="4"/>
  <c r="AJ136" i="4"/>
  <c r="AJ137" i="4" l="1"/>
  <c r="AK131" i="4"/>
  <c r="AL130" i="4"/>
  <c r="AK132" i="4" l="1"/>
  <c r="AL131" i="4"/>
  <c r="AJ138" i="4"/>
  <c r="AK133" i="4" l="1"/>
  <c r="AL132" i="4"/>
  <c r="AJ139" i="4"/>
  <c r="AK134" i="4" l="1"/>
  <c r="AL133" i="4"/>
  <c r="AJ140" i="4"/>
  <c r="AK135" i="4" l="1"/>
  <c r="AL134" i="4"/>
  <c r="AJ141" i="4"/>
  <c r="AJ142" i="4" l="1"/>
  <c r="AK136" i="4"/>
  <c r="AL135" i="4"/>
  <c r="AK137" i="4" l="1"/>
  <c r="AL136" i="4"/>
  <c r="AJ143" i="4"/>
  <c r="AJ144" i="4" l="1"/>
  <c r="AK138" i="4"/>
  <c r="AL137" i="4"/>
  <c r="AK139" i="4" l="1"/>
  <c r="AL138" i="4"/>
  <c r="AJ145" i="4"/>
  <c r="AJ146" i="4" l="1"/>
  <c r="AK140" i="4"/>
  <c r="AL139" i="4"/>
  <c r="AK141" i="4" l="1"/>
  <c r="AL140" i="4"/>
  <c r="AJ147" i="4"/>
  <c r="AJ148" i="4" l="1"/>
  <c r="AK142" i="4"/>
  <c r="AL141" i="4"/>
  <c r="AK143" i="4" l="1"/>
  <c r="AL142" i="4"/>
  <c r="AJ149" i="4"/>
  <c r="AJ150" i="4" l="1"/>
  <c r="AK144" i="4"/>
  <c r="AL143" i="4"/>
  <c r="AK145" i="4" l="1"/>
  <c r="AL144" i="4"/>
  <c r="AJ151" i="4"/>
  <c r="AJ152" i="4" l="1"/>
  <c r="AK146" i="4"/>
  <c r="AL145" i="4"/>
  <c r="AK147" i="4" l="1"/>
  <c r="AL146" i="4"/>
  <c r="AJ153" i="4"/>
  <c r="AJ154" i="4" l="1"/>
  <c r="AK148" i="4"/>
  <c r="AL147" i="4"/>
  <c r="AK149" i="4" l="1"/>
  <c r="AL148" i="4"/>
  <c r="AJ155" i="4"/>
  <c r="AJ156" i="4" l="1"/>
  <c r="AK150" i="4"/>
  <c r="AL149" i="4"/>
  <c r="AK151" i="4" l="1"/>
  <c r="AL150" i="4"/>
  <c r="AJ157" i="4"/>
  <c r="AJ158" i="4" l="1"/>
  <c r="AK152" i="4"/>
  <c r="AL151" i="4"/>
  <c r="AK153" i="4" l="1"/>
  <c r="AL152" i="4"/>
  <c r="AJ159" i="4"/>
  <c r="AJ160" i="4" l="1"/>
  <c r="AK154" i="4"/>
  <c r="AL153" i="4"/>
  <c r="AK155" i="4" l="1"/>
  <c r="AL154" i="4"/>
  <c r="AJ161" i="4"/>
  <c r="AJ162" i="4" l="1"/>
  <c r="AK156" i="4"/>
  <c r="AL155" i="4"/>
  <c r="AK157" i="4" l="1"/>
  <c r="AL156" i="4"/>
  <c r="AJ163" i="4"/>
  <c r="AJ164" i="4" l="1"/>
  <c r="AK158" i="4"/>
  <c r="AL157" i="4"/>
  <c r="AK159" i="4" l="1"/>
  <c r="AL158" i="4"/>
  <c r="AJ165" i="4"/>
  <c r="AJ166" i="4" l="1"/>
  <c r="AK160" i="4"/>
  <c r="AL159" i="4"/>
  <c r="AK161" i="4" l="1"/>
  <c r="AL160" i="4"/>
  <c r="AJ167" i="4"/>
  <c r="AJ168" i="4" l="1"/>
  <c r="AK162" i="4"/>
  <c r="AL161" i="4"/>
  <c r="AK163" i="4" l="1"/>
  <c r="AL162" i="4"/>
  <c r="AJ169" i="4"/>
  <c r="AJ170" i="4" l="1"/>
  <c r="AK164" i="4"/>
  <c r="AL163" i="4"/>
  <c r="AK165" i="4" l="1"/>
  <c r="AL164" i="4"/>
  <c r="AJ171" i="4"/>
  <c r="AJ172" i="4" l="1"/>
  <c r="AK166" i="4"/>
  <c r="AL165" i="4"/>
  <c r="AK167" i="4" l="1"/>
  <c r="AL166" i="4"/>
  <c r="AJ173" i="4"/>
  <c r="AJ174" i="4" l="1"/>
  <c r="AK168" i="4"/>
  <c r="AL167" i="4"/>
  <c r="AK169" i="4" l="1"/>
  <c r="AL168" i="4"/>
  <c r="AJ175" i="4"/>
  <c r="AJ176" i="4" l="1"/>
  <c r="AK170" i="4"/>
  <c r="AL169" i="4"/>
  <c r="AK171" i="4" l="1"/>
  <c r="AL170" i="4"/>
  <c r="AJ177" i="4"/>
  <c r="AJ178" i="4" l="1"/>
  <c r="AK172" i="4"/>
  <c r="AL171" i="4"/>
  <c r="AK173" i="4" l="1"/>
  <c r="AL172" i="4"/>
  <c r="AJ179" i="4"/>
  <c r="AJ180" i="4" l="1"/>
  <c r="AK174" i="4"/>
  <c r="AL173" i="4"/>
  <c r="AK175" i="4" l="1"/>
  <c r="AL174" i="4"/>
  <c r="AJ181" i="4"/>
  <c r="AJ182" i="4" l="1"/>
  <c r="AK176" i="4"/>
  <c r="AL175" i="4"/>
  <c r="AK177" i="4" l="1"/>
  <c r="AL176" i="4"/>
  <c r="AJ183" i="4"/>
  <c r="AJ184" i="4" l="1"/>
  <c r="AK178" i="4"/>
  <c r="AL177" i="4"/>
  <c r="AK179" i="4" l="1"/>
  <c r="AL178" i="4"/>
  <c r="AJ185" i="4"/>
  <c r="AJ186" i="4" l="1"/>
  <c r="AK180" i="4"/>
  <c r="AL179" i="4"/>
  <c r="AK181" i="4" l="1"/>
  <c r="AL180" i="4"/>
  <c r="AJ187" i="4"/>
  <c r="AK182" i="4" l="1"/>
  <c r="AL181" i="4"/>
  <c r="AJ188" i="4"/>
  <c r="AJ189" i="4" l="1"/>
  <c r="AK183" i="4"/>
  <c r="AL182" i="4"/>
  <c r="AK184" i="4" l="1"/>
  <c r="AL183" i="4"/>
  <c r="AJ190" i="4"/>
  <c r="AJ191" i="4" l="1"/>
  <c r="AK185" i="4"/>
  <c r="AL184" i="4"/>
  <c r="AK186" i="4" l="1"/>
  <c r="AL185" i="4"/>
  <c r="AJ192" i="4"/>
  <c r="AJ193" i="4" l="1"/>
  <c r="AK187" i="4"/>
  <c r="AL186" i="4"/>
  <c r="AK188" i="4" l="1"/>
  <c r="AL187" i="4"/>
  <c r="AJ194" i="4"/>
  <c r="AJ195" i="4" l="1"/>
  <c r="AK189" i="4"/>
  <c r="AL188" i="4"/>
  <c r="AK190" i="4" l="1"/>
  <c r="AL189" i="4"/>
  <c r="AJ196" i="4"/>
  <c r="AJ197" i="4" l="1"/>
  <c r="AK191" i="4"/>
  <c r="AL190" i="4"/>
  <c r="AK192" i="4" l="1"/>
  <c r="AL191" i="4"/>
  <c r="AJ198" i="4"/>
  <c r="AJ199" i="4" l="1"/>
  <c r="AK193" i="4"/>
  <c r="AL192" i="4"/>
  <c r="AK194" i="4" l="1"/>
  <c r="AL193" i="4"/>
  <c r="AJ200" i="4"/>
  <c r="AJ201" i="4" l="1"/>
  <c r="AK195" i="4"/>
  <c r="AL194" i="4"/>
  <c r="AK196" i="4" l="1"/>
  <c r="AL195" i="4"/>
  <c r="AJ202" i="4"/>
  <c r="AJ203" i="4" l="1"/>
  <c r="AK197" i="4"/>
  <c r="AL196" i="4"/>
  <c r="AK198" i="4" l="1"/>
  <c r="AL197" i="4"/>
  <c r="AJ204" i="4"/>
  <c r="AJ205" i="4" l="1"/>
  <c r="AK199" i="4"/>
  <c r="AL198" i="4"/>
  <c r="AK200" i="4" l="1"/>
  <c r="AL199" i="4"/>
  <c r="AJ206" i="4"/>
  <c r="AJ207" i="4" l="1"/>
  <c r="AK201" i="4"/>
  <c r="AL200" i="4"/>
  <c r="AK202" i="4" l="1"/>
  <c r="AL201" i="4"/>
  <c r="AJ208" i="4"/>
  <c r="AJ209" i="4" l="1"/>
  <c r="AK203" i="4"/>
  <c r="AL202" i="4"/>
  <c r="AJ210" i="4" l="1"/>
  <c r="AK204" i="4"/>
  <c r="AL203" i="4"/>
  <c r="AK205" i="4" l="1"/>
  <c r="AL204" i="4"/>
  <c r="AJ211" i="4"/>
  <c r="AK206" i="4" l="1"/>
  <c r="AL205" i="4"/>
  <c r="AJ212" i="4"/>
  <c r="AK207" i="4" l="1"/>
  <c r="AL206" i="4"/>
  <c r="AJ213" i="4"/>
  <c r="AK208" i="4" l="1"/>
  <c r="AL207" i="4"/>
  <c r="AJ214" i="4"/>
  <c r="AJ215" i="4" l="1"/>
  <c r="AK209" i="4"/>
  <c r="AL208" i="4"/>
  <c r="AK210" i="4" l="1"/>
  <c r="AL209" i="4"/>
  <c r="AJ216" i="4"/>
  <c r="AJ217" i="4" l="1"/>
  <c r="AK211" i="4"/>
  <c r="AL210" i="4"/>
  <c r="AK212" i="4" l="1"/>
  <c r="AL211" i="4"/>
  <c r="AJ218" i="4"/>
  <c r="AJ219" i="4" l="1"/>
  <c r="AK213" i="4"/>
  <c r="AL212" i="4"/>
  <c r="AJ220" i="4" l="1"/>
  <c r="AK214" i="4"/>
  <c r="AL213" i="4"/>
  <c r="AK215" i="4" l="1"/>
  <c r="AL214" i="4"/>
  <c r="AJ221" i="4"/>
  <c r="AJ222" i="4" l="1"/>
  <c r="AK216" i="4"/>
  <c r="AL215" i="4"/>
  <c r="AK217" i="4" l="1"/>
  <c r="AL216" i="4"/>
  <c r="AJ223" i="4"/>
  <c r="AJ224" i="4" l="1"/>
  <c r="AK218" i="4"/>
  <c r="AL217" i="4"/>
  <c r="AK219" i="4" l="1"/>
  <c r="AL218" i="4"/>
  <c r="AJ225" i="4"/>
  <c r="AJ226" i="4" l="1"/>
  <c r="AK220" i="4"/>
  <c r="AL219" i="4"/>
  <c r="AK221" i="4" l="1"/>
  <c r="AL220" i="4"/>
  <c r="AJ227" i="4"/>
  <c r="AJ228" i="4" l="1"/>
  <c r="AK222" i="4"/>
  <c r="AL221" i="4"/>
  <c r="AK223" i="4" l="1"/>
  <c r="AL222" i="4"/>
  <c r="AJ229" i="4"/>
  <c r="AJ230" i="4" l="1"/>
  <c r="AK224" i="4"/>
  <c r="AL223" i="4"/>
  <c r="AK225" i="4" l="1"/>
  <c r="AL224" i="4"/>
  <c r="AJ231" i="4"/>
  <c r="AJ232" i="4" l="1"/>
  <c r="AK226" i="4"/>
  <c r="AL225" i="4"/>
  <c r="AK227" i="4" l="1"/>
  <c r="AL226" i="4"/>
  <c r="AJ233" i="4"/>
  <c r="AJ234" i="4" l="1"/>
  <c r="AK228" i="4"/>
  <c r="AL227" i="4"/>
  <c r="AK229" i="4" l="1"/>
  <c r="AL228" i="4"/>
  <c r="AJ235" i="4"/>
  <c r="AJ236" i="4" l="1"/>
  <c r="AK230" i="4"/>
  <c r="AL229" i="4"/>
  <c r="AK231" i="4" l="1"/>
  <c r="AL230" i="4"/>
  <c r="AJ237" i="4"/>
  <c r="AJ238" i="4" l="1"/>
  <c r="AK232" i="4"/>
  <c r="AL231" i="4"/>
  <c r="AK233" i="4" l="1"/>
  <c r="AL232" i="4"/>
  <c r="AJ239" i="4"/>
  <c r="AJ240" i="4" l="1"/>
  <c r="AK234" i="4"/>
  <c r="AL233" i="4"/>
  <c r="AK235" i="4" l="1"/>
  <c r="AL234" i="4"/>
  <c r="AJ241" i="4"/>
  <c r="AJ242" i="4" l="1"/>
  <c r="AK236" i="4"/>
  <c r="AL235" i="4"/>
  <c r="AK237" i="4" l="1"/>
  <c r="AL236" i="4"/>
  <c r="AJ243" i="4"/>
  <c r="AJ244" i="4" l="1"/>
  <c r="AK238" i="4"/>
  <c r="AL237" i="4"/>
  <c r="AK239" i="4" l="1"/>
  <c r="AL238" i="4"/>
  <c r="AJ245" i="4"/>
  <c r="AJ246" i="4" l="1"/>
  <c r="AK240" i="4"/>
  <c r="AL239" i="4"/>
  <c r="AK241" i="4" l="1"/>
  <c r="AL240" i="4"/>
  <c r="AJ247" i="4"/>
  <c r="AJ248" i="4" l="1"/>
  <c r="AK242" i="4"/>
  <c r="AL241" i="4"/>
  <c r="AK243" i="4" l="1"/>
  <c r="AL242" i="4"/>
  <c r="AJ249" i="4"/>
  <c r="AJ250" i="4" l="1"/>
  <c r="AK244" i="4"/>
  <c r="AL243" i="4"/>
  <c r="AK245" i="4" l="1"/>
  <c r="AL244" i="4"/>
  <c r="AJ251" i="4"/>
  <c r="AJ252" i="4" l="1"/>
  <c r="AK246" i="4"/>
  <c r="AL245" i="4"/>
  <c r="AK247" i="4" l="1"/>
  <c r="AL246" i="4"/>
  <c r="AJ253" i="4"/>
  <c r="AJ254" i="4" l="1"/>
  <c r="AK248" i="4"/>
  <c r="AL247" i="4"/>
  <c r="AK249" i="4" l="1"/>
  <c r="AL248" i="4"/>
  <c r="AJ255" i="4"/>
  <c r="AJ256" i="4" l="1"/>
  <c r="AK250" i="4"/>
  <c r="AL249" i="4"/>
  <c r="AK251" i="4" l="1"/>
  <c r="AL250" i="4"/>
  <c r="AJ257" i="4"/>
  <c r="AJ258" i="4" l="1"/>
  <c r="AK252" i="4"/>
  <c r="AL251" i="4"/>
  <c r="AK253" i="4" l="1"/>
  <c r="AL252" i="4"/>
  <c r="AJ259" i="4"/>
  <c r="AK254" i="4" l="1"/>
  <c r="AL253" i="4"/>
  <c r="AJ260" i="4"/>
  <c r="AJ261" i="4" l="1"/>
  <c r="AK255" i="4"/>
  <c r="AL254" i="4"/>
  <c r="AK256" i="4" l="1"/>
  <c r="AL255" i="4"/>
  <c r="AK257" i="4" l="1"/>
  <c r="AL256" i="4"/>
  <c r="AK258" i="4" l="1"/>
  <c r="AL257" i="4"/>
  <c r="AK259" i="4" l="1"/>
  <c r="AL258" i="4"/>
  <c r="AK260" i="4" l="1"/>
  <c r="AL259" i="4"/>
  <c r="AK261" i="4" l="1"/>
  <c r="AL261" i="4" s="1"/>
  <c r="AL26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<sst xmlns="http://schemas.openxmlformats.org/spreadsheetml/2006/main" count="47" uniqueCount="41">
  <si>
    <t>Date</t>
  </si>
  <si>
    <t>D6</t>
  </si>
  <si>
    <t>D4</t>
  </si>
  <si>
    <t>Current HOBO Spread</t>
  </si>
  <si>
    <t>HOBO Spread Last Week</t>
  </si>
  <si>
    <t>HOBO Spread Last Month</t>
  </si>
  <si>
    <t>Close</t>
  </si>
  <si>
    <t>Forecast High</t>
  </si>
  <si>
    <t>Forecast Low</t>
  </si>
  <si>
    <t>Average HOBO</t>
  </si>
  <si>
    <t>Month</t>
  </si>
  <si>
    <t>Year</t>
  </si>
  <si>
    <t>Update for Current month HOBO Spread for charts</t>
  </si>
  <si>
    <t>HOBO Average</t>
  </si>
  <si>
    <t>Domestic Biodiesel Production</t>
  </si>
  <si>
    <t>Five-Year Average for the month</t>
  </si>
  <si>
    <t>Delta from Average</t>
  </si>
  <si>
    <t>Biodiesel Supply (domestic plus imports)</t>
  </si>
  <si>
    <t>Five -Year Average</t>
  </si>
  <si>
    <t>RINs</t>
  </si>
  <si>
    <t>HOBO Less RINs</t>
  </si>
  <si>
    <t>Renewable Diesel Domestic Production</t>
  </si>
  <si>
    <t>Renewable Diesel Supply (domestic plus foreign generation)</t>
  </si>
  <si>
    <t>Soybean Oil (RBD, C. IL, ₵/lb)</t>
  </si>
  <si>
    <t>Biodiesel (Upper Midwest, ₵/gal)</t>
  </si>
  <si>
    <t>Biodiesel (West Coast, ₵/gal)</t>
  </si>
  <si>
    <t>Calculated Value ex. Credit Values</t>
  </si>
  <si>
    <t>West Coast - Midwest Spread</t>
  </si>
  <si>
    <t>RIN Price</t>
  </si>
  <si>
    <t>LCFS Credit Value</t>
  </si>
  <si>
    <t>Cap-N-Trade (RD only)</t>
  </si>
  <si>
    <t>Blenders' Tax Credit</t>
  </si>
  <si>
    <t>HO Futures</t>
  </si>
  <si>
    <t>SBO Futures</t>
  </si>
  <si>
    <t>HOBO Spread</t>
  </si>
  <si>
    <t>D6 RIN Price</t>
  </si>
  <si>
    <t>Corn Price</t>
  </si>
  <si>
    <t>Ethanol Price</t>
  </si>
  <si>
    <t>Corn-Ethanol Spread</t>
  </si>
  <si>
    <t>D6 RIN Generation</t>
  </si>
  <si>
    <t>D6 RIN Retirement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</si>
</sst>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\-mmm\-yy;@"/>
    <numFmt numFmtId="165" formatCode="mm/dd/yy;@"/>
    <numFmt numFmtId="166" formatCode="[$-409]mmm\-yy;@"/>
    <numFmt numFmtId="167" formatCode="#,##0.000_);[Red]\(#,##0.000\)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CF3C5E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1" fillId="0" borderId="0" xfId="0" applyNumberFormat="1" applyFont="1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40" fontId="1" fillId="0" borderId="0" xfId="0" applyNumberFormat="1" applyFont="1"/>
    <xf numFmtId="165" fontId="1" fillId="0" borderId="0" xfId="0" applyNumberFormat="1" applyFont="1"/>
    <xf numFmtId="16" fontId="1" fillId="0" borderId="0" xfId="0" applyNumberFormat="1" applyFont="1"/>
    <xf numFmtId="16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6" fontId="1" fillId="0" borderId="0" xfId="0" applyNumberFormat="1" applyFont="1"/>
    <xf numFmtId="2" fontId="1" fillId="0" borderId="0" xfId="0" applyNumberFormat="1" applyFont="1" applyAlignment="1">
      <alignment horizontal="center"/>
    </xf>
    <xf numFmtId="38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38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chartsheet" Target="chart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externalLink" Target="externalLinks/externalLink2.xml"/><Relationship Id="rId24" Type="http://schemas.openxmlformats.org/officeDocument/2006/relationships/sheetMetadata" Target="metadata.xml"/><Relationship Id="rId5" Type="http://schemas.openxmlformats.org/officeDocument/2006/relationships/chartsheet" Target="chartsheets/sheet1.xml"/><Relationship Id="rId15" Type="http://schemas.openxmlformats.org/officeDocument/2006/relationships/externalLink" Target="externalLinks/externalLink6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externalLink" Target="externalLinks/externalLink5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HOBO Spread</a:t>
            </a:r>
          </a:p>
        </c:rich>
      </c:tx>
      <c:layout>
        <c:manualLayout>
          <c:xMode val="edge"/>
          <c:yMode val="edge"/>
          <c:x val="0.40321522309711288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62970253718289"/>
          <c:y val="0.10885498687664041"/>
          <c:w val="0.81918591426071752"/>
          <c:h val="0.72642424905220193"/>
        </c:manualLayout>
      </c:layout>
      <c:lineChart>
        <c:grouping val="standard"/>
        <c:varyColors val="0"/>
        <c:ser>
          <c:idx val="0"/>
          <c:order val="0"/>
          <c:tx>
            <c:strRef>
              <c:f>'HOBO History'!$B$1</c:f>
              <c:strCache>
                <c:ptCount val="1"/>
                <c:pt idx="0">
                  <c:v>Close</c:v>
                </c:pt>
              </c:strCache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Pt>
            <c:idx val="133"/>
            <c:marker>
              <c:symbol val="none"/>
            </c:marker>
            <c:bubble3D val="0"/>
            <c:spPr>
              <a:ln w="22225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360-4739-846D-2505C2BF0119}"/>
              </c:ext>
            </c:extLst>
          </c:dPt>
          <c:dPt>
            <c:idx val="134"/>
            <c:marker>
              <c:symbol val="none"/>
            </c:marker>
            <c:bubble3D val="0"/>
            <c:spPr>
              <a:ln w="22225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60-4739-846D-2505C2BF0119}"/>
              </c:ext>
            </c:extLst>
          </c:dPt>
          <c:dPt>
            <c:idx val="135"/>
            <c:marker>
              <c:symbol val="none"/>
            </c:marker>
            <c:bubble3D val="0"/>
            <c:spPr>
              <a:ln w="22225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360-4739-846D-2505C2BF0119}"/>
              </c:ext>
            </c:extLst>
          </c:dPt>
          <c:dPt>
            <c:idx val="136"/>
            <c:marker>
              <c:symbol val="none"/>
            </c:marker>
            <c:bubble3D val="0"/>
            <c:spPr>
              <a:ln w="22225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360-4739-846D-2505C2BF0119}"/>
              </c:ext>
            </c:extLst>
          </c:dPt>
          <c:dPt>
            <c:idx val="137"/>
            <c:marker>
              <c:symbol val="none"/>
            </c:marker>
            <c:bubble3D val="0"/>
            <c:spPr>
              <a:ln w="22225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360-4739-846D-2505C2BF0119}"/>
              </c:ext>
            </c:extLst>
          </c:dPt>
          <c:cat>
            <c:numRef>
              <c:f>'HOBO History'!$A$2:$A$262</c:f>
              <c:numCache>
                <c:formatCode>[$-409]dd\-mmm\-yy;@</c:formatCode>
                <c:ptCount val="261"/>
                <c:pt idx="0">
                  <c:v>45399</c:v>
                </c:pt>
                <c:pt idx="1">
                  <c:v>45400</c:v>
                </c:pt>
                <c:pt idx="2">
                  <c:v>45401</c:v>
                </c:pt>
                <c:pt idx="3">
                  <c:v>45404</c:v>
                </c:pt>
                <c:pt idx="4">
                  <c:v>45405</c:v>
                </c:pt>
                <c:pt idx="5">
                  <c:v>45406</c:v>
                </c:pt>
                <c:pt idx="6">
                  <c:v>45407</c:v>
                </c:pt>
                <c:pt idx="7">
                  <c:v>45408</c:v>
                </c:pt>
                <c:pt idx="8">
                  <c:v>45411</c:v>
                </c:pt>
                <c:pt idx="9">
                  <c:v>45412</c:v>
                </c:pt>
                <c:pt idx="10">
                  <c:v>45413</c:v>
                </c:pt>
                <c:pt idx="11">
                  <c:v>45414</c:v>
                </c:pt>
                <c:pt idx="12">
                  <c:v>45415</c:v>
                </c:pt>
                <c:pt idx="13">
                  <c:v>45418</c:v>
                </c:pt>
                <c:pt idx="14">
                  <c:v>45419</c:v>
                </c:pt>
                <c:pt idx="15">
                  <c:v>45420</c:v>
                </c:pt>
                <c:pt idx="16">
                  <c:v>45421</c:v>
                </c:pt>
                <c:pt idx="17">
                  <c:v>45422</c:v>
                </c:pt>
                <c:pt idx="18">
                  <c:v>45425</c:v>
                </c:pt>
                <c:pt idx="19">
                  <c:v>45426</c:v>
                </c:pt>
                <c:pt idx="20">
                  <c:v>45427</c:v>
                </c:pt>
                <c:pt idx="21">
                  <c:v>45428</c:v>
                </c:pt>
                <c:pt idx="22">
                  <c:v>45429</c:v>
                </c:pt>
                <c:pt idx="23">
                  <c:v>45432</c:v>
                </c:pt>
                <c:pt idx="24">
                  <c:v>45433</c:v>
                </c:pt>
                <c:pt idx="25">
                  <c:v>45434</c:v>
                </c:pt>
                <c:pt idx="26">
                  <c:v>45435</c:v>
                </c:pt>
                <c:pt idx="27">
                  <c:v>45436</c:v>
                </c:pt>
                <c:pt idx="28">
                  <c:v>45440</c:v>
                </c:pt>
                <c:pt idx="29">
                  <c:v>45441</c:v>
                </c:pt>
                <c:pt idx="30">
                  <c:v>45442</c:v>
                </c:pt>
                <c:pt idx="31">
                  <c:v>45443</c:v>
                </c:pt>
                <c:pt idx="32">
                  <c:v>45446</c:v>
                </c:pt>
                <c:pt idx="33">
                  <c:v>45447</c:v>
                </c:pt>
                <c:pt idx="34">
                  <c:v>45448</c:v>
                </c:pt>
                <c:pt idx="35">
                  <c:v>45449</c:v>
                </c:pt>
                <c:pt idx="36">
                  <c:v>45450</c:v>
                </c:pt>
                <c:pt idx="37">
                  <c:v>45453</c:v>
                </c:pt>
                <c:pt idx="38">
                  <c:v>45454</c:v>
                </c:pt>
                <c:pt idx="39">
                  <c:v>45455</c:v>
                </c:pt>
                <c:pt idx="40">
                  <c:v>45456</c:v>
                </c:pt>
                <c:pt idx="41">
                  <c:v>45457</c:v>
                </c:pt>
                <c:pt idx="42">
                  <c:v>45460</c:v>
                </c:pt>
                <c:pt idx="43">
                  <c:v>45461</c:v>
                </c:pt>
                <c:pt idx="44">
                  <c:v>45463</c:v>
                </c:pt>
                <c:pt idx="45">
                  <c:v>45464</c:v>
                </c:pt>
                <c:pt idx="46">
                  <c:v>45467</c:v>
                </c:pt>
                <c:pt idx="47">
                  <c:v>45468</c:v>
                </c:pt>
                <c:pt idx="48">
                  <c:v>45469</c:v>
                </c:pt>
                <c:pt idx="49">
                  <c:v>45470</c:v>
                </c:pt>
                <c:pt idx="50">
                  <c:v>45471</c:v>
                </c:pt>
                <c:pt idx="51">
                  <c:v>45474</c:v>
                </c:pt>
                <c:pt idx="52">
                  <c:v>45475</c:v>
                </c:pt>
                <c:pt idx="53">
                  <c:v>45476</c:v>
                </c:pt>
                <c:pt idx="54">
                  <c:v>45478</c:v>
                </c:pt>
                <c:pt idx="55">
                  <c:v>45481</c:v>
                </c:pt>
                <c:pt idx="56">
                  <c:v>45482</c:v>
                </c:pt>
                <c:pt idx="57">
                  <c:v>45483</c:v>
                </c:pt>
                <c:pt idx="58">
                  <c:v>45484</c:v>
                </c:pt>
                <c:pt idx="59">
                  <c:v>45485</c:v>
                </c:pt>
                <c:pt idx="60">
                  <c:v>45488</c:v>
                </c:pt>
                <c:pt idx="61">
                  <c:v>45489</c:v>
                </c:pt>
                <c:pt idx="62">
                  <c:v>45490</c:v>
                </c:pt>
                <c:pt idx="63">
                  <c:v>45491</c:v>
                </c:pt>
                <c:pt idx="64">
                  <c:v>45492</c:v>
                </c:pt>
                <c:pt idx="65">
                  <c:v>45495</c:v>
                </c:pt>
                <c:pt idx="66">
                  <c:v>45496</c:v>
                </c:pt>
                <c:pt idx="67">
                  <c:v>45497</c:v>
                </c:pt>
                <c:pt idx="68">
                  <c:v>45498</c:v>
                </c:pt>
                <c:pt idx="69">
                  <c:v>45499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45509</c:v>
                </c:pt>
                <c:pt idx="76">
                  <c:v>45510</c:v>
                </c:pt>
                <c:pt idx="77">
                  <c:v>45511</c:v>
                </c:pt>
                <c:pt idx="78">
                  <c:v>45512</c:v>
                </c:pt>
                <c:pt idx="79">
                  <c:v>45513</c:v>
                </c:pt>
                <c:pt idx="80">
                  <c:v>45516</c:v>
                </c:pt>
                <c:pt idx="81">
                  <c:v>45517</c:v>
                </c:pt>
                <c:pt idx="82">
                  <c:v>45518</c:v>
                </c:pt>
                <c:pt idx="83">
                  <c:v>45519</c:v>
                </c:pt>
                <c:pt idx="84">
                  <c:v>45520</c:v>
                </c:pt>
                <c:pt idx="85">
                  <c:v>45523</c:v>
                </c:pt>
                <c:pt idx="86">
                  <c:v>45524</c:v>
                </c:pt>
                <c:pt idx="87">
                  <c:v>45525</c:v>
                </c:pt>
                <c:pt idx="88">
                  <c:v>45526</c:v>
                </c:pt>
                <c:pt idx="89">
                  <c:v>45527</c:v>
                </c:pt>
                <c:pt idx="90">
                  <c:v>45530</c:v>
                </c:pt>
                <c:pt idx="91">
                  <c:v>45531</c:v>
                </c:pt>
                <c:pt idx="92">
                  <c:v>45532</c:v>
                </c:pt>
                <c:pt idx="93">
                  <c:v>45533</c:v>
                </c:pt>
                <c:pt idx="94">
                  <c:v>45534</c:v>
                </c:pt>
                <c:pt idx="95">
                  <c:v>45538</c:v>
                </c:pt>
                <c:pt idx="96">
                  <c:v>45539</c:v>
                </c:pt>
                <c:pt idx="97">
                  <c:v>45540</c:v>
                </c:pt>
                <c:pt idx="98">
                  <c:v>45541</c:v>
                </c:pt>
                <c:pt idx="99">
                  <c:v>45544</c:v>
                </c:pt>
                <c:pt idx="100">
                  <c:v>45545</c:v>
                </c:pt>
                <c:pt idx="101">
                  <c:v>45546</c:v>
                </c:pt>
                <c:pt idx="102">
                  <c:v>45547</c:v>
                </c:pt>
                <c:pt idx="103">
                  <c:v>45548</c:v>
                </c:pt>
                <c:pt idx="104">
                  <c:v>45551</c:v>
                </c:pt>
                <c:pt idx="105">
                  <c:v>45552</c:v>
                </c:pt>
                <c:pt idx="106">
                  <c:v>45553</c:v>
                </c:pt>
                <c:pt idx="107">
                  <c:v>45554</c:v>
                </c:pt>
                <c:pt idx="108">
                  <c:v>45555</c:v>
                </c:pt>
                <c:pt idx="109">
                  <c:v>45558</c:v>
                </c:pt>
                <c:pt idx="110">
                  <c:v>45559</c:v>
                </c:pt>
                <c:pt idx="111">
                  <c:v>45560</c:v>
                </c:pt>
                <c:pt idx="112">
                  <c:v>45561</c:v>
                </c:pt>
                <c:pt idx="113">
                  <c:v>45562</c:v>
                </c:pt>
                <c:pt idx="114">
                  <c:v>45565</c:v>
                </c:pt>
                <c:pt idx="115">
                  <c:v>45566</c:v>
                </c:pt>
                <c:pt idx="116">
                  <c:v>45567</c:v>
                </c:pt>
                <c:pt idx="117">
                  <c:v>45568</c:v>
                </c:pt>
                <c:pt idx="118">
                  <c:v>45569</c:v>
                </c:pt>
                <c:pt idx="119">
                  <c:v>45572</c:v>
                </c:pt>
                <c:pt idx="120">
                  <c:v>45573</c:v>
                </c:pt>
                <c:pt idx="121">
                  <c:v>45574</c:v>
                </c:pt>
                <c:pt idx="122">
                  <c:v>45575</c:v>
                </c:pt>
                <c:pt idx="123">
                  <c:v>45576</c:v>
                </c:pt>
                <c:pt idx="124">
                  <c:v>45579</c:v>
                </c:pt>
                <c:pt idx="125">
                  <c:v>45580</c:v>
                </c:pt>
                <c:pt idx="126">
                  <c:v>45581</c:v>
                </c:pt>
                <c:pt idx="127">
                  <c:v>45582</c:v>
                </c:pt>
                <c:pt idx="128">
                  <c:v>45583</c:v>
                </c:pt>
                <c:pt idx="129">
                  <c:v>45586</c:v>
                </c:pt>
                <c:pt idx="130">
                  <c:v>45587</c:v>
                </c:pt>
                <c:pt idx="131">
                  <c:v>45588</c:v>
                </c:pt>
                <c:pt idx="132">
                  <c:v>45589</c:v>
                </c:pt>
                <c:pt idx="133">
                  <c:v>45590</c:v>
                </c:pt>
                <c:pt idx="134">
                  <c:v>45593</c:v>
                </c:pt>
                <c:pt idx="135">
                  <c:v>45594</c:v>
                </c:pt>
                <c:pt idx="136">
                  <c:v>45595</c:v>
                </c:pt>
                <c:pt idx="137">
                  <c:v>45596</c:v>
                </c:pt>
                <c:pt idx="138">
                  <c:v>45597</c:v>
                </c:pt>
                <c:pt idx="139">
                  <c:v>45600</c:v>
                </c:pt>
                <c:pt idx="140">
                  <c:v>45601</c:v>
                </c:pt>
                <c:pt idx="141">
                  <c:v>45602</c:v>
                </c:pt>
                <c:pt idx="142">
                  <c:v>45603</c:v>
                </c:pt>
                <c:pt idx="143">
                  <c:v>45604</c:v>
                </c:pt>
                <c:pt idx="144">
                  <c:v>45607</c:v>
                </c:pt>
                <c:pt idx="145">
                  <c:v>45608</c:v>
                </c:pt>
                <c:pt idx="146">
                  <c:v>45609</c:v>
                </c:pt>
                <c:pt idx="147">
                  <c:v>45610</c:v>
                </c:pt>
                <c:pt idx="148">
                  <c:v>45611</c:v>
                </c:pt>
                <c:pt idx="149">
                  <c:v>45614</c:v>
                </c:pt>
                <c:pt idx="150">
                  <c:v>45615</c:v>
                </c:pt>
                <c:pt idx="151">
                  <c:v>45616</c:v>
                </c:pt>
                <c:pt idx="152">
                  <c:v>45617</c:v>
                </c:pt>
                <c:pt idx="153">
                  <c:v>45618</c:v>
                </c:pt>
                <c:pt idx="154">
                  <c:v>45621</c:v>
                </c:pt>
                <c:pt idx="155">
                  <c:v>45622</c:v>
                </c:pt>
                <c:pt idx="156">
                  <c:v>45623</c:v>
                </c:pt>
                <c:pt idx="157">
                  <c:v>45625</c:v>
                </c:pt>
                <c:pt idx="158">
                  <c:v>45628</c:v>
                </c:pt>
                <c:pt idx="159">
                  <c:v>45629</c:v>
                </c:pt>
                <c:pt idx="160">
                  <c:v>45630</c:v>
                </c:pt>
                <c:pt idx="161">
                  <c:v>45631</c:v>
                </c:pt>
                <c:pt idx="162">
                  <c:v>45632</c:v>
                </c:pt>
                <c:pt idx="163">
                  <c:v>45635</c:v>
                </c:pt>
                <c:pt idx="164">
                  <c:v>45636</c:v>
                </c:pt>
                <c:pt idx="165">
                  <c:v>45637</c:v>
                </c:pt>
                <c:pt idx="166">
                  <c:v>45638</c:v>
                </c:pt>
                <c:pt idx="167">
                  <c:v>45639</c:v>
                </c:pt>
                <c:pt idx="168">
                  <c:v>45642</c:v>
                </c:pt>
                <c:pt idx="169">
                  <c:v>45643</c:v>
                </c:pt>
                <c:pt idx="170">
                  <c:v>45644</c:v>
                </c:pt>
                <c:pt idx="171">
                  <c:v>45645</c:v>
                </c:pt>
                <c:pt idx="172">
                  <c:v>45646</c:v>
                </c:pt>
                <c:pt idx="173">
                  <c:v>45649</c:v>
                </c:pt>
                <c:pt idx="174">
                  <c:v>45650</c:v>
                </c:pt>
                <c:pt idx="175">
                  <c:v>45652</c:v>
                </c:pt>
                <c:pt idx="176">
                  <c:v>45653</c:v>
                </c:pt>
                <c:pt idx="177">
                  <c:v>45656</c:v>
                </c:pt>
                <c:pt idx="178">
                  <c:v>45657</c:v>
                </c:pt>
                <c:pt idx="179">
                  <c:v>45659</c:v>
                </c:pt>
                <c:pt idx="180">
                  <c:v>45660</c:v>
                </c:pt>
                <c:pt idx="181">
                  <c:v>45663</c:v>
                </c:pt>
                <c:pt idx="182">
                  <c:v>45664</c:v>
                </c:pt>
                <c:pt idx="183">
                  <c:v>45665</c:v>
                </c:pt>
                <c:pt idx="184">
                  <c:v>45666</c:v>
                </c:pt>
                <c:pt idx="185">
                  <c:v>45667</c:v>
                </c:pt>
                <c:pt idx="186">
                  <c:v>45670</c:v>
                </c:pt>
                <c:pt idx="187">
                  <c:v>45671</c:v>
                </c:pt>
                <c:pt idx="188">
                  <c:v>45672</c:v>
                </c:pt>
                <c:pt idx="189">
                  <c:v>45673</c:v>
                </c:pt>
                <c:pt idx="190">
                  <c:v>45674</c:v>
                </c:pt>
                <c:pt idx="191">
                  <c:v>45678</c:v>
                </c:pt>
                <c:pt idx="192">
                  <c:v>45679</c:v>
                </c:pt>
                <c:pt idx="193">
                  <c:v>45680</c:v>
                </c:pt>
                <c:pt idx="194">
                  <c:v>45681</c:v>
                </c:pt>
                <c:pt idx="195">
                  <c:v>45684</c:v>
                </c:pt>
                <c:pt idx="196">
                  <c:v>45685</c:v>
                </c:pt>
                <c:pt idx="197">
                  <c:v>45686</c:v>
                </c:pt>
                <c:pt idx="198">
                  <c:v>45687</c:v>
                </c:pt>
                <c:pt idx="199">
                  <c:v>45688</c:v>
                </c:pt>
                <c:pt idx="200">
                  <c:v>45691</c:v>
                </c:pt>
                <c:pt idx="201">
                  <c:v>45692</c:v>
                </c:pt>
                <c:pt idx="202">
                  <c:v>45693</c:v>
                </c:pt>
                <c:pt idx="203">
                  <c:v>45694</c:v>
                </c:pt>
                <c:pt idx="204">
                  <c:v>45695</c:v>
                </c:pt>
                <c:pt idx="205">
                  <c:v>45698</c:v>
                </c:pt>
                <c:pt idx="206">
                  <c:v>45699</c:v>
                </c:pt>
                <c:pt idx="207">
                  <c:v>45700</c:v>
                </c:pt>
                <c:pt idx="208">
                  <c:v>45701</c:v>
                </c:pt>
                <c:pt idx="209">
                  <c:v>45702</c:v>
                </c:pt>
                <c:pt idx="210">
                  <c:v>45706</c:v>
                </c:pt>
                <c:pt idx="211">
                  <c:v>45707</c:v>
                </c:pt>
                <c:pt idx="212">
                  <c:v>45708</c:v>
                </c:pt>
                <c:pt idx="213">
                  <c:v>45709</c:v>
                </c:pt>
                <c:pt idx="214">
                  <c:v>45712</c:v>
                </c:pt>
                <c:pt idx="215">
                  <c:v>45713</c:v>
                </c:pt>
                <c:pt idx="216">
                  <c:v>45714</c:v>
                </c:pt>
                <c:pt idx="217">
                  <c:v>45715</c:v>
                </c:pt>
                <c:pt idx="218">
                  <c:v>45716</c:v>
                </c:pt>
                <c:pt idx="219">
                  <c:v>45719</c:v>
                </c:pt>
                <c:pt idx="220">
                  <c:v>45720</c:v>
                </c:pt>
                <c:pt idx="221">
                  <c:v>45721</c:v>
                </c:pt>
                <c:pt idx="222">
                  <c:v>45722</c:v>
                </c:pt>
                <c:pt idx="223">
                  <c:v>45723</c:v>
                </c:pt>
                <c:pt idx="224">
                  <c:v>45726</c:v>
                </c:pt>
                <c:pt idx="225">
                  <c:v>45727</c:v>
                </c:pt>
                <c:pt idx="226">
                  <c:v>45728</c:v>
                </c:pt>
                <c:pt idx="227">
                  <c:v>45729</c:v>
                </c:pt>
                <c:pt idx="228">
                  <c:v>45730</c:v>
                </c:pt>
                <c:pt idx="229">
                  <c:v>45733</c:v>
                </c:pt>
                <c:pt idx="230">
                  <c:v>45734</c:v>
                </c:pt>
                <c:pt idx="231">
                  <c:v>45735</c:v>
                </c:pt>
                <c:pt idx="232">
                  <c:v>45736</c:v>
                </c:pt>
                <c:pt idx="233">
                  <c:v>45737</c:v>
                </c:pt>
                <c:pt idx="234">
                  <c:v>45740</c:v>
                </c:pt>
                <c:pt idx="235">
                  <c:v>45741</c:v>
                </c:pt>
                <c:pt idx="236">
                  <c:v>45742</c:v>
                </c:pt>
                <c:pt idx="237">
                  <c:v>45743</c:v>
                </c:pt>
                <c:pt idx="238">
                  <c:v>45744</c:v>
                </c:pt>
                <c:pt idx="239">
                  <c:v>45747</c:v>
                </c:pt>
                <c:pt idx="240">
                  <c:v>45748</c:v>
                </c:pt>
                <c:pt idx="241">
                  <c:v>45749</c:v>
                </c:pt>
                <c:pt idx="242">
                  <c:v>45750</c:v>
                </c:pt>
                <c:pt idx="243">
                  <c:v>45751</c:v>
                </c:pt>
                <c:pt idx="244">
                  <c:v>45754</c:v>
                </c:pt>
                <c:pt idx="245">
                  <c:v>45755</c:v>
                </c:pt>
                <c:pt idx="246">
                  <c:v>45756</c:v>
                </c:pt>
                <c:pt idx="247">
                  <c:v>45757</c:v>
                </c:pt>
                <c:pt idx="248">
                  <c:v>45758</c:v>
                </c:pt>
                <c:pt idx="249">
                  <c:v>45761</c:v>
                </c:pt>
                <c:pt idx="250">
                  <c:v>45762</c:v>
                </c:pt>
                <c:pt idx="251">
                  <c:v>45763</c:v>
                </c:pt>
                <c:pt idx="252">
                  <c:v>45764</c:v>
                </c:pt>
                <c:pt idx="253">
                  <c:v>45768</c:v>
                </c:pt>
                <c:pt idx="254">
                  <c:v>45769</c:v>
                </c:pt>
                <c:pt idx="255">
                  <c:v>45770</c:v>
                </c:pt>
                <c:pt idx="256">
                  <c:v>45771</c:v>
                </c:pt>
                <c:pt idx="257">
                  <c:v>45772</c:v>
                </c:pt>
                <c:pt idx="258">
                  <c:v>45778</c:v>
                </c:pt>
                <c:pt idx="259">
                  <c:v>45839</c:v>
                </c:pt>
                <c:pt idx="260">
                  <c:v>45901</c:v>
                </c:pt>
              </c:numCache>
            </c:numRef>
          </c:cat>
          <c:val>
            <c:numRef>
              <c:f>'HOBO History'!$B$2:$B$261</c:f>
              <c:numCache>
                <c:formatCode>#,##0.00_);[Red]\(#,##0.00\)</c:formatCode>
                <c:ptCount val="260"/>
                <c:pt idx="0">
                  <c:v>0.88166000000000011</c:v>
                </c:pt>
                <c:pt idx="1">
                  <c:v>0.85195999999999961</c:v>
                </c:pt>
                <c:pt idx="2">
                  <c:v>0.86483999999999961</c:v>
                </c:pt>
                <c:pt idx="3">
                  <c:v>0.90225999999999962</c:v>
                </c:pt>
                <c:pt idx="4">
                  <c:v>0.9008799999999999</c:v>
                </c:pt>
                <c:pt idx="5">
                  <c:v>0.88082000000000038</c:v>
                </c:pt>
                <c:pt idx="6">
                  <c:v>0.89227999999999952</c:v>
                </c:pt>
                <c:pt idx="7">
                  <c:v>0.90033999999999947</c:v>
                </c:pt>
                <c:pt idx="8">
                  <c:v>0.82611999999999997</c:v>
                </c:pt>
                <c:pt idx="9">
                  <c:v>0.74115999999999982</c:v>
                </c:pt>
                <c:pt idx="10">
                  <c:v>0.8226599999999995</c:v>
                </c:pt>
                <c:pt idx="11">
                  <c:v>0.82864000000000049</c:v>
                </c:pt>
                <c:pt idx="12">
                  <c:v>0.81707999999999981</c:v>
                </c:pt>
                <c:pt idx="13">
                  <c:v>0.85794000000000015</c:v>
                </c:pt>
                <c:pt idx="14">
                  <c:v>0.90299999999999958</c:v>
                </c:pt>
                <c:pt idx="15">
                  <c:v>0.84013999999999989</c:v>
                </c:pt>
                <c:pt idx="16">
                  <c:v>0.74993999999999961</c:v>
                </c:pt>
                <c:pt idx="17">
                  <c:v>0.92763999999999935</c:v>
                </c:pt>
                <c:pt idx="18">
                  <c:v>0.97829999999999995</c:v>
                </c:pt>
                <c:pt idx="19">
                  <c:v>0.86389999999999967</c:v>
                </c:pt>
                <c:pt idx="20">
                  <c:v>0.89449999999999985</c:v>
                </c:pt>
                <c:pt idx="21">
                  <c:v>0.94519999999999982</c:v>
                </c:pt>
                <c:pt idx="22">
                  <c:v>0.9598399999999998</c:v>
                </c:pt>
                <c:pt idx="23">
                  <c:v>1.03546</c:v>
                </c:pt>
                <c:pt idx="24">
                  <c:v>1.02454</c:v>
                </c:pt>
                <c:pt idx="25">
                  <c:v>1.0603400000000001</c:v>
                </c:pt>
                <c:pt idx="26">
                  <c:v>1.0276799999999997</c:v>
                </c:pt>
                <c:pt idx="27">
                  <c:v>1.0059199999999997</c:v>
                </c:pt>
                <c:pt idx="28">
                  <c:v>0.99598000000000031</c:v>
                </c:pt>
                <c:pt idx="29">
                  <c:v>1.0507399999999998</c:v>
                </c:pt>
                <c:pt idx="30">
                  <c:v>1.1027799999999996</c:v>
                </c:pt>
                <c:pt idx="31">
                  <c:v>1.0950800000000003</c:v>
                </c:pt>
                <c:pt idx="32">
                  <c:v>1.0510800000000002</c:v>
                </c:pt>
                <c:pt idx="33">
                  <c:v>1.0271999999999997</c:v>
                </c:pt>
                <c:pt idx="34">
                  <c:v>0.97707999999999995</c:v>
                </c:pt>
                <c:pt idx="35">
                  <c:v>1.0139800000000001</c:v>
                </c:pt>
                <c:pt idx="36">
                  <c:v>0.96572000000000013</c:v>
                </c:pt>
                <c:pt idx="37">
                  <c:v>0.9070999999999998</c:v>
                </c:pt>
                <c:pt idx="38">
                  <c:v>0.90035999999999961</c:v>
                </c:pt>
                <c:pt idx="39">
                  <c:v>0.88870000000000005</c:v>
                </c:pt>
                <c:pt idx="40">
                  <c:v>0.85337999999999958</c:v>
                </c:pt>
                <c:pt idx="41">
                  <c:v>0.85249999999999959</c:v>
                </c:pt>
                <c:pt idx="42">
                  <c:v>0.84113999999999978</c:v>
                </c:pt>
                <c:pt idx="43">
                  <c:v>0.84619999999999962</c:v>
                </c:pt>
                <c:pt idx="44">
                  <c:v>0.82430000000000003</c:v>
                </c:pt>
                <c:pt idx="45">
                  <c:v>0.84909999999999997</c:v>
                </c:pt>
                <c:pt idx="46">
                  <c:v>0.78973999999999966</c:v>
                </c:pt>
                <c:pt idx="47">
                  <c:v>0.74387999999999987</c:v>
                </c:pt>
                <c:pt idx="48">
                  <c:v>0.76971999999999996</c:v>
                </c:pt>
                <c:pt idx="49">
                  <c:v>0.76057999999999959</c:v>
                </c:pt>
                <c:pt idx="50">
                  <c:v>0.8162199999999995</c:v>
                </c:pt>
                <c:pt idx="51">
                  <c:v>0.87247999999999992</c:v>
                </c:pt>
                <c:pt idx="52">
                  <c:v>0.93353999999999937</c:v>
                </c:pt>
                <c:pt idx="53">
                  <c:v>1.0486399999999998</c:v>
                </c:pt>
                <c:pt idx="54">
                  <c:v>1.1492</c:v>
                </c:pt>
                <c:pt idx="55">
                  <c:v>1.1380400000000002</c:v>
                </c:pt>
                <c:pt idx="56">
                  <c:v>1.0264000000000002</c:v>
                </c:pt>
                <c:pt idx="57">
                  <c:v>0.98754000000000008</c:v>
                </c:pt>
                <c:pt idx="58">
                  <c:v>1.0453199999999998</c:v>
                </c:pt>
                <c:pt idx="59">
                  <c:v>1.0184999999999995</c:v>
                </c:pt>
                <c:pt idx="60">
                  <c:v>0.9734200000000004</c:v>
                </c:pt>
                <c:pt idx="61">
                  <c:v>1.0292799999999995</c:v>
                </c:pt>
                <c:pt idx="62">
                  <c:v>0.94171999999999967</c:v>
                </c:pt>
                <c:pt idx="63">
                  <c:v>0.96989999999999998</c:v>
                </c:pt>
                <c:pt idx="64">
                  <c:v>1.0324</c:v>
                </c:pt>
                <c:pt idx="65">
                  <c:v>1.0598199999999998</c:v>
                </c:pt>
                <c:pt idx="66">
                  <c:v>1.07498</c:v>
                </c:pt>
                <c:pt idx="67">
                  <c:v>0.97228000000000003</c:v>
                </c:pt>
                <c:pt idx="68">
                  <c:v>0.94633999999999929</c:v>
                </c:pt>
                <c:pt idx="69">
                  <c:v>0.83115999999999968</c:v>
                </c:pt>
                <c:pt idx="70">
                  <c:v>0.84257999999999944</c:v>
                </c:pt>
                <c:pt idx="71">
                  <c:v>0.88726000000000038</c:v>
                </c:pt>
                <c:pt idx="72">
                  <c:v>0.84945999999999966</c:v>
                </c:pt>
                <c:pt idx="73">
                  <c:v>0.80491999999999964</c:v>
                </c:pt>
                <c:pt idx="74">
                  <c:v>0.83148</c:v>
                </c:pt>
                <c:pt idx="75">
                  <c:v>0.80674000000000001</c:v>
                </c:pt>
                <c:pt idx="76">
                  <c:v>0.79219999999999979</c:v>
                </c:pt>
                <c:pt idx="77">
                  <c:v>0.82561999999999935</c:v>
                </c:pt>
                <c:pt idx="78">
                  <c:v>0.82731999999999983</c:v>
                </c:pt>
                <c:pt idx="79">
                  <c:v>0.86302000000000012</c:v>
                </c:pt>
                <c:pt idx="80">
                  <c:v>0.72397999999999918</c:v>
                </c:pt>
                <c:pt idx="81">
                  <c:v>0.65103999999999962</c:v>
                </c:pt>
                <c:pt idx="82">
                  <c:v>0.65305999999999953</c:v>
                </c:pt>
                <c:pt idx="83">
                  <c:v>0.55873999999999979</c:v>
                </c:pt>
                <c:pt idx="84">
                  <c:v>0.63107999999999986</c:v>
                </c:pt>
                <c:pt idx="85">
                  <c:v>0.73135999999999957</c:v>
                </c:pt>
                <c:pt idx="86">
                  <c:v>0.74965999999999955</c:v>
                </c:pt>
                <c:pt idx="87">
                  <c:v>0.7911999999999999</c:v>
                </c:pt>
                <c:pt idx="88">
                  <c:v>0.72633999999999954</c:v>
                </c:pt>
                <c:pt idx="89">
                  <c:v>0.77890000000000015</c:v>
                </c:pt>
                <c:pt idx="90">
                  <c:v>0.75390000000000024</c:v>
                </c:pt>
                <c:pt idx="91">
                  <c:v>0.78259999999999996</c:v>
                </c:pt>
                <c:pt idx="92">
                  <c:v>0.87410000000000032</c:v>
                </c:pt>
                <c:pt idx="93">
                  <c:v>0.92575999999999947</c:v>
                </c:pt>
                <c:pt idx="94">
                  <c:v>0.95398000000000005</c:v>
                </c:pt>
                <c:pt idx="95">
                  <c:v>0.93047999999999931</c:v>
                </c:pt>
                <c:pt idx="96">
                  <c:v>0.91951999999999989</c:v>
                </c:pt>
                <c:pt idx="97">
                  <c:v>0.98383999999999983</c:v>
                </c:pt>
                <c:pt idx="98">
                  <c:v>0.92356000000000016</c:v>
                </c:pt>
                <c:pt idx="99">
                  <c:v>0.96791999999999989</c:v>
                </c:pt>
                <c:pt idx="100">
                  <c:v>0.98813999999999957</c:v>
                </c:pt>
                <c:pt idx="101">
                  <c:v>0.91797999999999957</c:v>
                </c:pt>
                <c:pt idx="102">
                  <c:v>0.93108000000000013</c:v>
                </c:pt>
                <c:pt idx="103">
                  <c:v>0.90337999999999985</c:v>
                </c:pt>
                <c:pt idx="104">
                  <c:v>0.86086000000000018</c:v>
                </c:pt>
                <c:pt idx="105">
                  <c:v>0.88118000000000007</c:v>
                </c:pt>
                <c:pt idx="106">
                  <c:v>0.90476000000000001</c:v>
                </c:pt>
                <c:pt idx="107">
                  <c:v>0.92827999999999999</c:v>
                </c:pt>
                <c:pt idx="108">
                  <c:v>0.96985999999999928</c:v>
                </c:pt>
                <c:pt idx="109">
                  <c:v>1.0192400000000004</c:v>
                </c:pt>
                <c:pt idx="110">
                  <c:v>1.0947400000000003</c:v>
                </c:pt>
                <c:pt idx="111">
                  <c:v>1.1784999999999997</c:v>
                </c:pt>
                <c:pt idx="112">
                  <c:v>1.1074999999999999</c:v>
                </c:pt>
                <c:pt idx="113">
                  <c:v>1.06806</c:v>
                </c:pt>
                <c:pt idx="114">
                  <c:v>1.1371600000000002</c:v>
                </c:pt>
                <c:pt idx="115">
                  <c:v>1.0742599999999998</c:v>
                </c:pt>
                <c:pt idx="116">
                  <c:v>1.1202399999999999</c:v>
                </c:pt>
                <c:pt idx="117">
                  <c:v>1.0792799999999998</c:v>
                </c:pt>
                <c:pt idx="118">
                  <c:v>1.0161199999999995</c:v>
                </c:pt>
                <c:pt idx="119">
                  <c:v>0.98071999999999981</c:v>
                </c:pt>
                <c:pt idx="120">
                  <c:v>0.96474000000000038</c:v>
                </c:pt>
                <c:pt idx="121">
                  <c:v>0.98556000000000044</c:v>
                </c:pt>
                <c:pt idx="122">
                  <c:v>0.96415999999999968</c:v>
                </c:pt>
                <c:pt idx="123">
                  <c:v>0.93787999999999982</c:v>
                </c:pt>
                <c:pt idx="124">
                  <c:v>0.89710000000000001</c:v>
                </c:pt>
                <c:pt idx="125">
                  <c:v>1.0171799999999998</c:v>
                </c:pt>
                <c:pt idx="126">
                  <c:v>0.97571999999999992</c:v>
                </c:pt>
                <c:pt idx="127">
                  <c:v>1.0139000000000005</c:v>
                </c:pt>
                <c:pt idx="128">
                  <c:v>1.0049200000000003</c:v>
                </c:pt>
                <c:pt idx="129">
                  <c:v>1.0146799999999998</c:v>
                </c:pt>
                <c:pt idx="130">
                  <c:v>1.0566199999999997</c:v>
                </c:pt>
                <c:pt idx="131">
                  <c:v>1.06046</c:v>
                </c:pt>
                <c:pt idx="132">
                  <c:v>1.1501000000000001</c:v>
                </c:pt>
                <c:pt idx="133">
                  <c:v>1.10554</c:v>
                </c:pt>
                <c:pt idx="134">
                  <c:v>1.1069199999999997</c:v>
                </c:pt>
                <c:pt idx="135">
                  <c:v>1.1129999999999995</c:v>
                </c:pt>
                <c:pt idx="136">
                  <c:v>1.1310600000000002</c:v>
                </c:pt>
                <c:pt idx="137">
                  <c:v>1.1906199999999996</c:v>
                </c:pt>
                <c:pt idx="138">
                  <c:v>1.2581599999999997</c:v>
                </c:pt>
                <c:pt idx="139">
                  <c:v>1.1663599999999996</c:v>
                </c:pt>
                <c:pt idx="140">
                  <c:v>1.1069</c:v>
                </c:pt>
                <c:pt idx="141">
                  <c:v>1.2367399999999997</c:v>
                </c:pt>
                <c:pt idx="142">
                  <c:v>1.3743999999999996</c:v>
                </c:pt>
                <c:pt idx="143">
                  <c:v>1.4626000000000001</c:v>
                </c:pt>
                <c:pt idx="144">
                  <c:v>1.4592400000000003</c:v>
                </c:pt>
                <c:pt idx="145">
                  <c:v>1.3024400000000003</c:v>
                </c:pt>
                <c:pt idx="146">
                  <c:v>1.2170399999999999</c:v>
                </c:pt>
                <c:pt idx="147">
                  <c:v>1.1645600000000003</c:v>
                </c:pt>
                <c:pt idx="148">
                  <c:v>1.2754400000000001</c:v>
                </c:pt>
                <c:pt idx="149">
                  <c:v>1.2042599999999997</c:v>
                </c:pt>
                <c:pt idx="150">
                  <c:v>1.16222</c:v>
                </c:pt>
                <c:pt idx="151">
                  <c:v>1.0588600000000001</c:v>
                </c:pt>
                <c:pt idx="152">
                  <c:v>0.92937999999999965</c:v>
                </c:pt>
                <c:pt idx="153">
                  <c:v>0.89534000000000047</c:v>
                </c:pt>
                <c:pt idx="154">
                  <c:v>0.89697999999999967</c:v>
                </c:pt>
                <c:pt idx="155">
                  <c:v>0.99826000000000015</c:v>
                </c:pt>
                <c:pt idx="156">
                  <c:v>0.89852000000000043</c:v>
                </c:pt>
                <c:pt idx="157">
                  <c:v>0.97983999999999982</c:v>
                </c:pt>
                <c:pt idx="158">
                  <c:v>0.96981999999999946</c:v>
                </c:pt>
                <c:pt idx="159">
                  <c:v>0.98274000000000017</c:v>
                </c:pt>
                <c:pt idx="160">
                  <c:v>0.97401999999999944</c:v>
                </c:pt>
                <c:pt idx="161">
                  <c:v>1.0535600000000001</c:v>
                </c:pt>
                <c:pt idx="162">
                  <c:v>1.1265199999999997</c:v>
                </c:pt>
                <c:pt idx="163">
                  <c:v>1.0647999999999995</c:v>
                </c:pt>
                <c:pt idx="164">
                  <c:v>1.0543199999999997</c:v>
                </c:pt>
                <c:pt idx="165">
                  <c:v>0.99594000000000005</c:v>
                </c:pt>
                <c:pt idx="166">
                  <c:v>1.0005199999999999</c:v>
                </c:pt>
                <c:pt idx="167">
                  <c:v>0.96475999999999962</c:v>
                </c:pt>
                <c:pt idx="168">
                  <c:v>0.93071999999999955</c:v>
                </c:pt>
                <c:pt idx="169">
                  <c:v>0.87979999999999992</c:v>
                </c:pt>
                <c:pt idx="170">
                  <c:v>0.77627999999999986</c:v>
                </c:pt>
                <c:pt idx="171">
                  <c:v>0.83031999999999995</c:v>
                </c:pt>
                <c:pt idx="172">
                  <c:v>0.79448000000000008</c:v>
                </c:pt>
                <c:pt idx="173">
                  <c:v>0.8598599999999994</c:v>
                </c:pt>
                <c:pt idx="174">
                  <c:v>0.83659999999999979</c:v>
                </c:pt>
                <c:pt idx="175">
                  <c:v>0.8206800000000003</c:v>
                </c:pt>
                <c:pt idx="176">
                  <c:v>0.79010000000000025</c:v>
                </c:pt>
                <c:pt idx="177">
                  <c:v>0.76159999999999961</c:v>
                </c:pt>
                <c:pt idx="178">
                  <c:v>0.75096000000000007</c:v>
                </c:pt>
                <c:pt idx="179">
                  <c:v>0.7274200000000004</c:v>
                </c:pt>
                <c:pt idx="180">
                  <c:v>0.70438000000000001</c:v>
                </c:pt>
                <c:pt idx="181">
                  <c:v>0.72977999999999987</c:v>
                </c:pt>
                <c:pt idx="182">
                  <c:v>0.78629999999999978</c:v>
                </c:pt>
                <c:pt idx="183">
                  <c:v>0.82853999999999983</c:v>
                </c:pt>
                <c:pt idx="184">
                  <c:v>0.89175999999999922</c:v>
                </c:pt>
                <c:pt idx="185">
                  <c:v>0.98817999999999939</c:v>
                </c:pt>
                <c:pt idx="186">
                  <c:v>0.98713999999999968</c:v>
                </c:pt>
                <c:pt idx="187">
                  <c:v>1.0140199999999999</c:v>
                </c:pt>
                <c:pt idx="188">
                  <c:v>0.97702</c:v>
                </c:pt>
                <c:pt idx="189">
                  <c:v>0.88941999999999988</c:v>
                </c:pt>
                <c:pt idx="190">
                  <c:v>0.94351999999999947</c:v>
                </c:pt>
                <c:pt idx="191">
                  <c:v>1.0249599999999996</c:v>
                </c:pt>
                <c:pt idx="192">
                  <c:v>0.9783599999999999</c:v>
                </c:pt>
                <c:pt idx="193">
                  <c:v>1.0285199999999999</c:v>
                </c:pt>
                <c:pt idx="194">
                  <c:v>1.0183599999999999</c:v>
                </c:pt>
                <c:pt idx="195">
                  <c:v>1.05898</c:v>
                </c:pt>
                <c:pt idx="196">
                  <c:v>1.0768200000000001</c:v>
                </c:pt>
                <c:pt idx="197">
                  <c:v>1.06406</c:v>
                </c:pt>
                <c:pt idx="198">
                  <c:v>1.0536000000000003</c:v>
                </c:pt>
                <c:pt idx="199">
                  <c:v>1.13822</c:v>
                </c:pt>
                <c:pt idx="200">
                  <c:v>1.17272</c:v>
                </c:pt>
                <c:pt idx="201">
                  <c:v>1.1371199999999999</c:v>
                </c:pt>
                <c:pt idx="202">
                  <c:v>1.1284000000000001</c:v>
                </c:pt>
                <c:pt idx="203">
                  <c:v>1.1487799999999999</c:v>
                </c:pt>
                <c:pt idx="204">
                  <c:v>1.1648799999999992</c:v>
                </c:pt>
                <c:pt idx="205">
                  <c:v>1.1223599999999996</c:v>
                </c:pt>
                <c:pt idx="206">
                  <c:v>1.0912600000000001</c:v>
                </c:pt>
                <c:pt idx="207">
                  <c:v>1.1126800000000001</c:v>
                </c:pt>
                <c:pt idx="208">
                  <c:v>1.1571799999999999</c:v>
                </c:pt>
                <c:pt idx="209">
                  <c:v>1.1372200000000001</c:v>
                </c:pt>
                <c:pt idx="210">
                  <c:v>1.2408399999999999</c:v>
                </c:pt>
                <c:pt idx="211">
                  <c:v>1.1497999999999995</c:v>
                </c:pt>
                <c:pt idx="212">
                  <c:v>1.1854399999999994</c:v>
                </c:pt>
                <c:pt idx="213">
                  <c:v>1.2197399999999998</c:v>
                </c:pt>
                <c:pt idx="214">
                  <c:v>1.1410999999999993</c:v>
                </c:pt>
                <c:pt idx="215">
                  <c:v>1.1655999999999995</c:v>
                </c:pt>
                <c:pt idx="216">
                  <c:v>1.1728400000000008</c:v>
                </c:pt>
                <c:pt idx="217">
                  <c:v>1.0984999999999996</c:v>
                </c:pt>
                <c:pt idx="218">
                  <c:v>1.0381199999999997</c:v>
                </c:pt>
                <c:pt idx="219">
                  <c:v>1.0917400000000002</c:v>
                </c:pt>
                <c:pt idx="220">
                  <c:v>1.0300400000000001</c:v>
                </c:pt>
                <c:pt idx="221">
                  <c:v>1.0828399999999996</c:v>
                </c:pt>
                <c:pt idx="222">
                  <c:v>1.1055200000000003</c:v>
                </c:pt>
                <c:pt idx="223">
                  <c:v>1.1189200000000001</c:v>
                </c:pt>
                <c:pt idx="224">
                  <c:v>1.0637599999999998</c:v>
                </c:pt>
                <c:pt idx="225">
                  <c:v>1.0255800000000002</c:v>
                </c:pt>
                <c:pt idx="226">
                  <c:v>0.98887999999999998</c:v>
                </c:pt>
                <c:pt idx="227">
                  <c:v>1.0028800000000002</c:v>
                </c:pt>
                <c:pt idx="228">
                  <c:v>1.0260400000000001</c:v>
                </c:pt>
                <c:pt idx="229">
                  <c:v>1.0653199999999998</c:v>
                </c:pt>
                <c:pt idx="230">
                  <c:v>1.1093799999999998</c:v>
                </c:pt>
                <c:pt idx="231">
                  <c:v>1.0695999999999999</c:v>
                </c:pt>
                <c:pt idx="232">
                  <c:v>1.0749</c:v>
                </c:pt>
                <c:pt idx="233">
                  <c:v>1.02258</c:v>
                </c:pt>
                <c:pt idx="234">
                  <c:v>1.02332</c:v>
                </c:pt>
                <c:pt idx="235">
                  <c:v>1.0132999999999996</c:v>
                </c:pt>
                <c:pt idx="236">
                  <c:v>1.0308800000000002</c:v>
                </c:pt>
                <c:pt idx="237">
                  <c:v>1.1467999999999998</c:v>
                </c:pt>
                <c:pt idx="238">
                  <c:v>1.24288</c:v>
                </c:pt>
                <c:pt idx="239">
                  <c:v>1.1702400000000002</c:v>
                </c:pt>
                <c:pt idx="240">
                  <c:v>1.3710999999999998</c:v>
                </c:pt>
                <c:pt idx="241">
                  <c:v>1.4280599999999999</c:v>
                </c:pt>
                <c:pt idx="242">
                  <c:v>1.4573799999999992</c:v>
                </c:pt>
                <c:pt idx="243">
                  <c:v>1.4723199999999999</c:v>
                </c:pt>
                <c:pt idx="244">
                  <c:v>1.4325600000000001</c:v>
                </c:pt>
                <c:pt idx="245">
                  <c:v>1.4423599999999999</c:v>
                </c:pt>
                <c:pt idx="246">
                  <c:v>1.4714</c:v>
                </c:pt>
                <c:pt idx="247">
                  <c:v>1.54332</c:v>
                </c:pt>
                <c:pt idx="248">
                  <c:v>1.6075399999999997</c:v>
                </c:pt>
                <c:pt idx="249">
                  <c:v>1.5125999999999999</c:v>
                </c:pt>
                <c:pt idx="250">
                  <c:v>1.5972399999999998</c:v>
                </c:pt>
                <c:pt idx="251">
                  <c:v>1.5782999999999996</c:v>
                </c:pt>
                <c:pt idx="252">
                  <c:v>1.5615400000000004</c:v>
                </c:pt>
                <c:pt idx="253">
                  <c:v>1.6029599999999999</c:v>
                </c:pt>
                <c:pt idx="254">
                  <c:v>1.5468799999999994</c:v>
                </c:pt>
                <c:pt idx="255">
                  <c:v>1.59294</c:v>
                </c:pt>
                <c:pt idx="256">
                  <c:v>1.7073200000000002</c:v>
                </c:pt>
                <c:pt idx="257">
                  <c:v>1.6669599999999996</c:v>
                </c:pt>
                <c:pt idx="258">
                  <c:v>1.1957</c:v>
                </c:pt>
                <c:pt idx="259">
                  <c:v>1.3163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360-4739-846D-2505C2BF0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1744128"/>
        <c:axId val="391745440"/>
      </c:lineChart>
      <c:dateAx>
        <c:axId val="391744128"/>
        <c:scaling>
          <c:orientation val="minMax"/>
          <c:max val="45657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91745440"/>
        <c:crosses val="autoZero"/>
        <c:auto val="1"/>
        <c:lblOffset val="100"/>
        <c:baseTimeUnit val="days"/>
        <c:majorUnit val="3"/>
      </c:dateAx>
      <c:valAx>
        <c:axId val="39174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Continuous Nearby Futures ($/gal)</a:t>
                </a:r>
              </a:p>
            </c:rich>
          </c:tx>
          <c:layout>
            <c:manualLayout>
              <c:xMode val="edge"/>
              <c:yMode val="edge"/>
              <c:x val="1.652034120734908E-2"/>
              <c:y val="0.187298410615339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91744128"/>
        <c:crosses val="autoZero"/>
        <c:crossBetween val="between"/>
      </c:valAx>
      <c:spPr>
        <a:noFill/>
        <a:ln w="15875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RIN price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88648293963255"/>
          <c:y val="0.13467592592592595"/>
          <c:w val="0.8585579615048119"/>
          <c:h val="0.71736840186643336"/>
        </c:manualLayout>
      </c:layout>
      <c:lineChart>
        <c:grouping val="standard"/>
        <c:varyColors val="0"/>
        <c:ser>
          <c:idx val="0"/>
          <c:order val="0"/>
          <c:tx>
            <c:strRef>
              <c:f>'RINs and HOBO Forecast'!$B$1</c:f>
              <c:strCache>
                <c:ptCount val="1"/>
                <c:pt idx="0">
                  <c:v>D6</c:v>
                </c:pt>
              </c:strCache>
            </c:strRef>
          </c:tx>
          <c:spPr>
            <a:ln w="1270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noFill/>
              </a:ln>
              <a:effectLst/>
            </c:spPr>
          </c:marker>
          <c:cat>
            <c:numRef>
              <c:f>'RINs and HOBO Forecast'!$A$62:$A$96</c:f>
              <c:numCache>
                <c:formatCode>m/d/yyyy</c:formatCode>
                <c:ptCount val="35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</c:numCache>
            </c:numRef>
          </c:cat>
          <c:val>
            <c:numRef>
              <c:f>'RINs and HOBO Forecast'!$B$62:$B$96</c:f>
              <c:numCache>
                <c:formatCode>0.00</c:formatCode>
                <c:ptCount val="35"/>
                <c:pt idx="0">
                  <c:v>113.02630000000001</c:v>
                </c:pt>
                <c:pt idx="1">
                  <c:v>115.6118</c:v>
                </c:pt>
                <c:pt idx="2">
                  <c:v>114.587</c:v>
                </c:pt>
                <c:pt idx="3">
                  <c:v>128.7063</c:v>
                </c:pt>
                <c:pt idx="4">
                  <c:v>153.20240000000001</c:v>
                </c:pt>
                <c:pt idx="5">
                  <c:v>152.19049999999999</c:v>
                </c:pt>
                <c:pt idx="6">
                  <c:v>149.8125</c:v>
                </c:pt>
                <c:pt idx="7">
                  <c:v>162.25</c:v>
                </c:pt>
                <c:pt idx="8">
                  <c:v>161.81549999999999</c:v>
                </c:pt>
                <c:pt idx="9">
                  <c:v>160</c:v>
                </c:pt>
                <c:pt idx="10">
                  <c:v>177.98750000000001</c:v>
                </c:pt>
                <c:pt idx="11">
                  <c:v>160.625</c:v>
                </c:pt>
                <c:pt idx="12">
                  <c:v>166.33750000000001</c:v>
                </c:pt>
                <c:pt idx="13">
                  <c:v>158.56578947368422</c:v>
                </c:pt>
                <c:pt idx="14">
                  <c:v>153.58695652173913</c:v>
                </c:pt>
                <c:pt idx="15">
                  <c:v>153.875</c:v>
                </c:pt>
                <c:pt idx="16">
                  <c:v>150.5625</c:v>
                </c:pt>
                <c:pt idx="17">
                  <c:v>142.38095238095238</c:v>
                </c:pt>
                <c:pt idx="18">
                  <c:v>155.02500000000001</c:v>
                </c:pt>
                <c:pt idx="19">
                  <c:v>144.52173913043478</c:v>
                </c:pt>
                <c:pt idx="20">
                  <c:v>118.425</c:v>
                </c:pt>
                <c:pt idx="21">
                  <c:v>88.068181818181813</c:v>
                </c:pt>
                <c:pt idx="22">
                  <c:v>82.887500000000003</c:v>
                </c:pt>
                <c:pt idx="23">
                  <c:v>81.15625</c:v>
                </c:pt>
                <c:pt idx="24">
                  <c:v>71.666666666666671</c:v>
                </c:pt>
                <c:pt idx="25">
                  <c:v>47.35</c:v>
                </c:pt>
                <c:pt idx="26">
                  <c:v>51.912500000000001</c:v>
                </c:pt>
                <c:pt idx="27">
                  <c:v>48.272727272727273</c:v>
                </c:pt>
                <c:pt idx="28">
                  <c:v>49.579545454545453</c:v>
                </c:pt>
                <c:pt idx="29">
                  <c:v>55.006842105263161</c:v>
                </c:pt>
                <c:pt idx="30">
                  <c:v>64.000454545454559</c:v>
                </c:pt>
                <c:pt idx="31">
                  <c:v>56.545909090909092</c:v>
                </c:pt>
                <c:pt idx="32">
                  <c:v>60.340499999999999</c:v>
                </c:pt>
                <c:pt idx="33">
                  <c:v>69.833043478260876</c:v>
                </c:pt>
                <c:pt idx="34">
                  <c:v>67.763000000000005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09-4B79-9809-2C0FAE27089B}"/>
            </c:ext>
          </c:extLst>
        </c:ser>
        <c:ser>
          <c:idx val="1"/>
          <c:order val="1"/>
          <c:tx>
            <c:strRef>
              <c:f>'RINs and HOBO Forecast'!$C$1</c:f>
              <c:strCache>
                <c:ptCount val="1"/>
                <c:pt idx="0">
                  <c:v>D4</c:v>
                </c:pt>
              </c:strCache>
            </c:strRef>
          </c:tx>
          <c:spPr>
            <a:ln w="12700" cap="rnd">
              <a:solidFill>
                <a:srgbClr val="D7BA2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7BA2F"/>
              </a:solidFill>
              <a:ln w="9525">
                <a:noFill/>
              </a:ln>
              <a:effectLst/>
            </c:spPr>
          </c:marker>
          <c:dPt>
            <c:idx val="32"/>
            <c:marker>
              <c:symbol val="circle"/>
              <c:size val="5"/>
              <c:spPr>
                <a:solidFill>
                  <a:schemeClr val="bg1"/>
                </a:solidFill>
                <a:ln w="9525">
                  <a:solidFill>
                    <a:srgbClr val="D7BA2F"/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rgbClr val="D7BA2F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509-4B79-9809-2C0FAE27089B}"/>
              </c:ext>
            </c:extLst>
          </c:dPt>
          <c:cat>
            <c:numRef>
              <c:f>'RINs and HOBO Forecast'!$A$62:$A$96</c:f>
              <c:numCache>
                <c:formatCode>m/d/yyyy</c:formatCode>
                <c:ptCount val="35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</c:numCache>
            </c:numRef>
          </c:cat>
          <c:val>
            <c:numRef>
              <c:f>'RINs and HOBO Forecast'!$C$62:$C$96</c:f>
              <c:numCache>
                <c:formatCode>0.00</c:formatCode>
                <c:ptCount val="35"/>
                <c:pt idx="0">
                  <c:v>135.71250000000001</c:v>
                </c:pt>
                <c:pt idx="1">
                  <c:v>146.4605</c:v>
                </c:pt>
                <c:pt idx="2">
                  <c:v>148.36959999999999</c:v>
                </c:pt>
                <c:pt idx="3">
                  <c:v>164.1688</c:v>
                </c:pt>
                <c:pt idx="4">
                  <c:v>178.381</c:v>
                </c:pt>
                <c:pt idx="5">
                  <c:v>163.25</c:v>
                </c:pt>
                <c:pt idx="6">
                  <c:v>161.42500000000001</c:v>
                </c:pt>
                <c:pt idx="7">
                  <c:v>176.58699999999999</c:v>
                </c:pt>
                <c:pt idx="8">
                  <c:v>174.81549999999999</c:v>
                </c:pt>
                <c:pt idx="9">
                  <c:v>181.3095238095238</c:v>
                </c:pt>
                <c:pt idx="10">
                  <c:v>191.47499999999999</c:v>
                </c:pt>
                <c:pt idx="11">
                  <c:v>173.02379999999999</c:v>
                </c:pt>
                <c:pt idx="12">
                  <c:v>169.125</c:v>
                </c:pt>
                <c:pt idx="13">
                  <c:v>161.97368421052633</c:v>
                </c:pt>
                <c:pt idx="14">
                  <c:v>157.40217391304347</c:v>
                </c:pt>
                <c:pt idx="15">
                  <c:v>156.70526315789473</c:v>
                </c:pt>
                <c:pt idx="16">
                  <c:v>153.39772727272728</c:v>
                </c:pt>
                <c:pt idx="17">
                  <c:v>144.4702380952381</c:v>
                </c:pt>
                <c:pt idx="18">
                  <c:v>155.63749999999999</c:v>
                </c:pt>
                <c:pt idx="19">
                  <c:v>145.03260869565219</c:v>
                </c:pt>
                <c:pt idx="20">
                  <c:v>119.4</c:v>
                </c:pt>
                <c:pt idx="21">
                  <c:v>88.602272727272734</c:v>
                </c:pt>
                <c:pt idx="22">
                  <c:v>82.912499999999994</c:v>
                </c:pt>
                <c:pt idx="23">
                  <c:v>81.231250000000003</c:v>
                </c:pt>
                <c:pt idx="24">
                  <c:v>72.583333333333329</c:v>
                </c:pt>
                <c:pt idx="25">
                  <c:v>47.987499999999997</c:v>
                </c:pt>
                <c:pt idx="26">
                  <c:v>52.475000000000001</c:v>
                </c:pt>
                <c:pt idx="27">
                  <c:v>48.477272727272727</c:v>
                </c:pt>
                <c:pt idx="28">
                  <c:v>49.738636363636367</c:v>
                </c:pt>
                <c:pt idx="29">
                  <c:v>55.157894736842103</c:v>
                </c:pt>
                <c:pt idx="30">
                  <c:v>64.045909090909106</c:v>
                </c:pt>
                <c:pt idx="31">
                  <c:v>56.591818181818191</c:v>
                </c:pt>
                <c:pt idx="32">
                  <c:v>60.412500000000001</c:v>
                </c:pt>
                <c:pt idx="33">
                  <c:v>69.870434782608697</c:v>
                </c:pt>
                <c:pt idx="34">
                  <c:v>68.287999999999997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09-4B79-9809-2C0FAE270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1309615"/>
        <c:axId val="671310095"/>
      </c:lineChart>
      <c:dateAx>
        <c:axId val="671309615"/>
        <c:scaling>
          <c:orientation val="minMax"/>
          <c:min val="44927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310095"/>
        <c:crosses val="autoZero"/>
        <c:auto val="1"/>
        <c:lblOffset val="100"/>
        <c:baseTimeUnit val="months"/>
        <c:majorUnit val="4"/>
        <c:majorTimeUnit val="months"/>
      </c:dateAx>
      <c:valAx>
        <c:axId val="671310095"/>
        <c:scaling>
          <c:orientation val="minMax"/>
          <c:max val="175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cents/gal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309615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1412773403324583"/>
          <c:y val="0.1672448235637212"/>
          <c:w val="0.24118897637795275"/>
          <c:h val="8.27551764362788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Domestic</a:t>
            </a:r>
            <a:r>
              <a:rPr lang="en-US" sz="20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Renewable Diesel Production vs. Profitability</a:t>
            </a:r>
            <a:endParaRPr lang="en-US" sz="2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252546207050026"/>
          <c:y val="9.6168106155472236E-2"/>
          <c:w val="0.80877349944771015"/>
          <c:h val="0.77619149556250344"/>
        </c:manualLayout>
      </c:layout>
      <c:scatterChart>
        <c:scatterStyle val="lineMarker"/>
        <c:varyColors val="0"/>
        <c:ser>
          <c:idx val="0"/>
          <c:order val="0"/>
          <c:tx>
            <c:v>Pre-2022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D1B2E8"/>
              </a:solidFill>
              <a:ln w="9525">
                <a:solidFill>
                  <a:srgbClr val="9148C8"/>
                </a:solidFill>
              </a:ln>
              <a:effectLst/>
            </c:spPr>
          </c:marker>
          <c:dPt>
            <c:idx val="20"/>
            <c:marker>
              <c:symbol val="circle"/>
              <c:size val="7"/>
              <c:spPr>
                <a:solidFill>
                  <a:srgbClr val="D1B2E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429-4D21-9FE3-8D4F894B8A44}"/>
              </c:ext>
            </c:extLst>
          </c:dPt>
          <c:dPt>
            <c:idx val="21"/>
            <c:marker>
              <c:symbol val="circle"/>
              <c:size val="7"/>
              <c:spPr>
                <a:solidFill>
                  <a:srgbClr val="D1B2E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429-4D21-9FE3-8D4F894B8A44}"/>
              </c:ext>
            </c:extLst>
          </c:dPt>
          <c:dPt>
            <c:idx val="22"/>
            <c:marker>
              <c:symbol val="circle"/>
              <c:size val="7"/>
              <c:spPr>
                <a:solidFill>
                  <a:srgbClr val="D1B2E8">
                    <a:alpha val="98000"/>
                  </a:srgbClr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2429-4D21-9FE3-8D4F894B8A44}"/>
              </c:ext>
            </c:extLst>
          </c:dPt>
          <c:dPt>
            <c:idx val="23"/>
            <c:marker>
              <c:symbol val="circle"/>
              <c:size val="7"/>
              <c:spPr>
                <a:solidFill>
                  <a:srgbClr val="D1B2E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429-4D21-9FE3-8D4F894B8A44}"/>
              </c:ext>
            </c:extLst>
          </c:dPt>
          <c:dPt>
            <c:idx val="24"/>
            <c:marker>
              <c:symbol val="circle"/>
              <c:size val="7"/>
              <c:spPr>
                <a:solidFill>
                  <a:srgbClr val="D1B2E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2429-4D21-9FE3-8D4F894B8A44}"/>
              </c:ext>
            </c:extLst>
          </c:dPt>
          <c:dPt>
            <c:idx val="25"/>
            <c:marker>
              <c:symbol val="circle"/>
              <c:size val="7"/>
              <c:spPr>
                <a:solidFill>
                  <a:srgbClr val="D1B2E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2429-4D21-9FE3-8D4F894B8A44}"/>
              </c:ext>
            </c:extLst>
          </c:dPt>
          <c:dPt>
            <c:idx val="26"/>
            <c:marker>
              <c:symbol val="circle"/>
              <c:size val="7"/>
              <c:spPr>
                <a:solidFill>
                  <a:srgbClr val="D1B2E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2429-4D21-9FE3-8D4F894B8A44}"/>
              </c:ext>
            </c:extLst>
          </c:dPt>
          <c:dPt>
            <c:idx val="27"/>
            <c:marker>
              <c:symbol val="circle"/>
              <c:size val="7"/>
              <c:spPr>
                <a:solidFill>
                  <a:srgbClr val="D1B2E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2429-4D21-9FE3-8D4F894B8A44}"/>
              </c:ext>
            </c:extLst>
          </c:dPt>
          <c:dPt>
            <c:idx val="28"/>
            <c:marker>
              <c:symbol val="circle"/>
              <c:size val="7"/>
              <c:spPr>
                <a:solidFill>
                  <a:srgbClr val="9148C8"/>
                </a:solidFill>
                <a:ln w="9525">
                  <a:solidFill>
                    <a:srgbClr val="D1B2E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2429-4D21-9FE3-8D4F894B8A44}"/>
              </c:ext>
            </c:extLst>
          </c:dPt>
          <c:dPt>
            <c:idx val="29"/>
            <c:marker>
              <c:symbol val="circle"/>
              <c:size val="7"/>
              <c:spPr>
                <a:solidFill>
                  <a:srgbClr val="D1B2E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2429-4D21-9FE3-8D4F894B8A44}"/>
              </c:ext>
            </c:extLst>
          </c:dPt>
          <c:dPt>
            <c:idx val="30"/>
            <c:marker>
              <c:symbol val="circle"/>
              <c:size val="7"/>
              <c:spPr>
                <a:solidFill>
                  <a:srgbClr val="D1B2E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2429-4D21-9FE3-8D4F894B8A44}"/>
              </c:ext>
            </c:extLst>
          </c:dPt>
          <c:dPt>
            <c:idx val="31"/>
            <c:marker>
              <c:symbol val="circle"/>
              <c:size val="7"/>
              <c:spPr>
                <a:solidFill>
                  <a:srgbClr val="9148C8"/>
                </a:solidFill>
                <a:ln w="9525">
                  <a:solidFill>
                    <a:srgbClr val="D1B2E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2429-4D21-9FE3-8D4F894B8A44}"/>
              </c:ext>
            </c:extLst>
          </c:dPt>
          <c:dLbls>
            <c:dLbl>
              <c:idx val="0"/>
              <c:tx>
                <c:strRef>
                  <c:f>'HOBO vs Production'!$A$2</c:f>
                  <c:strCache>
                    <c:ptCount val="1"/>
                    <c:pt idx="0">
                      <c:v>May-19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{7C73D114-8933-4D33-BF74-7B61408B3571}</c15:txfldGUID>
                      <c15:f>'HOBO vs Production'!$A$2</c15:f>
                      <c15:dlblFieldTableCache>
                        <c:ptCount val="1"/>
                        <c:pt idx="0">
                          <c:v>May-19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2429-4D21-9FE3-8D4F894B8A44}"/>
                </c:ext>
              </c:extLst>
            </c:dLbl>
            <c:dLbl>
              <c:idx val="1"/>
              <c:tx>
                <c:strRef>
                  <c:f>'HOBO vs Production'!$A$3</c:f>
                  <c:strCache>
                    <c:ptCount val="1"/>
                    <c:pt idx="0">
                      <c:v>Jun-19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{C208F23E-CF54-47E8-B399-C19F3403BC53}</c15:txfldGUID>
                      <c15:f>'HOBO vs Production'!$A$3</c15:f>
                      <c15:dlblFieldTableCache>
                        <c:ptCount val="1"/>
                        <c:pt idx="0">
                          <c:v>Jun-19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2429-4D21-9FE3-8D4F894B8A44}"/>
                </c:ext>
              </c:extLst>
            </c:dLbl>
            <c:dLbl>
              <c:idx val="2"/>
              <c:tx>
                <c:strRef>
                  <c:f>'HOBO vs Production'!$A$4</c:f>
                  <c:strCache>
                    <c:ptCount val="1"/>
                    <c:pt idx="0">
                      <c:v>Jul-19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{781720F3-9BDF-4504-84CB-4A5EA12117DC}</c15:txfldGUID>
                      <c15:f>'HOBO vs Production'!$A$4</c15:f>
                      <c15:dlblFieldTableCache>
                        <c:ptCount val="1"/>
                        <c:pt idx="0">
                          <c:v>Jul-19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2429-4D21-9FE3-8D4F894B8A44}"/>
                </c:ext>
              </c:extLst>
            </c:dLbl>
            <c:dLbl>
              <c:idx val="3"/>
              <c:tx>
                <c:strRef>
                  <c:f>'HOBO vs Production'!$A$5</c:f>
                  <c:strCache>
                    <c:ptCount val="1"/>
                    <c:pt idx="0">
                      <c:v>Aug-19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{AB542773-4B40-4F38-B034-C9F2830ED015}</c15:txfldGUID>
                      <c15:f>'HOBO vs Production'!$A$5</c15:f>
                      <c15:dlblFieldTableCache>
                        <c:ptCount val="1"/>
                        <c:pt idx="0">
                          <c:v>Aug-19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2429-4D21-9FE3-8D4F894B8A44}"/>
                </c:ext>
              </c:extLst>
            </c:dLbl>
            <c:dLbl>
              <c:idx val="4"/>
              <c:tx>
                <c:strRef>
                  <c:f>'HOBO vs Production'!$A$6</c:f>
                  <c:strCache>
                    <c:ptCount val="1"/>
                    <c:pt idx="0">
                      <c:v>Sep-19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{B603AC78-3363-4B16-93F1-00437F438558}</c15:txfldGUID>
                      <c15:f>'HOBO vs Production'!$A$6</c15:f>
                      <c15:dlblFieldTableCache>
                        <c:ptCount val="1"/>
                        <c:pt idx="0">
                          <c:v>Sep-19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2429-4D21-9FE3-8D4F894B8A44}"/>
                </c:ext>
              </c:extLst>
            </c:dLbl>
            <c:dLbl>
              <c:idx val="5"/>
              <c:tx>
                <c:strRef>
                  <c:f>'HOBO vs Production'!$A$7</c:f>
                  <c:strCache>
                    <c:ptCount val="1"/>
                    <c:pt idx="0">
                      <c:v>Oct-19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{D27A9744-A48F-4B67-B493-D2E3E88D8A82}</c15:txfldGUID>
                      <c15:f>'HOBO vs Production'!$A$7</c15:f>
                      <c15:dlblFieldTableCache>
                        <c:ptCount val="1"/>
                        <c:pt idx="0">
                          <c:v>Oct-19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2429-4D21-9FE3-8D4F894B8A44}"/>
                </c:ext>
              </c:extLst>
            </c:dLbl>
            <c:dLbl>
              <c:idx val="6"/>
              <c:tx>
                <c:strRef>
                  <c:f>'HOBO vs Production'!$A$8</c:f>
                  <c:strCache>
                    <c:ptCount val="1"/>
                    <c:pt idx="0">
                      <c:v>Nov-19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{33617A19-A329-4FDD-ACBD-8F734E35F82E}</c15:txfldGUID>
                      <c15:f>'HOBO vs Production'!$A$8</c15:f>
                      <c15:dlblFieldTableCache>
                        <c:ptCount val="1"/>
                        <c:pt idx="0">
                          <c:v>Nov-19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2429-4D21-9FE3-8D4F894B8A44}"/>
                </c:ext>
              </c:extLst>
            </c:dLbl>
            <c:dLbl>
              <c:idx val="7"/>
              <c:tx>
                <c:strRef>
                  <c:f>'HOBO vs Production'!$A$9</c:f>
                  <c:strCache>
                    <c:ptCount val="1"/>
                    <c:pt idx="0">
                      <c:v>Dec-19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{21D285CD-E18E-4A28-A71B-C277889191F1}</c15:txfldGUID>
                      <c15:f>'HOBO vs Production'!$A$9</c15:f>
                      <c15:dlblFieldTableCache>
                        <c:ptCount val="1"/>
                        <c:pt idx="0">
                          <c:v>Dec-19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2429-4D21-9FE3-8D4F894B8A44}"/>
                </c:ext>
              </c:extLst>
            </c:dLbl>
            <c:dLbl>
              <c:idx val="8"/>
              <c:tx>
                <c:strRef>
                  <c:f>'HOBO vs Production'!$A$10</c:f>
                  <c:strCache>
                    <c:ptCount val="1"/>
                    <c:pt idx="0">
                      <c:v>Jan-20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{EF962D09-06A6-4E1E-A693-A8F10D759503}</c15:txfldGUID>
                      <c15:f>'HOBO vs Production'!$A$10</c15:f>
                      <c15:dlblFieldTableCache>
                        <c:ptCount val="1"/>
                        <c:pt idx="0">
                          <c:v>Jan-20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2429-4D21-9FE3-8D4F894B8A44}"/>
                </c:ext>
              </c:extLst>
            </c:dLbl>
            <c:dLbl>
              <c:idx val="9"/>
              <c:tx>
                <c:strRef>
                  <c:f>'HOBO vs Production'!$A$11</c:f>
                  <c:strCache>
                    <c:ptCount val="1"/>
                    <c:pt idx="0">
                      <c:v>Feb-20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{A80E645C-CD9A-4C0F-A63C-301276AEBDEA}</c15:txfldGUID>
                      <c15:f>'HOBO vs Production'!$A$11</c15:f>
                      <c15:dlblFieldTableCache>
                        <c:ptCount val="1"/>
                        <c:pt idx="0">
                          <c:v>Feb-20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2429-4D21-9FE3-8D4F894B8A44}"/>
                </c:ext>
              </c:extLst>
            </c:dLbl>
            <c:dLbl>
              <c:idx val="10"/>
              <c:tx>
                <c:strRef>
                  <c:f>'HOBO vs Production'!$A$12</c:f>
                  <c:strCache>
                    <c:ptCount val="1"/>
                    <c:pt idx="0">
                      <c:v>Mar-20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{A3B54648-A2B9-488D-AD13-7BD95DE4439B}</c15:txfldGUID>
                      <c15:f>'HOBO vs Production'!$A$12</c15:f>
                      <c15:dlblFieldTableCache>
                        <c:ptCount val="1"/>
                        <c:pt idx="0">
                          <c:v>Mar-20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2429-4D21-9FE3-8D4F894B8A44}"/>
                </c:ext>
              </c:extLst>
            </c:dLbl>
            <c:dLbl>
              <c:idx val="11"/>
              <c:tx>
                <c:strRef>
                  <c:f>'HOBO vs Production'!$A$13</c:f>
                  <c:strCache>
                    <c:ptCount val="1"/>
                    <c:pt idx="0">
                      <c:v>Apr-20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{ACE17D74-96D7-4EC9-A6A7-A946409AA74B}</c15:txfldGUID>
                      <c15:f>'HOBO vs Production'!$A$13</c15:f>
                      <c15:dlblFieldTableCache>
                        <c:ptCount val="1"/>
                        <c:pt idx="0">
                          <c:v>Apr-20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2429-4D21-9FE3-8D4F894B8A44}"/>
                </c:ext>
              </c:extLst>
            </c:dLbl>
            <c:dLbl>
              <c:idx val="12"/>
              <c:tx>
                <c:strRef>
                  <c:f>'HOBO vs Production'!$A$14</c:f>
                  <c:strCache>
                    <c:ptCount val="1"/>
                    <c:pt idx="0">
                      <c:v>May-20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{81A8A4DF-B6A6-4060-8985-F73669F9A39E}</c15:txfldGUID>
                      <c15:f>'HOBO vs Production'!$A$14</c15:f>
                      <c15:dlblFieldTableCache>
                        <c:ptCount val="1"/>
                        <c:pt idx="0">
                          <c:v>May-20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2429-4D21-9FE3-8D4F894B8A44}"/>
                </c:ext>
              </c:extLst>
            </c:dLbl>
            <c:dLbl>
              <c:idx val="13"/>
              <c:tx>
                <c:strRef>
                  <c:f>'HOBO vs Production'!$A$15</c:f>
                  <c:strCache>
                    <c:ptCount val="1"/>
                    <c:pt idx="0">
                      <c:v>Jun-20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{5939531A-F351-4CDA-88DE-413E85549448}</c15:txfldGUID>
                      <c15:f>'HOBO vs Production'!$A$15</c15:f>
                      <c15:dlblFieldTableCache>
                        <c:ptCount val="1"/>
                        <c:pt idx="0">
                          <c:v>Jun-20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2429-4D21-9FE3-8D4F894B8A44}"/>
                </c:ext>
              </c:extLst>
            </c:dLbl>
            <c:dLbl>
              <c:idx val="14"/>
              <c:tx>
                <c:strRef>
                  <c:f>'HOBO vs Production'!$A$16</c:f>
                  <c:strCache>
                    <c:ptCount val="1"/>
                    <c:pt idx="0">
                      <c:v>Jul-20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{60564F60-C4CA-470C-9D58-AE6E66FBC2BD}</c15:txfldGUID>
                      <c15:f>'HOBO vs Production'!$A$16</c15:f>
                      <c15:dlblFieldTableCache>
                        <c:ptCount val="1"/>
                        <c:pt idx="0">
                          <c:v>Jul-20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2429-4D21-9FE3-8D4F894B8A44}"/>
                </c:ext>
              </c:extLst>
            </c:dLbl>
            <c:dLbl>
              <c:idx val="15"/>
              <c:tx>
                <c:strRef>
                  <c:f>'HOBO vs Production'!$A$17</c:f>
                  <c:strCache>
                    <c:ptCount val="1"/>
                    <c:pt idx="0">
                      <c:v>Aug-20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{9138B1B9-F7DA-404C-8887-A1E94736A6AE}</c15:txfldGUID>
                      <c15:f>'HOBO vs Production'!$A$17</c15:f>
                      <c15:dlblFieldTableCache>
                        <c:ptCount val="1"/>
                        <c:pt idx="0">
                          <c:v>Aug-20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2429-4D21-9FE3-8D4F894B8A44}"/>
                </c:ext>
              </c:extLst>
            </c:dLbl>
            <c:dLbl>
              <c:idx val="16"/>
              <c:tx>
                <c:strRef>
                  <c:f>'HOBO vs Production'!$A$18</c:f>
                  <c:strCache>
                    <c:ptCount val="1"/>
                    <c:pt idx="0">
                      <c:v>Sep-20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{130CA6FC-F2E4-42B9-8668-338252051281}</c15:txfldGUID>
                      <c15:f>'HOBO vs Production'!$A$18</c15:f>
                      <c15:dlblFieldTableCache>
                        <c:ptCount val="1"/>
                        <c:pt idx="0">
                          <c:v>Sep-20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2429-4D21-9FE3-8D4F894B8A44}"/>
                </c:ext>
              </c:extLst>
            </c:dLbl>
            <c:dLbl>
              <c:idx val="17"/>
              <c:tx>
                <c:strRef>
                  <c:f>'HOBO vs Production'!$A$19</c:f>
                  <c:strCache>
                    <c:ptCount val="1"/>
                    <c:pt idx="0">
                      <c:v>Oct-20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{0B07E304-0833-4F3F-9AD1-F28330C8F032}</c15:txfldGUID>
                      <c15:f>'HOBO vs Production'!$A$19</c15:f>
                      <c15:dlblFieldTableCache>
                        <c:ptCount val="1"/>
                        <c:pt idx="0">
                          <c:v>Oct-20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2429-4D21-9FE3-8D4F894B8A44}"/>
                </c:ext>
              </c:extLst>
            </c:dLbl>
            <c:dLbl>
              <c:idx val="18"/>
              <c:tx>
                <c:strRef>
                  <c:f>'HOBO vs Production'!$A$20</c:f>
                  <c:strCache>
                    <c:ptCount val="1"/>
                    <c:pt idx="0">
                      <c:v>Nov-20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{1A75C688-CECE-4421-9497-9516B4048238}</c15:txfldGUID>
                      <c15:f>'HOBO vs Production'!$A$20</c15:f>
                      <c15:dlblFieldTableCache>
                        <c:ptCount val="1"/>
                        <c:pt idx="0">
                          <c:v>Nov-20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2429-4D21-9FE3-8D4F894B8A44}"/>
                </c:ext>
              </c:extLst>
            </c:dLbl>
            <c:dLbl>
              <c:idx val="19"/>
              <c:tx>
                <c:strRef>
                  <c:f>'HOBO vs Production'!$A$21</c:f>
                  <c:strCache>
                    <c:ptCount val="1"/>
                    <c:pt idx="0">
                      <c:v>Dec-20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{F427B8C6-C229-46AF-BFAF-697100F4B2C9}</c15:txfldGUID>
                      <c15:f>'HOBO vs Production'!$A$21</c15:f>
                      <c15:dlblFieldTableCache>
                        <c:ptCount val="1"/>
                        <c:pt idx="0">
                          <c:v>Dec-20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2429-4D21-9FE3-8D4F894B8A44}"/>
                </c:ext>
              </c:extLst>
            </c:dLbl>
            <c:dLbl>
              <c:idx val="20"/>
              <c:tx>
                <c:strRef>
                  <c:f>'HOBO vs Production'!$A$22</c:f>
                  <c:strCache>
                    <c:ptCount val="1"/>
                    <c:pt idx="0">
                      <c:v>Jan-21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{F285E83F-18B9-45A2-8698-53BE4D50011D}</c15:txfldGUID>
                      <c15:f>'HOBO vs Production'!$A$22</c15:f>
                      <c15:dlblFieldTableCache>
                        <c:ptCount val="1"/>
                        <c:pt idx="0">
                          <c:v>Jan-21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2429-4D21-9FE3-8D4F894B8A44}"/>
                </c:ext>
              </c:extLst>
            </c:dLbl>
            <c:dLbl>
              <c:idx val="21"/>
              <c:tx>
                <c:strRef>
                  <c:f>'HOBO vs Production'!$A$23</c:f>
                  <c:strCache>
                    <c:ptCount val="1"/>
                    <c:pt idx="0">
                      <c:v>Feb-21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{8AA65CE4-73D4-4BB1-9501-D029F88433CE}</c15:txfldGUID>
                      <c15:f>'HOBO vs Production'!$A$23</c15:f>
                      <c15:dlblFieldTableCache>
                        <c:ptCount val="1"/>
                        <c:pt idx="0">
                          <c:v>Feb-21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2429-4D21-9FE3-8D4F894B8A44}"/>
                </c:ext>
              </c:extLst>
            </c:dLbl>
            <c:dLbl>
              <c:idx val="22"/>
              <c:tx>
                <c:strRef>
                  <c:f>'HOBO vs Production'!$A$24</c:f>
                  <c:strCache>
                    <c:ptCount val="1"/>
                    <c:pt idx="0">
                      <c:v>Mar-21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{5C348577-3C4A-4846-8519-36F8629D1657}</c15:txfldGUID>
                      <c15:f>'HOBO vs Production'!$A$24</c15:f>
                      <c15:dlblFieldTableCache>
                        <c:ptCount val="1"/>
                        <c:pt idx="0">
                          <c:v>Mar-21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2429-4D21-9FE3-8D4F894B8A44}"/>
                </c:ext>
              </c:extLst>
            </c:dLbl>
            <c:dLbl>
              <c:idx val="23"/>
              <c:tx>
                <c:strRef>
                  <c:f>'HOBO vs Production'!$A$25</c:f>
                  <c:strCache>
                    <c:ptCount val="1"/>
                    <c:pt idx="0">
                      <c:v>Apr-21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{B2CC6203-26EE-4434-85AF-51C20C184D57}</c15:txfldGUID>
                      <c15:f>'HOBO vs Production'!$A$25</c15:f>
                      <c15:dlblFieldTableCache>
                        <c:ptCount val="1"/>
                        <c:pt idx="0">
                          <c:v>Apr-21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2429-4D21-9FE3-8D4F894B8A44}"/>
                </c:ext>
              </c:extLst>
            </c:dLbl>
            <c:dLbl>
              <c:idx val="24"/>
              <c:tx>
                <c:strRef>
                  <c:f>'HOBO vs Production'!$A$26</c:f>
                  <c:strCache>
                    <c:ptCount val="1"/>
                    <c:pt idx="0">
                      <c:v>May-21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{9A7CDCB4-C4BF-41CA-9671-E99F7FA7C188}</c15:txfldGUID>
                      <c15:f>'HOBO vs Production'!$A$26</c15:f>
                      <c15:dlblFieldTableCache>
                        <c:ptCount val="1"/>
                        <c:pt idx="0">
                          <c:v>May-21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2429-4D21-9FE3-8D4F894B8A44}"/>
                </c:ext>
              </c:extLst>
            </c:dLbl>
            <c:dLbl>
              <c:idx val="25"/>
              <c:tx>
                <c:strRef>
                  <c:f>'HOBO vs Production'!$A$27</c:f>
                  <c:strCache>
                    <c:ptCount val="1"/>
                    <c:pt idx="0">
                      <c:v>Jun-21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{6F860928-1AA5-4597-ABD5-E49BBE5A4050}</c15:txfldGUID>
                      <c15:f>'HOBO vs Production'!$A$27</c15:f>
                      <c15:dlblFieldTableCache>
                        <c:ptCount val="1"/>
                        <c:pt idx="0">
                          <c:v>Jun-21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2429-4D21-9FE3-8D4F894B8A44}"/>
                </c:ext>
              </c:extLst>
            </c:dLbl>
            <c:dLbl>
              <c:idx val="26"/>
              <c:tx>
                <c:strRef>
                  <c:f>'HOBO vs Production'!$A$28</c:f>
                  <c:strCache>
                    <c:ptCount val="1"/>
                    <c:pt idx="0">
                      <c:v>Jul-21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{E873A944-4FD3-4272-B530-D8BFFF6131B2}</c15:txfldGUID>
                      <c15:f>'HOBO vs Production'!$A$28</c15:f>
                      <c15:dlblFieldTableCache>
                        <c:ptCount val="1"/>
                        <c:pt idx="0">
                          <c:v>Jul-21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2429-4D21-9FE3-8D4F894B8A44}"/>
                </c:ext>
              </c:extLst>
            </c:dLbl>
            <c:dLbl>
              <c:idx val="27"/>
              <c:tx>
                <c:strRef>
                  <c:f>'HOBO vs Production'!$A$29</c:f>
                  <c:strCache>
                    <c:ptCount val="1"/>
                    <c:pt idx="0">
                      <c:v>Aug-21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{94A24F70-80BA-46DC-8121-F6097AD5D5A2}</c15:txfldGUID>
                      <c15:f>'HOBO vs Production'!$A$29</c15:f>
                      <c15:dlblFieldTableCache>
                        <c:ptCount val="1"/>
                        <c:pt idx="0">
                          <c:v>Aug-21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2429-4D21-9FE3-8D4F894B8A44}"/>
                </c:ext>
              </c:extLst>
            </c:dLbl>
            <c:dLbl>
              <c:idx val="28"/>
              <c:tx>
                <c:strRef>
                  <c:f>'HOBO vs Production'!$A$30</c:f>
                  <c:strCache>
                    <c:ptCount val="1"/>
                    <c:pt idx="0">
                      <c:v>Sep-21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{5AC3CE2B-4F0B-4BC6-8177-21BC81E3404F}</c15:txfldGUID>
                      <c15:f>'HOBO vs Production'!$A$30</c15:f>
                      <c15:dlblFieldTableCache>
                        <c:ptCount val="1"/>
                        <c:pt idx="0">
                          <c:v>Sep-21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2429-4D21-9FE3-8D4F894B8A44}"/>
                </c:ext>
              </c:extLst>
            </c:dLbl>
            <c:dLbl>
              <c:idx val="29"/>
              <c:tx>
                <c:strRef>
                  <c:f>'HOBO vs Production'!$A$31</c:f>
                  <c:strCache>
                    <c:ptCount val="1"/>
                    <c:pt idx="0">
                      <c:v>Oct-21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{CC7C8850-366C-4329-ACCA-804357954E24}</c15:txfldGUID>
                      <c15:f>'HOBO vs Production'!$A$31</c15:f>
                      <c15:dlblFieldTableCache>
                        <c:ptCount val="1"/>
                        <c:pt idx="0">
                          <c:v>Oct-21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2429-4D21-9FE3-8D4F894B8A44}"/>
                </c:ext>
              </c:extLst>
            </c:dLbl>
            <c:dLbl>
              <c:idx val="30"/>
              <c:tx>
                <c:strRef>
                  <c:f>'HOBO vs Production'!$A$32</c:f>
                  <c:strCache>
                    <c:ptCount val="1"/>
                    <c:pt idx="0">
                      <c:v>Nov-21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{C60511F2-36EF-42DC-B778-266F2691C274}</c15:txfldGUID>
                      <c15:f>'HOBO vs Production'!$A$32</c15:f>
                      <c15:dlblFieldTableCache>
                        <c:ptCount val="1"/>
                        <c:pt idx="0">
                          <c:v>Nov-21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2429-4D21-9FE3-8D4F894B8A44}"/>
                </c:ext>
              </c:extLst>
            </c:dLbl>
            <c:dLbl>
              <c:idx val="31"/>
              <c:tx>
                <c:strRef>
                  <c:f>'HOBO vs Production'!$A$33</c:f>
                  <c:strCache>
                    <c:ptCount val="1"/>
                    <c:pt idx="0">
                      <c:v>Dec-21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505A5B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{5DA9714C-6E34-4A03-B226-DEA8BD6FE496}</c15:txfldGUID>
                      <c15:f>'HOBO vs Production'!$A$33</c15:f>
                      <c15:dlblFieldTableCache>
                        <c:ptCount val="1"/>
                        <c:pt idx="0">
                          <c:v>Dec-21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2429-4D21-9FE3-8D4F894B8A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505A5B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'HOBO vs Production'!$J$2:$J$33</c:f>
              <c:numCache>
                <c:formatCode>0.00</c:formatCode>
                <c:ptCount val="32"/>
                <c:pt idx="0">
                  <c:v>0.19415209090909097</c:v>
                </c:pt>
                <c:pt idx="1">
                  <c:v>0.15829399999999999</c:v>
                </c:pt>
                <c:pt idx="2">
                  <c:v>0.24893627272727281</c:v>
                </c:pt>
                <c:pt idx="3">
                  <c:v>0.15096636363636373</c:v>
                </c:pt>
                <c:pt idx="4">
                  <c:v>0.29783700000000024</c:v>
                </c:pt>
                <c:pt idx="5">
                  <c:v>0.24926452173913055</c:v>
                </c:pt>
                <c:pt idx="6">
                  <c:v>7.5761999999999996E-2</c:v>
                </c:pt>
                <c:pt idx="7">
                  <c:v>-8.7766523809523711E-2</c:v>
                </c:pt>
                <c:pt idx="8">
                  <c:v>-0.17139452380952386</c:v>
                </c:pt>
                <c:pt idx="9">
                  <c:v>-0.19036642105263135</c:v>
                </c:pt>
                <c:pt idx="10">
                  <c:v>-0.34814899999999982</c:v>
                </c:pt>
                <c:pt idx="11">
                  <c:v>-0.58829571428571448</c:v>
                </c:pt>
                <c:pt idx="12">
                  <c:v>-0.54272299999999984</c:v>
                </c:pt>
                <c:pt idx="13">
                  <c:v>-0.37734372727272736</c:v>
                </c:pt>
                <c:pt idx="14">
                  <c:v>-0.32940245454545447</c:v>
                </c:pt>
                <c:pt idx="15">
                  <c:v>-0.41448047619047623</c:v>
                </c:pt>
                <c:pt idx="16">
                  <c:v>-0.63026514285714252</c:v>
                </c:pt>
                <c:pt idx="17">
                  <c:v>-0.51067290909090912</c:v>
                </c:pt>
                <c:pt idx="18">
                  <c:v>-0.58175200000000016</c:v>
                </c:pt>
                <c:pt idx="19">
                  <c:v>-0.56413145454545433</c:v>
                </c:pt>
                <c:pt idx="20">
                  <c:v>-0.62047826315789445</c:v>
                </c:pt>
                <c:pt idx="21">
                  <c:v>-0.39878747368421097</c:v>
                </c:pt>
                <c:pt idx="22">
                  <c:v>-0.79604947826086891</c:v>
                </c:pt>
                <c:pt idx="23">
                  <c:v>-0.68105595238095229</c:v>
                </c:pt>
                <c:pt idx="24">
                  <c:v>-1.3036579999999998</c:v>
                </c:pt>
                <c:pt idx="25">
                  <c:v>-1.0106626363636362</c:v>
                </c:pt>
                <c:pt idx="26">
                  <c:v>-1.0255548095238092</c:v>
                </c:pt>
                <c:pt idx="27">
                  <c:v>-1.1375357272727267</c:v>
                </c:pt>
                <c:pt idx="28">
                  <c:v>-0.61181914285714289</c:v>
                </c:pt>
                <c:pt idx="29">
                  <c:v>-0.70588571428571445</c:v>
                </c:pt>
                <c:pt idx="30">
                  <c:v>-0.61602880952380956</c:v>
                </c:pt>
                <c:pt idx="31">
                  <c:v>-0.60031772727272736</c:v>
                </c:pt>
              </c:numCache>
            </c:numRef>
          </c:xVal>
          <c:yVal>
            <c:numRef>
              <c:f>'HOBO vs Production'!$M$2:$M$33</c:f>
              <c:numCache>
                <c:formatCode>#,##0_);[Red]\(#,##0\)</c:formatCode>
                <c:ptCount val="32"/>
                <c:pt idx="0">
                  <c:v>20423954.600000001</c:v>
                </c:pt>
                <c:pt idx="1">
                  <c:v>23203553.800000001</c:v>
                </c:pt>
                <c:pt idx="2">
                  <c:v>30433456.399999999</c:v>
                </c:pt>
                <c:pt idx="3">
                  <c:v>13652520.199999999</c:v>
                </c:pt>
                <c:pt idx="4">
                  <c:v>22047062.800000001</c:v>
                </c:pt>
                <c:pt idx="5">
                  <c:v>25943646.600000001</c:v>
                </c:pt>
                <c:pt idx="6">
                  <c:v>18518240.800000001</c:v>
                </c:pt>
                <c:pt idx="7">
                  <c:v>25563480</c:v>
                </c:pt>
                <c:pt idx="8">
                  <c:v>22259285.800000001</c:v>
                </c:pt>
                <c:pt idx="9">
                  <c:v>16569232.199999999</c:v>
                </c:pt>
                <c:pt idx="10">
                  <c:v>23086819.199999999</c:v>
                </c:pt>
                <c:pt idx="11">
                  <c:v>14299384.600000001</c:v>
                </c:pt>
                <c:pt idx="12">
                  <c:v>21629468.399999999</c:v>
                </c:pt>
                <c:pt idx="13">
                  <c:v>31831692</c:v>
                </c:pt>
                <c:pt idx="14">
                  <c:v>24378626</c:v>
                </c:pt>
                <c:pt idx="15">
                  <c:v>21797057.800000001</c:v>
                </c:pt>
                <c:pt idx="16">
                  <c:v>22518863</c:v>
                </c:pt>
                <c:pt idx="17">
                  <c:v>-4157560.3999999985</c:v>
                </c:pt>
                <c:pt idx="18">
                  <c:v>19853413.800000001</c:v>
                </c:pt>
                <c:pt idx="19">
                  <c:v>24582302.199999999</c:v>
                </c:pt>
                <c:pt idx="20">
                  <c:v>25905861.199999999</c:v>
                </c:pt>
                <c:pt idx="21">
                  <c:v>25680359.199999999</c:v>
                </c:pt>
                <c:pt idx="22">
                  <c:v>31258695</c:v>
                </c:pt>
                <c:pt idx="23">
                  <c:v>21713721.600000001</c:v>
                </c:pt>
                <c:pt idx="24">
                  <c:v>29123732.600000001</c:v>
                </c:pt>
                <c:pt idx="25">
                  <c:v>39725710.399999999</c:v>
                </c:pt>
                <c:pt idx="26">
                  <c:v>40962170</c:v>
                </c:pt>
                <c:pt idx="27">
                  <c:v>54466474.600000001</c:v>
                </c:pt>
                <c:pt idx="28">
                  <c:v>23300294.800000001</c:v>
                </c:pt>
                <c:pt idx="29">
                  <c:v>45585242.600000001</c:v>
                </c:pt>
                <c:pt idx="30">
                  <c:v>65373456.200000003</c:v>
                </c:pt>
                <c:pt idx="31">
                  <c:v>76147280.200000003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429-4D21-9FE3-8D4F894B8A44}"/>
            </c:ext>
          </c:extLst>
        </c:ser>
        <c:ser>
          <c:idx val="1"/>
          <c:order val="1"/>
          <c:tx>
            <c:v>2022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9148C8"/>
              </a:solidFill>
              <a:ln w="9525">
                <a:solidFill>
                  <a:srgbClr val="D1B2E8"/>
                </a:solidFill>
              </a:ln>
              <a:effectLst/>
            </c:spPr>
          </c:marker>
          <c:dPt>
            <c:idx val="0"/>
            <c:marker>
              <c:symbol val="circle"/>
              <c:size val="7"/>
              <c:spPr>
                <a:solidFill>
                  <a:srgbClr val="D1B2E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2429-4D21-9FE3-8D4F894B8A44}"/>
              </c:ext>
            </c:extLst>
          </c:dPt>
          <c:dLbls>
            <c:dLbl>
              <c:idx val="0"/>
              <c:tx>
                <c:strRef>
                  <c:f>'HOBO vs Production'!$A$34</c:f>
                  <c:strCache>
                    <c:ptCount val="1"/>
                    <c:pt idx="0">
                      <c:v>Jan-22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{7FC6B2C3-ACBC-4897-BD26-E5519AF083BB}</c15:txfldGUID>
                      <c15:f>'HOBO vs Production'!$A$34</c15:f>
                      <c15:dlblFieldTableCache>
                        <c:ptCount val="1"/>
                        <c:pt idx="0">
                          <c:v>Jan-22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2429-4D21-9FE3-8D4F894B8A44}"/>
                </c:ext>
              </c:extLst>
            </c:dLbl>
            <c:dLbl>
              <c:idx val="1"/>
              <c:tx>
                <c:strRef>
                  <c:f>'HOBO vs Production'!$A$35</c:f>
                  <c:strCache>
                    <c:ptCount val="1"/>
                    <c:pt idx="0">
                      <c:v>Feb-22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{9040D9BB-F0ED-4D51-8444-933FB067E9D3}</c15:txfldGUID>
                      <c15:f>'HOBO vs Production'!$A$35</c15:f>
                      <c15:dlblFieldTableCache>
                        <c:ptCount val="1"/>
                        <c:pt idx="0">
                          <c:v>Feb-22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2429-4D21-9FE3-8D4F894B8A44}"/>
                </c:ext>
              </c:extLst>
            </c:dLbl>
            <c:dLbl>
              <c:idx val="2"/>
              <c:tx>
                <c:strRef>
                  <c:f>'HOBO vs Production'!$A$36</c:f>
                  <c:strCache>
                    <c:ptCount val="1"/>
                    <c:pt idx="0">
                      <c:v>Mar-22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{4F779E0F-3760-4E3F-A166-AD6DF84B6021}</c15:txfldGUID>
                      <c15:f>'HOBO vs Production'!$A$36</c15:f>
                      <c15:dlblFieldTableCache>
                        <c:ptCount val="1"/>
                        <c:pt idx="0">
                          <c:v>Mar-22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2429-4D21-9FE3-8D4F894B8A44}"/>
                </c:ext>
              </c:extLst>
            </c:dLbl>
            <c:dLbl>
              <c:idx val="3"/>
              <c:tx>
                <c:strRef>
                  <c:f>'HOBO vs Production'!$A$37</c:f>
                  <c:strCache>
                    <c:ptCount val="1"/>
                    <c:pt idx="0">
                      <c:v>Apr-22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{936FE371-3C41-4934-A61F-F0E4CF7294D9}</c15:txfldGUID>
                      <c15:f>'HOBO vs Production'!$A$37</c15:f>
                      <c15:dlblFieldTableCache>
                        <c:ptCount val="1"/>
                        <c:pt idx="0">
                          <c:v>Apr-22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2429-4D21-9FE3-8D4F894B8A44}"/>
                </c:ext>
              </c:extLst>
            </c:dLbl>
            <c:dLbl>
              <c:idx val="4"/>
              <c:tx>
                <c:strRef>
                  <c:f>'HOBO vs Production'!$A$38</c:f>
                  <c:strCache>
                    <c:ptCount val="1"/>
                    <c:pt idx="0">
                      <c:v>May-22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{FDD16938-9105-44D5-A387-46BF03A075F5}</c15:txfldGUID>
                      <c15:f>'HOBO vs Production'!$A$38</c15:f>
                      <c15:dlblFieldTableCache>
                        <c:ptCount val="1"/>
                        <c:pt idx="0">
                          <c:v>May-22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2429-4D21-9FE3-8D4F894B8A44}"/>
                </c:ext>
              </c:extLst>
            </c:dLbl>
            <c:dLbl>
              <c:idx val="5"/>
              <c:tx>
                <c:strRef>
                  <c:f>'HOBO vs Production'!$A$39</c:f>
                  <c:strCache>
                    <c:ptCount val="1"/>
                    <c:pt idx="0">
                      <c:v>Jun-22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{5027994D-15EB-43A8-97CB-9C80DA309AF4}</c15:txfldGUID>
                      <c15:f>'HOBO vs Production'!$A$39</c15:f>
                      <c15:dlblFieldTableCache>
                        <c:ptCount val="1"/>
                        <c:pt idx="0">
                          <c:v>Jun-22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2429-4D21-9FE3-8D4F894B8A44}"/>
                </c:ext>
              </c:extLst>
            </c:dLbl>
            <c:dLbl>
              <c:idx val="6"/>
              <c:tx>
                <c:strRef>
                  <c:f>'HOBO vs Production'!$A$40</c:f>
                  <c:strCache>
                    <c:ptCount val="1"/>
                    <c:pt idx="0">
                      <c:v>Jul-22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{5D0469FE-7CBC-40DB-86B6-784004C6F268}</c15:txfldGUID>
                      <c15:f>'HOBO vs Production'!$A$40</c15:f>
                      <c15:dlblFieldTableCache>
                        <c:ptCount val="1"/>
                        <c:pt idx="0">
                          <c:v>Jul-22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2429-4D21-9FE3-8D4F894B8A44}"/>
                </c:ext>
              </c:extLst>
            </c:dLbl>
            <c:dLbl>
              <c:idx val="7"/>
              <c:tx>
                <c:strRef>
                  <c:f>'HOBO vs Production'!$A$41</c:f>
                  <c:strCache>
                    <c:ptCount val="1"/>
                    <c:pt idx="0">
                      <c:v>Aug-22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{781E0B08-80F7-4834-842B-9F57605A39CC}</c15:txfldGUID>
                      <c15:f>'HOBO vs Production'!$A$41</c15:f>
                      <c15:dlblFieldTableCache>
                        <c:ptCount val="1"/>
                        <c:pt idx="0">
                          <c:v>Aug-22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2429-4D21-9FE3-8D4F894B8A44}"/>
                </c:ext>
              </c:extLst>
            </c:dLbl>
            <c:dLbl>
              <c:idx val="8"/>
              <c:tx>
                <c:strRef>
                  <c:f>'HOBO vs Production'!$A$42</c:f>
                  <c:strCache>
                    <c:ptCount val="1"/>
                    <c:pt idx="0">
                      <c:v>Sep-22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{5F2D3CDF-67E7-4728-A0A7-935A2C5A224E}</c15:txfldGUID>
                      <c15:f>'HOBO vs Production'!$A$42</c15:f>
                      <c15:dlblFieldTableCache>
                        <c:ptCount val="1"/>
                        <c:pt idx="0">
                          <c:v>Sep-22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2429-4D21-9FE3-8D4F894B8A44}"/>
                </c:ext>
              </c:extLst>
            </c:dLbl>
            <c:dLbl>
              <c:idx val="9"/>
              <c:tx>
                <c:strRef>
                  <c:f>'HOBO vs Production'!$A$43</c:f>
                  <c:strCache>
                    <c:ptCount val="1"/>
                    <c:pt idx="0">
                      <c:v>Oct-22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{77928AA4-0203-4552-9ABD-4150FA24C6F8}</c15:txfldGUID>
                      <c15:f>'HOBO vs Production'!$A$43</c15:f>
                      <c15:dlblFieldTableCache>
                        <c:ptCount val="1"/>
                        <c:pt idx="0">
                          <c:v>Oct-22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2429-4D21-9FE3-8D4F894B8A44}"/>
                </c:ext>
              </c:extLst>
            </c:dLbl>
            <c:dLbl>
              <c:idx val="10"/>
              <c:tx>
                <c:strRef>
                  <c:f>'HOBO vs Production'!$A$44</c:f>
                  <c:strCache>
                    <c:ptCount val="1"/>
                    <c:pt idx="0">
                      <c:v>Nov-22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{35D6188D-1BC8-4A2C-AB47-D87D0FD0328B}</c15:txfldGUID>
                      <c15:f>'HOBO vs Production'!$A$44</c15:f>
                      <c15:dlblFieldTableCache>
                        <c:ptCount val="1"/>
                        <c:pt idx="0">
                          <c:v>Nov-22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2429-4D21-9FE3-8D4F894B8A44}"/>
                </c:ext>
              </c:extLst>
            </c:dLbl>
            <c:dLbl>
              <c:idx val="11"/>
              <c:tx>
                <c:strRef>
                  <c:f>'HOBO vs Production'!$A$45</c:f>
                  <c:strCache>
                    <c:ptCount val="1"/>
                    <c:pt idx="0">
                      <c:v>Dec-22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{5D468A8D-DF8F-4586-8B49-41ED0766D9D1}</c15:txfldGUID>
                      <c15:f>'HOBO vs Production'!$A$45</c15:f>
                      <c15:dlblFieldTableCache>
                        <c:ptCount val="1"/>
                        <c:pt idx="0">
                          <c:v>Dec-22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2429-4D21-9FE3-8D4F894B8A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Narrow" panose="020B060602020203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9148C8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'HOBO vs Production'!$J$34:$J$45</c:f>
              <c:numCache>
                <c:formatCode>0.00</c:formatCode>
                <c:ptCount val="12"/>
                <c:pt idx="0">
                  <c:v>-0.58431399999999978</c:v>
                </c:pt>
                <c:pt idx="1">
                  <c:v>-0.84151031578947388</c:v>
                </c:pt>
                <c:pt idx="2">
                  <c:v>-0.44536852173913055</c:v>
                </c:pt>
                <c:pt idx="3">
                  <c:v>-0.53769599999999995</c:v>
                </c:pt>
                <c:pt idx="4">
                  <c:v>-0.67661047619047587</c:v>
                </c:pt>
                <c:pt idx="5">
                  <c:v>0.16745761904761891</c:v>
                </c:pt>
                <c:pt idx="6">
                  <c:v>0.72873799999999989</c:v>
                </c:pt>
                <c:pt idx="7">
                  <c:v>0.26159760869565218</c:v>
                </c:pt>
                <c:pt idx="8">
                  <c:v>0.20324952380952377</c:v>
                </c:pt>
                <c:pt idx="9">
                  <c:v>0.41929761904761897</c:v>
                </c:pt>
                <c:pt idx="10">
                  <c:v>-0.35834485714285691</c:v>
                </c:pt>
                <c:pt idx="11">
                  <c:v>-6.7539523809523772E-2</c:v>
                </c:pt>
              </c:numCache>
            </c:numRef>
          </c:xVal>
          <c:yVal>
            <c:numRef>
              <c:f>'HOBO vs Production'!$M$34:$M$45</c:f>
              <c:numCache>
                <c:formatCode>#,##0_);[Red]\(#,##0\)</c:formatCode>
                <c:ptCount val="12"/>
                <c:pt idx="0">
                  <c:v>54818178</c:v>
                </c:pt>
                <c:pt idx="1">
                  <c:v>67136988.200000003</c:v>
                </c:pt>
                <c:pt idx="2">
                  <c:v>73833230.599999994</c:v>
                </c:pt>
                <c:pt idx="3">
                  <c:v>71683680.200000003</c:v>
                </c:pt>
                <c:pt idx="4">
                  <c:v>97524429.599999994</c:v>
                </c:pt>
                <c:pt idx="5">
                  <c:v>77861395.799999997</c:v>
                </c:pt>
                <c:pt idx="6">
                  <c:v>70441022</c:v>
                </c:pt>
                <c:pt idx="7">
                  <c:v>82804397.400000006</c:v>
                </c:pt>
                <c:pt idx="8">
                  <c:v>87859747.799999997</c:v>
                </c:pt>
                <c:pt idx="9">
                  <c:v>70578919.799999997</c:v>
                </c:pt>
                <c:pt idx="10">
                  <c:v>120400032.40000001</c:v>
                </c:pt>
                <c:pt idx="11">
                  <c:v>93413281.200000003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429-4D21-9FE3-8D4F894B8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5361064"/>
        <c:axId val="1185366640"/>
      </c:scatterChart>
      <c:valAx>
        <c:axId val="1185361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HOBO</a:t>
                </a:r>
                <a:r>
                  <a:rPr lang="en-US" sz="12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Spread - RIN Value ($ per gallon)</a:t>
                </a:r>
                <a:endParaRPr lang="en-US" sz="12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85366640"/>
        <c:crosses val="autoZero"/>
        <c:crossBetween val="midCat"/>
      </c:valAx>
      <c:valAx>
        <c:axId val="118536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Domestic</a:t>
                </a:r>
                <a:r>
                  <a:rPr lang="en-US" sz="12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2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Production - 5-Year</a:t>
                </a:r>
                <a:r>
                  <a:rPr lang="en-US" sz="12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Avg </a:t>
                </a:r>
              </a:p>
              <a:p>
                <a:pPr>
                  <a:defRPr sz="12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2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(gallons)</a:t>
                </a:r>
                <a:endParaRPr lang="en-US" sz="12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85361064"/>
        <c:crosses val="autoZero"/>
        <c:crossBetween val="midCat"/>
      </c:valAx>
      <c:spPr>
        <a:noFill/>
        <a:ln>
          <a:solidFill>
            <a:srgbClr val="9148C8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Renewable Diesel Supply vs. Profitability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D1B2E8"/>
              </a:solidFill>
              <a:ln w="9525">
                <a:solidFill>
                  <a:srgbClr val="9148C8"/>
                </a:solidFill>
              </a:ln>
              <a:effectLst/>
            </c:spPr>
          </c:marker>
          <c:dPt>
            <c:idx val="27"/>
            <c:marker>
              <c:symbol val="circle"/>
              <c:size val="7"/>
              <c:spPr>
                <a:solidFill>
                  <a:srgbClr val="D1B2E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1B6-45EB-8465-040162324433}"/>
              </c:ext>
            </c:extLst>
          </c:dPt>
          <c:dPt>
            <c:idx val="28"/>
            <c:marker>
              <c:symbol val="circle"/>
              <c:size val="7"/>
              <c:spPr>
                <a:solidFill>
                  <a:srgbClr val="D1B2E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1B6-45EB-8465-040162324433}"/>
              </c:ext>
            </c:extLst>
          </c:dPt>
          <c:dPt>
            <c:idx val="29"/>
            <c:marker>
              <c:symbol val="circle"/>
              <c:size val="7"/>
              <c:spPr>
                <a:solidFill>
                  <a:srgbClr val="D1B2E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1B6-45EB-8465-040162324433}"/>
              </c:ext>
            </c:extLst>
          </c:dPt>
          <c:dPt>
            <c:idx val="30"/>
            <c:marker>
              <c:symbol val="circle"/>
              <c:size val="7"/>
              <c:spPr>
                <a:solidFill>
                  <a:srgbClr val="D1B2E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1B6-45EB-8465-040162324433}"/>
              </c:ext>
            </c:extLst>
          </c:dPt>
          <c:dPt>
            <c:idx val="31"/>
            <c:marker>
              <c:symbol val="circle"/>
              <c:size val="7"/>
              <c:spPr>
                <a:solidFill>
                  <a:srgbClr val="9148C8"/>
                </a:solidFill>
                <a:ln w="9525">
                  <a:solidFill>
                    <a:srgbClr val="D1B2E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D1B6-45EB-8465-040162324433}"/>
              </c:ext>
            </c:extLst>
          </c:dPt>
          <c:dLbls>
            <c:dLbl>
              <c:idx val="0"/>
              <c:tx>
                <c:strRef>
                  <c:f>'HOBO vs Production'!$A$2</c:f>
                  <c:strCache>
                    <c:ptCount val="1"/>
                    <c:pt idx="0">
                      <c:v>May-19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{843C93E0-45F9-49E3-A99B-59D9AB56253E}</c15:txfldGUID>
                      <c15:f>'HOBO vs Production'!$A$2</c15:f>
                      <c15:dlblFieldTableCache>
                        <c:ptCount val="1"/>
                        <c:pt idx="0">
                          <c:v>May-19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D1B6-45EB-8465-040162324433}"/>
                </c:ext>
              </c:extLst>
            </c:dLbl>
            <c:dLbl>
              <c:idx val="1"/>
              <c:tx>
                <c:strRef>
                  <c:f>'HOBO vs Production'!$A$3</c:f>
                  <c:strCache>
                    <c:ptCount val="1"/>
                    <c:pt idx="0">
                      <c:v>Jun-19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{1EA01795-CFF6-420F-BB73-AAE54DDFC731}</c15:txfldGUID>
                      <c15:f>'HOBO vs Production'!$A$3</c15:f>
                      <c15:dlblFieldTableCache>
                        <c:ptCount val="1"/>
                        <c:pt idx="0">
                          <c:v>Jun-19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D1B6-45EB-8465-040162324433}"/>
                </c:ext>
              </c:extLst>
            </c:dLbl>
            <c:dLbl>
              <c:idx val="2"/>
              <c:tx>
                <c:strRef>
                  <c:f>'HOBO vs Production'!$A$4</c:f>
                  <c:strCache>
                    <c:ptCount val="1"/>
                    <c:pt idx="0">
                      <c:v>Jul-19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{22FC6186-807A-4D68-85F4-A36BA8F55D58}</c15:txfldGUID>
                      <c15:f>'HOBO vs Production'!$A$4</c15:f>
                      <c15:dlblFieldTableCache>
                        <c:ptCount val="1"/>
                        <c:pt idx="0">
                          <c:v>Jul-19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D1B6-45EB-8465-040162324433}"/>
                </c:ext>
              </c:extLst>
            </c:dLbl>
            <c:dLbl>
              <c:idx val="3"/>
              <c:tx>
                <c:strRef>
                  <c:f>'HOBO vs Production'!$A$5</c:f>
                  <c:strCache>
                    <c:ptCount val="1"/>
                    <c:pt idx="0">
                      <c:v>Aug-19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{1B4A5F58-1F8F-491E-9EB3-43694C92D035}</c15:txfldGUID>
                      <c15:f>'HOBO vs Production'!$A$5</c15:f>
                      <c15:dlblFieldTableCache>
                        <c:ptCount val="1"/>
                        <c:pt idx="0">
                          <c:v>Aug-19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D1B6-45EB-8465-040162324433}"/>
                </c:ext>
              </c:extLst>
            </c:dLbl>
            <c:dLbl>
              <c:idx val="4"/>
              <c:tx>
                <c:strRef>
                  <c:f>'HOBO vs Production'!$A$6</c:f>
                  <c:strCache>
                    <c:ptCount val="1"/>
                    <c:pt idx="0">
                      <c:v>Sep-19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{35CFB635-D765-4FEB-A6F3-C0C330CB281F}</c15:txfldGUID>
                      <c15:f>'HOBO vs Production'!$A$6</c15:f>
                      <c15:dlblFieldTableCache>
                        <c:ptCount val="1"/>
                        <c:pt idx="0">
                          <c:v>Sep-19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D1B6-45EB-8465-040162324433}"/>
                </c:ext>
              </c:extLst>
            </c:dLbl>
            <c:dLbl>
              <c:idx val="5"/>
              <c:tx>
                <c:strRef>
                  <c:f>'HOBO vs Production'!$A$7</c:f>
                  <c:strCache>
                    <c:ptCount val="1"/>
                    <c:pt idx="0">
                      <c:v>Oct-19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{311E8C22-A022-47C3-A24A-9A67B844AFE9}</c15:txfldGUID>
                      <c15:f>'HOBO vs Production'!$A$7</c15:f>
                      <c15:dlblFieldTableCache>
                        <c:ptCount val="1"/>
                        <c:pt idx="0">
                          <c:v>Oct-19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D1B6-45EB-8465-040162324433}"/>
                </c:ext>
              </c:extLst>
            </c:dLbl>
            <c:dLbl>
              <c:idx val="6"/>
              <c:tx>
                <c:strRef>
                  <c:f>'HOBO vs Production'!$A$8</c:f>
                  <c:strCache>
                    <c:ptCount val="1"/>
                    <c:pt idx="0">
                      <c:v>Nov-19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{22A1B5C5-A955-49FC-8003-F4C8FFD7DD89}</c15:txfldGUID>
                      <c15:f>'HOBO vs Production'!$A$8</c15:f>
                      <c15:dlblFieldTableCache>
                        <c:ptCount val="1"/>
                        <c:pt idx="0">
                          <c:v>Nov-19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D1B6-45EB-8465-040162324433}"/>
                </c:ext>
              </c:extLst>
            </c:dLbl>
            <c:dLbl>
              <c:idx val="7"/>
              <c:tx>
                <c:strRef>
                  <c:f>'HOBO vs Production'!$A$9</c:f>
                  <c:strCache>
                    <c:ptCount val="1"/>
                    <c:pt idx="0">
                      <c:v>Dec-19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{250923C7-F7AA-4A4E-986C-85D5A206E971}</c15:txfldGUID>
                      <c15:f>'HOBO vs Production'!$A$9</c15:f>
                      <c15:dlblFieldTableCache>
                        <c:ptCount val="1"/>
                        <c:pt idx="0">
                          <c:v>Dec-19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D1B6-45EB-8465-040162324433}"/>
                </c:ext>
              </c:extLst>
            </c:dLbl>
            <c:dLbl>
              <c:idx val="8"/>
              <c:tx>
                <c:strRef>
                  <c:f>'HOBO vs Production'!$A$10</c:f>
                  <c:strCache>
                    <c:ptCount val="1"/>
                    <c:pt idx="0">
                      <c:v>Jan-20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{C6A9A817-0C15-416E-99AF-A8CD1B0E7693}</c15:txfldGUID>
                      <c15:f>'HOBO vs Production'!$A$10</c15:f>
                      <c15:dlblFieldTableCache>
                        <c:ptCount val="1"/>
                        <c:pt idx="0">
                          <c:v>Jan-20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D1B6-45EB-8465-040162324433}"/>
                </c:ext>
              </c:extLst>
            </c:dLbl>
            <c:dLbl>
              <c:idx val="9"/>
              <c:tx>
                <c:strRef>
                  <c:f>'HOBO vs Production'!$A$11</c:f>
                  <c:strCache>
                    <c:ptCount val="1"/>
                    <c:pt idx="0">
                      <c:v>Feb-20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{DF8AD182-2FCA-474D-A323-6E70EA7A035C}</c15:txfldGUID>
                      <c15:f>'HOBO vs Production'!$A$11</c15:f>
                      <c15:dlblFieldTableCache>
                        <c:ptCount val="1"/>
                        <c:pt idx="0">
                          <c:v>Feb-20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D1B6-45EB-8465-040162324433}"/>
                </c:ext>
              </c:extLst>
            </c:dLbl>
            <c:dLbl>
              <c:idx val="10"/>
              <c:tx>
                <c:strRef>
                  <c:f>'HOBO vs Production'!$A$12</c:f>
                  <c:strCache>
                    <c:ptCount val="1"/>
                    <c:pt idx="0">
                      <c:v>Mar-20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{CB732395-DB40-449E-A984-B8413A0DB61D}</c15:txfldGUID>
                      <c15:f>'HOBO vs Production'!$A$12</c15:f>
                      <c15:dlblFieldTableCache>
                        <c:ptCount val="1"/>
                        <c:pt idx="0">
                          <c:v>Mar-20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D1B6-45EB-8465-040162324433}"/>
                </c:ext>
              </c:extLst>
            </c:dLbl>
            <c:dLbl>
              <c:idx val="11"/>
              <c:tx>
                <c:strRef>
                  <c:f>'HOBO vs Production'!$A$13</c:f>
                  <c:strCache>
                    <c:ptCount val="1"/>
                    <c:pt idx="0">
                      <c:v>Apr-20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{01C190F7-1235-4AF0-958B-091A9C4DBA88}</c15:txfldGUID>
                      <c15:f>'HOBO vs Production'!$A$13</c15:f>
                      <c15:dlblFieldTableCache>
                        <c:ptCount val="1"/>
                        <c:pt idx="0">
                          <c:v>Apr-20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D1B6-45EB-8465-040162324433}"/>
                </c:ext>
              </c:extLst>
            </c:dLbl>
            <c:dLbl>
              <c:idx val="12"/>
              <c:tx>
                <c:strRef>
                  <c:f>'HOBO vs Production'!$A$14</c:f>
                  <c:strCache>
                    <c:ptCount val="1"/>
                    <c:pt idx="0">
                      <c:v>May-20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{12748307-6969-43A1-946D-5C3D1371725B}</c15:txfldGUID>
                      <c15:f>'HOBO vs Production'!$A$14</c15:f>
                      <c15:dlblFieldTableCache>
                        <c:ptCount val="1"/>
                        <c:pt idx="0">
                          <c:v>May-20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D1B6-45EB-8465-040162324433}"/>
                </c:ext>
              </c:extLst>
            </c:dLbl>
            <c:dLbl>
              <c:idx val="13"/>
              <c:tx>
                <c:strRef>
                  <c:f>'HOBO vs Production'!$A$15</c:f>
                  <c:strCache>
                    <c:ptCount val="1"/>
                    <c:pt idx="0">
                      <c:v>Jun-20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{AEF78E80-11BA-4779-B2A1-1A68B336EA2B}</c15:txfldGUID>
                      <c15:f>'HOBO vs Production'!$A$15</c15:f>
                      <c15:dlblFieldTableCache>
                        <c:ptCount val="1"/>
                        <c:pt idx="0">
                          <c:v>Jun-20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D1B6-45EB-8465-040162324433}"/>
                </c:ext>
              </c:extLst>
            </c:dLbl>
            <c:dLbl>
              <c:idx val="14"/>
              <c:tx>
                <c:strRef>
                  <c:f>'HOBO vs Production'!$A$16</c:f>
                  <c:strCache>
                    <c:ptCount val="1"/>
                    <c:pt idx="0">
                      <c:v>Jul-20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{986A0216-060C-4889-8D40-1027AE0808BB}</c15:txfldGUID>
                      <c15:f>'HOBO vs Production'!$A$16</c15:f>
                      <c15:dlblFieldTableCache>
                        <c:ptCount val="1"/>
                        <c:pt idx="0">
                          <c:v>Jul-20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D1B6-45EB-8465-040162324433}"/>
                </c:ext>
              </c:extLst>
            </c:dLbl>
            <c:dLbl>
              <c:idx val="15"/>
              <c:tx>
                <c:strRef>
                  <c:f>'HOBO vs Production'!$A$17</c:f>
                  <c:strCache>
                    <c:ptCount val="1"/>
                    <c:pt idx="0">
                      <c:v>Aug-20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{522AC5EF-8F48-482E-B3B8-DC60FEBB9B32}</c15:txfldGUID>
                      <c15:f>'HOBO vs Production'!$A$17</c15:f>
                      <c15:dlblFieldTableCache>
                        <c:ptCount val="1"/>
                        <c:pt idx="0">
                          <c:v>Aug-20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D1B6-45EB-8465-040162324433}"/>
                </c:ext>
              </c:extLst>
            </c:dLbl>
            <c:dLbl>
              <c:idx val="16"/>
              <c:tx>
                <c:strRef>
                  <c:f>'HOBO vs Production'!$A$18</c:f>
                  <c:strCache>
                    <c:ptCount val="1"/>
                    <c:pt idx="0">
                      <c:v>Sep-20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{7638C0CD-52EF-4521-8ADE-B0A89BBBA267}</c15:txfldGUID>
                      <c15:f>'HOBO vs Production'!$A$18</c15:f>
                      <c15:dlblFieldTableCache>
                        <c:ptCount val="1"/>
                        <c:pt idx="0">
                          <c:v>Sep-20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D1B6-45EB-8465-040162324433}"/>
                </c:ext>
              </c:extLst>
            </c:dLbl>
            <c:dLbl>
              <c:idx val="17"/>
              <c:tx>
                <c:strRef>
                  <c:f>'HOBO vs Production'!$A$19</c:f>
                  <c:strCache>
                    <c:ptCount val="1"/>
                    <c:pt idx="0">
                      <c:v>Oct-20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{7542D742-F281-43BB-AD36-F7D9D315F727}</c15:txfldGUID>
                      <c15:f>'HOBO vs Production'!$A$19</c15:f>
                      <c15:dlblFieldTableCache>
                        <c:ptCount val="1"/>
                        <c:pt idx="0">
                          <c:v>Oct-20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D1B6-45EB-8465-040162324433}"/>
                </c:ext>
              </c:extLst>
            </c:dLbl>
            <c:dLbl>
              <c:idx val="18"/>
              <c:tx>
                <c:strRef>
                  <c:f>'HOBO vs Production'!$A$20</c:f>
                  <c:strCache>
                    <c:ptCount val="1"/>
                    <c:pt idx="0">
                      <c:v>Nov-20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{7FE20C2A-9EB8-4867-8283-D0697183F937}</c15:txfldGUID>
                      <c15:f>'HOBO vs Production'!$A$20</c15:f>
                      <c15:dlblFieldTableCache>
                        <c:ptCount val="1"/>
                        <c:pt idx="0">
                          <c:v>Nov-20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D1B6-45EB-8465-040162324433}"/>
                </c:ext>
              </c:extLst>
            </c:dLbl>
            <c:dLbl>
              <c:idx val="19"/>
              <c:tx>
                <c:strRef>
                  <c:f>'HOBO vs Production'!$A$21</c:f>
                  <c:strCache>
                    <c:ptCount val="1"/>
                    <c:pt idx="0">
                      <c:v>Dec-20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{7BB5A20C-EAF1-4C8E-9DEF-34AF264E4609}</c15:txfldGUID>
                      <c15:f>'HOBO vs Production'!$A$21</c15:f>
                      <c15:dlblFieldTableCache>
                        <c:ptCount val="1"/>
                        <c:pt idx="0">
                          <c:v>Dec-20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D1B6-45EB-8465-040162324433}"/>
                </c:ext>
              </c:extLst>
            </c:dLbl>
            <c:dLbl>
              <c:idx val="20"/>
              <c:tx>
                <c:strRef>
                  <c:f>'HOBO vs Production'!$A$22</c:f>
                  <c:strCache>
                    <c:ptCount val="1"/>
                    <c:pt idx="0">
                      <c:v>Jan-21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{5D8D28BD-A4FF-4B7B-94D4-A052C6149AFE}</c15:txfldGUID>
                      <c15:f>'HOBO vs Production'!$A$22</c15:f>
                      <c15:dlblFieldTableCache>
                        <c:ptCount val="1"/>
                        <c:pt idx="0">
                          <c:v>Jan-21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D1B6-45EB-8465-040162324433}"/>
                </c:ext>
              </c:extLst>
            </c:dLbl>
            <c:dLbl>
              <c:idx val="21"/>
              <c:tx>
                <c:strRef>
                  <c:f>'HOBO vs Production'!$A$23</c:f>
                  <c:strCache>
                    <c:ptCount val="1"/>
                    <c:pt idx="0">
                      <c:v>Feb-21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{8931E679-1B73-4F7E-A3BA-12EDF841E244}</c15:txfldGUID>
                      <c15:f>'HOBO vs Production'!$A$23</c15:f>
                      <c15:dlblFieldTableCache>
                        <c:ptCount val="1"/>
                        <c:pt idx="0">
                          <c:v>Feb-21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D1B6-45EB-8465-040162324433}"/>
                </c:ext>
              </c:extLst>
            </c:dLbl>
            <c:dLbl>
              <c:idx val="22"/>
              <c:tx>
                <c:strRef>
                  <c:f>'HOBO vs Production'!$A$24</c:f>
                  <c:strCache>
                    <c:ptCount val="1"/>
                    <c:pt idx="0">
                      <c:v>Mar-21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{8C1CA10E-D2A4-4582-BD5D-6ACB75F2E5F2}</c15:txfldGUID>
                      <c15:f>'HOBO vs Production'!$A$24</c15:f>
                      <c15:dlblFieldTableCache>
                        <c:ptCount val="1"/>
                        <c:pt idx="0">
                          <c:v>Mar-21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D1B6-45EB-8465-040162324433}"/>
                </c:ext>
              </c:extLst>
            </c:dLbl>
            <c:dLbl>
              <c:idx val="23"/>
              <c:tx>
                <c:strRef>
                  <c:f>'HOBO vs Production'!$A$25</c:f>
                  <c:strCache>
                    <c:ptCount val="1"/>
                    <c:pt idx="0">
                      <c:v>Apr-21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{2714AFA5-6069-4498-AFF3-B17F16DC97D5}</c15:txfldGUID>
                      <c15:f>'HOBO vs Production'!$A$25</c15:f>
                      <c15:dlblFieldTableCache>
                        <c:ptCount val="1"/>
                        <c:pt idx="0">
                          <c:v>Apr-21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D1B6-45EB-8465-040162324433}"/>
                </c:ext>
              </c:extLst>
            </c:dLbl>
            <c:dLbl>
              <c:idx val="24"/>
              <c:tx>
                <c:strRef>
                  <c:f>'HOBO vs Production'!$A$26</c:f>
                  <c:strCache>
                    <c:ptCount val="1"/>
                    <c:pt idx="0">
                      <c:v>May-21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{C08913E3-0E2B-42FB-AF1F-2D1A1952C681}</c15:txfldGUID>
                      <c15:f>'HOBO vs Production'!$A$26</c15:f>
                      <c15:dlblFieldTableCache>
                        <c:ptCount val="1"/>
                        <c:pt idx="0">
                          <c:v>May-21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D1B6-45EB-8465-040162324433}"/>
                </c:ext>
              </c:extLst>
            </c:dLbl>
            <c:dLbl>
              <c:idx val="25"/>
              <c:tx>
                <c:strRef>
                  <c:f>'HOBO vs Production'!$A$27</c:f>
                  <c:strCache>
                    <c:ptCount val="1"/>
                    <c:pt idx="0">
                      <c:v>Jun-21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{D494EE98-25F7-44EC-A7EB-7EFB3478325D}</c15:txfldGUID>
                      <c15:f>'HOBO vs Production'!$A$27</c15:f>
                      <c15:dlblFieldTableCache>
                        <c:ptCount val="1"/>
                        <c:pt idx="0">
                          <c:v>Jun-21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D1B6-45EB-8465-040162324433}"/>
                </c:ext>
              </c:extLst>
            </c:dLbl>
            <c:dLbl>
              <c:idx val="26"/>
              <c:tx>
                <c:strRef>
                  <c:f>'HOBO vs Production'!$A$28</c:f>
                  <c:strCache>
                    <c:ptCount val="1"/>
                    <c:pt idx="0">
                      <c:v>Jul-21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{AA1D9511-F6E4-45E0-956B-A198786BA530}</c15:txfldGUID>
                      <c15:f>'HOBO vs Production'!$A$28</c15:f>
                      <c15:dlblFieldTableCache>
                        <c:ptCount val="1"/>
                        <c:pt idx="0">
                          <c:v>Jul-21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D1B6-45EB-8465-040162324433}"/>
                </c:ext>
              </c:extLst>
            </c:dLbl>
            <c:dLbl>
              <c:idx val="27"/>
              <c:tx>
                <c:strRef>
                  <c:f>'HOBO vs Production'!$A$29</c:f>
                  <c:strCache>
                    <c:ptCount val="1"/>
                    <c:pt idx="0">
                      <c:v>Aug-21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{DABE06E9-8398-4930-BD89-AAD7C17318D4}</c15:txfldGUID>
                      <c15:f>'HOBO vs Production'!$A$29</c15:f>
                      <c15:dlblFieldTableCache>
                        <c:ptCount val="1"/>
                        <c:pt idx="0">
                          <c:v>Aug-21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D1B6-45EB-8465-040162324433}"/>
                </c:ext>
              </c:extLst>
            </c:dLbl>
            <c:dLbl>
              <c:idx val="28"/>
              <c:tx>
                <c:strRef>
                  <c:f>'HOBO vs Production'!$A$30</c:f>
                  <c:strCache>
                    <c:ptCount val="1"/>
                    <c:pt idx="0">
                      <c:v>Sep-21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{AF2A6E96-3422-497F-AE05-4EBC1BAA8817}</c15:txfldGUID>
                      <c15:f>'HOBO vs Production'!$A$30</c15:f>
                      <c15:dlblFieldTableCache>
                        <c:ptCount val="1"/>
                        <c:pt idx="0">
                          <c:v>Sep-21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D1B6-45EB-8465-040162324433}"/>
                </c:ext>
              </c:extLst>
            </c:dLbl>
            <c:dLbl>
              <c:idx val="29"/>
              <c:tx>
                <c:strRef>
                  <c:f>'HOBO vs Production'!$A$31</c:f>
                  <c:strCache>
                    <c:ptCount val="1"/>
                    <c:pt idx="0">
                      <c:v>Oct-21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{5A27EE11-510C-4887-8ADA-74DD8DA81B42}</c15:txfldGUID>
                      <c15:f>'HOBO vs Production'!$A$31</c15:f>
                      <c15:dlblFieldTableCache>
                        <c:ptCount val="1"/>
                        <c:pt idx="0">
                          <c:v>Oct-21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D1B6-45EB-8465-040162324433}"/>
                </c:ext>
              </c:extLst>
            </c:dLbl>
            <c:dLbl>
              <c:idx val="30"/>
              <c:tx>
                <c:strRef>
                  <c:f>'HOBO vs Production'!$A$32</c:f>
                  <c:strCache>
                    <c:ptCount val="1"/>
                    <c:pt idx="0">
                      <c:v>Nov-21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{7D5889E3-DF48-4430-9BB9-0C5D73DC4D75}</c15:txfldGUID>
                      <c15:f>'HOBO vs Production'!$A$32</c15:f>
                      <c15:dlblFieldTableCache>
                        <c:ptCount val="1"/>
                        <c:pt idx="0">
                          <c:v>Nov-21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D1B6-45EB-8465-040162324433}"/>
                </c:ext>
              </c:extLst>
            </c:dLbl>
            <c:dLbl>
              <c:idx val="31"/>
              <c:tx>
                <c:strRef>
                  <c:f>'HOBO vs Production'!$A$33</c:f>
                  <c:strCache>
                    <c:ptCount val="1"/>
                    <c:pt idx="0">
                      <c:v>Dec-21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{C70CDC5B-8BAC-4856-8736-56E6B49B9135}</c15:txfldGUID>
                      <c15:f>'HOBO vs Production'!$A$33</c15:f>
                      <c15:dlblFieldTableCache>
                        <c:ptCount val="1"/>
                        <c:pt idx="0">
                          <c:v>Dec-21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D1B6-45EB-8465-0401623244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505A5B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'HOBO vs Production'!$J$2:$J$33</c:f>
              <c:numCache>
                <c:formatCode>0.00</c:formatCode>
                <c:ptCount val="32"/>
                <c:pt idx="0">
                  <c:v>0.19415209090909097</c:v>
                </c:pt>
                <c:pt idx="1">
                  <c:v>0.15829399999999999</c:v>
                </c:pt>
                <c:pt idx="2">
                  <c:v>0.24893627272727281</c:v>
                </c:pt>
                <c:pt idx="3">
                  <c:v>0.15096636363636373</c:v>
                </c:pt>
                <c:pt idx="4">
                  <c:v>0.29783700000000024</c:v>
                </c:pt>
                <c:pt idx="5">
                  <c:v>0.24926452173913055</c:v>
                </c:pt>
                <c:pt idx="6">
                  <c:v>7.5761999999999996E-2</c:v>
                </c:pt>
                <c:pt idx="7">
                  <c:v>-8.7766523809523711E-2</c:v>
                </c:pt>
                <c:pt idx="8">
                  <c:v>-0.17139452380952386</c:v>
                </c:pt>
                <c:pt idx="9">
                  <c:v>-0.19036642105263135</c:v>
                </c:pt>
                <c:pt idx="10">
                  <c:v>-0.34814899999999982</c:v>
                </c:pt>
                <c:pt idx="11">
                  <c:v>-0.58829571428571448</c:v>
                </c:pt>
                <c:pt idx="12">
                  <c:v>-0.54272299999999984</c:v>
                </c:pt>
                <c:pt idx="13">
                  <c:v>-0.37734372727272736</c:v>
                </c:pt>
                <c:pt idx="14">
                  <c:v>-0.32940245454545447</c:v>
                </c:pt>
                <c:pt idx="15">
                  <c:v>-0.41448047619047623</c:v>
                </c:pt>
                <c:pt idx="16">
                  <c:v>-0.63026514285714252</c:v>
                </c:pt>
                <c:pt idx="17">
                  <c:v>-0.51067290909090912</c:v>
                </c:pt>
                <c:pt idx="18">
                  <c:v>-0.58175200000000016</c:v>
                </c:pt>
                <c:pt idx="19">
                  <c:v>-0.56413145454545433</c:v>
                </c:pt>
                <c:pt idx="20">
                  <c:v>-0.62047826315789445</c:v>
                </c:pt>
                <c:pt idx="21">
                  <c:v>-0.39878747368421097</c:v>
                </c:pt>
                <c:pt idx="22">
                  <c:v>-0.79604947826086891</c:v>
                </c:pt>
                <c:pt idx="23">
                  <c:v>-0.68105595238095229</c:v>
                </c:pt>
                <c:pt idx="24">
                  <c:v>-1.3036579999999998</c:v>
                </c:pt>
                <c:pt idx="25">
                  <c:v>-1.0106626363636362</c:v>
                </c:pt>
                <c:pt idx="26">
                  <c:v>-1.0255548095238092</c:v>
                </c:pt>
                <c:pt idx="27">
                  <c:v>-1.1375357272727267</c:v>
                </c:pt>
                <c:pt idx="28">
                  <c:v>-0.61181914285714289</c:v>
                </c:pt>
                <c:pt idx="29">
                  <c:v>-0.70588571428571445</c:v>
                </c:pt>
                <c:pt idx="30">
                  <c:v>-0.61602880952380956</c:v>
                </c:pt>
                <c:pt idx="31">
                  <c:v>-0.60031772727272736</c:v>
                </c:pt>
              </c:numCache>
            </c:numRef>
          </c:xVal>
          <c:yVal>
            <c:numRef>
              <c:f>'HOBO vs Production'!$P$2:$P$33</c:f>
              <c:numCache>
                <c:formatCode>#,##0_);[Red]\(#,##0\)</c:formatCode>
                <c:ptCount val="32"/>
                <c:pt idx="0">
                  <c:v>27267987.200000003</c:v>
                </c:pt>
                <c:pt idx="1">
                  <c:v>32276743</c:v>
                </c:pt>
                <c:pt idx="2">
                  <c:v>36149249.399999999</c:v>
                </c:pt>
                <c:pt idx="3">
                  <c:v>20040767</c:v>
                </c:pt>
                <c:pt idx="4">
                  <c:v>29887758.200000003</c:v>
                </c:pt>
                <c:pt idx="5">
                  <c:v>47291808.200000003</c:v>
                </c:pt>
                <c:pt idx="6">
                  <c:v>22573507</c:v>
                </c:pt>
                <c:pt idx="7">
                  <c:v>35685321</c:v>
                </c:pt>
                <c:pt idx="8">
                  <c:v>30448117</c:v>
                </c:pt>
                <c:pt idx="9">
                  <c:v>32100197.200000003</c:v>
                </c:pt>
                <c:pt idx="10">
                  <c:v>36361325</c:v>
                </c:pt>
                <c:pt idx="11">
                  <c:v>15495267.399999999</c:v>
                </c:pt>
                <c:pt idx="12">
                  <c:v>30348093.399999999</c:v>
                </c:pt>
                <c:pt idx="13">
                  <c:v>29397233.399999999</c:v>
                </c:pt>
                <c:pt idx="14">
                  <c:v>21949650</c:v>
                </c:pt>
                <c:pt idx="15">
                  <c:v>20015850.200000003</c:v>
                </c:pt>
                <c:pt idx="16">
                  <c:v>53847699</c:v>
                </c:pt>
                <c:pt idx="17">
                  <c:v>-196614.20000000298</c:v>
                </c:pt>
                <c:pt idx="18">
                  <c:v>33786666.200000003</c:v>
                </c:pt>
                <c:pt idx="19">
                  <c:v>34143103</c:v>
                </c:pt>
                <c:pt idx="20">
                  <c:v>41993977</c:v>
                </c:pt>
                <c:pt idx="21">
                  <c:v>38496839.200000003</c:v>
                </c:pt>
                <c:pt idx="22">
                  <c:v>50910426.799999997</c:v>
                </c:pt>
                <c:pt idx="23">
                  <c:v>28199286.200000003</c:v>
                </c:pt>
                <c:pt idx="24">
                  <c:v>29685156.200000003</c:v>
                </c:pt>
                <c:pt idx="25">
                  <c:v>48451264</c:v>
                </c:pt>
                <c:pt idx="26">
                  <c:v>17895635.600000001</c:v>
                </c:pt>
                <c:pt idx="27">
                  <c:v>60001296.200000003</c:v>
                </c:pt>
                <c:pt idx="28">
                  <c:v>41976236.200000003</c:v>
                </c:pt>
                <c:pt idx="29">
                  <c:v>62014720</c:v>
                </c:pt>
                <c:pt idx="30">
                  <c:v>66545694.799999997</c:v>
                </c:pt>
                <c:pt idx="31">
                  <c:v>95835165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D1B6-45EB-8465-040162324433}"/>
            </c:ext>
          </c:extLst>
        </c:ser>
        <c:ser>
          <c:idx val="1"/>
          <c:order val="1"/>
          <c:tx>
            <c:v>2022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9148C8"/>
              </a:solidFill>
              <a:ln w="9525">
                <a:solidFill>
                  <a:srgbClr val="D1B2E8"/>
                </a:solidFill>
              </a:ln>
              <a:effectLst/>
            </c:spPr>
          </c:marker>
          <c:dLbls>
            <c:dLbl>
              <c:idx val="0"/>
              <c:tx>
                <c:strRef>
                  <c:f>'HOBO vs Production'!$A$34</c:f>
                  <c:strCache>
                    <c:ptCount val="1"/>
                    <c:pt idx="0">
                      <c:v>Jan-22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{0825213D-BA7A-47B8-A66B-1853F6AB5693}</c15:txfldGUID>
                      <c15:f>'HOBO vs Production'!$A$34</c15:f>
                      <c15:dlblFieldTableCache>
                        <c:ptCount val="1"/>
                        <c:pt idx="0">
                          <c:v>Jan-22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D1B6-45EB-8465-040162324433}"/>
                </c:ext>
              </c:extLst>
            </c:dLbl>
            <c:dLbl>
              <c:idx val="1"/>
              <c:tx>
                <c:strRef>
                  <c:f>'HOBO vs Production'!$A$35</c:f>
                  <c:strCache>
                    <c:ptCount val="1"/>
                    <c:pt idx="0">
                      <c:v>Feb-22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{2D611EF6-645C-4D7D-90F6-2B959C60DF7B}</c15:txfldGUID>
                      <c15:f>'HOBO vs Production'!$A$35</c15:f>
                      <c15:dlblFieldTableCache>
                        <c:ptCount val="1"/>
                        <c:pt idx="0">
                          <c:v>Feb-22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D1B6-45EB-8465-040162324433}"/>
                </c:ext>
              </c:extLst>
            </c:dLbl>
            <c:dLbl>
              <c:idx val="2"/>
              <c:tx>
                <c:strRef>
                  <c:f>'HOBO vs Production'!$A$36</c:f>
                  <c:strCache>
                    <c:ptCount val="1"/>
                    <c:pt idx="0">
                      <c:v>Mar-22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{F45C87FD-FD19-4018-814F-D6D2E9C8BDA9}</c15:txfldGUID>
                      <c15:f>'HOBO vs Production'!$A$36</c15:f>
                      <c15:dlblFieldTableCache>
                        <c:ptCount val="1"/>
                        <c:pt idx="0">
                          <c:v>Mar-22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D1B6-45EB-8465-040162324433}"/>
                </c:ext>
              </c:extLst>
            </c:dLbl>
            <c:dLbl>
              <c:idx val="3"/>
              <c:tx>
                <c:strRef>
                  <c:f>'HOBO vs Production'!$A$37</c:f>
                  <c:strCache>
                    <c:ptCount val="1"/>
                    <c:pt idx="0">
                      <c:v>Apr-22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{35B3E811-3E57-41A2-9F04-BA6D65F30B2C}</c15:txfldGUID>
                      <c15:f>'HOBO vs Production'!$A$37</c15:f>
                      <c15:dlblFieldTableCache>
                        <c:ptCount val="1"/>
                        <c:pt idx="0">
                          <c:v>Apr-22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D1B6-45EB-8465-040162324433}"/>
                </c:ext>
              </c:extLst>
            </c:dLbl>
            <c:dLbl>
              <c:idx val="4"/>
              <c:tx>
                <c:strRef>
                  <c:f>'HOBO vs Production'!$A$38</c:f>
                  <c:strCache>
                    <c:ptCount val="1"/>
                    <c:pt idx="0">
                      <c:v>May-22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{344CF346-3C7E-46AF-B06A-6FDC8D9370E7}</c15:txfldGUID>
                      <c15:f>'HOBO vs Production'!$A$38</c15:f>
                      <c15:dlblFieldTableCache>
                        <c:ptCount val="1"/>
                        <c:pt idx="0">
                          <c:v>May-22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D1B6-45EB-8465-040162324433}"/>
                </c:ext>
              </c:extLst>
            </c:dLbl>
            <c:dLbl>
              <c:idx val="5"/>
              <c:tx>
                <c:strRef>
                  <c:f>'HOBO vs Production'!$A$39</c:f>
                  <c:strCache>
                    <c:ptCount val="1"/>
                    <c:pt idx="0">
                      <c:v>Jun-22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{50471C82-E616-42D7-8BBF-D0BF3B023F2D}</c15:txfldGUID>
                      <c15:f>'HOBO vs Production'!$A$39</c15:f>
                      <c15:dlblFieldTableCache>
                        <c:ptCount val="1"/>
                        <c:pt idx="0">
                          <c:v>Jun-22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D1B6-45EB-8465-040162324433}"/>
                </c:ext>
              </c:extLst>
            </c:dLbl>
            <c:dLbl>
              <c:idx val="6"/>
              <c:tx>
                <c:strRef>
                  <c:f>'HOBO vs Production'!$A$40</c:f>
                  <c:strCache>
                    <c:ptCount val="1"/>
                    <c:pt idx="0">
                      <c:v>Jul-22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{9AD5B5F2-B62C-4EFB-8730-215512083A4E}</c15:txfldGUID>
                      <c15:f>'HOBO vs Production'!$A$40</c15:f>
                      <c15:dlblFieldTableCache>
                        <c:ptCount val="1"/>
                        <c:pt idx="0">
                          <c:v>Jul-22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D1B6-45EB-8465-040162324433}"/>
                </c:ext>
              </c:extLst>
            </c:dLbl>
            <c:dLbl>
              <c:idx val="7"/>
              <c:tx>
                <c:strRef>
                  <c:f>'HOBO vs Production'!$A$41</c:f>
                  <c:strCache>
                    <c:ptCount val="1"/>
                    <c:pt idx="0">
                      <c:v>Aug-22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{92C2A741-C962-418E-927F-01CE0BA46C29}</c15:txfldGUID>
                      <c15:f>'HOBO vs Production'!$A$41</c15:f>
                      <c15:dlblFieldTableCache>
                        <c:ptCount val="1"/>
                        <c:pt idx="0">
                          <c:v>Aug-22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D1B6-45EB-8465-040162324433}"/>
                </c:ext>
              </c:extLst>
            </c:dLbl>
            <c:dLbl>
              <c:idx val="8"/>
              <c:tx>
                <c:strRef>
                  <c:f>'HOBO vs Production'!$A$42</c:f>
                  <c:strCache>
                    <c:ptCount val="1"/>
                    <c:pt idx="0">
                      <c:v>Sep-22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{EC2E3FCF-0B41-4725-8983-E8F662AF0B58}</c15:txfldGUID>
                      <c15:f>'HOBO vs Production'!$A$42</c15:f>
                      <c15:dlblFieldTableCache>
                        <c:ptCount val="1"/>
                        <c:pt idx="0">
                          <c:v>Sep-22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D1B6-45EB-8465-040162324433}"/>
                </c:ext>
              </c:extLst>
            </c:dLbl>
            <c:dLbl>
              <c:idx val="9"/>
              <c:tx>
                <c:strRef>
                  <c:f>'HOBO vs Production'!$A$43</c:f>
                  <c:strCache>
                    <c:ptCount val="1"/>
                    <c:pt idx="0">
                      <c:v>Oct-22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{AE976B82-7581-4800-9A5F-ED3E790E3D5A}</c15:txfldGUID>
                      <c15:f>'HOBO vs Production'!$A$43</c15:f>
                      <c15:dlblFieldTableCache>
                        <c:ptCount val="1"/>
                        <c:pt idx="0">
                          <c:v>Oct-22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D1B6-45EB-8465-040162324433}"/>
                </c:ext>
              </c:extLst>
            </c:dLbl>
            <c:dLbl>
              <c:idx val="10"/>
              <c:tx>
                <c:strRef>
                  <c:f>'HOBO vs Production'!$A$44</c:f>
                  <c:strCache>
                    <c:ptCount val="1"/>
                    <c:pt idx="0">
                      <c:v>Nov-22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{67EE1771-DD49-423B-82F4-B6AFA7F267E1}</c15:txfldGUID>
                      <c15:f>'HOBO vs Production'!$A$44</c15:f>
                      <c15:dlblFieldTableCache>
                        <c:ptCount val="1"/>
                        <c:pt idx="0">
                          <c:v>Nov-22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D1B6-45EB-8465-040162324433}"/>
                </c:ext>
              </c:extLst>
            </c:dLbl>
            <c:dLbl>
              <c:idx val="11"/>
              <c:tx>
                <c:strRef>
                  <c:f>'HOBO vs Production'!$A$45</c:f>
                  <c:strCache>
                    <c:ptCount val="1"/>
                    <c:pt idx="0">
                      <c:v>Dec-22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{6221FA1D-1557-45B0-AC15-AA00C8F008B7}</c15:txfldGUID>
                      <c15:f>'HOBO vs Production'!$A$45</c15:f>
                      <c15:dlblFieldTableCache>
                        <c:ptCount val="1"/>
                        <c:pt idx="0">
                          <c:v>Dec-22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D1B6-45EB-8465-0401623244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9148C8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9148C8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'HOBO vs Production'!$J$34:$J$45</c:f>
              <c:numCache>
                <c:formatCode>0.00</c:formatCode>
                <c:ptCount val="12"/>
                <c:pt idx="0">
                  <c:v>-0.58431399999999978</c:v>
                </c:pt>
                <c:pt idx="1">
                  <c:v>-0.84151031578947388</c:v>
                </c:pt>
                <c:pt idx="2">
                  <c:v>-0.44536852173913055</c:v>
                </c:pt>
                <c:pt idx="3">
                  <c:v>-0.53769599999999995</c:v>
                </c:pt>
                <c:pt idx="4">
                  <c:v>-0.67661047619047587</c:v>
                </c:pt>
                <c:pt idx="5">
                  <c:v>0.16745761904761891</c:v>
                </c:pt>
                <c:pt idx="6">
                  <c:v>0.72873799999999989</c:v>
                </c:pt>
                <c:pt idx="7">
                  <c:v>0.26159760869565218</c:v>
                </c:pt>
                <c:pt idx="8">
                  <c:v>0.20324952380952377</c:v>
                </c:pt>
                <c:pt idx="9">
                  <c:v>0.41929761904761897</c:v>
                </c:pt>
                <c:pt idx="10">
                  <c:v>-0.35834485714285691</c:v>
                </c:pt>
                <c:pt idx="11">
                  <c:v>-6.7539523809523772E-2</c:v>
                </c:pt>
              </c:numCache>
            </c:numRef>
          </c:xVal>
          <c:yVal>
            <c:numRef>
              <c:f>'HOBO vs Production'!$N$34:$N$45</c:f>
              <c:numCache>
                <c:formatCode>#,##0_);[Red]\(#,##0\)</c:formatCode>
                <c:ptCount val="12"/>
                <c:pt idx="0">
                  <c:v>121692397</c:v>
                </c:pt>
                <c:pt idx="1">
                  <c:v>131671445</c:v>
                </c:pt>
                <c:pt idx="2">
                  <c:v>150541927</c:v>
                </c:pt>
                <c:pt idx="3">
                  <c:v>147920550</c:v>
                </c:pt>
                <c:pt idx="4">
                  <c:v>180869468</c:v>
                </c:pt>
                <c:pt idx="5">
                  <c:v>154126522</c:v>
                </c:pt>
                <c:pt idx="6">
                  <c:v>128058899</c:v>
                </c:pt>
                <c:pt idx="7">
                  <c:v>143340284</c:v>
                </c:pt>
                <c:pt idx="8">
                  <c:v>165201806</c:v>
                </c:pt>
                <c:pt idx="9">
                  <c:v>151498690</c:v>
                </c:pt>
                <c:pt idx="10">
                  <c:v>198800014</c:v>
                </c:pt>
                <c:pt idx="11">
                  <c:v>194157620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D1B6-45EB-8465-040162324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5324656"/>
        <c:axId val="1185318424"/>
      </c:scatterChart>
      <c:valAx>
        <c:axId val="118532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HOBO Spread - RIN Value ($ per gallon)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85318424"/>
        <c:crosses val="autoZero"/>
        <c:crossBetween val="midCat"/>
      </c:valAx>
      <c:valAx>
        <c:axId val="1185318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Domestic</a:t>
                </a:r>
                <a:r>
                  <a:rPr lang="en-US" sz="1200" baseline="0"/>
                  <a:t> Production + Foreign Generation - 5 Year Avg (gallons)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85324656"/>
        <c:crosses val="autoZero"/>
        <c:crossBetween val="midCat"/>
      </c:valAx>
      <c:spPr>
        <a:noFill/>
        <a:ln>
          <a:solidFill>
            <a:srgbClr val="9148C8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RIN Prices - HOBO Spread vs Excess Biodiesel Supply</a:t>
            </a:r>
          </a:p>
          <a:p>
            <a:pPr>
              <a:defRPr sz="2800" b="1">
                <a:solidFill>
                  <a:sysClr val="windowText" lastClr="000000"/>
                </a:solidFill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(domestic production + imports)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Pre-2023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148C8"/>
              </a:solidFill>
              <a:ln w="9525">
                <a:solidFill>
                  <a:srgbClr val="9148C8"/>
                </a:solidFill>
              </a:ln>
              <a:effectLst/>
            </c:spPr>
          </c:marker>
          <c:dPt>
            <c:idx val="22"/>
            <c:marker>
              <c:symbol val="circle"/>
              <c:size val="5"/>
              <c:spPr>
                <a:solidFill>
                  <a:srgbClr val="9148C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FF6-4647-8D8C-E825636FB955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rgbClr val="9148C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FF6-4647-8D8C-E825636FB955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rgbClr val="9148C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FF6-4647-8D8C-E825636FB955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rgbClr val="9148C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FF6-4647-8D8C-E825636FB955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rgbClr val="9148C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FF6-4647-8D8C-E825636FB955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rgbClr val="9148C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BFF6-4647-8D8C-E825636FB955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rgbClr val="9148C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BFF6-4647-8D8C-E825636FB955}"/>
              </c:ext>
            </c:extLst>
          </c:dPt>
          <c:dPt>
            <c:idx val="29"/>
            <c:marker>
              <c:symbol val="circle"/>
              <c:size val="5"/>
              <c:spPr>
                <a:solidFill>
                  <a:srgbClr val="9148C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BFF6-4647-8D8C-E825636FB955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rgbClr val="9148C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BFF6-4647-8D8C-E825636FB955}"/>
              </c:ext>
            </c:extLst>
          </c:dPt>
          <c:dPt>
            <c:idx val="31"/>
            <c:marker>
              <c:symbol val="circle"/>
              <c:size val="5"/>
              <c:spPr>
                <a:solidFill>
                  <a:srgbClr val="9148C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BFF6-4647-8D8C-E825636FB955}"/>
              </c:ext>
            </c:extLst>
          </c:dPt>
          <c:dLbls>
            <c:dLbl>
              <c:idx val="0"/>
              <c:tx>
                <c:strRef>
                  <c:f>'HOBO vs Production'!$A$2</c:f>
                  <c:strCache>
                    <c:ptCount val="1"/>
                    <c:pt idx="0">
                      <c:v>May-19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{98FE1918-2C41-43D2-A2B7-F1C56D10904B}</c15:txfldGUID>
                      <c15:f>'HOBO vs Production'!$A$2</c15:f>
                      <c15:dlblFieldTableCache>
                        <c:ptCount val="1"/>
                        <c:pt idx="0">
                          <c:v>May-19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BFF6-4647-8D8C-E825636FB955}"/>
                </c:ext>
              </c:extLst>
            </c:dLbl>
            <c:dLbl>
              <c:idx val="1"/>
              <c:tx>
                <c:strRef>
                  <c:f>'HOBO vs Production'!$A$3</c:f>
                  <c:strCache>
                    <c:ptCount val="1"/>
                    <c:pt idx="0">
                      <c:v>Jun-19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{87123DFB-CB7D-464C-8484-87060A52C36A}</c15:txfldGUID>
                      <c15:f>'HOBO vs Production'!$A$3</c15:f>
                      <c15:dlblFieldTableCache>
                        <c:ptCount val="1"/>
                        <c:pt idx="0">
                          <c:v>Jun-19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BFF6-4647-8D8C-E825636FB955}"/>
                </c:ext>
              </c:extLst>
            </c:dLbl>
            <c:dLbl>
              <c:idx val="2"/>
              <c:tx>
                <c:strRef>
                  <c:f>'HOBO vs Production'!$A$4</c:f>
                  <c:strCache>
                    <c:ptCount val="1"/>
                    <c:pt idx="0">
                      <c:v>Jul-19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{524A2791-F259-449A-BE6C-E8D0B3D5A8D6}</c15:txfldGUID>
                      <c15:f>'HOBO vs Production'!$A$4</c15:f>
                      <c15:dlblFieldTableCache>
                        <c:ptCount val="1"/>
                        <c:pt idx="0">
                          <c:v>Jul-19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BFF6-4647-8D8C-E825636FB955}"/>
                </c:ext>
              </c:extLst>
            </c:dLbl>
            <c:dLbl>
              <c:idx val="3"/>
              <c:tx>
                <c:strRef>
                  <c:f>'HOBO vs Production'!$A$5</c:f>
                  <c:strCache>
                    <c:ptCount val="1"/>
                    <c:pt idx="0">
                      <c:v>Aug-19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{7E9BBBF2-39CA-48AD-BF9A-B0E839D4A759}</c15:txfldGUID>
                      <c15:f>'HOBO vs Production'!$A$5</c15:f>
                      <c15:dlblFieldTableCache>
                        <c:ptCount val="1"/>
                        <c:pt idx="0">
                          <c:v>Aug-19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BFF6-4647-8D8C-E825636FB955}"/>
                </c:ext>
              </c:extLst>
            </c:dLbl>
            <c:dLbl>
              <c:idx val="4"/>
              <c:tx>
                <c:strRef>
                  <c:f>'HOBO vs Production'!$A$6</c:f>
                  <c:strCache>
                    <c:ptCount val="1"/>
                    <c:pt idx="0">
                      <c:v>Sep-19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{2755C8DB-1175-4A2D-945E-D18DD8D12B09}</c15:txfldGUID>
                      <c15:f>'HOBO vs Production'!$A$6</c15:f>
                      <c15:dlblFieldTableCache>
                        <c:ptCount val="1"/>
                        <c:pt idx="0">
                          <c:v>Sep-19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BFF6-4647-8D8C-E825636FB955}"/>
                </c:ext>
              </c:extLst>
            </c:dLbl>
            <c:dLbl>
              <c:idx val="5"/>
              <c:tx>
                <c:strRef>
                  <c:f>'HOBO vs Production'!$A$7</c:f>
                  <c:strCache>
                    <c:ptCount val="1"/>
                    <c:pt idx="0">
                      <c:v>Oct-19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{31B7C623-B705-4EB1-9B0B-F056B22C4745}</c15:txfldGUID>
                      <c15:f>'HOBO vs Production'!$A$7</c15:f>
                      <c15:dlblFieldTableCache>
                        <c:ptCount val="1"/>
                        <c:pt idx="0">
                          <c:v>Oct-19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BFF6-4647-8D8C-E825636FB955}"/>
                </c:ext>
              </c:extLst>
            </c:dLbl>
            <c:dLbl>
              <c:idx val="6"/>
              <c:tx>
                <c:strRef>
                  <c:f>'HOBO vs Production'!$A$8</c:f>
                  <c:strCache>
                    <c:ptCount val="1"/>
                    <c:pt idx="0">
                      <c:v>Nov-19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{665CD9DB-5D8B-4DE8-8B12-E72D0BC0E585}</c15:txfldGUID>
                      <c15:f>'HOBO vs Production'!$A$8</c15:f>
                      <c15:dlblFieldTableCache>
                        <c:ptCount val="1"/>
                        <c:pt idx="0">
                          <c:v>Nov-19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BFF6-4647-8D8C-E825636FB955}"/>
                </c:ext>
              </c:extLst>
            </c:dLbl>
            <c:dLbl>
              <c:idx val="7"/>
              <c:tx>
                <c:strRef>
                  <c:f>'HOBO vs Production'!$A$9</c:f>
                  <c:strCache>
                    <c:ptCount val="1"/>
                    <c:pt idx="0">
                      <c:v>Dec-19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{F41DA9F1-2161-405A-BCCC-60DF823A41F4}</c15:txfldGUID>
                      <c15:f>'HOBO vs Production'!$A$9</c15:f>
                      <c15:dlblFieldTableCache>
                        <c:ptCount val="1"/>
                        <c:pt idx="0">
                          <c:v>Dec-19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BFF6-4647-8D8C-E825636FB955}"/>
                </c:ext>
              </c:extLst>
            </c:dLbl>
            <c:dLbl>
              <c:idx val="8"/>
              <c:tx>
                <c:strRef>
                  <c:f>'HOBO vs Production'!$A$10</c:f>
                  <c:strCache>
                    <c:ptCount val="1"/>
                    <c:pt idx="0">
                      <c:v>Jan-20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{6A408431-269B-44B6-9159-2609F0938807}</c15:txfldGUID>
                      <c15:f>'HOBO vs Production'!$A$10</c15:f>
                      <c15:dlblFieldTableCache>
                        <c:ptCount val="1"/>
                        <c:pt idx="0">
                          <c:v>Jan-20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BFF6-4647-8D8C-E825636FB955}"/>
                </c:ext>
              </c:extLst>
            </c:dLbl>
            <c:dLbl>
              <c:idx val="9"/>
              <c:tx>
                <c:strRef>
                  <c:f>'HOBO vs Production'!$A$11</c:f>
                  <c:strCache>
                    <c:ptCount val="1"/>
                    <c:pt idx="0">
                      <c:v>Feb-20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{4C8D5CA4-AA56-41B7-A846-5E4E95B2CAA4}</c15:txfldGUID>
                      <c15:f>'HOBO vs Production'!$A$11</c15:f>
                      <c15:dlblFieldTableCache>
                        <c:ptCount val="1"/>
                        <c:pt idx="0">
                          <c:v>Feb-20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BFF6-4647-8D8C-E825636FB955}"/>
                </c:ext>
              </c:extLst>
            </c:dLbl>
            <c:dLbl>
              <c:idx val="10"/>
              <c:tx>
                <c:strRef>
                  <c:f>'HOBO vs Production'!$A$12</c:f>
                  <c:strCache>
                    <c:ptCount val="1"/>
                    <c:pt idx="0">
                      <c:v>Mar-20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{20AF4681-5E5E-4637-8FA1-C7BA66B841D5}</c15:txfldGUID>
                      <c15:f>'HOBO vs Production'!$A$12</c15:f>
                      <c15:dlblFieldTableCache>
                        <c:ptCount val="1"/>
                        <c:pt idx="0">
                          <c:v>Mar-20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BFF6-4647-8D8C-E825636FB955}"/>
                </c:ext>
              </c:extLst>
            </c:dLbl>
            <c:dLbl>
              <c:idx val="11"/>
              <c:tx>
                <c:strRef>
                  <c:f>'HOBO vs Production'!$A$13</c:f>
                  <c:strCache>
                    <c:ptCount val="1"/>
                    <c:pt idx="0">
                      <c:v>Apr-20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{FB9ED668-2BF7-4BA3-9332-067B4224D2CF}</c15:txfldGUID>
                      <c15:f>'HOBO vs Production'!$A$13</c15:f>
                      <c15:dlblFieldTableCache>
                        <c:ptCount val="1"/>
                        <c:pt idx="0">
                          <c:v>Apr-20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BFF6-4647-8D8C-E825636FB955}"/>
                </c:ext>
              </c:extLst>
            </c:dLbl>
            <c:dLbl>
              <c:idx val="12"/>
              <c:tx>
                <c:strRef>
                  <c:f>'HOBO vs Production'!$A$14</c:f>
                  <c:strCache>
                    <c:ptCount val="1"/>
                    <c:pt idx="0">
                      <c:v>May-20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{03C5C4E7-47EF-4DC6-A2E1-2F9924DED563}</c15:txfldGUID>
                      <c15:f>'HOBO vs Production'!$A$14</c15:f>
                      <c15:dlblFieldTableCache>
                        <c:ptCount val="1"/>
                        <c:pt idx="0">
                          <c:v>May-20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BFF6-4647-8D8C-E825636FB955}"/>
                </c:ext>
              </c:extLst>
            </c:dLbl>
            <c:dLbl>
              <c:idx val="13"/>
              <c:tx>
                <c:strRef>
                  <c:f>'HOBO vs Production'!$A$15</c:f>
                  <c:strCache>
                    <c:ptCount val="1"/>
                    <c:pt idx="0">
                      <c:v>Jun-20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{B1805AE4-9AAB-4032-9BE9-C8BAA3066F4E}</c15:txfldGUID>
                      <c15:f>'HOBO vs Production'!$A$15</c15:f>
                      <c15:dlblFieldTableCache>
                        <c:ptCount val="1"/>
                        <c:pt idx="0">
                          <c:v>Jun-20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BFF6-4647-8D8C-E825636FB955}"/>
                </c:ext>
              </c:extLst>
            </c:dLbl>
            <c:dLbl>
              <c:idx val="14"/>
              <c:tx>
                <c:strRef>
                  <c:f>'HOBO vs Production'!$A$16</c:f>
                  <c:strCache>
                    <c:ptCount val="1"/>
                    <c:pt idx="0">
                      <c:v>Jul-20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{943F0BD7-F9AA-43F2-8225-D6FA728F6277}</c15:txfldGUID>
                      <c15:f>'HOBO vs Production'!$A$16</c15:f>
                      <c15:dlblFieldTableCache>
                        <c:ptCount val="1"/>
                        <c:pt idx="0">
                          <c:v>Jul-20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BFF6-4647-8D8C-E825636FB955}"/>
                </c:ext>
              </c:extLst>
            </c:dLbl>
            <c:dLbl>
              <c:idx val="15"/>
              <c:tx>
                <c:strRef>
                  <c:f>'HOBO vs Production'!$A$17</c:f>
                  <c:strCache>
                    <c:ptCount val="1"/>
                    <c:pt idx="0">
                      <c:v>Aug-20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{AD5526DF-6158-4DE6-8515-7ACDDA455E80}</c15:txfldGUID>
                      <c15:f>'HOBO vs Production'!$A$17</c15:f>
                      <c15:dlblFieldTableCache>
                        <c:ptCount val="1"/>
                        <c:pt idx="0">
                          <c:v>Aug-20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BFF6-4647-8D8C-E825636FB955}"/>
                </c:ext>
              </c:extLst>
            </c:dLbl>
            <c:dLbl>
              <c:idx val="16"/>
              <c:tx>
                <c:strRef>
                  <c:f>'HOBO vs Production'!$A$18</c:f>
                  <c:strCache>
                    <c:ptCount val="1"/>
                    <c:pt idx="0">
                      <c:v>Sep-20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{011C5A2F-AD88-43B4-9273-4A5E69CD4ED2}</c15:txfldGUID>
                      <c15:f>'HOBO vs Production'!$A$18</c15:f>
                      <c15:dlblFieldTableCache>
                        <c:ptCount val="1"/>
                        <c:pt idx="0">
                          <c:v>Sep-20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BFF6-4647-8D8C-E825636FB955}"/>
                </c:ext>
              </c:extLst>
            </c:dLbl>
            <c:dLbl>
              <c:idx val="17"/>
              <c:tx>
                <c:strRef>
                  <c:f>'HOBO vs Production'!$A$19</c:f>
                  <c:strCache>
                    <c:ptCount val="1"/>
                    <c:pt idx="0">
                      <c:v>Oct-20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{6F012DC5-DF3F-4B0E-B3E0-703CA3512614}</c15:txfldGUID>
                      <c15:f>'HOBO vs Production'!$A$19</c15:f>
                      <c15:dlblFieldTableCache>
                        <c:ptCount val="1"/>
                        <c:pt idx="0">
                          <c:v>Oct-20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BFF6-4647-8D8C-E825636FB955}"/>
                </c:ext>
              </c:extLst>
            </c:dLbl>
            <c:dLbl>
              <c:idx val="18"/>
              <c:tx>
                <c:strRef>
                  <c:f>'HOBO vs Production'!$A$20</c:f>
                  <c:strCache>
                    <c:ptCount val="1"/>
                    <c:pt idx="0">
                      <c:v>Nov-20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{D4962B7B-9E14-433C-874D-89F765ED150F}</c15:txfldGUID>
                      <c15:f>'HOBO vs Production'!$A$20</c15:f>
                      <c15:dlblFieldTableCache>
                        <c:ptCount val="1"/>
                        <c:pt idx="0">
                          <c:v>Nov-20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BFF6-4647-8D8C-E825636FB955}"/>
                </c:ext>
              </c:extLst>
            </c:dLbl>
            <c:dLbl>
              <c:idx val="19"/>
              <c:tx>
                <c:strRef>
                  <c:f>'HOBO vs Production'!$A$21</c:f>
                  <c:strCache>
                    <c:ptCount val="1"/>
                    <c:pt idx="0">
                      <c:v>Dec-20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{4731C129-53EB-462B-AEA2-EFE6E94672DE}</c15:txfldGUID>
                      <c15:f>'HOBO vs Production'!$A$21</c15:f>
                      <c15:dlblFieldTableCache>
                        <c:ptCount val="1"/>
                        <c:pt idx="0">
                          <c:v>Dec-20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BFF6-4647-8D8C-E825636FB955}"/>
                </c:ext>
              </c:extLst>
            </c:dLbl>
            <c:dLbl>
              <c:idx val="20"/>
              <c:tx>
                <c:strRef>
                  <c:f>'HOBO vs Production'!$A$22</c:f>
                  <c:strCache>
                    <c:ptCount val="1"/>
                    <c:pt idx="0">
                      <c:v>Jan-21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{131B69B5-31EC-43CB-B9DE-2B205096FCF6}</c15:txfldGUID>
                      <c15:f>'HOBO vs Production'!$A$22</c15:f>
                      <c15:dlblFieldTableCache>
                        <c:ptCount val="1"/>
                        <c:pt idx="0">
                          <c:v>Jan-21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BFF6-4647-8D8C-E825636FB955}"/>
                </c:ext>
              </c:extLst>
            </c:dLbl>
            <c:dLbl>
              <c:idx val="21"/>
              <c:tx>
                <c:strRef>
                  <c:f>'HOBO vs Production'!$A$23</c:f>
                  <c:strCache>
                    <c:ptCount val="1"/>
                    <c:pt idx="0">
                      <c:v>Feb-21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{4BBE8824-9BD6-4A0E-A1DF-30A303B9851C}</c15:txfldGUID>
                      <c15:f>'HOBO vs Production'!$A$23</c15:f>
                      <c15:dlblFieldTableCache>
                        <c:ptCount val="1"/>
                        <c:pt idx="0">
                          <c:v>Feb-21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BFF6-4647-8D8C-E825636FB955}"/>
                </c:ext>
              </c:extLst>
            </c:dLbl>
            <c:dLbl>
              <c:idx val="22"/>
              <c:tx>
                <c:strRef>
                  <c:f>'HOBO vs Production'!$A$24</c:f>
                  <c:strCache>
                    <c:ptCount val="1"/>
                    <c:pt idx="0">
                      <c:v>Mar-21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{B8C69EF4-94FE-4ADB-9D96-47FA9044F2BB}</c15:txfldGUID>
                      <c15:f>'HOBO vs Production'!$A$24</c15:f>
                      <c15:dlblFieldTableCache>
                        <c:ptCount val="1"/>
                        <c:pt idx="0">
                          <c:v>Mar-21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BFF6-4647-8D8C-E825636FB955}"/>
                </c:ext>
              </c:extLst>
            </c:dLbl>
            <c:dLbl>
              <c:idx val="23"/>
              <c:tx>
                <c:strRef>
                  <c:f>'HOBO vs Production'!$A$25</c:f>
                  <c:strCache>
                    <c:ptCount val="1"/>
                    <c:pt idx="0">
                      <c:v>Apr-21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{E0E28E3D-7BCC-4DD7-92DE-272B62EC992A}</c15:txfldGUID>
                      <c15:f>'HOBO vs Production'!$A$25</c15:f>
                      <c15:dlblFieldTableCache>
                        <c:ptCount val="1"/>
                        <c:pt idx="0">
                          <c:v>Apr-21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BFF6-4647-8D8C-E825636FB955}"/>
                </c:ext>
              </c:extLst>
            </c:dLbl>
            <c:dLbl>
              <c:idx val="24"/>
              <c:tx>
                <c:strRef>
                  <c:f>'HOBO vs Production'!$A$26</c:f>
                  <c:strCache>
                    <c:ptCount val="1"/>
                    <c:pt idx="0">
                      <c:v>May-21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{F85850DE-1A2F-4DF2-AA67-37FFC61FCA6D}</c15:txfldGUID>
                      <c15:f>'HOBO vs Production'!$A$26</c15:f>
                      <c15:dlblFieldTableCache>
                        <c:ptCount val="1"/>
                        <c:pt idx="0">
                          <c:v>May-21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BFF6-4647-8D8C-E825636FB955}"/>
                </c:ext>
              </c:extLst>
            </c:dLbl>
            <c:dLbl>
              <c:idx val="25"/>
              <c:tx>
                <c:strRef>
                  <c:f>'HOBO vs Production'!$A$27</c:f>
                  <c:strCache>
                    <c:ptCount val="1"/>
                    <c:pt idx="0">
                      <c:v>Jun-21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{2C9610CB-14F9-41BB-B36F-06C1D4C78296}</c15:txfldGUID>
                      <c15:f>'HOBO vs Production'!$A$27</c15:f>
                      <c15:dlblFieldTableCache>
                        <c:ptCount val="1"/>
                        <c:pt idx="0">
                          <c:v>Jun-21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BFF6-4647-8D8C-E825636FB955}"/>
                </c:ext>
              </c:extLst>
            </c:dLbl>
            <c:dLbl>
              <c:idx val="26"/>
              <c:tx>
                <c:strRef>
                  <c:f>'HOBO vs Production'!$A$28</c:f>
                  <c:strCache>
                    <c:ptCount val="1"/>
                    <c:pt idx="0">
                      <c:v>Jul-21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{B437BA70-CA7A-471C-B150-757896066A5A}</c15:txfldGUID>
                      <c15:f>'HOBO vs Production'!$A$28</c15:f>
                      <c15:dlblFieldTableCache>
                        <c:ptCount val="1"/>
                        <c:pt idx="0">
                          <c:v>Jul-21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BFF6-4647-8D8C-E825636FB955}"/>
                </c:ext>
              </c:extLst>
            </c:dLbl>
            <c:dLbl>
              <c:idx val="27"/>
              <c:tx>
                <c:strRef>
                  <c:f>'HOBO vs Production'!$A$29</c:f>
                  <c:strCache>
                    <c:ptCount val="1"/>
                    <c:pt idx="0">
                      <c:v>Aug-21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{57EA5523-3B56-4AB2-8FBB-3FD78CA26E3A}</c15:txfldGUID>
                      <c15:f>'HOBO vs Production'!$A$29</c15:f>
                      <c15:dlblFieldTableCache>
                        <c:ptCount val="1"/>
                        <c:pt idx="0">
                          <c:v>Aug-21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BFF6-4647-8D8C-E825636FB955}"/>
                </c:ext>
              </c:extLst>
            </c:dLbl>
            <c:dLbl>
              <c:idx val="28"/>
              <c:tx>
                <c:strRef>
                  <c:f>'HOBO vs Production'!$A$30</c:f>
                  <c:strCache>
                    <c:ptCount val="1"/>
                    <c:pt idx="0">
                      <c:v>Sep-21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{15E6D18B-B2CE-4467-81B1-035FC8EF1F4E}</c15:txfldGUID>
                      <c15:f>'HOBO vs Production'!$A$30</c15:f>
                      <c15:dlblFieldTableCache>
                        <c:ptCount val="1"/>
                        <c:pt idx="0">
                          <c:v>Sep-21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BFF6-4647-8D8C-E825636FB955}"/>
                </c:ext>
              </c:extLst>
            </c:dLbl>
            <c:dLbl>
              <c:idx val="29"/>
              <c:tx>
                <c:strRef>
                  <c:f>'HOBO vs Production'!$A$31</c:f>
                  <c:strCache>
                    <c:ptCount val="1"/>
                    <c:pt idx="0">
                      <c:v>Oct-21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{C8CF4C46-A3C4-48EF-A92E-F9F7A35559D1}</c15:txfldGUID>
                      <c15:f>'HOBO vs Production'!$A$31</c15:f>
                      <c15:dlblFieldTableCache>
                        <c:ptCount val="1"/>
                        <c:pt idx="0">
                          <c:v>Oct-21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BFF6-4647-8D8C-E825636FB955}"/>
                </c:ext>
              </c:extLst>
            </c:dLbl>
            <c:dLbl>
              <c:idx val="30"/>
              <c:tx>
                <c:strRef>
                  <c:f>'HOBO vs Production'!$A$32</c:f>
                  <c:strCache>
                    <c:ptCount val="1"/>
                    <c:pt idx="0">
                      <c:v>Nov-21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{CAE9B8E7-14CD-45B3-BB8F-F274821FD11B}</c15:txfldGUID>
                      <c15:f>'HOBO vs Production'!$A$32</c15:f>
                      <c15:dlblFieldTableCache>
                        <c:ptCount val="1"/>
                        <c:pt idx="0">
                          <c:v>Nov-21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BFF6-4647-8D8C-E825636FB955}"/>
                </c:ext>
              </c:extLst>
            </c:dLbl>
            <c:dLbl>
              <c:idx val="31"/>
              <c:tx>
                <c:strRef>
                  <c:f>'HOBO vs Production'!$A$33</c:f>
                  <c:strCache>
                    <c:ptCount val="1"/>
                    <c:pt idx="0">
                      <c:v>Dec-21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{A5F9C498-B134-446C-B0D7-2B9968A8659C}</c15:txfldGUID>
                      <c15:f>'HOBO vs Production'!$A$33</c15:f>
                      <c15:dlblFieldTableCache>
                        <c:ptCount val="1"/>
                        <c:pt idx="0">
                          <c:v>Dec-21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BFF6-4647-8D8C-E825636FB955}"/>
                </c:ext>
              </c:extLst>
            </c:dLbl>
            <c:dLbl>
              <c:idx val="32"/>
              <c:tx>
                <c:strRef>
                  <c:f>'HOBO vs Production'!$A$34</c:f>
                  <c:strCache>
                    <c:ptCount val="1"/>
                    <c:pt idx="0">
                      <c:v>Jan-22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{6FC16983-B3C7-4BCC-B1EE-ADBDB7D4D6C6}</c15:txfldGUID>
                      <c15:f>'HOBO vs Production'!$A$34</c15:f>
                      <c15:dlblFieldTableCache>
                        <c:ptCount val="1"/>
                        <c:pt idx="0">
                          <c:v>Jan-22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BFF6-4647-8D8C-E825636FB955}"/>
                </c:ext>
              </c:extLst>
            </c:dLbl>
            <c:dLbl>
              <c:idx val="33"/>
              <c:tx>
                <c:strRef>
                  <c:f>'HOBO vs Production'!$A$35</c:f>
                  <c:strCache>
                    <c:ptCount val="1"/>
                    <c:pt idx="0">
                      <c:v>Feb-22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{57E64FE4-8D74-46C3-81CB-F805F7CF0703}</c15:txfldGUID>
                      <c15:f>'HOBO vs Production'!$A$35</c15:f>
                      <c15:dlblFieldTableCache>
                        <c:ptCount val="1"/>
                        <c:pt idx="0">
                          <c:v>Feb-22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BFF6-4647-8D8C-E825636FB955}"/>
                </c:ext>
              </c:extLst>
            </c:dLbl>
            <c:dLbl>
              <c:idx val="34"/>
              <c:tx>
                <c:strRef>
                  <c:f>'HOBO vs Production'!$A$36</c:f>
                  <c:strCache>
                    <c:ptCount val="1"/>
                    <c:pt idx="0">
                      <c:v>Mar-22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{B20AB2BA-2C02-4705-967E-A1F79549CE34}</c15:txfldGUID>
                      <c15:f>'HOBO vs Production'!$A$36</c15:f>
                      <c15:dlblFieldTableCache>
                        <c:ptCount val="1"/>
                        <c:pt idx="0">
                          <c:v>Mar-22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BFF6-4647-8D8C-E825636FB955}"/>
                </c:ext>
              </c:extLst>
            </c:dLbl>
            <c:dLbl>
              <c:idx val="35"/>
              <c:tx>
                <c:strRef>
                  <c:f>'HOBO vs Production'!$A$37</c:f>
                  <c:strCache>
                    <c:ptCount val="1"/>
                    <c:pt idx="0">
                      <c:v>Apr-22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{5AD8B81D-1DFA-4372-80C8-0F48214D7626}</c15:txfldGUID>
                      <c15:f>'HOBO vs Production'!$A$37</c15:f>
                      <c15:dlblFieldTableCache>
                        <c:ptCount val="1"/>
                        <c:pt idx="0">
                          <c:v>Apr-22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BFF6-4647-8D8C-E825636FB955}"/>
                </c:ext>
              </c:extLst>
            </c:dLbl>
            <c:dLbl>
              <c:idx val="36"/>
              <c:tx>
                <c:strRef>
                  <c:f>'HOBO vs Production'!$A$38</c:f>
                  <c:strCache>
                    <c:ptCount val="1"/>
                    <c:pt idx="0">
                      <c:v>May-22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{AEE8B125-DC9F-4DD9-BB77-07629801BF10}</c15:txfldGUID>
                      <c15:f>'HOBO vs Production'!$A$38</c15:f>
                      <c15:dlblFieldTableCache>
                        <c:ptCount val="1"/>
                        <c:pt idx="0">
                          <c:v>May-22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BFF6-4647-8D8C-E825636FB955}"/>
                </c:ext>
              </c:extLst>
            </c:dLbl>
            <c:dLbl>
              <c:idx val="37"/>
              <c:tx>
                <c:strRef>
                  <c:f>'HOBO vs Production'!$A$39</c:f>
                  <c:strCache>
                    <c:ptCount val="1"/>
                    <c:pt idx="0">
                      <c:v>Jun-22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{DD6EF091-60AE-45E5-AA51-C110A9976AE5}</c15:txfldGUID>
                      <c15:f>'HOBO vs Production'!$A$39</c15:f>
                      <c15:dlblFieldTableCache>
                        <c:ptCount val="1"/>
                        <c:pt idx="0">
                          <c:v>Jun-22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BFF6-4647-8D8C-E825636FB955}"/>
                </c:ext>
              </c:extLst>
            </c:dLbl>
            <c:dLbl>
              <c:idx val="38"/>
              <c:tx>
                <c:strRef>
                  <c:f>'HOBO vs Production'!$A$40</c:f>
                  <c:strCache>
                    <c:ptCount val="1"/>
                    <c:pt idx="0">
                      <c:v>Jul-22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{74F289AA-671F-4E4F-9186-4A8FA64DB17B}</c15:txfldGUID>
                      <c15:f>'HOBO vs Production'!$A$40</c15:f>
                      <c15:dlblFieldTableCache>
                        <c:ptCount val="1"/>
                        <c:pt idx="0">
                          <c:v>Jul-22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BFF6-4647-8D8C-E825636FB955}"/>
                </c:ext>
              </c:extLst>
            </c:dLbl>
            <c:dLbl>
              <c:idx val="39"/>
              <c:tx>
                <c:strRef>
                  <c:f>'HOBO vs Production'!$A$41</c:f>
                  <c:strCache>
                    <c:ptCount val="1"/>
                    <c:pt idx="0">
                      <c:v>Aug-22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{74E513DA-B53C-4002-A78C-9DA6F3F6E2EA}</c15:txfldGUID>
                      <c15:f>'HOBO vs Production'!$A$41</c15:f>
                      <c15:dlblFieldTableCache>
                        <c:ptCount val="1"/>
                        <c:pt idx="0">
                          <c:v>Aug-22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BFF6-4647-8D8C-E825636FB955}"/>
                </c:ext>
              </c:extLst>
            </c:dLbl>
            <c:dLbl>
              <c:idx val="40"/>
              <c:tx>
                <c:strRef>
                  <c:f>'HOBO vs Production'!$A$42</c:f>
                  <c:strCache>
                    <c:ptCount val="1"/>
                    <c:pt idx="0">
                      <c:v>Sep-22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{E90D1330-4D6A-4DB4-BCEE-0021DC509865}</c15:txfldGUID>
                      <c15:f>'HOBO vs Production'!$A$42</c15:f>
                      <c15:dlblFieldTableCache>
                        <c:ptCount val="1"/>
                        <c:pt idx="0">
                          <c:v>Sep-22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BFF6-4647-8D8C-E825636FB955}"/>
                </c:ext>
              </c:extLst>
            </c:dLbl>
            <c:dLbl>
              <c:idx val="41"/>
              <c:tx>
                <c:strRef>
                  <c:f>'HOBO vs Production'!$A$43</c:f>
                  <c:strCache>
                    <c:ptCount val="1"/>
                    <c:pt idx="0">
                      <c:v>Oct-22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{C1C86642-974F-4DAF-A4E8-F76A747CA349}</c15:txfldGUID>
                      <c15:f>'HOBO vs Production'!$A$43</c15:f>
                      <c15:dlblFieldTableCache>
                        <c:ptCount val="1"/>
                        <c:pt idx="0">
                          <c:v>Oct-22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BFF6-4647-8D8C-E825636FB955}"/>
                </c:ext>
              </c:extLst>
            </c:dLbl>
            <c:dLbl>
              <c:idx val="42"/>
              <c:tx>
                <c:strRef>
                  <c:f>'HOBO vs Production'!$A$44</c:f>
                  <c:strCache>
                    <c:ptCount val="1"/>
                    <c:pt idx="0">
                      <c:v>Nov-22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{2162C409-BE48-45D5-B8C9-15AED7602A35}</c15:txfldGUID>
                      <c15:f>'HOBO vs Production'!$A$44</c15:f>
                      <c15:dlblFieldTableCache>
                        <c:ptCount val="1"/>
                        <c:pt idx="0">
                          <c:v>Nov-22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BFF6-4647-8D8C-E825636FB955}"/>
                </c:ext>
              </c:extLst>
            </c:dLbl>
            <c:dLbl>
              <c:idx val="43"/>
              <c:tx>
                <c:strRef>
                  <c:f>'HOBO vs Production'!$A$45</c:f>
                  <c:strCache>
                    <c:ptCount val="1"/>
                    <c:pt idx="0">
                      <c:v>Dec-22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{4E38C6B1-47E8-417B-BD1A-D5DD4C4A5B87}</c15:txfldGUID>
                      <c15:f>'HOBO vs Production'!$A$45</c15:f>
                      <c15:dlblFieldTableCache>
                        <c:ptCount val="1"/>
                        <c:pt idx="0">
                          <c:v>Dec-22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BFF6-4647-8D8C-E825636FB9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D1B2E8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'HOBO vs Production'!$J$2:$J$45</c:f>
              <c:numCache>
                <c:formatCode>0.00</c:formatCode>
                <c:ptCount val="44"/>
                <c:pt idx="0">
                  <c:v>0.19415209090909097</c:v>
                </c:pt>
                <c:pt idx="1">
                  <c:v>0.15829399999999999</c:v>
                </c:pt>
                <c:pt idx="2">
                  <c:v>0.24893627272727281</c:v>
                </c:pt>
                <c:pt idx="3">
                  <c:v>0.15096636363636373</c:v>
                </c:pt>
                <c:pt idx="4">
                  <c:v>0.29783700000000024</c:v>
                </c:pt>
                <c:pt idx="5">
                  <c:v>0.24926452173913055</c:v>
                </c:pt>
                <c:pt idx="6">
                  <c:v>7.5761999999999996E-2</c:v>
                </c:pt>
                <c:pt idx="7">
                  <c:v>-8.7766523809523711E-2</c:v>
                </c:pt>
                <c:pt idx="8">
                  <c:v>-0.17139452380952386</c:v>
                </c:pt>
                <c:pt idx="9">
                  <c:v>-0.19036642105263135</c:v>
                </c:pt>
                <c:pt idx="10">
                  <c:v>-0.34814899999999982</c:v>
                </c:pt>
                <c:pt idx="11">
                  <c:v>-0.58829571428571448</c:v>
                </c:pt>
                <c:pt idx="12">
                  <c:v>-0.54272299999999984</c:v>
                </c:pt>
                <c:pt idx="13">
                  <c:v>-0.37734372727272736</c:v>
                </c:pt>
                <c:pt idx="14">
                  <c:v>-0.32940245454545447</c:v>
                </c:pt>
                <c:pt idx="15">
                  <c:v>-0.41448047619047623</c:v>
                </c:pt>
                <c:pt idx="16">
                  <c:v>-0.63026514285714252</c:v>
                </c:pt>
                <c:pt idx="17">
                  <c:v>-0.51067290909090912</c:v>
                </c:pt>
                <c:pt idx="18">
                  <c:v>-0.58175200000000016</c:v>
                </c:pt>
                <c:pt idx="19">
                  <c:v>-0.56413145454545433</c:v>
                </c:pt>
                <c:pt idx="20">
                  <c:v>-0.62047826315789445</c:v>
                </c:pt>
                <c:pt idx="21">
                  <c:v>-0.39878747368421097</c:v>
                </c:pt>
                <c:pt idx="22">
                  <c:v>-0.79604947826086891</c:v>
                </c:pt>
                <c:pt idx="23">
                  <c:v>-0.68105595238095229</c:v>
                </c:pt>
                <c:pt idx="24">
                  <c:v>-1.3036579999999998</c:v>
                </c:pt>
                <c:pt idx="25">
                  <c:v>-1.0106626363636362</c:v>
                </c:pt>
                <c:pt idx="26">
                  <c:v>-1.0255548095238092</c:v>
                </c:pt>
                <c:pt idx="27">
                  <c:v>-1.1375357272727267</c:v>
                </c:pt>
                <c:pt idx="28">
                  <c:v>-0.61181914285714289</c:v>
                </c:pt>
                <c:pt idx="29">
                  <c:v>-0.70588571428571445</c:v>
                </c:pt>
                <c:pt idx="30">
                  <c:v>-0.61602880952380956</c:v>
                </c:pt>
                <c:pt idx="31">
                  <c:v>-0.60031772727272736</c:v>
                </c:pt>
                <c:pt idx="32">
                  <c:v>-0.58431399999999978</c:v>
                </c:pt>
                <c:pt idx="33">
                  <c:v>-0.84151031578947388</c:v>
                </c:pt>
                <c:pt idx="34">
                  <c:v>-0.44536852173913055</c:v>
                </c:pt>
                <c:pt idx="35">
                  <c:v>-0.53769599999999995</c:v>
                </c:pt>
                <c:pt idx="36">
                  <c:v>-0.67661047619047587</c:v>
                </c:pt>
                <c:pt idx="37">
                  <c:v>0.16745761904761891</c:v>
                </c:pt>
                <c:pt idx="38">
                  <c:v>0.72873799999999989</c:v>
                </c:pt>
                <c:pt idx="39">
                  <c:v>0.26159760869565218</c:v>
                </c:pt>
                <c:pt idx="40">
                  <c:v>0.20324952380952377</c:v>
                </c:pt>
                <c:pt idx="41">
                  <c:v>0.41929761904761897</c:v>
                </c:pt>
                <c:pt idx="42">
                  <c:v>-0.35834485714285691</c:v>
                </c:pt>
                <c:pt idx="43">
                  <c:v>-6.7539523809523772E-2</c:v>
                </c:pt>
              </c:numCache>
            </c:numRef>
          </c:xVal>
          <c:yVal>
            <c:numRef>
              <c:f>'HOBO vs Production'!$H$2:$H$45</c:f>
              <c:numCache>
                <c:formatCode>#,##0_);[Red]\(#,##0\)</c:formatCode>
                <c:ptCount val="44"/>
                <c:pt idx="0">
                  <c:v>22084876.199999988</c:v>
                </c:pt>
                <c:pt idx="1">
                  <c:v>-9959198.599999994</c:v>
                </c:pt>
                <c:pt idx="2">
                  <c:v>14637270.599999994</c:v>
                </c:pt>
                <c:pt idx="3">
                  <c:v>-21136826.599999994</c:v>
                </c:pt>
                <c:pt idx="4">
                  <c:v>-9788013</c:v>
                </c:pt>
                <c:pt idx="5">
                  <c:v>-10459420.400000006</c:v>
                </c:pt>
                <c:pt idx="6">
                  <c:v>-23132307.199999988</c:v>
                </c:pt>
                <c:pt idx="7">
                  <c:v>-44681814.400000006</c:v>
                </c:pt>
                <c:pt idx="8">
                  <c:v>19761940.799999997</c:v>
                </c:pt>
                <c:pt idx="9">
                  <c:v>19157965.200000003</c:v>
                </c:pt>
                <c:pt idx="10">
                  <c:v>17961394.199999988</c:v>
                </c:pt>
                <c:pt idx="11">
                  <c:v>29975271.599999994</c:v>
                </c:pt>
                <c:pt idx="12">
                  <c:v>9088381.400000006</c:v>
                </c:pt>
                <c:pt idx="13">
                  <c:v>-18899702.400000006</c:v>
                </c:pt>
                <c:pt idx="14">
                  <c:v>6449310.599999994</c:v>
                </c:pt>
                <c:pt idx="15">
                  <c:v>-26582527.400000006</c:v>
                </c:pt>
                <c:pt idx="16">
                  <c:v>-14103423.199999988</c:v>
                </c:pt>
                <c:pt idx="17">
                  <c:v>-15223065.400000006</c:v>
                </c:pt>
                <c:pt idx="18">
                  <c:v>-25348421.199999988</c:v>
                </c:pt>
                <c:pt idx="19">
                  <c:v>-41494754</c:v>
                </c:pt>
                <c:pt idx="20">
                  <c:v>2595452.400000006</c:v>
                </c:pt>
                <c:pt idx="21">
                  <c:v>-5925924.400000006</c:v>
                </c:pt>
                <c:pt idx="22">
                  <c:v>10179228.599999994</c:v>
                </c:pt>
                <c:pt idx="23">
                  <c:v>-595365.59999999404</c:v>
                </c:pt>
                <c:pt idx="24">
                  <c:v>-11955528.400000006</c:v>
                </c:pt>
                <c:pt idx="25">
                  <c:v>-17288773.199999988</c:v>
                </c:pt>
                <c:pt idx="26">
                  <c:v>-20357312.599999994</c:v>
                </c:pt>
                <c:pt idx="27">
                  <c:v>-29686906.199999988</c:v>
                </c:pt>
                <c:pt idx="28">
                  <c:v>-29345571.599999994</c:v>
                </c:pt>
                <c:pt idx="29">
                  <c:v>-21547417.400000006</c:v>
                </c:pt>
                <c:pt idx="30">
                  <c:v>-5759801.8000000119</c:v>
                </c:pt>
                <c:pt idx="31">
                  <c:v>1227834.8000000119</c:v>
                </c:pt>
                <c:pt idx="32">
                  <c:v>-11739364.799999997</c:v>
                </c:pt>
                <c:pt idx="33">
                  <c:v>-6955641.799999997</c:v>
                </c:pt>
                <c:pt idx="34">
                  <c:v>-2801797.599999994</c:v>
                </c:pt>
                <c:pt idx="35">
                  <c:v>10572930.800000012</c:v>
                </c:pt>
                <c:pt idx="36">
                  <c:v>-23097178.199999988</c:v>
                </c:pt>
                <c:pt idx="37">
                  <c:v>-21702341.599999994</c:v>
                </c:pt>
                <c:pt idx="38">
                  <c:v>-35897926.800000012</c:v>
                </c:pt>
                <c:pt idx="39">
                  <c:v>-16722175.800000012</c:v>
                </c:pt>
                <c:pt idx="40">
                  <c:v>-6491039.1999999881</c:v>
                </c:pt>
                <c:pt idx="41">
                  <c:v>-16656621</c:v>
                </c:pt>
                <c:pt idx="42">
                  <c:v>15632831.400000006</c:v>
                </c:pt>
                <c:pt idx="43">
                  <c:v>-8883192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BFF6-4647-8D8C-E825636FB955}"/>
            </c:ext>
          </c:extLst>
        </c:ser>
        <c:ser>
          <c:idx val="1"/>
          <c:order val="1"/>
          <c:tx>
            <c:v>2023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CF3C5E"/>
              </a:solidFill>
              <a:ln w="9525">
                <a:solidFill>
                  <a:srgbClr val="CF3C5E"/>
                </a:solidFill>
              </a:ln>
              <a:effectLst/>
            </c:spPr>
          </c:marker>
          <c:dPt>
            <c:idx val="10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CF3C5E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BFF6-4647-8D8C-E825636FB955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chemeClr val="bg1"/>
                </a:solidFill>
                <a:ln w="15875">
                  <a:solidFill>
                    <a:srgbClr val="CF3C5E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BFF6-4647-8D8C-E825636FB955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CF3C5E"/>
                </a:solidFill>
                <a:ln w="9525">
                  <a:solidFill>
                    <a:srgbClr val="CF3C5E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BFF6-4647-8D8C-E825636FB955}"/>
              </c:ext>
            </c:extLst>
          </c:dPt>
          <c:dPt>
            <c:idx val="13"/>
            <c:marker>
              <c:symbol val="circle"/>
              <c:size val="7"/>
              <c:spPr>
                <a:solidFill>
                  <a:srgbClr val="CF3C5E"/>
                </a:solidFill>
                <a:ln w="9525">
                  <a:solidFill>
                    <a:srgbClr val="CF3C5E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BFF6-4647-8D8C-E825636FB955}"/>
              </c:ext>
            </c:extLst>
          </c:dPt>
          <c:dPt>
            <c:idx val="14"/>
            <c:marker>
              <c:symbol val="circle"/>
              <c:size val="7"/>
              <c:spPr>
                <a:solidFill>
                  <a:srgbClr val="CF3C5E"/>
                </a:solidFill>
                <a:ln w="9525">
                  <a:solidFill>
                    <a:srgbClr val="CF3C5E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BFF6-4647-8D8C-E825636FB955}"/>
              </c:ext>
            </c:extLst>
          </c:dPt>
          <c:dPt>
            <c:idx val="15"/>
            <c:marker>
              <c:symbol val="circle"/>
              <c:size val="7"/>
              <c:spPr>
                <a:solidFill>
                  <a:srgbClr val="CF3C5E"/>
                </a:solidFill>
                <a:ln w="9525">
                  <a:solidFill>
                    <a:srgbClr val="CF3C5E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BFF6-4647-8D8C-E825636FB955}"/>
              </c:ext>
            </c:extLst>
          </c:dPt>
          <c:dPt>
            <c:idx val="16"/>
            <c:marker>
              <c:symbol val="circle"/>
              <c:size val="7"/>
              <c:spPr>
                <a:solidFill>
                  <a:srgbClr val="CF3C5E"/>
                </a:solidFill>
                <a:ln w="9525">
                  <a:solidFill>
                    <a:srgbClr val="CF3C5E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BFF6-4647-8D8C-E825636FB955}"/>
              </c:ext>
            </c:extLst>
          </c:dPt>
          <c:dLbls>
            <c:dLbl>
              <c:idx val="0"/>
              <c:tx>
                <c:strRef>
                  <c:f>'HOBO vs Production'!$A$46</c:f>
                  <c:strCache>
                    <c:ptCount val="1"/>
                    <c:pt idx="0">
                      <c:v>Jan-23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CF3C5E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{8156F655-E6D8-4C0A-BC71-011B7EE239AF}</c15:txfldGUID>
                      <c15:f>'HOBO vs Production'!$A$46</c15:f>
                      <c15:dlblFieldTableCache>
                        <c:ptCount val="1"/>
                        <c:pt idx="0">
                          <c:v>Jan-23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BFF6-4647-8D8C-E825636FB955}"/>
                </c:ext>
              </c:extLst>
            </c:dLbl>
            <c:dLbl>
              <c:idx val="1"/>
              <c:tx>
                <c:strRef>
                  <c:f>'HOBO vs Production'!$A$47</c:f>
                  <c:strCache>
                    <c:ptCount val="1"/>
                    <c:pt idx="0">
                      <c:v>Feb-23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CF3C5E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{35F639F6-0D96-4C68-9AC4-2595E3DB4DF9}</c15:txfldGUID>
                      <c15:f>'HOBO vs Production'!$A$47</c15:f>
                      <c15:dlblFieldTableCache>
                        <c:ptCount val="1"/>
                        <c:pt idx="0">
                          <c:v>Feb-23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BFF6-4647-8D8C-E825636FB955}"/>
                </c:ext>
              </c:extLst>
            </c:dLbl>
            <c:dLbl>
              <c:idx val="2"/>
              <c:tx>
                <c:strRef>
                  <c:f>'HOBO vs Production'!$A$48</c:f>
                  <c:strCache>
                    <c:ptCount val="1"/>
                    <c:pt idx="0">
                      <c:v>Mar-23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CF3C5E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{5BB7D340-1F07-490B-B084-28BC28C70727}</c15:txfldGUID>
                      <c15:f>'HOBO vs Production'!$A$48</c15:f>
                      <c15:dlblFieldTableCache>
                        <c:ptCount val="1"/>
                        <c:pt idx="0">
                          <c:v>Mar-23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BFF6-4647-8D8C-E825636FB955}"/>
                </c:ext>
              </c:extLst>
            </c:dLbl>
            <c:dLbl>
              <c:idx val="3"/>
              <c:tx>
                <c:strRef>
                  <c:f>'HOBO vs Production'!$A$49</c:f>
                  <c:strCache>
                    <c:ptCount val="1"/>
                    <c:pt idx="0">
                      <c:v>Apr-23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CF3C5E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{EF415F6F-79AF-4846-A20B-FCC2DF3CBE2E}</c15:txfldGUID>
                      <c15:f>'HOBO vs Production'!$A$49</c15:f>
                      <c15:dlblFieldTableCache>
                        <c:ptCount val="1"/>
                        <c:pt idx="0">
                          <c:v>Apr-23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BFF6-4647-8D8C-E825636FB955}"/>
                </c:ext>
              </c:extLst>
            </c:dLbl>
            <c:dLbl>
              <c:idx val="4"/>
              <c:tx>
                <c:strRef>
                  <c:f>'HOBO vs Production'!$A$50</c:f>
                  <c:strCache>
                    <c:ptCount val="1"/>
                    <c:pt idx="0">
                      <c:v>May-23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CF3C5E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{2ECD3ED7-978D-43B8-8FD4-4ABEAB2569B1}</c15:txfldGUID>
                      <c15:f>'HOBO vs Production'!$A$50</c15:f>
                      <c15:dlblFieldTableCache>
                        <c:ptCount val="1"/>
                        <c:pt idx="0">
                          <c:v>May-23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BFF6-4647-8D8C-E825636FB955}"/>
                </c:ext>
              </c:extLst>
            </c:dLbl>
            <c:dLbl>
              <c:idx val="5"/>
              <c:tx>
                <c:strRef>
                  <c:f>'HOBO vs Production'!$A$51</c:f>
                  <c:strCache>
                    <c:ptCount val="1"/>
                    <c:pt idx="0">
                      <c:v>Jun-23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CF3C5E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{14B51D38-A337-4052-901C-E832F093D0DD}</c15:txfldGUID>
                      <c15:f>'HOBO vs Production'!$A$51</c15:f>
                      <c15:dlblFieldTableCache>
                        <c:ptCount val="1"/>
                        <c:pt idx="0">
                          <c:v>Jun-23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BFF6-4647-8D8C-E825636FB955}"/>
                </c:ext>
              </c:extLst>
            </c:dLbl>
            <c:dLbl>
              <c:idx val="6"/>
              <c:tx>
                <c:strRef>
                  <c:f>'HOBO vs Production'!$A$52</c:f>
                  <c:strCache>
                    <c:ptCount val="1"/>
                    <c:pt idx="0">
                      <c:v>Jul-23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CF3C5E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{26327EF6-633E-43EF-BB46-F8C2F618EF48}</c15:txfldGUID>
                      <c15:f>'HOBO vs Production'!$A$52</c15:f>
                      <c15:dlblFieldTableCache>
                        <c:ptCount val="1"/>
                        <c:pt idx="0">
                          <c:v>Jul-23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BFF6-4647-8D8C-E825636FB955}"/>
                </c:ext>
              </c:extLst>
            </c:dLbl>
            <c:dLbl>
              <c:idx val="7"/>
              <c:tx>
                <c:strRef>
                  <c:f>'HOBO vs Production'!$A$53</c:f>
                  <c:strCache>
                    <c:ptCount val="1"/>
                    <c:pt idx="0">
                      <c:v>Aug-23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CF3C5E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{C252FE2D-B4D9-4DD6-8597-D75D77CAA912}</c15:txfldGUID>
                      <c15:f>'HOBO vs Production'!$A$53</c15:f>
                      <c15:dlblFieldTableCache>
                        <c:ptCount val="1"/>
                        <c:pt idx="0">
                          <c:v>Aug-23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BFF6-4647-8D8C-E825636FB955}"/>
                </c:ext>
              </c:extLst>
            </c:dLbl>
            <c:dLbl>
              <c:idx val="8"/>
              <c:tx>
                <c:strRef>
                  <c:f>'HOBO vs Production'!$A$54</c:f>
                  <c:strCache>
                    <c:ptCount val="1"/>
                    <c:pt idx="0">
                      <c:v>Sep-23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CF3C5E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{6CB32D23-37DD-469E-8A17-F65190F7B958}</c15:txfldGUID>
                      <c15:f>'HOBO vs Production'!$A$54</c15:f>
                      <c15:dlblFieldTableCache>
                        <c:ptCount val="1"/>
                        <c:pt idx="0">
                          <c:v>Sep-23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BFF6-4647-8D8C-E825636FB955}"/>
                </c:ext>
              </c:extLst>
            </c:dLbl>
            <c:dLbl>
              <c:idx val="9"/>
              <c:tx>
                <c:strRef>
                  <c:f>'HOBO vs Production'!$A$55</c:f>
                  <c:strCache>
                    <c:ptCount val="1"/>
                    <c:pt idx="0">
                      <c:v>Oct-23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CF3C5E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{ACFC49A5-5100-4D12-8C83-1FBB5557B5E2}</c15:txfldGUID>
                      <c15:f>'HOBO vs Production'!$A$55</c15:f>
                      <c15:dlblFieldTableCache>
                        <c:ptCount val="1"/>
                        <c:pt idx="0">
                          <c:v>Oct-23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BFF6-4647-8D8C-E825636FB955}"/>
                </c:ext>
              </c:extLst>
            </c:dLbl>
            <c:dLbl>
              <c:idx val="10"/>
              <c:tx>
                <c:strRef>
                  <c:f>'HOBO vs Production'!$A$56</c:f>
                  <c:strCache>
                    <c:ptCount val="1"/>
                    <c:pt idx="0">
                      <c:v>Nov-23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CF3C5E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{73C6FB81-35D8-490D-8A4A-689B6327C5C2}</c15:txfldGUID>
                      <c15:f>'HOBO vs Production'!$A$56</c15:f>
                      <c15:dlblFieldTableCache>
                        <c:ptCount val="1"/>
                        <c:pt idx="0">
                          <c:v>Nov-23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BFF6-4647-8D8C-E825636FB955}"/>
                </c:ext>
              </c:extLst>
            </c:dLbl>
            <c:dLbl>
              <c:idx val="11"/>
              <c:tx>
                <c:strRef>
                  <c:f>'HOBO vs Production'!$A$57</c:f>
                  <c:strCache>
                    <c:ptCount val="1"/>
                    <c:pt idx="0">
                      <c:v>Dec-23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CF3C5E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{71E3FF52-A660-446C-86B1-E0AD68B62BCF}</c15:txfldGUID>
                      <c15:f>'HOBO vs Production'!$A$57</c15:f>
                      <c15:dlblFieldTableCache>
                        <c:ptCount val="1"/>
                        <c:pt idx="0">
                          <c:v>Dec-23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BFF6-4647-8D8C-E825636FB9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CF3C5E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D1B2E8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CF3C5E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'HOBO vs Production'!$J$46:$J$57</c:f>
              <c:numCache>
                <c:formatCode>0.00</c:formatCode>
                <c:ptCount val="12"/>
                <c:pt idx="0">
                  <c:v>-0.31174415789473686</c:v>
                </c:pt>
                <c:pt idx="1">
                  <c:v>-0.72184773455377549</c:v>
                </c:pt>
                <c:pt idx="2">
                  <c:v>-0.57403345537757433</c:v>
                </c:pt>
                <c:pt idx="3">
                  <c:v>-0.71587746411483177</c:v>
                </c:pt>
                <c:pt idx="4">
                  <c:v>-0.92306125541125539</c:v>
                </c:pt>
                <c:pt idx="5">
                  <c:v>-0.84907928571428548</c:v>
                </c:pt>
                <c:pt idx="6">
                  <c:v>0.42533108695652189</c:v>
                </c:pt>
                <c:pt idx="7">
                  <c:v>-0.28977478260869516</c:v>
                </c:pt>
                <c:pt idx="8">
                  <c:v>-0.73200927272727256</c:v>
                </c:pt>
                <c:pt idx="9">
                  <c:v>-0.65848227272727233</c:v>
                </c:pt>
                <c:pt idx="10">
                  <c:v>-1.2452144999999999</c:v>
                </c:pt>
                <c:pt idx="11">
                  <c:v>-0.47599966666666615</c:v>
                </c:pt>
              </c:numCache>
            </c:numRef>
          </c:xVal>
          <c:yVal>
            <c:numRef>
              <c:f>'HOBO vs Production'!$H$46:$H$57</c:f>
              <c:numCache>
                <c:formatCode>#,##0_);[Red]\(#,##0\)</c:formatCode>
                <c:ptCount val="12"/>
                <c:pt idx="0">
                  <c:v>25717397.799999997</c:v>
                </c:pt>
                <c:pt idx="1">
                  <c:v>29609184.799999997</c:v>
                </c:pt>
                <c:pt idx="2">
                  <c:v>13025101.599999994</c:v>
                </c:pt>
                <c:pt idx="3">
                  <c:v>-582930.40000000596</c:v>
                </c:pt>
                <c:pt idx="4">
                  <c:v>35155043.199999988</c:v>
                </c:pt>
                <c:pt idx="5">
                  <c:v>23634527.400000006</c:v>
                </c:pt>
                <c:pt idx="6">
                  <c:v>2484910</c:v>
                </c:pt>
                <c:pt idx="7">
                  <c:v>21255051.199999988</c:v>
                </c:pt>
                <c:pt idx="8">
                  <c:v>19947649.199999988</c:v>
                </c:pt>
                <c:pt idx="9">
                  <c:v>35236040.199999988</c:v>
                </c:pt>
                <c:pt idx="10">
                  <c:v>17503207</c:v>
                </c:pt>
                <c:pt idx="11">
                  <c:v>3848973.400000006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BFF6-4647-8D8C-E825636FB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840104"/>
        <c:axId val="1824841416"/>
      </c:scatterChart>
      <c:valAx>
        <c:axId val="1824840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HOBO Spread - RIN values ($/gallon)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4841416"/>
        <c:crosses val="autoZero"/>
        <c:crossBetween val="midCat"/>
      </c:valAx>
      <c:valAx>
        <c:axId val="1824841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Monthly</a:t>
                </a:r>
                <a:r>
                  <a:rPr lang="en-US" sz="1400" b="1" baseline="0">
                    <a:solidFill>
                      <a:sysClr val="windowText" lastClr="000000"/>
                    </a:solidFill>
                  </a:rPr>
                  <a:t> Production Relative to 5-Year Average (gallons)</a:t>
                </a:r>
                <a:endParaRPr lang="en-US" sz="14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4840104"/>
        <c:crosses val="autoZero"/>
        <c:crossBetween val="midCat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 b="1">
                <a:solidFill>
                  <a:sysClr val="windowText" lastClr="000000"/>
                </a:solidFill>
              </a:rPr>
              <a:t>Monthly Average HOBO Spread vs. </a:t>
            </a:r>
          </a:p>
          <a:p>
            <a:pPr>
              <a:defRPr sz="2800" b="1">
                <a:solidFill>
                  <a:sysClr val="windowText" lastClr="000000"/>
                </a:solidFill>
              </a:defRPr>
            </a:pPr>
            <a:r>
              <a:rPr lang="en-US" sz="2800" b="1">
                <a:solidFill>
                  <a:sysClr val="windowText" lastClr="000000"/>
                </a:solidFill>
              </a:rPr>
              <a:t>Excess Domestic Biodiesel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63167041333762"/>
          <c:y val="0.18201625084098325"/>
          <c:w val="0.80946265656596572"/>
          <c:h val="0.71049513677766407"/>
        </c:manualLayout>
      </c:layout>
      <c:scatterChart>
        <c:scatterStyle val="lineMarker"/>
        <c:varyColors val="0"/>
        <c:ser>
          <c:idx val="0"/>
          <c:order val="0"/>
          <c:tx>
            <c:v>Pre-2022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D1B2E8"/>
              </a:solidFill>
              <a:ln w="9525">
                <a:solidFill>
                  <a:srgbClr val="9148C8"/>
                </a:solidFill>
              </a:ln>
              <a:effectLst/>
            </c:spPr>
          </c:marker>
          <c:dPt>
            <c:idx val="20"/>
            <c:marker>
              <c:symbol val="circle"/>
              <c:size val="5"/>
              <c:spPr>
                <a:solidFill>
                  <a:srgbClr val="D1B2E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9F3-49D8-8B69-C6C03C2115FC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rgbClr val="D1B2E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9F3-49D8-8B69-C6C03C2115FC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rgbClr val="D1B2E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9F3-49D8-8B69-C6C03C2115FC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rgbClr val="D1B2E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9F3-49D8-8B69-C6C03C2115FC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rgbClr val="D1B2E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D9F3-49D8-8B69-C6C03C2115FC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rgbClr val="D1B2E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D9F3-49D8-8B69-C6C03C2115FC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rgbClr val="D1B2E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D9F3-49D8-8B69-C6C03C2115FC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rgbClr val="D1B2E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D9F3-49D8-8B69-C6C03C2115FC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rgbClr val="D1B2E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D9F3-49D8-8B69-C6C03C2115FC}"/>
              </c:ext>
            </c:extLst>
          </c:dPt>
          <c:dPt>
            <c:idx val="29"/>
            <c:marker>
              <c:symbol val="circle"/>
              <c:size val="5"/>
              <c:spPr>
                <a:solidFill>
                  <a:srgbClr val="D1B2E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D9F3-49D8-8B69-C6C03C2115FC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rgbClr val="D1B2E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D9F3-49D8-8B69-C6C03C2115FC}"/>
              </c:ext>
            </c:extLst>
          </c:dPt>
          <c:dPt>
            <c:idx val="31"/>
            <c:marker>
              <c:symbol val="circle"/>
              <c:size val="5"/>
              <c:spPr>
                <a:solidFill>
                  <a:srgbClr val="D1B2E8"/>
                </a:solidFill>
                <a:ln w="9525">
                  <a:solidFill>
                    <a:srgbClr val="9148C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D9F3-49D8-8B69-C6C03C2115FC}"/>
              </c:ext>
            </c:extLst>
          </c:dPt>
          <c:dLbls>
            <c:dLbl>
              <c:idx val="0"/>
              <c:tx>
                <c:strRef>
                  <c:f>'HOBO vs Production'!$A$2</c:f>
                  <c:strCache>
                    <c:ptCount val="1"/>
                    <c:pt idx="0">
                      <c:v>May-19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{89B1E369-0731-42C4-B991-B10465F813A9}</c15:txfldGUID>
                      <c15:f>'HOBO vs Production'!$A$2</c15:f>
                      <c15:dlblFieldTableCache>
                        <c:ptCount val="1"/>
                        <c:pt idx="0">
                          <c:v>May-19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D9F3-49D8-8B69-C6C03C2115FC}"/>
                </c:ext>
              </c:extLst>
            </c:dLbl>
            <c:dLbl>
              <c:idx val="1"/>
              <c:tx>
                <c:strRef>
                  <c:f>'HOBO vs Production'!$A$3</c:f>
                  <c:strCache>
                    <c:ptCount val="1"/>
                    <c:pt idx="0">
                      <c:v>Jun-19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{343F9C15-AD1B-49F1-818B-A7954A524F39}</c15:txfldGUID>
                      <c15:f>'HOBO vs Production'!$A$3</c15:f>
                      <c15:dlblFieldTableCache>
                        <c:ptCount val="1"/>
                        <c:pt idx="0">
                          <c:v>Jun-19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D9F3-49D8-8B69-C6C03C2115FC}"/>
                </c:ext>
              </c:extLst>
            </c:dLbl>
            <c:dLbl>
              <c:idx val="2"/>
              <c:tx>
                <c:strRef>
                  <c:f>'HOBO vs Production'!$A$4</c:f>
                  <c:strCache>
                    <c:ptCount val="1"/>
                    <c:pt idx="0">
                      <c:v>Jul-19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{2C2CD58E-1BC2-456D-B56D-0F415A2D81F3}</c15:txfldGUID>
                      <c15:f>'HOBO vs Production'!$A$4</c15:f>
                      <c15:dlblFieldTableCache>
                        <c:ptCount val="1"/>
                        <c:pt idx="0">
                          <c:v>Jul-19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D9F3-49D8-8B69-C6C03C2115FC}"/>
                </c:ext>
              </c:extLst>
            </c:dLbl>
            <c:dLbl>
              <c:idx val="3"/>
              <c:tx>
                <c:strRef>
                  <c:f>'HOBO vs Production'!$A$5</c:f>
                  <c:strCache>
                    <c:ptCount val="1"/>
                    <c:pt idx="0">
                      <c:v>Aug-19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{608B8345-FD67-4111-8935-124A2CEDA8FA}</c15:txfldGUID>
                      <c15:f>'HOBO vs Production'!$A$5</c15:f>
                      <c15:dlblFieldTableCache>
                        <c:ptCount val="1"/>
                        <c:pt idx="0">
                          <c:v>Aug-19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D9F3-49D8-8B69-C6C03C2115FC}"/>
                </c:ext>
              </c:extLst>
            </c:dLbl>
            <c:dLbl>
              <c:idx val="4"/>
              <c:tx>
                <c:strRef>
                  <c:f>'HOBO vs Production'!$A$6</c:f>
                  <c:strCache>
                    <c:ptCount val="1"/>
                    <c:pt idx="0">
                      <c:v>Sep-19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{0AAF85B1-71CE-40E2-88CC-6A693BEA20E8}</c15:txfldGUID>
                      <c15:f>'HOBO vs Production'!$A$6</c15:f>
                      <c15:dlblFieldTableCache>
                        <c:ptCount val="1"/>
                        <c:pt idx="0">
                          <c:v>Sep-19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D9F3-49D8-8B69-C6C03C2115FC}"/>
                </c:ext>
              </c:extLst>
            </c:dLbl>
            <c:dLbl>
              <c:idx val="5"/>
              <c:tx>
                <c:strRef>
                  <c:f>'HOBO vs Production'!$A$7</c:f>
                  <c:strCache>
                    <c:ptCount val="1"/>
                    <c:pt idx="0">
                      <c:v>Oct-19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{A9091C34-044D-4B13-9672-ABC507648285}</c15:txfldGUID>
                      <c15:f>'HOBO vs Production'!$A$7</c15:f>
                      <c15:dlblFieldTableCache>
                        <c:ptCount val="1"/>
                        <c:pt idx="0">
                          <c:v>Oct-19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D9F3-49D8-8B69-C6C03C2115FC}"/>
                </c:ext>
              </c:extLst>
            </c:dLbl>
            <c:dLbl>
              <c:idx val="6"/>
              <c:tx>
                <c:strRef>
                  <c:f>'HOBO vs Production'!$A$8</c:f>
                  <c:strCache>
                    <c:ptCount val="1"/>
                    <c:pt idx="0">
                      <c:v>Nov-19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{AE104BBA-065E-4054-81EE-0DDCCFE91A65}</c15:txfldGUID>
                      <c15:f>'HOBO vs Production'!$A$8</c15:f>
                      <c15:dlblFieldTableCache>
                        <c:ptCount val="1"/>
                        <c:pt idx="0">
                          <c:v>Nov-19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D9F3-49D8-8B69-C6C03C2115FC}"/>
                </c:ext>
              </c:extLst>
            </c:dLbl>
            <c:dLbl>
              <c:idx val="7"/>
              <c:tx>
                <c:strRef>
                  <c:f>'HOBO vs Production'!$A$9</c:f>
                  <c:strCache>
                    <c:ptCount val="1"/>
                    <c:pt idx="0">
                      <c:v>Dec-19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{2D031BAA-3396-4D35-9100-39DA13CCEC4F}</c15:txfldGUID>
                      <c15:f>'HOBO vs Production'!$A$9</c15:f>
                      <c15:dlblFieldTableCache>
                        <c:ptCount val="1"/>
                        <c:pt idx="0">
                          <c:v>Dec-19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D9F3-49D8-8B69-C6C03C2115FC}"/>
                </c:ext>
              </c:extLst>
            </c:dLbl>
            <c:dLbl>
              <c:idx val="8"/>
              <c:tx>
                <c:strRef>
                  <c:f>'HOBO vs Production'!$A$10</c:f>
                  <c:strCache>
                    <c:ptCount val="1"/>
                    <c:pt idx="0">
                      <c:v>Jan-20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{C08DAA7F-8077-4431-AED0-9570712F70E1}</c15:txfldGUID>
                      <c15:f>'HOBO vs Production'!$A$10</c15:f>
                      <c15:dlblFieldTableCache>
                        <c:ptCount val="1"/>
                        <c:pt idx="0">
                          <c:v>Jan-20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D9F3-49D8-8B69-C6C03C2115FC}"/>
                </c:ext>
              </c:extLst>
            </c:dLbl>
            <c:dLbl>
              <c:idx val="9"/>
              <c:tx>
                <c:strRef>
                  <c:f>'HOBO vs Production'!$A$11</c:f>
                  <c:strCache>
                    <c:ptCount val="1"/>
                    <c:pt idx="0">
                      <c:v>Feb-20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{4D3CB7DF-F6FD-464D-AEEF-95B8384802F8}</c15:txfldGUID>
                      <c15:f>'HOBO vs Production'!$A$11</c15:f>
                      <c15:dlblFieldTableCache>
                        <c:ptCount val="1"/>
                        <c:pt idx="0">
                          <c:v>Feb-20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D9F3-49D8-8B69-C6C03C2115FC}"/>
                </c:ext>
              </c:extLst>
            </c:dLbl>
            <c:dLbl>
              <c:idx val="10"/>
              <c:tx>
                <c:strRef>
                  <c:f>'HOBO vs Production'!$A$12</c:f>
                  <c:strCache>
                    <c:ptCount val="1"/>
                    <c:pt idx="0">
                      <c:v>Mar-20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{653E0375-4399-4384-AFB2-7F2124EC3919}</c15:txfldGUID>
                      <c15:f>'HOBO vs Production'!$A$12</c15:f>
                      <c15:dlblFieldTableCache>
                        <c:ptCount val="1"/>
                        <c:pt idx="0">
                          <c:v>Mar-20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D9F3-49D8-8B69-C6C03C2115FC}"/>
                </c:ext>
              </c:extLst>
            </c:dLbl>
            <c:dLbl>
              <c:idx val="11"/>
              <c:tx>
                <c:strRef>
                  <c:f>'HOBO vs Production'!$A$13</c:f>
                  <c:strCache>
                    <c:ptCount val="1"/>
                    <c:pt idx="0">
                      <c:v>Apr-20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{7C185D7B-306A-4D79-8DC9-45134F9BEF61}</c15:txfldGUID>
                      <c15:f>'HOBO vs Production'!$A$13</c15:f>
                      <c15:dlblFieldTableCache>
                        <c:ptCount val="1"/>
                        <c:pt idx="0">
                          <c:v>Apr-20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D9F3-49D8-8B69-C6C03C2115FC}"/>
                </c:ext>
              </c:extLst>
            </c:dLbl>
            <c:dLbl>
              <c:idx val="12"/>
              <c:tx>
                <c:strRef>
                  <c:f>'HOBO vs Production'!$A$14</c:f>
                  <c:strCache>
                    <c:ptCount val="1"/>
                    <c:pt idx="0">
                      <c:v>May-20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{CE16AB34-05D2-48DC-8DE3-3080E10C9732}</c15:txfldGUID>
                      <c15:f>'HOBO vs Production'!$A$14</c15:f>
                      <c15:dlblFieldTableCache>
                        <c:ptCount val="1"/>
                        <c:pt idx="0">
                          <c:v>May-20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D9F3-49D8-8B69-C6C03C2115FC}"/>
                </c:ext>
              </c:extLst>
            </c:dLbl>
            <c:dLbl>
              <c:idx val="13"/>
              <c:tx>
                <c:strRef>
                  <c:f>'HOBO vs Production'!$A$15</c:f>
                  <c:strCache>
                    <c:ptCount val="1"/>
                    <c:pt idx="0">
                      <c:v>Jun-20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{336CED43-7B82-4A76-A98D-7B26403182C3}</c15:txfldGUID>
                      <c15:f>'HOBO vs Production'!$A$15</c15:f>
                      <c15:dlblFieldTableCache>
                        <c:ptCount val="1"/>
                        <c:pt idx="0">
                          <c:v>Jun-20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D9F3-49D8-8B69-C6C03C2115FC}"/>
                </c:ext>
              </c:extLst>
            </c:dLbl>
            <c:dLbl>
              <c:idx val="14"/>
              <c:tx>
                <c:strRef>
                  <c:f>'HOBO vs Production'!$A$16</c:f>
                  <c:strCache>
                    <c:ptCount val="1"/>
                    <c:pt idx="0">
                      <c:v>Jul-20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{CA0BD052-FAD5-4CC7-925E-98633C1FA2F6}</c15:txfldGUID>
                      <c15:f>'HOBO vs Production'!$A$16</c15:f>
                      <c15:dlblFieldTableCache>
                        <c:ptCount val="1"/>
                        <c:pt idx="0">
                          <c:v>Jul-20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D9F3-49D8-8B69-C6C03C2115FC}"/>
                </c:ext>
              </c:extLst>
            </c:dLbl>
            <c:dLbl>
              <c:idx val="15"/>
              <c:tx>
                <c:strRef>
                  <c:f>'HOBO vs Production'!$A$17</c:f>
                  <c:strCache>
                    <c:ptCount val="1"/>
                    <c:pt idx="0">
                      <c:v>Aug-20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{7F04D3E3-1982-483C-BEAD-D547FF614C48}</c15:txfldGUID>
                      <c15:f>'HOBO vs Production'!$A$17</c15:f>
                      <c15:dlblFieldTableCache>
                        <c:ptCount val="1"/>
                        <c:pt idx="0">
                          <c:v>Aug-20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D9F3-49D8-8B69-C6C03C2115FC}"/>
                </c:ext>
              </c:extLst>
            </c:dLbl>
            <c:dLbl>
              <c:idx val="16"/>
              <c:tx>
                <c:strRef>
                  <c:f>'HOBO vs Production'!$A$18</c:f>
                  <c:strCache>
                    <c:ptCount val="1"/>
                    <c:pt idx="0">
                      <c:v>Sep-20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{1EEA8843-6613-4F67-9D59-7E61460475D2}</c15:txfldGUID>
                      <c15:f>'HOBO vs Production'!$A$18</c15:f>
                      <c15:dlblFieldTableCache>
                        <c:ptCount val="1"/>
                        <c:pt idx="0">
                          <c:v>Sep-20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D9F3-49D8-8B69-C6C03C2115FC}"/>
                </c:ext>
              </c:extLst>
            </c:dLbl>
            <c:dLbl>
              <c:idx val="17"/>
              <c:tx>
                <c:strRef>
                  <c:f>'HOBO vs Production'!$A$19</c:f>
                  <c:strCache>
                    <c:ptCount val="1"/>
                    <c:pt idx="0">
                      <c:v>Oct-20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{04E81F33-879B-4B68-B8B2-A4577802DFF0}</c15:txfldGUID>
                      <c15:f>'HOBO vs Production'!$A$19</c15:f>
                      <c15:dlblFieldTableCache>
                        <c:ptCount val="1"/>
                        <c:pt idx="0">
                          <c:v>Oct-20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D9F3-49D8-8B69-C6C03C2115FC}"/>
                </c:ext>
              </c:extLst>
            </c:dLbl>
            <c:dLbl>
              <c:idx val="18"/>
              <c:tx>
                <c:strRef>
                  <c:f>'HOBO vs Production'!$A$20</c:f>
                  <c:strCache>
                    <c:ptCount val="1"/>
                    <c:pt idx="0">
                      <c:v>Nov-20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{0B0AB2A1-4585-4787-AD7C-9F93CC2C7F06}</c15:txfldGUID>
                      <c15:f>'HOBO vs Production'!$A$20</c15:f>
                      <c15:dlblFieldTableCache>
                        <c:ptCount val="1"/>
                        <c:pt idx="0">
                          <c:v>Nov-20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D9F3-49D8-8B69-C6C03C2115FC}"/>
                </c:ext>
              </c:extLst>
            </c:dLbl>
            <c:dLbl>
              <c:idx val="19"/>
              <c:tx>
                <c:strRef>
                  <c:f>'HOBO vs Production'!$A$21</c:f>
                  <c:strCache>
                    <c:ptCount val="1"/>
                    <c:pt idx="0">
                      <c:v>Dec-20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{5A7623F5-D244-4CD8-91AC-D762334B7E69}</c15:txfldGUID>
                      <c15:f>'HOBO vs Production'!$A$21</c15:f>
                      <c15:dlblFieldTableCache>
                        <c:ptCount val="1"/>
                        <c:pt idx="0">
                          <c:v>Dec-20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D9F3-49D8-8B69-C6C03C2115FC}"/>
                </c:ext>
              </c:extLst>
            </c:dLbl>
            <c:dLbl>
              <c:idx val="20"/>
              <c:tx>
                <c:strRef>
                  <c:f>'HOBO vs Production'!$A$22</c:f>
                  <c:strCache>
                    <c:ptCount val="1"/>
                    <c:pt idx="0">
                      <c:v>Jan-21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{F6211C02-F1C9-44A2-99E1-EE392F32EEA0}</c15:txfldGUID>
                      <c15:f>'HOBO vs Production'!$A$22</c15:f>
                      <c15:dlblFieldTableCache>
                        <c:ptCount val="1"/>
                        <c:pt idx="0">
                          <c:v>Jan-21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D9F3-49D8-8B69-C6C03C2115FC}"/>
                </c:ext>
              </c:extLst>
            </c:dLbl>
            <c:dLbl>
              <c:idx val="21"/>
              <c:tx>
                <c:strRef>
                  <c:f>'HOBO vs Production'!$A$23</c:f>
                  <c:strCache>
                    <c:ptCount val="1"/>
                    <c:pt idx="0">
                      <c:v>Feb-21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{54FDDD32-F780-44C4-8738-602BF95FD149}</c15:txfldGUID>
                      <c15:f>'HOBO vs Production'!$A$23</c15:f>
                      <c15:dlblFieldTableCache>
                        <c:ptCount val="1"/>
                        <c:pt idx="0">
                          <c:v>Feb-21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D9F3-49D8-8B69-C6C03C2115FC}"/>
                </c:ext>
              </c:extLst>
            </c:dLbl>
            <c:dLbl>
              <c:idx val="22"/>
              <c:tx>
                <c:strRef>
                  <c:f>'HOBO vs Production'!$A$24</c:f>
                  <c:strCache>
                    <c:ptCount val="1"/>
                    <c:pt idx="0">
                      <c:v>Mar-21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{D5FBF7DE-A27F-4605-8AF8-3428DBA4D290}</c15:txfldGUID>
                      <c15:f>'HOBO vs Production'!$A$24</c15:f>
                      <c15:dlblFieldTableCache>
                        <c:ptCount val="1"/>
                        <c:pt idx="0">
                          <c:v>Mar-21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D9F3-49D8-8B69-C6C03C2115FC}"/>
                </c:ext>
              </c:extLst>
            </c:dLbl>
            <c:dLbl>
              <c:idx val="23"/>
              <c:tx>
                <c:strRef>
                  <c:f>'HOBO vs Production'!$A$25</c:f>
                  <c:strCache>
                    <c:ptCount val="1"/>
                    <c:pt idx="0">
                      <c:v>Apr-21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{A89A6DB0-10A6-4464-ADB5-DE64E8E3D454}</c15:txfldGUID>
                      <c15:f>'HOBO vs Production'!$A$25</c15:f>
                      <c15:dlblFieldTableCache>
                        <c:ptCount val="1"/>
                        <c:pt idx="0">
                          <c:v>Apr-21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D9F3-49D8-8B69-C6C03C2115FC}"/>
                </c:ext>
              </c:extLst>
            </c:dLbl>
            <c:dLbl>
              <c:idx val="24"/>
              <c:tx>
                <c:strRef>
                  <c:f>'HOBO vs Production'!$A$26</c:f>
                  <c:strCache>
                    <c:ptCount val="1"/>
                    <c:pt idx="0">
                      <c:v>May-21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{748ADEB0-4E9E-474A-912A-92900437A497}</c15:txfldGUID>
                      <c15:f>'HOBO vs Production'!$A$26</c15:f>
                      <c15:dlblFieldTableCache>
                        <c:ptCount val="1"/>
                        <c:pt idx="0">
                          <c:v>May-21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D9F3-49D8-8B69-C6C03C2115FC}"/>
                </c:ext>
              </c:extLst>
            </c:dLbl>
            <c:dLbl>
              <c:idx val="25"/>
              <c:tx>
                <c:strRef>
                  <c:f>'HOBO vs Production'!$A$27</c:f>
                  <c:strCache>
                    <c:ptCount val="1"/>
                    <c:pt idx="0">
                      <c:v>Jun-21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{572E5868-6D77-46BB-BE34-70B39BCC5515}</c15:txfldGUID>
                      <c15:f>'HOBO vs Production'!$A$27</c15:f>
                      <c15:dlblFieldTableCache>
                        <c:ptCount val="1"/>
                        <c:pt idx="0">
                          <c:v>Jun-21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D9F3-49D8-8B69-C6C03C2115FC}"/>
                </c:ext>
              </c:extLst>
            </c:dLbl>
            <c:dLbl>
              <c:idx val="26"/>
              <c:tx>
                <c:strRef>
                  <c:f>'HOBO vs Production'!$A$28</c:f>
                  <c:strCache>
                    <c:ptCount val="1"/>
                    <c:pt idx="0">
                      <c:v>Jul-21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{74718177-6262-4081-BBA1-66A4AFF3E648}</c15:txfldGUID>
                      <c15:f>'HOBO vs Production'!$A$28</c15:f>
                      <c15:dlblFieldTableCache>
                        <c:ptCount val="1"/>
                        <c:pt idx="0">
                          <c:v>Jul-21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D9F3-49D8-8B69-C6C03C2115FC}"/>
                </c:ext>
              </c:extLst>
            </c:dLbl>
            <c:dLbl>
              <c:idx val="27"/>
              <c:tx>
                <c:strRef>
                  <c:f>'HOBO vs Production'!$A$29</c:f>
                  <c:strCache>
                    <c:ptCount val="1"/>
                    <c:pt idx="0">
                      <c:v>Aug-21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{16E4456B-7540-474E-B236-FCAAA258F97A}</c15:txfldGUID>
                      <c15:f>'HOBO vs Production'!$A$29</c15:f>
                      <c15:dlblFieldTableCache>
                        <c:ptCount val="1"/>
                        <c:pt idx="0">
                          <c:v>Aug-21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D9F3-49D8-8B69-C6C03C2115FC}"/>
                </c:ext>
              </c:extLst>
            </c:dLbl>
            <c:dLbl>
              <c:idx val="28"/>
              <c:tx>
                <c:strRef>
                  <c:f>'HOBO vs Production'!$A$30</c:f>
                  <c:strCache>
                    <c:ptCount val="1"/>
                    <c:pt idx="0">
                      <c:v>Sep-21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{5D72B258-884D-4E28-92BD-8E9DAE43720F}</c15:txfldGUID>
                      <c15:f>'HOBO vs Production'!$A$30</c15:f>
                      <c15:dlblFieldTableCache>
                        <c:ptCount val="1"/>
                        <c:pt idx="0">
                          <c:v>Sep-21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D9F3-49D8-8B69-C6C03C2115FC}"/>
                </c:ext>
              </c:extLst>
            </c:dLbl>
            <c:dLbl>
              <c:idx val="29"/>
              <c:tx>
                <c:strRef>
                  <c:f>'HOBO vs Production'!$A$31</c:f>
                  <c:strCache>
                    <c:ptCount val="1"/>
                    <c:pt idx="0">
                      <c:v>Oct-21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{66203B12-E53F-430D-BA1C-61F6C9892F99}</c15:txfldGUID>
                      <c15:f>'HOBO vs Production'!$A$31</c15:f>
                      <c15:dlblFieldTableCache>
                        <c:ptCount val="1"/>
                        <c:pt idx="0">
                          <c:v>Oct-21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D9F3-49D8-8B69-C6C03C2115FC}"/>
                </c:ext>
              </c:extLst>
            </c:dLbl>
            <c:dLbl>
              <c:idx val="30"/>
              <c:tx>
                <c:strRef>
                  <c:f>'HOBO vs Production'!$A$32</c:f>
                  <c:strCache>
                    <c:ptCount val="1"/>
                    <c:pt idx="0">
                      <c:v>Nov-21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{AECEB7F4-9827-4043-A7F9-6944E7A4195B}</c15:txfldGUID>
                      <c15:f>'HOBO vs Production'!$A$32</c15:f>
                      <c15:dlblFieldTableCache>
                        <c:ptCount val="1"/>
                        <c:pt idx="0">
                          <c:v>Nov-21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D9F3-49D8-8B69-C6C03C2115FC}"/>
                </c:ext>
              </c:extLst>
            </c:dLbl>
            <c:dLbl>
              <c:idx val="31"/>
              <c:tx>
                <c:strRef>
                  <c:f>'HOBO vs Production'!$A$33</c:f>
                  <c:strCache>
                    <c:ptCount val="1"/>
                    <c:pt idx="0">
                      <c:v>Dec-21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D1B2E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{5C3056E7-559B-4780-9911-A3E1081D9550}</c15:txfldGUID>
                      <c15:f>'HOBO vs Production'!$A$33</c15:f>
                      <c15:dlblFieldTableCache>
                        <c:ptCount val="1"/>
                        <c:pt idx="0">
                          <c:v>Dec-21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D9F3-49D8-8B69-C6C03C2115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D1B2E8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9148C8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'HOBO vs Production'!$B$2:$B$33</c:f>
              <c:numCache>
                <c:formatCode>0.00</c:formatCode>
                <c:ptCount val="32"/>
                <c:pt idx="0">
                  <c:v>0.23691090909090901</c:v>
                </c:pt>
                <c:pt idx="1">
                  <c:v>0.265683</c:v>
                </c:pt>
                <c:pt idx="2">
                  <c:v>0.20697272727272714</c:v>
                </c:pt>
                <c:pt idx="3">
                  <c:v>0.3396336363636363</c:v>
                </c:pt>
                <c:pt idx="4">
                  <c:v>0.26977199999999979</c:v>
                </c:pt>
                <c:pt idx="5">
                  <c:v>0.37060347826086942</c:v>
                </c:pt>
                <c:pt idx="6">
                  <c:v>0.43054800000000004</c:v>
                </c:pt>
                <c:pt idx="7">
                  <c:v>0.49128952380952373</c:v>
                </c:pt>
                <c:pt idx="8">
                  <c:v>0.65678952380952382</c:v>
                </c:pt>
                <c:pt idx="9">
                  <c:v>0.6760484210526313</c:v>
                </c:pt>
                <c:pt idx="10">
                  <c:v>0.86921999999999988</c:v>
                </c:pt>
                <c:pt idx="11">
                  <c:v>1.1245457142857145</c:v>
                </c:pt>
                <c:pt idx="12">
                  <c:v>1.1078229999999998</c:v>
                </c:pt>
                <c:pt idx="13">
                  <c:v>0.97575272727272733</c:v>
                </c:pt>
                <c:pt idx="14">
                  <c:v>0.97904545454545444</c:v>
                </c:pt>
                <c:pt idx="15">
                  <c:v>1.1782904761904762</c:v>
                </c:pt>
                <c:pt idx="16">
                  <c:v>1.4271971428571426</c:v>
                </c:pt>
                <c:pt idx="17">
                  <c:v>1.3838309090909091</c:v>
                </c:pt>
                <c:pt idx="18">
                  <c:v>1.5535700000000001</c:v>
                </c:pt>
                <c:pt idx="19">
                  <c:v>1.5903154545454543</c:v>
                </c:pt>
                <c:pt idx="20">
                  <c:v>1.7194252631578943</c:v>
                </c:pt>
                <c:pt idx="21">
                  <c:v>1.7828094736842108</c:v>
                </c:pt>
                <c:pt idx="22">
                  <c:v>2.254263478260869</c:v>
                </c:pt>
                <c:pt idx="23">
                  <c:v>2.5641809523809522</c:v>
                </c:pt>
                <c:pt idx="24">
                  <c:v>3.0686579999999997</c:v>
                </c:pt>
                <c:pt idx="25">
                  <c:v>2.6667336363636363</c:v>
                </c:pt>
                <c:pt idx="26">
                  <c:v>2.7439638095238092</c:v>
                </c:pt>
                <c:pt idx="27">
                  <c:v>2.5742027272727266</c:v>
                </c:pt>
                <c:pt idx="28">
                  <c:v>2.1470571428571428</c:v>
                </c:pt>
                <c:pt idx="29">
                  <c:v>2.1353857142857144</c:v>
                </c:pt>
                <c:pt idx="30">
                  <c:v>2.1266238095238097</c:v>
                </c:pt>
                <c:pt idx="31">
                  <c:v>1.9574427272727275</c:v>
                </c:pt>
              </c:numCache>
            </c:numRef>
          </c:xVal>
          <c:yVal>
            <c:numRef>
              <c:f>'HOBO vs Production'!$E$2:$E$33</c:f>
              <c:numCache>
                <c:formatCode>#,##0_);[Red]\(#,##0\)</c:formatCode>
                <c:ptCount val="32"/>
                <c:pt idx="0">
                  <c:v>28048311.599999994</c:v>
                </c:pt>
                <c:pt idx="1">
                  <c:v>5608049.8000000119</c:v>
                </c:pt>
                <c:pt idx="2">
                  <c:v>26395806.400000006</c:v>
                </c:pt>
                <c:pt idx="3">
                  <c:v>2933954.8000000119</c:v>
                </c:pt>
                <c:pt idx="4">
                  <c:v>4705833</c:v>
                </c:pt>
                <c:pt idx="5">
                  <c:v>8631830.400000006</c:v>
                </c:pt>
                <c:pt idx="6">
                  <c:v>-7304206.400000006</c:v>
                </c:pt>
                <c:pt idx="7">
                  <c:v>-21745735.800000012</c:v>
                </c:pt>
                <c:pt idx="8">
                  <c:v>33295590.599999994</c:v>
                </c:pt>
                <c:pt idx="9">
                  <c:v>33117394</c:v>
                </c:pt>
                <c:pt idx="10">
                  <c:v>25431777</c:v>
                </c:pt>
                <c:pt idx="11">
                  <c:v>16831378.200000003</c:v>
                </c:pt>
                <c:pt idx="12">
                  <c:v>-3657263.8000000119</c:v>
                </c:pt>
                <c:pt idx="13">
                  <c:v>20854539.800000012</c:v>
                </c:pt>
                <c:pt idx="14">
                  <c:v>11402358.400000006</c:v>
                </c:pt>
                <c:pt idx="15">
                  <c:v>15688316.199999988</c:v>
                </c:pt>
                <c:pt idx="16">
                  <c:v>25170993.800000012</c:v>
                </c:pt>
                <c:pt idx="17">
                  <c:v>6490731.1999999881</c:v>
                </c:pt>
                <c:pt idx="18">
                  <c:v>12037799</c:v>
                </c:pt>
                <c:pt idx="19">
                  <c:v>19312543.199999988</c:v>
                </c:pt>
                <c:pt idx="20">
                  <c:v>9689565.799999997</c:v>
                </c:pt>
                <c:pt idx="21">
                  <c:v>1925930.599999994</c:v>
                </c:pt>
                <c:pt idx="22">
                  <c:v>14134103.199999988</c:v>
                </c:pt>
                <c:pt idx="23">
                  <c:v>3299063</c:v>
                </c:pt>
                <c:pt idx="24">
                  <c:v>-655944.40000000596</c:v>
                </c:pt>
                <c:pt idx="25">
                  <c:v>2872372</c:v>
                </c:pt>
                <c:pt idx="26">
                  <c:v>-11156337.599999994</c:v>
                </c:pt>
                <c:pt idx="27">
                  <c:v>-10401459</c:v>
                </c:pt>
                <c:pt idx="28">
                  <c:v>-12766663.400000006</c:v>
                </c:pt>
                <c:pt idx="29">
                  <c:v>-12114202.800000012</c:v>
                </c:pt>
                <c:pt idx="30">
                  <c:v>797629</c:v>
                </c:pt>
                <c:pt idx="31">
                  <c:v>-4016668.8000000119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D9F3-49D8-8B69-C6C03C2115FC}"/>
            </c:ext>
          </c:extLst>
        </c:ser>
        <c:ser>
          <c:idx val="1"/>
          <c:order val="1"/>
          <c:tx>
            <c:v>2022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9148C8"/>
              </a:solidFill>
              <a:ln w="9525">
                <a:solidFill>
                  <a:srgbClr val="D1B2E8"/>
                </a:solidFill>
              </a:ln>
              <a:effectLst/>
            </c:spPr>
          </c:marker>
          <c:dLbls>
            <c:dLbl>
              <c:idx val="0"/>
              <c:tx>
                <c:strRef>
                  <c:f>'HOBO vs Production'!$A$34</c:f>
                  <c:strCache>
                    <c:ptCount val="1"/>
                    <c:pt idx="0">
                      <c:v>Jan-22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{4341B8C7-A97E-43B3-8AED-FC1D00480245}</c15:txfldGUID>
                      <c15:f>'HOBO vs Production'!$A$34</c15:f>
                      <c15:dlblFieldTableCache>
                        <c:ptCount val="1"/>
                        <c:pt idx="0">
                          <c:v>Jan-22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D9F3-49D8-8B69-C6C03C2115FC}"/>
                </c:ext>
              </c:extLst>
            </c:dLbl>
            <c:dLbl>
              <c:idx val="1"/>
              <c:tx>
                <c:strRef>
                  <c:f>'HOBO vs Production'!$A$35</c:f>
                  <c:strCache>
                    <c:ptCount val="1"/>
                    <c:pt idx="0">
                      <c:v>Feb-22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{76BAD641-BDDE-4E01-B9BE-617359388A99}</c15:txfldGUID>
                      <c15:f>'HOBO vs Production'!$A$35</c15:f>
                      <c15:dlblFieldTableCache>
                        <c:ptCount val="1"/>
                        <c:pt idx="0">
                          <c:v>Feb-22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D9F3-49D8-8B69-C6C03C2115FC}"/>
                </c:ext>
              </c:extLst>
            </c:dLbl>
            <c:dLbl>
              <c:idx val="2"/>
              <c:tx>
                <c:strRef>
                  <c:f>'HOBO vs Production'!$A$36</c:f>
                  <c:strCache>
                    <c:ptCount val="1"/>
                    <c:pt idx="0">
                      <c:v>Mar-22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{5F346EF8-9326-4927-8A51-B79B6BF0167B}</c15:txfldGUID>
                      <c15:f>'HOBO vs Production'!$A$36</c15:f>
                      <c15:dlblFieldTableCache>
                        <c:ptCount val="1"/>
                        <c:pt idx="0">
                          <c:v>Mar-22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D9F3-49D8-8B69-C6C03C2115FC}"/>
                </c:ext>
              </c:extLst>
            </c:dLbl>
            <c:dLbl>
              <c:idx val="3"/>
              <c:tx>
                <c:strRef>
                  <c:f>'HOBO vs Production'!$A$37</c:f>
                  <c:strCache>
                    <c:ptCount val="1"/>
                    <c:pt idx="0">
                      <c:v>Apr-22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{74AA7DA4-CE3F-48C8-BC7C-9E837D5ADC42}</c15:txfldGUID>
                      <c15:f>'HOBO vs Production'!$A$37</c15:f>
                      <c15:dlblFieldTableCache>
                        <c:ptCount val="1"/>
                        <c:pt idx="0">
                          <c:v>Apr-22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D9F3-49D8-8B69-C6C03C2115FC}"/>
                </c:ext>
              </c:extLst>
            </c:dLbl>
            <c:dLbl>
              <c:idx val="4"/>
              <c:tx>
                <c:strRef>
                  <c:f>'HOBO vs Production'!$A$38</c:f>
                  <c:strCache>
                    <c:ptCount val="1"/>
                    <c:pt idx="0">
                      <c:v>May-22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{7627E3AC-7C3E-4E89-A9FA-0BB689B3413C}</c15:txfldGUID>
                      <c15:f>'HOBO vs Production'!$A$38</c15:f>
                      <c15:dlblFieldTableCache>
                        <c:ptCount val="1"/>
                        <c:pt idx="0">
                          <c:v>May-22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D9F3-49D8-8B69-C6C03C2115FC}"/>
                </c:ext>
              </c:extLst>
            </c:dLbl>
            <c:dLbl>
              <c:idx val="5"/>
              <c:tx>
                <c:strRef>
                  <c:f>'HOBO vs Production'!$A$39</c:f>
                  <c:strCache>
                    <c:ptCount val="1"/>
                    <c:pt idx="0">
                      <c:v>Jun-22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{47B28A0F-DE6F-445A-ACD0-868FC761B5B6}</c15:txfldGUID>
                      <c15:f>'HOBO vs Production'!$A$39</c15:f>
                      <c15:dlblFieldTableCache>
                        <c:ptCount val="1"/>
                        <c:pt idx="0">
                          <c:v>Jun-22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D9F3-49D8-8B69-C6C03C2115FC}"/>
                </c:ext>
              </c:extLst>
            </c:dLbl>
            <c:dLbl>
              <c:idx val="6"/>
              <c:tx>
                <c:strRef>
                  <c:f>'HOBO vs Production'!$A$40</c:f>
                  <c:strCache>
                    <c:ptCount val="1"/>
                    <c:pt idx="0">
                      <c:v>Jul-22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{7A5E7652-D56F-4854-8C19-829633898B35}</c15:txfldGUID>
                      <c15:f>'HOBO vs Production'!$A$40</c15:f>
                      <c15:dlblFieldTableCache>
                        <c:ptCount val="1"/>
                        <c:pt idx="0">
                          <c:v>Jul-22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D9F3-49D8-8B69-C6C03C2115FC}"/>
                </c:ext>
              </c:extLst>
            </c:dLbl>
            <c:dLbl>
              <c:idx val="7"/>
              <c:tx>
                <c:strRef>
                  <c:f>'HOBO vs Production'!$A$41</c:f>
                  <c:strCache>
                    <c:ptCount val="1"/>
                    <c:pt idx="0">
                      <c:v>Aug-22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{AD6CB828-E845-49FE-896D-4EA7D1C90C53}</c15:txfldGUID>
                      <c15:f>'HOBO vs Production'!$A$41</c15:f>
                      <c15:dlblFieldTableCache>
                        <c:ptCount val="1"/>
                        <c:pt idx="0">
                          <c:v>Aug-22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D9F3-49D8-8B69-C6C03C2115FC}"/>
                </c:ext>
              </c:extLst>
            </c:dLbl>
            <c:dLbl>
              <c:idx val="8"/>
              <c:tx>
                <c:strRef>
                  <c:f>'HOBO vs Production'!$A$42</c:f>
                  <c:strCache>
                    <c:ptCount val="1"/>
                    <c:pt idx="0">
                      <c:v>Sep-22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{87B3CC03-75DD-46F4-BC75-480781D20FF8}</c15:txfldGUID>
                      <c15:f>'HOBO vs Production'!$A$42</c15:f>
                      <c15:dlblFieldTableCache>
                        <c:ptCount val="1"/>
                        <c:pt idx="0">
                          <c:v>Sep-22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D9F3-49D8-8B69-C6C03C2115FC}"/>
                </c:ext>
              </c:extLst>
            </c:dLbl>
            <c:dLbl>
              <c:idx val="9"/>
              <c:tx>
                <c:strRef>
                  <c:f>'HOBO vs Production'!$A$43</c:f>
                  <c:strCache>
                    <c:ptCount val="1"/>
                    <c:pt idx="0">
                      <c:v>Oct-22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{F0976AD3-8F07-4022-825A-37E95A9EBBB3}</c15:txfldGUID>
                      <c15:f>'HOBO vs Production'!$A$43</c15:f>
                      <c15:dlblFieldTableCache>
                        <c:ptCount val="1"/>
                        <c:pt idx="0">
                          <c:v>Oct-22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D9F3-49D8-8B69-C6C03C2115FC}"/>
                </c:ext>
              </c:extLst>
            </c:dLbl>
            <c:dLbl>
              <c:idx val="10"/>
              <c:tx>
                <c:strRef>
                  <c:f>'HOBO vs Production'!$A$44</c:f>
                  <c:strCache>
                    <c:ptCount val="1"/>
                    <c:pt idx="0">
                      <c:v>Nov-22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{F999999F-A020-4D4F-9762-7F5D765C6986}</c15:txfldGUID>
                      <c15:f>'HOBO vs Production'!$A$44</c15:f>
                      <c15:dlblFieldTableCache>
                        <c:ptCount val="1"/>
                        <c:pt idx="0">
                          <c:v>Nov-22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D9F3-49D8-8B69-C6C03C2115FC}"/>
                </c:ext>
              </c:extLst>
            </c:dLbl>
            <c:dLbl>
              <c:idx val="11"/>
              <c:tx>
                <c:strRef>
                  <c:f>'HOBO vs Production'!$A$45</c:f>
                  <c:strCache>
                    <c:ptCount val="1"/>
                    <c:pt idx="0">
                      <c:v>Dec-22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{027D2D09-4E05-48C9-B518-EB0B875A4877}</c15:txfldGUID>
                      <c15:f>'HOBO vs Production'!$A$45</c15:f>
                      <c15:dlblFieldTableCache>
                        <c:ptCount val="1"/>
                        <c:pt idx="0">
                          <c:v>Dec-22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D9F3-49D8-8B69-C6C03C2115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9148C8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'HOBO vs Production'!$B$34:$B$45</c:f>
              <c:numCache>
                <c:formatCode>0.00</c:formatCode>
                <c:ptCount val="12"/>
                <c:pt idx="0">
                  <c:v>2.0489189999999997</c:v>
                </c:pt>
                <c:pt idx="1">
                  <c:v>2.3252063157894738</c:v>
                </c:pt>
                <c:pt idx="2">
                  <c:v>2.0870565217391306</c:v>
                </c:pt>
                <c:pt idx="3">
                  <c:v>2.3215059999999998</c:v>
                </c:pt>
                <c:pt idx="4">
                  <c:v>2.3091104761904759</c:v>
                </c:pt>
                <c:pt idx="5">
                  <c:v>1.4467923809523813</c:v>
                </c:pt>
                <c:pt idx="6">
                  <c:v>1.0371319999999999</c:v>
                </c:pt>
                <c:pt idx="7">
                  <c:v>1.4865573913043477</c:v>
                </c:pt>
                <c:pt idx="8">
                  <c:v>1.6098457142857141</c:v>
                </c:pt>
                <c:pt idx="9">
                  <c:v>1.495452380952381</c:v>
                </c:pt>
                <c:pt idx="10">
                  <c:v>2.0885828571428569</c:v>
                </c:pt>
                <c:pt idx="11">
                  <c:v>1.7587895238095237</c:v>
                </c:pt>
              </c:numCache>
            </c:numRef>
          </c:xVal>
          <c:yVal>
            <c:numRef>
              <c:f>'HOBO vs Production'!$E$34:$E$45</c:f>
              <c:numCache>
                <c:formatCode>#,##0_);[Red]\(#,##0\)</c:formatCode>
                <c:ptCount val="12"/>
                <c:pt idx="0">
                  <c:v>-11246507</c:v>
                </c:pt>
                <c:pt idx="1">
                  <c:v>591243.20000000298</c:v>
                </c:pt>
                <c:pt idx="2">
                  <c:v>-5087742.599999994</c:v>
                </c:pt>
                <c:pt idx="3">
                  <c:v>-436456.19999998808</c:v>
                </c:pt>
                <c:pt idx="4">
                  <c:v>-14330379.599999994</c:v>
                </c:pt>
                <c:pt idx="5">
                  <c:v>-11072413</c:v>
                </c:pt>
                <c:pt idx="6">
                  <c:v>-22284427.599999994</c:v>
                </c:pt>
                <c:pt idx="7">
                  <c:v>-11735368.800000012</c:v>
                </c:pt>
                <c:pt idx="8">
                  <c:v>-9498930</c:v>
                </c:pt>
                <c:pt idx="9">
                  <c:v>-13195749</c:v>
                </c:pt>
                <c:pt idx="10">
                  <c:v>1008489.599999994</c:v>
                </c:pt>
                <c:pt idx="11">
                  <c:v>-19831715.400000006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D9F3-49D8-8B69-C6C03C211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879888"/>
        <c:axId val="1579875296"/>
      </c:scatterChart>
      <c:valAx>
        <c:axId val="1579879888"/>
        <c:scaling>
          <c:orientation val="minMax"/>
          <c:min val="-0.5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 b="1" baseline="0">
                    <a:solidFill>
                      <a:sysClr val="windowText" lastClr="000000"/>
                    </a:solidFill>
                  </a:rPr>
                  <a:t>HOBO Spread ($ per gallon)</a:t>
                </a:r>
                <a:endParaRPr lang="en-US" sz="14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9875296"/>
        <c:crosses val="autoZero"/>
        <c:crossBetween val="midCat"/>
      </c:valAx>
      <c:valAx>
        <c:axId val="157987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</a:rPr>
                  <a:t>Domestic</a:t>
                </a:r>
                <a:r>
                  <a:rPr lang="en-US" sz="1400" b="1" baseline="0">
                    <a:solidFill>
                      <a:sysClr val="windowText" lastClr="000000"/>
                    </a:solidFill>
                  </a:rPr>
                  <a:t> Biodiesel Production -</a:t>
                </a:r>
              </a:p>
              <a:p>
                <a:pPr>
                  <a:defRPr sz="1400" b="1">
                    <a:solidFill>
                      <a:sysClr val="windowText" lastClr="000000"/>
                    </a:solidFill>
                  </a:defRPr>
                </a:pPr>
                <a:r>
                  <a:rPr lang="en-US" sz="1400" b="1" baseline="0">
                    <a:solidFill>
                      <a:sysClr val="windowText" lastClr="000000"/>
                    </a:solidFill>
                  </a:rPr>
                  <a:t> 5-Year Average for the Month (gallons)</a:t>
                </a:r>
                <a:endParaRPr lang="en-US" sz="14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9879888"/>
        <c:crosses val="autoZero"/>
        <c:crossBetween val="midCat"/>
      </c:valAx>
      <c:spPr>
        <a:noFill/>
        <a:ln w="15875">
          <a:solidFill>
            <a:srgbClr val="9148C8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/>
              <a:t>HOBO Spread vs. Biodiesel Production Change from Five-Year Average for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70177004109833"/>
          <c:y val="0.18191339710542484"/>
          <c:w val="0.82604355095465909"/>
          <c:h val="0.7027637610988753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D1B2E8"/>
              </a:solidFill>
              <a:ln w="15875">
                <a:solidFill>
                  <a:srgbClr val="9148C8"/>
                </a:solidFill>
              </a:ln>
              <a:effectLst/>
            </c:spPr>
          </c:marker>
          <c:dLbls>
            <c:dLbl>
              <c:idx val="0"/>
              <c:tx>
                <c:strRef>
                  <c:f>'HOBO vs Production'!$A$10</c:f>
                  <c:strCache>
                    <c:ptCount val="1"/>
                    <c:pt idx="0">
                      <c:v>Jan-20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{E858BADA-33D4-494A-BFA8-1E77D6F189E8}</c15:txfldGUID>
                      <c15:f>'HOBO vs Production'!$A$10</c15:f>
                      <c15:dlblFieldTableCache>
                        <c:ptCount val="1"/>
                        <c:pt idx="0">
                          <c:v>Jan-20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E74F-4486-9543-204A72A8A936}"/>
                </c:ext>
              </c:extLst>
            </c:dLbl>
            <c:dLbl>
              <c:idx val="1"/>
              <c:tx>
                <c:strRef>
                  <c:f>'HOBO vs Production'!$A$11</c:f>
                  <c:strCache>
                    <c:ptCount val="1"/>
                    <c:pt idx="0">
                      <c:v>Feb-20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{8FAA548C-F606-4FB5-BFBD-E2BEE2DBEA59}</c15:txfldGUID>
                      <c15:f>'HOBO vs Production'!$A$11</c15:f>
                      <c15:dlblFieldTableCache>
                        <c:ptCount val="1"/>
                        <c:pt idx="0">
                          <c:v>Feb-20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E74F-4486-9543-204A72A8A936}"/>
                </c:ext>
              </c:extLst>
            </c:dLbl>
            <c:dLbl>
              <c:idx val="2"/>
              <c:tx>
                <c:strRef>
                  <c:f>'HOBO vs Production'!$A$12</c:f>
                  <c:strCache>
                    <c:ptCount val="1"/>
                    <c:pt idx="0">
                      <c:v>Mar-20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{FFC7BF63-21BA-4713-935C-0B5A55D28CF0}</c15:txfldGUID>
                      <c15:f>'HOBO vs Production'!$A$12</c15:f>
                      <c15:dlblFieldTableCache>
                        <c:ptCount val="1"/>
                        <c:pt idx="0">
                          <c:v>Mar-20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E74F-4486-9543-204A72A8A936}"/>
                </c:ext>
              </c:extLst>
            </c:dLbl>
            <c:dLbl>
              <c:idx val="3"/>
              <c:tx>
                <c:strRef>
                  <c:f>'HOBO vs Production'!$A$13</c:f>
                  <c:strCache>
                    <c:ptCount val="1"/>
                    <c:pt idx="0">
                      <c:v>Apr-20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{FC71E3F4-5BD5-4EA4-8FE2-B392B56781E6}</c15:txfldGUID>
                      <c15:f>'HOBO vs Production'!$A$13</c15:f>
                      <c15:dlblFieldTableCache>
                        <c:ptCount val="1"/>
                        <c:pt idx="0">
                          <c:v>Apr-20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E74F-4486-9543-204A72A8A936}"/>
                </c:ext>
              </c:extLst>
            </c:dLbl>
            <c:dLbl>
              <c:idx val="4"/>
              <c:tx>
                <c:strRef>
                  <c:f>'HOBO vs Production'!$A$14</c:f>
                  <c:strCache>
                    <c:ptCount val="1"/>
                    <c:pt idx="0">
                      <c:v>May-20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{D1FEFD6C-52AD-44F6-807D-A51E738F7CA4}</c15:txfldGUID>
                      <c15:f>'HOBO vs Production'!$A$14</c15:f>
                      <c15:dlblFieldTableCache>
                        <c:ptCount val="1"/>
                        <c:pt idx="0">
                          <c:v>May-20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E74F-4486-9543-204A72A8A936}"/>
                </c:ext>
              </c:extLst>
            </c:dLbl>
            <c:dLbl>
              <c:idx val="5"/>
              <c:tx>
                <c:strRef>
                  <c:f>'HOBO vs Production'!$A$15</c:f>
                  <c:strCache>
                    <c:ptCount val="1"/>
                    <c:pt idx="0">
                      <c:v>Jun-20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{36875EB8-8A93-45B4-98D4-B2BE66F3CEC1}</c15:txfldGUID>
                      <c15:f>'HOBO vs Production'!$A$15</c15:f>
                      <c15:dlblFieldTableCache>
                        <c:ptCount val="1"/>
                        <c:pt idx="0">
                          <c:v>Jun-20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E74F-4486-9543-204A72A8A936}"/>
                </c:ext>
              </c:extLst>
            </c:dLbl>
            <c:dLbl>
              <c:idx val="6"/>
              <c:tx>
                <c:strRef>
                  <c:f>'HOBO vs Production'!$A$16</c:f>
                  <c:strCache>
                    <c:ptCount val="1"/>
                    <c:pt idx="0">
                      <c:v>Jul-20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{E825B587-218A-4A05-B047-75F1F099BA06}</c15:txfldGUID>
                      <c15:f>'HOBO vs Production'!$A$16</c15:f>
                      <c15:dlblFieldTableCache>
                        <c:ptCount val="1"/>
                        <c:pt idx="0">
                          <c:v>Jul-20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E74F-4486-9543-204A72A8A936}"/>
                </c:ext>
              </c:extLst>
            </c:dLbl>
            <c:dLbl>
              <c:idx val="7"/>
              <c:tx>
                <c:strRef>
                  <c:f>'HOBO vs Production'!$A$17</c:f>
                  <c:strCache>
                    <c:ptCount val="1"/>
                    <c:pt idx="0">
                      <c:v>Aug-20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{160D974A-331B-4766-B9ED-8B4DBBA80228}</c15:txfldGUID>
                      <c15:f>'HOBO vs Production'!$A$17</c15:f>
                      <c15:dlblFieldTableCache>
                        <c:ptCount val="1"/>
                        <c:pt idx="0">
                          <c:v>Aug-20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E74F-4486-9543-204A72A8A936}"/>
                </c:ext>
              </c:extLst>
            </c:dLbl>
            <c:dLbl>
              <c:idx val="8"/>
              <c:tx>
                <c:strRef>
                  <c:f>'HOBO vs Production'!$A$18</c:f>
                  <c:strCache>
                    <c:ptCount val="1"/>
                    <c:pt idx="0">
                      <c:v>Sep-20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{D561B478-2D79-42D0-8FA0-0F763A6B0FD3}</c15:txfldGUID>
                      <c15:f>'HOBO vs Production'!$A$18</c15:f>
                      <c15:dlblFieldTableCache>
                        <c:ptCount val="1"/>
                        <c:pt idx="0">
                          <c:v>Sep-20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E74F-4486-9543-204A72A8A936}"/>
                </c:ext>
              </c:extLst>
            </c:dLbl>
            <c:dLbl>
              <c:idx val="9"/>
              <c:tx>
                <c:strRef>
                  <c:f>'HOBO vs Production'!$A$19</c:f>
                  <c:strCache>
                    <c:ptCount val="1"/>
                    <c:pt idx="0">
                      <c:v>Oct-20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{76CB71EE-0B36-43C7-909F-D2F0BC6DE283}</c15:txfldGUID>
                      <c15:f>'HOBO vs Production'!$A$19</c15:f>
                      <c15:dlblFieldTableCache>
                        <c:ptCount val="1"/>
                        <c:pt idx="0">
                          <c:v>Oct-20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E74F-4486-9543-204A72A8A936}"/>
                </c:ext>
              </c:extLst>
            </c:dLbl>
            <c:dLbl>
              <c:idx val="10"/>
              <c:tx>
                <c:strRef>
                  <c:f>'HOBO vs Production'!$A$20</c:f>
                  <c:strCache>
                    <c:ptCount val="1"/>
                    <c:pt idx="0">
                      <c:v>Nov-20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{41F4D667-4D84-4097-93EF-C77DDF328A84}</c15:txfldGUID>
                      <c15:f>'HOBO vs Production'!$A$20</c15:f>
                      <c15:dlblFieldTableCache>
                        <c:ptCount val="1"/>
                        <c:pt idx="0">
                          <c:v>Nov-20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E74F-4486-9543-204A72A8A936}"/>
                </c:ext>
              </c:extLst>
            </c:dLbl>
            <c:dLbl>
              <c:idx val="11"/>
              <c:tx>
                <c:strRef>
                  <c:f>'HOBO vs Production'!$A$21</c:f>
                  <c:strCache>
                    <c:ptCount val="1"/>
                    <c:pt idx="0">
                      <c:v>Dec-20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{503C7CCC-D8FF-43FB-9EDD-389FCC6C09A7}</c15:txfldGUID>
                      <c15:f>'HOBO vs Production'!$A$21</c15:f>
                      <c15:dlblFieldTableCache>
                        <c:ptCount val="1"/>
                        <c:pt idx="0">
                          <c:v>Dec-20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E74F-4486-9543-204A72A8A936}"/>
                </c:ext>
              </c:extLst>
            </c:dLbl>
            <c:dLbl>
              <c:idx val="12"/>
              <c:tx>
                <c:strRef>
                  <c:f>'HOBO vs Production'!$A$22</c:f>
                  <c:strCache>
                    <c:ptCount val="1"/>
                    <c:pt idx="0">
                      <c:v>Jan-21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{AFA409E9-C2BA-4679-BC2A-457ACDD66491}</c15:txfldGUID>
                      <c15:f>'HOBO vs Production'!$A$22</c15:f>
                      <c15:dlblFieldTableCache>
                        <c:ptCount val="1"/>
                        <c:pt idx="0">
                          <c:v>Jan-21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E74F-4486-9543-204A72A8A936}"/>
                </c:ext>
              </c:extLst>
            </c:dLbl>
            <c:dLbl>
              <c:idx val="13"/>
              <c:tx>
                <c:strRef>
                  <c:f>'HOBO vs Production'!$A$23</c:f>
                  <c:strCache>
                    <c:ptCount val="1"/>
                    <c:pt idx="0">
                      <c:v>Feb-21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{EB964557-77B1-4DC8-9055-E49A801980C4}</c15:txfldGUID>
                      <c15:f>'HOBO vs Production'!$A$23</c15:f>
                      <c15:dlblFieldTableCache>
                        <c:ptCount val="1"/>
                        <c:pt idx="0">
                          <c:v>Feb-21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E74F-4486-9543-204A72A8A936}"/>
                </c:ext>
              </c:extLst>
            </c:dLbl>
            <c:dLbl>
              <c:idx val="14"/>
              <c:tx>
                <c:strRef>
                  <c:f>'HOBO vs Production'!$A$24</c:f>
                  <c:strCache>
                    <c:ptCount val="1"/>
                    <c:pt idx="0">
                      <c:v>Mar-21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{D3C772E7-F611-44FE-A542-775589E0047D}</c15:txfldGUID>
                      <c15:f>'HOBO vs Production'!$A$24</c15:f>
                      <c15:dlblFieldTableCache>
                        <c:ptCount val="1"/>
                        <c:pt idx="0">
                          <c:v>Mar-21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E74F-4486-9543-204A72A8A936}"/>
                </c:ext>
              </c:extLst>
            </c:dLbl>
            <c:dLbl>
              <c:idx val="15"/>
              <c:tx>
                <c:strRef>
                  <c:f>'HOBO vs Production'!$A$25</c:f>
                  <c:strCache>
                    <c:ptCount val="1"/>
                    <c:pt idx="0">
                      <c:v>Apr-21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{9B595B16-858F-4B25-9E48-0995203E5075}</c15:txfldGUID>
                      <c15:f>'HOBO vs Production'!$A$25</c15:f>
                      <c15:dlblFieldTableCache>
                        <c:ptCount val="1"/>
                        <c:pt idx="0">
                          <c:v>Apr-21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E74F-4486-9543-204A72A8A936}"/>
                </c:ext>
              </c:extLst>
            </c:dLbl>
            <c:dLbl>
              <c:idx val="16"/>
              <c:tx>
                <c:strRef>
                  <c:f>'HOBO vs Production'!$A$26</c:f>
                  <c:strCache>
                    <c:ptCount val="1"/>
                    <c:pt idx="0">
                      <c:v>May-21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{52EC9D58-AF52-4DF9-84E4-344F0801EC34}</c15:txfldGUID>
                      <c15:f>'HOBO vs Production'!$A$26</c15:f>
                      <c15:dlblFieldTableCache>
                        <c:ptCount val="1"/>
                        <c:pt idx="0">
                          <c:v>May-21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E74F-4486-9543-204A72A8A936}"/>
                </c:ext>
              </c:extLst>
            </c:dLbl>
            <c:dLbl>
              <c:idx val="17"/>
              <c:tx>
                <c:strRef>
                  <c:f>'HOBO vs Production'!$A$27</c:f>
                  <c:strCache>
                    <c:ptCount val="1"/>
                    <c:pt idx="0">
                      <c:v>Jun-21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{6E56B371-5754-4446-92D3-E2464452C120}</c15:txfldGUID>
                      <c15:f>'HOBO vs Production'!$A$27</c15:f>
                      <c15:dlblFieldTableCache>
                        <c:ptCount val="1"/>
                        <c:pt idx="0">
                          <c:v>Jun-21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E74F-4486-9543-204A72A8A936}"/>
                </c:ext>
              </c:extLst>
            </c:dLbl>
            <c:dLbl>
              <c:idx val="18"/>
              <c:tx>
                <c:strRef>
                  <c:f>'HOBO vs Production'!$A$28</c:f>
                  <c:strCache>
                    <c:ptCount val="1"/>
                    <c:pt idx="0">
                      <c:v>Jul-21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{A05A515F-BD42-46A8-A1EC-D3C820DCAA53}</c15:txfldGUID>
                      <c15:f>'HOBO vs Production'!$A$28</c15:f>
                      <c15:dlblFieldTableCache>
                        <c:ptCount val="1"/>
                        <c:pt idx="0">
                          <c:v>Jul-21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E74F-4486-9543-204A72A8A936}"/>
                </c:ext>
              </c:extLst>
            </c:dLbl>
            <c:dLbl>
              <c:idx val="19"/>
              <c:tx>
                <c:strRef>
                  <c:f>'HOBO vs Production'!$A$29</c:f>
                  <c:strCache>
                    <c:ptCount val="1"/>
                    <c:pt idx="0">
                      <c:v>Aug-21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{4DBFE2F6-A6C9-4970-BB08-C83328D3EF7D}</c15:txfldGUID>
                      <c15:f>'HOBO vs Production'!$A$29</c15:f>
                      <c15:dlblFieldTableCache>
                        <c:ptCount val="1"/>
                        <c:pt idx="0">
                          <c:v>Aug-21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E74F-4486-9543-204A72A8A936}"/>
                </c:ext>
              </c:extLst>
            </c:dLbl>
            <c:dLbl>
              <c:idx val="20"/>
              <c:tx>
                <c:strRef>
                  <c:f>'HOBO vs Production'!$A$30</c:f>
                  <c:strCache>
                    <c:ptCount val="1"/>
                    <c:pt idx="0">
                      <c:v>Sep-21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{D86E0D8F-5C84-438A-992F-7DEFE4EA47CD}</c15:txfldGUID>
                      <c15:f>'HOBO vs Production'!$A$30</c15:f>
                      <c15:dlblFieldTableCache>
                        <c:ptCount val="1"/>
                        <c:pt idx="0">
                          <c:v>Sep-21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E74F-4486-9543-204A72A8A936}"/>
                </c:ext>
              </c:extLst>
            </c:dLbl>
            <c:dLbl>
              <c:idx val="21"/>
              <c:tx>
                <c:strRef>
                  <c:f>'HOBO vs Production'!$A$31</c:f>
                  <c:strCache>
                    <c:ptCount val="1"/>
                    <c:pt idx="0">
                      <c:v>Oct-21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{A4531ACE-10DF-47A4-80F1-87DD8B6043C1}</c15:txfldGUID>
                      <c15:f>'HOBO vs Production'!$A$31</c15:f>
                      <c15:dlblFieldTableCache>
                        <c:ptCount val="1"/>
                        <c:pt idx="0">
                          <c:v>Oct-21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E74F-4486-9543-204A72A8A936}"/>
                </c:ext>
              </c:extLst>
            </c:dLbl>
            <c:dLbl>
              <c:idx val="22"/>
              <c:tx>
                <c:strRef>
                  <c:f>'HOBO vs Production'!$A$32</c:f>
                  <c:strCache>
                    <c:ptCount val="1"/>
                    <c:pt idx="0">
                      <c:v>Nov-21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{5A55FC34-EADF-4D3B-B3C2-388180A2DC2F}</c15:txfldGUID>
                      <c15:f>'HOBO vs Production'!$A$32</c15:f>
                      <c15:dlblFieldTableCache>
                        <c:ptCount val="1"/>
                        <c:pt idx="0">
                          <c:v>Nov-21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E74F-4486-9543-204A72A8A936}"/>
                </c:ext>
              </c:extLst>
            </c:dLbl>
            <c:dLbl>
              <c:idx val="23"/>
              <c:tx>
                <c:strRef>
                  <c:f>'HOBO vs Production'!$A$33</c:f>
                  <c:strCache>
                    <c:ptCount val="1"/>
                    <c:pt idx="0">
                      <c:v>Dec-21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{3B1143A9-4B59-45C9-9F40-77BE5ECDFB2A}</c15:txfldGUID>
                      <c15:f>'HOBO vs Production'!$A$33</c15:f>
                      <c15:dlblFieldTableCache>
                        <c:ptCount val="1"/>
                        <c:pt idx="0">
                          <c:v>Dec-21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E74F-4486-9543-204A72A8A936}"/>
                </c:ext>
              </c:extLst>
            </c:dLbl>
            <c:dLbl>
              <c:idx val="24"/>
              <c:tx>
                <c:strRef>
                  <c:f>'HOBO vs Production'!$A$34</c:f>
                  <c:strCache>
                    <c:ptCount val="1"/>
                    <c:pt idx="0">
                      <c:v>Jan-22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{9A87CFC4-F3E5-456B-A1B8-08EF9F1A9AF2}</c15:txfldGUID>
                      <c15:f>'HOBO vs Production'!$A$34</c15:f>
                      <c15:dlblFieldTableCache>
                        <c:ptCount val="1"/>
                        <c:pt idx="0">
                          <c:v>Jan-22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E74F-4486-9543-204A72A8A936}"/>
                </c:ext>
              </c:extLst>
            </c:dLbl>
            <c:dLbl>
              <c:idx val="25"/>
              <c:tx>
                <c:strRef>
                  <c:f>'HOBO vs Production'!$A$35</c:f>
                  <c:strCache>
                    <c:ptCount val="1"/>
                    <c:pt idx="0">
                      <c:v>Feb-22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{F4E53E21-040A-4C20-8ED9-0826665E5F59}</c15:txfldGUID>
                      <c15:f>'HOBO vs Production'!$A$35</c15:f>
                      <c15:dlblFieldTableCache>
                        <c:ptCount val="1"/>
                        <c:pt idx="0">
                          <c:v>Feb-22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E74F-4486-9543-204A72A8A936}"/>
                </c:ext>
              </c:extLst>
            </c:dLbl>
            <c:dLbl>
              <c:idx val="26"/>
              <c:tx>
                <c:strRef>
                  <c:f>'HOBO vs Production'!$A$36</c:f>
                  <c:strCache>
                    <c:ptCount val="1"/>
                    <c:pt idx="0">
                      <c:v>Mar-22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{C3A19F59-5A24-4081-89C4-4C0613F1B2E2}</c15:txfldGUID>
                      <c15:f>'HOBO vs Production'!$A$36</c15:f>
                      <c15:dlblFieldTableCache>
                        <c:ptCount val="1"/>
                        <c:pt idx="0">
                          <c:v>Mar-22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E74F-4486-9543-204A72A8A936}"/>
                </c:ext>
              </c:extLst>
            </c:dLbl>
            <c:dLbl>
              <c:idx val="27"/>
              <c:tx>
                <c:strRef>
                  <c:f>'HOBO vs Production'!$A$37</c:f>
                  <c:strCache>
                    <c:ptCount val="1"/>
                    <c:pt idx="0">
                      <c:v>Apr-22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{47521D0F-5872-4589-B989-C5D27547B7D1}</c15:txfldGUID>
                      <c15:f>'HOBO vs Production'!$A$37</c15:f>
                      <c15:dlblFieldTableCache>
                        <c:ptCount val="1"/>
                        <c:pt idx="0">
                          <c:v>Apr-22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E74F-4486-9543-204A72A8A936}"/>
                </c:ext>
              </c:extLst>
            </c:dLbl>
            <c:dLbl>
              <c:idx val="28"/>
              <c:tx>
                <c:strRef>
                  <c:f>'HOBO vs Production'!$A$38</c:f>
                  <c:strCache>
                    <c:ptCount val="1"/>
                    <c:pt idx="0">
                      <c:v>May-22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{E4B3C0DE-0DC6-44B9-BF54-DA20F437E6B0}</c15:txfldGUID>
                      <c15:f>'HOBO vs Production'!$A$38</c15:f>
                      <c15:dlblFieldTableCache>
                        <c:ptCount val="1"/>
                        <c:pt idx="0">
                          <c:v>May-22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E74F-4486-9543-204A72A8A936}"/>
                </c:ext>
              </c:extLst>
            </c:dLbl>
            <c:dLbl>
              <c:idx val="29"/>
              <c:tx>
                <c:strRef>
                  <c:f>'HOBO vs Production'!$A$39</c:f>
                  <c:strCache>
                    <c:ptCount val="1"/>
                    <c:pt idx="0">
                      <c:v>Jun-22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{7AF35F2B-5C47-47A3-8686-C5250C1DBE9B}</c15:txfldGUID>
                      <c15:f>'HOBO vs Production'!$A$39</c15:f>
                      <c15:dlblFieldTableCache>
                        <c:ptCount val="1"/>
                        <c:pt idx="0">
                          <c:v>Jun-22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E74F-4486-9543-204A72A8A936}"/>
                </c:ext>
              </c:extLst>
            </c:dLbl>
            <c:dLbl>
              <c:idx val="30"/>
              <c:tx>
                <c:strRef>
                  <c:f>'HOBO vs Production'!$A$40</c:f>
                  <c:strCache>
                    <c:ptCount val="1"/>
                    <c:pt idx="0">
                      <c:v>Jul-22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{6F004D81-F969-4B07-B414-FC6B1CBA72C1}</c15:txfldGUID>
                      <c15:f>'HOBO vs Production'!$A$40</c15:f>
                      <c15:dlblFieldTableCache>
                        <c:ptCount val="1"/>
                        <c:pt idx="0">
                          <c:v>Jul-22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E74F-4486-9543-204A72A8A936}"/>
                </c:ext>
              </c:extLst>
            </c:dLbl>
            <c:dLbl>
              <c:idx val="31"/>
              <c:tx>
                <c:strRef>
                  <c:f>'HOBO vs Production'!$A$41</c:f>
                  <c:strCache>
                    <c:ptCount val="1"/>
                    <c:pt idx="0">
                      <c:v>Aug-22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{DFC8BB6C-9725-4BBC-A44B-DD9E2B121238}</c15:txfldGUID>
                      <c15:f>'HOBO vs Production'!$A$41</c15:f>
                      <c15:dlblFieldTableCache>
                        <c:ptCount val="1"/>
                        <c:pt idx="0">
                          <c:v>Aug-22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E74F-4486-9543-204A72A8A936}"/>
                </c:ext>
              </c:extLst>
            </c:dLbl>
            <c:dLbl>
              <c:idx val="32"/>
              <c:tx>
                <c:strRef>
                  <c:f>'HOBO vs Production'!$A$42</c:f>
                  <c:strCache>
                    <c:ptCount val="1"/>
                    <c:pt idx="0">
                      <c:v>Sep-22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{A0DD5911-843C-446A-8A95-E83D23A8EB23}</c15:txfldGUID>
                      <c15:f>'HOBO vs Production'!$A$42</c15:f>
                      <c15:dlblFieldTableCache>
                        <c:ptCount val="1"/>
                        <c:pt idx="0">
                          <c:v>Sep-22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E74F-4486-9543-204A72A8A936}"/>
                </c:ext>
              </c:extLst>
            </c:dLbl>
            <c:dLbl>
              <c:idx val="33"/>
              <c:tx>
                <c:strRef>
                  <c:f>'HOBO vs Production'!$A$43</c:f>
                  <c:strCache>
                    <c:ptCount val="1"/>
                    <c:pt idx="0">
                      <c:v>Oct-22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{88718EB1-243C-4EC6-B076-2B19BA58B737}</c15:txfldGUID>
                      <c15:f>'HOBO vs Production'!$A$43</c15:f>
                      <c15:dlblFieldTableCache>
                        <c:ptCount val="1"/>
                        <c:pt idx="0">
                          <c:v>Oct-22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E74F-4486-9543-204A72A8A936}"/>
                </c:ext>
              </c:extLst>
            </c:dLbl>
            <c:dLbl>
              <c:idx val="34"/>
              <c:tx>
                <c:strRef>
                  <c:f>'HOBO vs Production'!$A$44</c:f>
                  <c:strCache>
                    <c:ptCount val="1"/>
                    <c:pt idx="0">
                      <c:v>Nov-22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{3989E9CC-745E-4161-B30C-1133FA4C072D}</c15:txfldGUID>
                      <c15:f>'HOBO vs Production'!$A$44</c15:f>
                      <c15:dlblFieldTableCache>
                        <c:ptCount val="1"/>
                        <c:pt idx="0">
                          <c:v>Nov-22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E74F-4486-9543-204A72A8A936}"/>
                </c:ext>
              </c:extLst>
            </c:dLbl>
            <c:dLbl>
              <c:idx val="35"/>
              <c:tx>
                <c:strRef>
                  <c:f>'HOBO vs Production'!$A$45</c:f>
                  <c:strCache>
                    <c:ptCount val="1"/>
                    <c:pt idx="0">
                      <c:v>Dec-22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>
                          <a:lumMod val="6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{2475D487-12CE-400F-940D-5258DDE7DD8E}</c15:txfldGUID>
                      <c15:f>'HOBO vs Production'!$A$45</c15:f>
                      <c15:dlblFieldTableCache>
                        <c:ptCount val="1"/>
                        <c:pt idx="0">
                          <c:v>Dec-22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E74F-4486-9543-204A72A8A936}"/>
                </c:ext>
              </c:extLst>
            </c:dLbl>
            <c:dLbl>
              <c:idx val="36"/>
              <c:tx>
                <c:strRef>
                  <c:f>'HOBO vs Production'!$A$46</c:f>
                  <c:strCache>
                    <c:ptCount val="1"/>
                    <c:pt idx="0">
                      <c:v>Jan-23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{1BDB1C25-55A0-4B41-9053-E89415FFB56B}</c15:txfldGUID>
                      <c15:f>'HOBO vs Production'!$A$46</c15:f>
                      <c15:dlblFieldTableCache>
                        <c:ptCount val="1"/>
                        <c:pt idx="0">
                          <c:v>Jan-23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E74F-4486-9543-204A72A8A936}"/>
                </c:ext>
              </c:extLst>
            </c:dLbl>
            <c:dLbl>
              <c:idx val="37"/>
              <c:tx>
                <c:strRef>
                  <c:f>'HOBO vs Production'!$A$47</c:f>
                  <c:strCache>
                    <c:ptCount val="1"/>
                    <c:pt idx="0">
                      <c:v>Feb-23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{AC2C1C95-CE93-46A8-980F-57DB3F29BB21}</c15:txfldGUID>
                      <c15:f>'HOBO vs Production'!$A$47</c15:f>
                      <c15:dlblFieldTableCache>
                        <c:ptCount val="1"/>
                        <c:pt idx="0">
                          <c:v>Feb-23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E74F-4486-9543-204A72A8A936}"/>
                </c:ext>
              </c:extLst>
            </c:dLbl>
            <c:dLbl>
              <c:idx val="38"/>
              <c:tx>
                <c:strRef>
                  <c:f>'HOBO vs Production'!$A$48</c:f>
                  <c:strCache>
                    <c:ptCount val="1"/>
                    <c:pt idx="0">
                      <c:v>Mar-23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{D548C7D2-A646-48F9-9647-8C5C5185DD70}</c15:txfldGUID>
                      <c15:f>'HOBO vs Production'!$A$48</c15:f>
                      <c15:dlblFieldTableCache>
                        <c:ptCount val="1"/>
                        <c:pt idx="0">
                          <c:v>Mar-23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E74F-4486-9543-204A72A8A936}"/>
                </c:ext>
              </c:extLst>
            </c:dLbl>
            <c:dLbl>
              <c:idx val="39"/>
              <c:tx>
                <c:strRef>
                  <c:f>'HOBO vs Production'!$A$49</c:f>
                  <c:strCache>
                    <c:ptCount val="1"/>
                    <c:pt idx="0">
                      <c:v>Apr-23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{38398608-2C02-4AE5-A50B-74F069BCE478}</c15:txfldGUID>
                      <c15:f>'HOBO vs Production'!$A$49</c15:f>
                      <c15:dlblFieldTableCache>
                        <c:ptCount val="1"/>
                        <c:pt idx="0">
                          <c:v>Apr-23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E74F-4486-9543-204A72A8A936}"/>
                </c:ext>
              </c:extLst>
            </c:dLbl>
            <c:dLbl>
              <c:idx val="40"/>
              <c:tx>
                <c:strRef>
                  <c:f>'HOBO vs Production'!$A$50</c:f>
                  <c:strCache>
                    <c:ptCount val="1"/>
                    <c:pt idx="0">
                      <c:v>May-23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{8FA5BD86-6BB3-4459-88B0-F598AAB07315}</c15:txfldGUID>
                      <c15:f>'HOBO vs Production'!$A$50</c15:f>
                      <c15:dlblFieldTableCache>
                        <c:ptCount val="1"/>
                        <c:pt idx="0">
                          <c:v>May-23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E74F-4486-9543-204A72A8A936}"/>
                </c:ext>
              </c:extLst>
            </c:dLbl>
            <c:dLbl>
              <c:idx val="41"/>
              <c:tx>
                <c:strRef>
                  <c:f>'HOBO vs Production'!$A$51</c:f>
                  <c:strCache>
                    <c:ptCount val="1"/>
                    <c:pt idx="0">
                      <c:v>Jun-23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{94B31C20-0B1B-47A4-AB60-7B1198D22DF2}</c15:txfldGUID>
                      <c15:f>'HOBO vs Production'!$A$51</c15:f>
                      <c15:dlblFieldTableCache>
                        <c:ptCount val="1"/>
                        <c:pt idx="0">
                          <c:v>Jun-23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E74F-4486-9543-204A72A8A936}"/>
                </c:ext>
              </c:extLst>
            </c:dLbl>
            <c:dLbl>
              <c:idx val="42"/>
              <c:tx>
                <c:strRef>
                  <c:f>'HOBO vs Production'!$A$52</c:f>
                  <c:strCache>
                    <c:ptCount val="1"/>
                    <c:pt idx="0">
                      <c:v>Jul-23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{71F2EDD2-DFD2-4275-B72D-9197216DDC29}</c15:txfldGUID>
                      <c15:f>'HOBO vs Production'!$A$52</c15:f>
                      <c15:dlblFieldTableCache>
                        <c:ptCount val="1"/>
                        <c:pt idx="0">
                          <c:v>Jul-23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E74F-4486-9543-204A72A8A936}"/>
                </c:ext>
              </c:extLst>
            </c:dLbl>
            <c:dLbl>
              <c:idx val="43"/>
              <c:tx>
                <c:strRef>
                  <c:f>'HOBO vs Production'!$A$53</c:f>
                  <c:strCache>
                    <c:ptCount val="1"/>
                    <c:pt idx="0">
                      <c:v>Aug-23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{868DAFC9-E2B3-482F-8184-FF4F70CE3C55}</c15:txfldGUID>
                      <c15:f>'HOBO vs Production'!$A$53</c15:f>
                      <c15:dlblFieldTableCache>
                        <c:ptCount val="1"/>
                        <c:pt idx="0">
                          <c:v>Aug-23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E74F-4486-9543-204A72A8A936}"/>
                </c:ext>
              </c:extLst>
            </c:dLbl>
            <c:dLbl>
              <c:idx val="44"/>
              <c:tx>
                <c:strRef>
                  <c:f>'HOBO vs Production'!$A$54</c:f>
                  <c:strCache>
                    <c:ptCount val="1"/>
                    <c:pt idx="0">
                      <c:v>Sep-23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{301FF49C-E1D7-4541-99BB-6441F8438F6B}</c15:txfldGUID>
                      <c15:f>'HOBO vs Production'!$A$54</c15:f>
                      <c15:dlblFieldTableCache>
                        <c:ptCount val="1"/>
                        <c:pt idx="0">
                          <c:v>Sep-23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E74F-4486-9543-204A72A8A936}"/>
                </c:ext>
              </c:extLst>
            </c:dLbl>
            <c:dLbl>
              <c:idx val="45"/>
              <c:tx>
                <c:strRef>
                  <c:f>'HOBO vs Production'!$A$55</c:f>
                  <c:strCache>
                    <c:ptCount val="1"/>
                    <c:pt idx="0">
                      <c:v>Oct-23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{BD5E276B-3445-4E90-B9CD-2442D8CB37BE}</c15:txfldGUID>
                      <c15:f>'HOBO vs Production'!$A$55</c15:f>
                      <c15:dlblFieldTableCache>
                        <c:ptCount val="1"/>
                        <c:pt idx="0">
                          <c:v>Oct-23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E74F-4486-9543-204A72A8A936}"/>
                </c:ext>
              </c:extLst>
            </c:dLbl>
            <c:dLbl>
              <c:idx val="46"/>
              <c:tx>
                <c:strRef>
                  <c:f>'HOBO vs Production'!$A$56</c:f>
                  <c:strCache>
                    <c:ptCount val="1"/>
                    <c:pt idx="0">
                      <c:v>Nov-23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{2129B890-21D0-408A-A596-48A83AC30A3C}</c15:txfldGUID>
                      <c15:f>'HOBO vs Production'!$A$56</c15:f>
                      <c15:dlblFieldTableCache>
                        <c:ptCount val="1"/>
                        <c:pt idx="0">
                          <c:v>Nov-23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E74F-4486-9543-204A72A8A936}"/>
                </c:ext>
              </c:extLst>
            </c:dLbl>
            <c:dLbl>
              <c:idx val="47"/>
              <c:tx>
                <c:strRef>
                  <c:f>'HOBO vs Production'!$A$57</c:f>
                  <c:strCache>
                    <c:ptCount val="1"/>
                    <c:pt idx="0">
                      <c:v>Dec-23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9148C8"/>
                      </a:solidFill>
                      <a:latin typeface="Arial Narrow" panose="020B060602020203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{B7715969-8C8A-4DD9-A5F1-2DB8F2AAF4C9}</c15:txfldGUID>
                      <c15:f>'HOBO vs Production'!$A$57</c15:f>
                      <c15:dlblFieldTableCache>
                        <c:ptCount val="1"/>
                        <c:pt idx="0">
                          <c:v>Dec-23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E74F-4486-9543-204A72A8A936}"/>
                </c:ext>
              </c:extLst>
            </c:dLbl>
            <c:numFmt formatCode="[$-409]mmm\-yy;@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rgbClr val="9148C8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'HOBO vs Production'!$B$10:$B$57</c:f>
              <c:numCache>
                <c:formatCode>0.00</c:formatCode>
                <c:ptCount val="48"/>
                <c:pt idx="0">
                  <c:v>0.65678952380952382</c:v>
                </c:pt>
                <c:pt idx="1">
                  <c:v>0.6760484210526313</c:v>
                </c:pt>
                <c:pt idx="2">
                  <c:v>0.86921999999999988</c:v>
                </c:pt>
                <c:pt idx="3">
                  <c:v>1.1245457142857145</c:v>
                </c:pt>
                <c:pt idx="4">
                  <c:v>1.1078229999999998</c:v>
                </c:pt>
                <c:pt idx="5">
                  <c:v>0.97575272727272733</c:v>
                </c:pt>
                <c:pt idx="6">
                  <c:v>0.97904545454545444</c:v>
                </c:pt>
                <c:pt idx="7">
                  <c:v>1.1782904761904762</c:v>
                </c:pt>
                <c:pt idx="8">
                  <c:v>1.4271971428571426</c:v>
                </c:pt>
                <c:pt idx="9">
                  <c:v>1.3838309090909091</c:v>
                </c:pt>
                <c:pt idx="10">
                  <c:v>1.5535700000000001</c:v>
                </c:pt>
                <c:pt idx="11">
                  <c:v>1.5903154545454543</c:v>
                </c:pt>
                <c:pt idx="12">
                  <c:v>1.7194252631578943</c:v>
                </c:pt>
                <c:pt idx="13">
                  <c:v>1.7828094736842108</c:v>
                </c:pt>
                <c:pt idx="14">
                  <c:v>2.254263478260869</c:v>
                </c:pt>
                <c:pt idx="15">
                  <c:v>2.5641809523809522</c:v>
                </c:pt>
                <c:pt idx="16">
                  <c:v>3.0686579999999997</c:v>
                </c:pt>
                <c:pt idx="17">
                  <c:v>2.6667336363636363</c:v>
                </c:pt>
                <c:pt idx="18">
                  <c:v>2.7439638095238092</c:v>
                </c:pt>
                <c:pt idx="19">
                  <c:v>2.5742027272727266</c:v>
                </c:pt>
                <c:pt idx="20">
                  <c:v>2.1470571428571428</c:v>
                </c:pt>
                <c:pt idx="21">
                  <c:v>2.1353857142857144</c:v>
                </c:pt>
                <c:pt idx="22">
                  <c:v>2.1266238095238097</c:v>
                </c:pt>
                <c:pt idx="23">
                  <c:v>1.9574427272727275</c:v>
                </c:pt>
                <c:pt idx="24">
                  <c:v>2.0489189999999997</c:v>
                </c:pt>
                <c:pt idx="25">
                  <c:v>2.3252063157894738</c:v>
                </c:pt>
                <c:pt idx="26">
                  <c:v>2.0870565217391306</c:v>
                </c:pt>
                <c:pt idx="27">
                  <c:v>2.3215059999999998</c:v>
                </c:pt>
                <c:pt idx="28">
                  <c:v>2.3091104761904759</c:v>
                </c:pt>
                <c:pt idx="29">
                  <c:v>1.4467923809523813</c:v>
                </c:pt>
                <c:pt idx="30">
                  <c:v>1.0371319999999999</c:v>
                </c:pt>
                <c:pt idx="31">
                  <c:v>1.4865573913043477</c:v>
                </c:pt>
                <c:pt idx="32">
                  <c:v>1.6098457142857141</c:v>
                </c:pt>
                <c:pt idx="33">
                  <c:v>1.495452380952381</c:v>
                </c:pt>
                <c:pt idx="34">
                  <c:v>2.0885828571428569</c:v>
                </c:pt>
                <c:pt idx="35">
                  <c:v>1.7587895238095237</c:v>
                </c:pt>
                <c:pt idx="36">
                  <c:v>1.9314810000000002</c:v>
                </c:pt>
                <c:pt idx="37">
                  <c:v>2.2958694736842102</c:v>
                </c:pt>
                <c:pt idx="38">
                  <c:v>2.1410860869565216</c:v>
                </c:pt>
                <c:pt idx="39">
                  <c:v>2.2498547368421047</c:v>
                </c:pt>
                <c:pt idx="40">
                  <c:v>2.3677636363636365</c:v>
                </c:pt>
                <c:pt idx="41">
                  <c:v>2.4054542857142853</c:v>
                </c:pt>
                <c:pt idx="42">
                  <c:v>1.0249949999999999</c:v>
                </c:pt>
                <c:pt idx="43">
                  <c:v>1.4837747826086951</c:v>
                </c:pt>
                <c:pt idx="44">
                  <c:v>1.6180319999999999</c:v>
                </c:pt>
                <c:pt idx="45">
                  <c:v>1.4876072727272722</c:v>
                </c:pt>
                <c:pt idx="46">
                  <c:v>2.0575269999999999</c:v>
                </c:pt>
                <c:pt idx="47">
                  <c:v>1.2018329999999995</c:v>
                </c:pt>
              </c:numCache>
            </c:numRef>
          </c:xVal>
          <c:yVal>
            <c:numRef>
              <c:f>'HOBO vs Production'!$E$10:$E$57</c:f>
              <c:numCache>
                <c:formatCode>#,##0_);[Red]\(#,##0\)</c:formatCode>
                <c:ptCount val="48"/>
                <c:pt idx="0">
                  <c:v>33295590.599999994</c:v>
                </c:pt>
                <c:pt idx="1">
                  <c:v>33117394</c:v>
                </c:pt>
                <c:pt idx="2">
                  <c:v>25431777</c:v>
                </c:pt>
                <c:pt idx="3">
                  <c:v>16831378.200000003</c:v>
                </c:pt>
                <c:pt idx="4">
                  <c:v>-3657263.8000000119</c:v>
                </c:pt>
                <c:pt idx="5">
                  <c:v>20854539.800000012</c:v>
                </c:pt>
                <c:pt idx="6">
                  <c:v>11402358.400000006</c:v>
                </c:pt>
                <c:pt idx="7">
                  <c:v>15688316.199999988</c:v>
                </c:pt>
                <c:pt idx="8">
                  <c:v>25170993.800000012</c:v>
                </c:pt>
                <c:pt idx="9">
                  <c:v>6490731.1999999881</c:v>
                </c:pt>
                <c:pt idx="10">
                  <c:v>12037799</c:v>
                </c:pt>
                <c:pt idx="11">
                  <c:v>19312543.199999988</c:v>
                </c:pt>
                <c:pt idx="12">
                  <c:v>9689565.799999997</c:v>
                </c:pt>
                <c:pt idx="13">
                  <c:v>1925930.599999994</c:v>
                </c:pt>
                <c:pt idx="14">
                  <c:v>14134103.199999988</c:v>
                </c:pt>
                <c:pt idx="15">
                  <c:v>3299063</c:v>
                </c:pt>
                <c:pt idx="16">
                  <c:v>-655944.40000000596</c:v>
                </c:pt>
                <c:pt idx="17">
                  <c:v>2872372</c:v>
                </c:pt>
                <c:pt idx="18">
                  <c:v>-11156337.599999994</c:v>
                </c:pt>
                <c:pt idx="19">
                  <c:v>-10401459</c:v>
                </c:pt>
                <c:pt idx="20">
                  <c:v>-12766663.400000006</c:v>
                </c:pt>
                <c:pt idx="21">
                  <c:v>-12114202.800000012</c:v>
                </c:pt>
                <c:pt idx="22">
                  <c:v>797629</c:v>
                </c:pt>
                <c:pt idx="23">
                  <c:v>-4016668.8000000119</c:v>
                </c:pt>
                <c:pt idx="24">
                  <c:v>-11246507</c:v>
                </c:pt>
                <c:pt idx="25">
                  <c:v>591243.20000000298</c:v>
                </c:pt>
                <c:pt idx="26">
                  <c:v>-5087742.599999994</c:v>
                </c:pt>
                <c:pt idx="27">
                  <c:v>-436456.19999998808</c:v>
                </c:pt>
                <c:pt idx="28">
                  <c:v>-14330379.599999994</c:v>
                </c:pt>
                <c:pt idx="29">
                  <c:v>-11072413</c:v>
                </c:pt>
                <c:pt idx="30">
                  <c:v>-22284427.599999994</c:v>
                </c:pt>
                <c:pt idx="31">
                  <c:v>-11735368.800000012</c:v>
                </c:pt>
                <c:pt idx="32">
                  <c:v>-9498930</c:v>
                </c:pt>
                <c:pt idx="33">
                  <c:v>-13195749</c:v>
                </c:pt>
                <c:pt idx="34">
                  <c:v>1008489.599999994</c:v>
                </c:pt>
                <c:pt idx="35">
                  <c:v>-19831715.400000006</c:v>
                </c:pt>
                <c:pt idx="36">
                  <c:v>12631019</c:v>
                </c:pt>
                <c:pt idx="37">
                  <c:v>-1502078.400000006</c:v>
                </c:pt>
                <c:pt idx="38">
                  <c:v>-14942415</c:v>
                </c:pt>
                <c:pt idx="39">
                  <c:v>-14879761.800000012</c:v>
                </c:pt>
                <c:pt idx="40">
                  <c:v>10827673.400000006</c:v>
                </c:pt>
                <c:pt idx="41">
                  <c:v>-490168</c:v>
                </c:pt>
                <c:pt idx="42">
                  <c:v>-14688161</c:v>
                </c:pt>
                <c:pt idx="43">
                  <c:v>-10082295.199999988</c:v>
                </c:pt>
                <c:pt idx="44">
                  <c:v>-6194524</c:v>
                </c:pt>
                <c:pt idx="45">
                  <c:v>-4887075.400000006</c:v>
                </c:pt>
                <c:pt idx="46">
                  <c:v>-3903983.599999994</c:v>
                </c:pt>
                <c:pt idx="47">
                  <c:v>-25290301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E74F-4486-9543-204A72A8A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346344"/>
        <c:axId val="475346672"/>
      </c:scatterChart>
      <c:valAx>
        <c:axId val="475346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 b="1"/>
                  <a:t>(Average</a:t>
                </a:r>
                <a:r>
                  <a:rPr lang="en-US" sz="1400" b="1" baseline="0"/>
                  <a:t> HOBO Spread - Continuous Nearby Futures Contract)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15875" cap="flat" cmpd="sng" algn="ctr">
            <a:solidFill>
              <a:srgbClr val="32323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75346672"/>
        <c:crosses val="autoZero"/>
        <c:crossBetween val="midCat"/>
      </c:valAx>
      <c:valAx>
        <c:axId val="47534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/>
                  <a:t>(EMTS domestic production - gallons)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75346344"/>
        <c:crosses val="autoZero"/>
        <c:crossBetween val="midCat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F696F70-1776-4325-9649-BAA3497C9FEB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CD2AAE8-9F28-419B-8F1E-0F2D84D12007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CD2B3E2-5297-4C97-B565-EE3D7403CCE3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2CB1A2E-A861-4FEF-A1BB-2F36DDCCC720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BE099E-9C1D-4A37-A4BF-86DDB037F0BE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0</xdr:row>
      <xdr:rowOff>119062</xdr:rowOff>
    </xdr:from>
    <xdr:to>
      <xdr:col>7</xdr:col>
      <xdr:colOff>514350</xdr:colOff>
      <xdr:row>15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F74BE7-1BDE-4AEC-9979-DB1C8FCABC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600081</xdr:colOff>
      <xdr:row>0</xdr:row>
      <xdr:rowOff>104775</xdr:rowOff>
    </xdr:from>
    <xdr:to>
      <xdr:col>15</xdr:col>
      <xdr:colOff>295281</xdr:colOff>
      <xdr:row>14</xdr:row>
      <xdr:rowOff>180975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20FE82D2-A092-4822-AF51-052E705E6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0.0125</cdr:x>
      <cdr:y>0.90799</cdr:y>
    </cdr:from>
    <cdr:to>
      <cdr:x>0.55208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2C30C73-D4C8-3587-2794-73EDADCF9E00}"/>
            </a:ext>
          </a:extLst>
        </cdr:cNvPr>
        <cdr:cNvSpPr txBox="1"/>
      </cdr:nvSpPr>
      <cdr:spPr>
        <a:xfrm xmlns:a="http://schemas.openxmlformats.org/drawingml/2006/main">
          <a:off x="57150" y="2490788"/>
          <a:ext cx="2466975" cy="2524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000">
              <a:latin typeface="Aptos" panose="020B0004020202020204" pitchFamily="34" charset="0"/>
            </a:rPr>
            <a:t>Sources: ProphetX,</a:t>
          </a:r>
          <a:r>
            <a:rPr lang="en-GB" sz="1000" baseline="0">
              <a:latin typeface="Aptos" panose="020B0004020202020204" pitchFamily="34" charset="0"/>
            </a:rPr>
            <a:t> Fastmarkets</a:t>
          </a:r>
          <a:endParaRPr lang="en-GB" sz="1000">
            <a:latin typeface="Aptos" panose="020B0004020202020204" pitchFamily="34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0.00625</cdr:x>
      <cdr:y>0.92708</cdr:y>
    </cdr:from>
    <cdr:to>
      <cdr:x>0.50833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4A8B6A2-927A-69E1-A144-CC65A7094F3A}"/>
            </a:ext>
          </a:extLst>
        </cdr:cNvPr>
        <cdr:cNvSpPr txBox="1"/>
      </cdr:nvSpPr>
      <cdr:spPr>
        <a:xfrm xmlns:a="http://schemas.openxmlformats.org/drawingml/2006/main">
          <a:off x="28569" y="2543174"/>
          <a:ext cx="2295525" cy="200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000">
              <a:latin typeface="Aptos" panose="020B0004020202020204" pitchFamily="34" charset="0"/>
            </a:rPr>
            <a:t>Source:</a:t>
          </a:r>
          <a:r>
            <a:rPr lang="en-GB" sz="1000" baseline="0">
              <a:latin typeface="Aptos" panose="020B0004020202020204" pitchFamily="34" charset="0"/>
            </a:rPr>
            <a:t> Fastmarkets</a:t>
          </a:r>
          <a:endParaRPr lang="en-GB" sz="1000">
            <a:latin typeface="Aptos" panose="020B0004020202020204" pitchFamily="34" charset="0"/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865603-3C82-FB5B-1506-7C38E476103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0.95069</cdr:y>
    </cdr:from>
    <cdr:to>
      <cdr:x>0.34468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84BF132-EBA3-49B8-B461-719BA8AA3FD5}"/>
            </a:ext>
          </a:extLst>
        </cdr:cNvPr>
        <cdr:cNvSpPr txBox="1"/>
      </cdr:nvSpPr>
      <cdr:spPr>
        <a:xfrm xmlns:a="http://schemas.openxmlformats.org/drawingml/2006/main">
          <a:off x="0" y="5110369"/>
          <a:ext cx="3271630" cy="2650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EPA,</a:t>
          </a:r>
          <a: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 The Jacobsen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592F0F-7DBC-9887-6B4D-B7FF5E6F2A9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0.94453</cdr:y>
    </cdr:from>
    <cdr:to>
      <cdr:x>0.29145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47625E8-BE78-49AA-8E7F-30FEADB4AB49}"/>
            </a:ext>
          </a:extLst>
        </cdr:cNvPr>
        <cdr:cNvSpPr txBox="1"/>
      </cdr:nvSpPr>
      <cdr:spPr>
        <a:xfrm xmlns:a="http://schemas.openxmlformats.org/drawingml/2006/main">
          <a:off x="0" y="5077240"/>
          <a:ext cx="2766391" cy="2981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EPA, CME, The Jacobsen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D684D9-52B5-E237-34C7-617243DA2C8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0.93683</cdr:y>
    </cdr:from>
    <cdr:to>
      <cdr:x>0.46161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D60C196-FCFC-4579-960C-77CE00B9E097}"/>
            </a:ext>
          </a:extLst>
        </cdr:cNvPr>
        <cdr:cNvSpPr txBox="1"/>
      </cdr:nvSpPr>
      <cdr:spPr>
        <a:xfrm xmlns:a="http://schemas.openxmlformats.org/drawingml/2006/main">
          <a:off x="0" y="5035826"/>
          <a:ext cx="4381500" cy="3395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Source: EPA, Fastmarkets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94C7E0-6955-8EEE-0830-A1579415908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A045AF-4123-1079-FD57-3586AE48283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0.95532</cdr:y>
    </cdr:from>
    <cdr:to>
      <cdr:x>0.24433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B279EF4-D46E-4F12-B1B8-B3766B5B4B8A}"/>
            </a:ext>
          </a:extLst>
        </cdr:cNvPr>
        <cdr:cNvSpPr txBox="1"/>
      </cdr:nvSpPr>
      <cdr:spPr>
        <a:xfrm xmlns:a="http://schemas.openxmlformats.org/drawingml/2006/main">
          <a:off x="0" y="5135217"/>
          <a:ext cx="2319130" cy="240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EPA, Fastmarkets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D4%20Forecast%20-%20HOBO.xlsx" TargetMode="External"/><Relationship Id="rId1" Type="http://schemas.openxmlformats.org/officeDocument/2006/relationships/externalLinkPath" Target="/Users/torem/Dropbox/FM%20Files/HOBO/Biofuel%20Model/D4%20Forecast%20-%20HOB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Biomass-Based%20Diesel/D4%20Regressions.xlsx" TargetMode="External"/><Relationship Id="rId1" Type="http://schemas.openxmlformats.org/officeDocument/2006/relationships/externalLinkPath" Target="https://fmpra-my.sharepoint.com/personal/svc-tjteamreader_fmpra_com/Documents/TJTeam%20-%20Documents/Biomass-Based%20Diesel/D4%20Regression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soy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soypric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Biomass-Based%20Diesel/HOBO%20Spread.xlsx" TargetMode="External"/><Relationship Id="rId1" Type="http://schemas.openxmlformats.org/officeDocument/2006/relationships/externalLinkPath" Target="https://fmpra-my.sharepoint.com/personal/svc-tjteamreader_fmpra_com/Documents/TJTeam%20-%20Documents/Biomass-Based%20Diesel/HOBO%20Sprea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Biomass-Based%20Diesel/EMTS%20-%20EIA%20and%20LCFS%20Conversion.xlsx" TargetMode="External"/><Relationship Id="rId1" Type="http://schemas.openxmlformats.org/officeDocument/2006/relationships/externalLinkPath" Target="https://fmpra-my.sharepoint.com/personal/svc-tjteamreader_fmpra_com/Documents/TJTeam%20-%20Documents/Biomass-Based%20Diesel/EMTS%20-%20EIA%20and%20LCFS%20Conversion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Biomass-Based%20Diesel/EMTS%20Forecast.xlsx" TargetMode="External"/><Relationship Id="rId1" Type="http://schemas.openxmlformats.org/officeDocument/2006/relationships/externalLinkPath" Target="https://fmpra-my.sharepoint.com/personal/svc-tjteamreader_fmpra_com/Documents/TJTeam%20-%20Documents/Biomass-Based%20Diesel/EMTS%20Forecas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usoilseedbal.xlsx" TargetMode="External"/><Relationship Id="rId1" Type="http://schemas.openxmlformats.org/officeDocument/2006/relationships/externalLinkPath" Target="https://fmpra-my.sharepoint.com/personal/svc-tjteamreader_fmpra_com/Documents/TJTeam%20-%20Documents/Soybean%20Spreadsheets/usoilseedbal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Biomass-Based%20Diesel/Biodiesel%20and%20RD%20Forward%20Curve%20Forecast.xlsx" TargetMode="External"/><Relationship Id="rId1" Type="http://schemas.openxmlformats.org/officeDocument/2006/relationships/externalLinkPath" Target="https://fmpra-my.sharepoint.com/personal/svc-tjteamreader_fmpra_com/Documents/TJTeam%20-%20Documents/Biomass-Based%20Diesel/Biodiesel%20and%20RD%20Forward%20Curve%20Forecast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Feed%20Grain%20Spreadsheets/fgprices.xlsx" TargetMode="External"/><Relationship Id="rId1" Type="http://schemas.openxmlformats.org/officeDocument/2006/relationships/externalLinkPath" Target="https://fmpra-my.sharepoint.com/personal/svc-tjteamreader_fmpra_com/Documents/TJTeam%20-%20Documents/Feed%20Grain%20Spreadsheets/fg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RINs and HOBO Forecast"/>
      <sheetName val="HOBO History"/>
      <sheetName val="HOBO vs Production"/>
      <sheetName val="Chart2"/>
      <sheetName val="Chart3"/>
      <sheetName val="Chart4"/>
      <sheetName val="Chart5"/>
      <sheetName val="Chart6"/>
    </sheetNames>
    <sheetDataSet>
      <sheetData sheetId="0"/>
      <sheetData sheetId="1">
        <row r="1">
          <cell r="B1" t="str">
            <v>D6</v>
          </cell>
          <cell r="C1" t="str">
            <v>D4</v>
          </cell>
        </row>
        <row r="62">
          <cell r="A62">
            <v>44562</v>
          </cell>
          <cell r="B62">
            <v>113.02630000000001</v>
          </cell>
          <cell r="C62">
            <v>135.71250000000001</v>
          </cell>
        </row>
        <row r="63">
          <cell r="A63">
            <v>44593</v>
          </cell>
          <cell r="B63">
            <v>115.6118</v>
          </cell>
          <cell r="C63">
            <v>146.4605</v>
          </cell>
        </row>
        <row r="64">
          <cell r="A64">
            <v>44621</v>
          </cell>
          <cell r="B64">
            <v>114.587</v>
          </cell>
          <cell r="C64">
            <v>148.36959999999999</v>
          </cell>
        </row>
        <row r="65">
          <cell r="A65">
            <v>44652</v>
          </cell>
          <cell r="B65">
            <v>128.7063</v>
          </cell>
          <cell r="C65">
            <v>164.1688</v>
          </cell>
        </row>
        <row r="66">
          <cell r="A66">
            <v>44682</v>
          </cell>
          <cell r="B66">
            <v>153.20240000000001</v>
          </cell>
          <cell r="C66">
            <v>178.381</v>
          </cell>
        </row>
        <row r="67">
          <cell r="A67">
            <v>44713</v>
          </cell>
          <cell r="B67">
            <v>152.19049999999999</v>
          </cell>
          <cell r="C67">
            <v>163.25</v>
          </cell>
        </row>
        <row r="68">
          <cell r="A68">
            <v>44743</v>
          </cell>
          <cell r="B68">
            <v>149.8125</v>
          </cell>
          <cell r="C68">
            <v>161.42500000000001</v>
          </cell>
        </row>
        <row r="69">
          <cell r="A69">
            <v>44774</v>
          </cell>
          <cell r="B69">
            <v>162.25</v>
          </cell>
          <cell r="C69">
            <v>176.58699999999999</v>
          </cell>
        </row>
        <row r="70">
          <cell r="A70">
            <v>44805</v>
          </cell>
          <cell r="B70">
            <v>161.81549999999999</v>
          </cell>
          <cell r="C70">
            <v>174.81549999999999</v>
          </cell>
        </row>
        <row r="71">
          <cell r="A71">
            <v>44835</v>
          </cell>
          <cell r="B71">
            <v>160</v>
          </cell>
          <cell r="C71">
            <v>181.3095238095238</v>
          </cell>
        </row>
        <row r="72">
          <cell r="A72">
            <v>44866</v>
          </cell>
          <cell r="B72">
            <v>177.98750000000001</v>
          </cell>
          <cell r="C72">
            <v>191.47499999999999</v>
          </cell>
        </row>
        <row r="73">
          <cell r="A73">
            <v>44896</v>
          </cell>
          <cell r="B73">
            <v>160.625</v>
          </cell>
          <cell r="C73">
            <v>173.02379999999999</v>
          </cell>
        </row>
        <row r="74">
          <cell r="A74">
            <v>44927</v>
          </cell>
          <cell r="B74">
            <v>166.33750000000001</v>
          </cell>
          <cell r="C74">
            <v>169.125</v>
          </cell>
        </row>
        <row r="75">
          <cell r="A75">
            <v>44958</v>
          </cell>
          <cell r="B75">
            <v>158.56578947368422</v>
          </cell>
          <cell r="C75">
            <v>161.97368421052633</v>
          </cell>
        </row>
        <row r="76">
          <cell r="A76">
            <v>44986</v>
          </cell>
          <cell r="B76">
            <v>153.58695652173913</v>
          </cell>
          <cell r="C76">
            <v>157.40217391304347</v>
          </cell>
        </row>
        <row r="77">
          <cell r="A77">
            <v>45017</v>
          </cell>
          <cell r="B77">
            <v>153.875</v>
          </cell>
          <cell r="C77">
            <v>156.70526315789473</v>
          </cell>
        </row>
        <row r="78">
          <cell r="A78">
            <v>45047</v>
          </cell>
          <cell r="B78">
            <v>150.5625</v>
          </cell>
          <cell r="C78">
            <v>153.39772727272728</v>
          </cell>
        </row>
        <row r="79">
          <cell r="A79">
            <v>45078</v>
          </cell>
          <cell r="B79">
            <v>142.38095238095238</v>
          </cell>
          <cell r="C79">
            <v>144.4702380952381</v>
          </cell>
        </row>
        <row r="80">
          <cell r="A80">
            <v>45108</v>
          </cell>
          <cell r="B80">
            <v>155.02500000000001</v>
          </cell>
          <cell r="C80">
            <v>155.63749999999999</v>
          </cell>
        </row>
        <row r="81">
          <cell r="A81">
            <v>45139</v>
          </cell>
          <cell r="B81">
            <v>144.52173913043478</v>
          </cell>
          <cell r="C81">
            <v>145.03260869565219</v>
          </cell>
        </row>
        <row r="82">
          <cell r="A82">
            <v>45170</v>
          </cell>
          <cell r="B82">
            <v>118.425</v>
          </cell>
          <cell r="C82">
            <v>119.4</v>
          </cell>
        </row>
        <row r="83">
          <cell r="A83">
            <v>45200</v>
          </cell>
          <cell r="B83">
            <v>88.068181818181813</v>
          </cell>
          <cell r="C83">
            <v>88.602272727272734</v>
          </cell>
        </row>
        <row r="84">
          <cell r="A84">
            <v>45231</v>
          </cell>
          <cell r="B84">
            <v>82.887500000000003</v>
          </cell>
          <cell r="C84">
            <v>82.912499999999994</v>
          </cell>
        </row>
        <row r="85">
          <cell r="A85">
            <v>45261</v>
          </cell>
          <cell r="B85">
            <v>81.15625</v>
          </cell>
          <cell r="C85">
            <v>81.231250000000003</v>
          </cell>
        </row>
        <row r="86">
          <cell r="A86">
            <v>45292</v>
          </cell>
          <cell r="B86">
            <v>71.666666666666671</v>
          </cell>
          <cell r="C86">
            <v>72.583333333333329</v>
          </cell>
        </row>
        <row r="87">
          <cell r="A87">
            <v>45323</v>
          </cell>
          <cell r="B87">
            <v>47.35</v>
          </cell>
          <cell r="C87">
            <v>47.987499999999997</v>
          </cell>
        </row>
        <row r="88">
          <cell r="A88">
            <v>45352</v>
          </cell>
          <cell r="B88">
            <v>51.912500000000001</v>
          </cell>
          <cell r="C88">
            <v>52.475000000000001</v>
          </cell>
        </row>
        <row r="89">
          <cell r="A89">
            <v>45383</v>
          </cell>
          <cell r="B89">
            <v>48.272727272727273</v>
          </cell>
          <cell r="C89">
            <v>48.477272727272727</v>
          </cell>
        </row>
        <row r="90">
          <cell r="A90">
            <v>45413</v>
          </cell>
          <cell r="B90">
            <v>49.579545454545453</v>
          </cell>
          <cell r="C90">
            <v>49.738636363636367</v>
          </cell>
        </row>
        <row r="91">
          <cell r="A91">
            <v>45444</v>
          </cell>
          <cell r="B91">
            <v>55.006842105263161</v>
          </cell>
          <cell r="C91">
            <v>55.157894736842103</v>
          </cell>
        </row>
        <row r="92">
          <cell r="A92">
            <v>45474</v>
          </cell>
          <cell r="B92">
            <v>64.000454545454559</v>
          </cell>
          <cell r="C92">
            <v>64.045909090909106</v>
          </cell>
        </row>
        <row r="93">
          <cell r="A93">
            <v>45505</v>
          </cell>
          <cell r="B93">
            <v>56.545909090909092</v>
          </cell>
          <cell r="C93">
            <v>56.591818181818191</v>
          </cell>
        </row>
        <row r="94">
          <cell r="A94">
            <v>45536</v>
          </cell>
          <cell r="B94">
            <v>60.340499999999999</v>
          </cell>
          <cell r="C94">
            <v>60.412500000000001</v>
          </cell>
        </row>
        <row r="95">
          <cell r="A95">
            <v>45566</v>
          </cell>
          <cell r="B95">
            <v>69.833043478260876</v>
          </cell>
          <cell r="C95">
            <v>69.870434782608697</v>
          </cell>
        </row>
        <row r="96">
          <cell r="A96">
            <v>45597</v>
          </cell>
          <cell r="B96">
            <v>67.763000000000005</v>
          </cell>
          <cell r="C96">
            <v>68.287999999999997</v>
          </cell>
        </row>
      </sheetData>
      <sheetData sheetId="2">
        <row r="1">
          <cell r="B1" t="str">
            <v>Close</v>
          </cell>
        </row>
        <row r="2">
          <cell r="A2">
            <v>45399</v>
          </cell>
          <cell r="B2">
            <v>0.88166000000000011</v>
          </cell>
        </row>
        <row r="3">
          <cell r="A3">
            <v>45400</v>
          </cell>
          <cell r="B3">
            <v>0.85195999999999961</v>
          </cell>
        </row>
        <row r="4">
          <cell r="A4">
            <v>45401</v>
          </cell>
          <cell r="B4">
            <v>0.86483999999999961</v>
          </cell>
        </row>
        <row r="5">
          <cell r="A5">
            <v>45404</v>
          </cell>
          <cell r="B5">
            <v>0.90225999999999962</v>
          </cell>
        </row>
        <row r="6">
          <cell r="A6">
            <v>45405</v>
          </cell>
          <cell r="B6">
            <v>0.9008799999999999</v>
          </cell>
        </row>
        <row r="7">
          <cell r="A7">
            <v>45406</v>
          </cell>
          <cell r="B7">
            <v>0.88082000000000038</v>
          </cell>
        </row>
        <row r="8">
          <cell r="A8">
            <v>45407</v>
          </cell>
          <cell r="B8">
            <v>0.89227999999999952</v>
          </cell>
        </row>
        <row r="9">
          <cell r="A9">
            <v>45408</v>
          </cell>
          <cell r="B9">
            <v>0.90033999999999947</v>
          </cell>
        </row>
        <row r="10">
          <cell r="A10">
            <v>45411</v>
          </cell>
          <cell r="B10">
            <v>0.82611999999999997</v>
          </cell>
        </row>
        <row r="11">
          <cell r="A11">
            <v>45412</v>
          </cell>
          <cell r="B11">
            <v>0.74115999999999982</v>
          </cell>
        </row>
        <row r="12">
          <cell r="A12">
            <v>45413</v>
          </cell>
          <cell r="B12">
            <v>0.8226599999999995</v>
          </cell>
        </row>
        <row r="13">
          <cell r="A13">
            <v>45414</v>
          </cell>
          <cell r="B13">
            <v>0.82864000000000049</v>
          </cell>
        </row>
        <row r="14">
          <cell r="A14">
            <v>45415</v>
          </cell>
          <cell r="B14">
            <v>0.81707999999999981</v>
          </cell>
        </row>
        <row r="15">
          <cell r="A15">
            <v>45418</v>
          </cell>
          <cell r="B15">
            <v>0.85794000000000015</v>
          </cell>
        </row>
        <row r="16">
          <cell r="A16">
            <v>45419</v>
          </cell>
          <cell r="B16">
            <v>0.90299999999999958</v>
          </cell>
        </row>
        <row r="17">
          <cell r="A17">
            <v>45420</v>
          </cell>
          <cell r="B17">
            <v>0.84013999999999989</v>
          </cell>
        </row>
        <row r="18">
          <cell r="A18">
            <v>45421</v>
          </cell>
          <cell r="B18">
            <v>0.74993999999999961</v>
          </cell>
        </row>
        <row r="19">
          <cell r="A19">
            <v>45422</v>
          </cell>
          <cell r="B19">
            <v>0.92763999999999935</v>
          </cell>
        </row>
        <row r="20">
          <cell r="A20">
            <v>45425</v>
          </cell>
          <cell r="B20">
            <v>0.97829999999999995</v>
          </cell>
        </row>
        <row r="21">
          <cell r="A21">
            <v>45426</v>
          </cell>
          <cell r="B21">
            <v>0.86389999999999967</v>
          </cell>
        </row>
        <row r="22">
          <cell r="A22">
            <v>45427</v>
          </cell>
          <cell r="B22">
            <v>0.89449999999999985</v>
          </cell>
        </row>
        <row r="23">
          <cell r="A23">
            <v>45428</v>
          </cell>
          <cell r="B23">
            <v>0.94519999999999982</v>
          </cell>
        </row>
        <row r="24">
          <cell r="A24">
            <v>45429</v>
          </cell>
          <cell r="B24">
            <v>0.9598399999999998</v>
          </cell>
        </row>
        <row r="25">
          <cell r="A25">
            <v>45432</v>
          </cell>
          <cell r="B25">
            <v>1.03546</v>
          </cell>
        </row>
        <row r="26">
          <cell r="A26">
            <v>45433</v>
          </cell>
          <cell r="B26">
            <v>1.02454</v>
          </cell>
        </row>
        <row r="27">
          <cell r="A27">
            <v>45434</v>
          </cell>
          <cell r="B27">
            <v>1.0603400000000001</v>
          </cell>
        </row>
        <row r="28">
          <cell r="A28">
            <v>45435</v>
          </cell>
          <cell r="B28">
            <v>1.0276799999999997</v>
          </cell>
        </row>
        <row r="29">
          <cell r="A29">
            <v>45436</v>
          </cell>
          <cell r="B29">
            <v>1.0059199999999997</v>
          </cell>
        </row>
        <row r="30">
          <cell r="A30">
            <v>45440</v>
          </cell>
          <cell r="B30">
            <v>0.99598000000000031</v>
          </cell>
        </row>
        <row r="31">
          <cell r="A31">
            <v>45441</v>
          </cell>
          <cell r="B31">
            <v>1.0507399999999998</v>
          </cell>
        </row>
        <row r="32">
          <cell r="A32">
            <v>45442</v>
          </cell>
          <cell r="B32">
            <v>1.1027799999999996</v>
          </cell>
        </row>
        <row r="33">
          <cell r="A33">
            <v>45443</v>
          </cell>
          <cell r="B33">
            <v>1.0950800000000003</v>
          </cell>
        </row>
        <row r="34">
          <cell r="A34">
            <v>45446</v>
          </cell>
          <cell r="B34">
            <v>1.0510800000000002</v>
          </cell>
        </row>
        <row r="35">
          <cell r="A35">
            <v>45447</v>
          </cell>
          <cell r="B35">
            <v>1.0271999999999997</v>
          </cell>
        </row>
        <row r="36">
          <cell r="A36">
            <v>45448</v>
          </cell>
          <cell r="B36">
            <v>0.97707999999999995</v>
          </cell>
        </row>
        <row r="37">
          <cell r="A37">
            <v>45449</v>
          </cell>
          <cell r="B37">
            <v>1.0139800000000001</v>
          </cell>
        </row>
        <row r="38">
          <cell r="A38">
            <v>45450</v>
          </cell>
          <cell r="B38">
            <v>0.96572000000000013</v>
          </cell>
        </row>
        <row r="39">
          <cell r="A39">
            <v>45453</v>
          </cell>
          <cell r="B39">
            <v>0.9070999999999998</v>
          </cell>
        </row>
        <row r="40">
          <cell r="A40">
            <v>45454</v>
          </cell>
          <cell r="B40">
            <v>0.90035999999999961</v>
          </cell>
        </row>
        <row r="41">
          <cell r="A41">
            <v>45455</v>
          </cell>
          <cell r="B41">
            <v>0.88870000000000005</v>
          </cell>
        </row>
        <row r="42">
          <cell r="A42">
            <v>45456</v>
          </cell>
          <cell r="B42">
            <v>0.85337999999999958</v>
          </cell>
        </row>
        <row r="43">
          <cell r="A43">
            <v>45457</v>
          </cell>
          <cell r="B43">
            <v>0.85249999999999959</v>
          </cell>
        </row>
        <row r="44">
          <cell r="A44">
            <v>45460</v>
          </cell>
          <cell r="B44">
            <v>0.84113999999999978</v>
          </cell>
        </row>
        <row r="45">
          <cell r="A45">
            <v>45461</v>
          </cell>
          <cell r="B45">
            <v>0.84619999999999962</v>
          </cell>
        </row>
        <row r="46">
          <cell r="A46">
            <v>45463</v>
          </cell>
          <cell r="B46">
            <v>0.82430000000000003</v>
          </cell>
        </row>
        <row r="47">
          <cell r="A47">
            <v>45464</v>
          </cell>
          <cell r="B47">
            <v>0.84909999999999997</v>
          </cell>
        </row>
        <row r="48">
          <cell r="A48">
            <v>45467</v>
          </cell>
          <cell r="B48">
            <v>0.78973999999999966</v>
          </cell>
        </row>
        <row r="49">
          <cell r="A49">
            <v>45468</v>
          </cell>
          <cell r="B49">
            <v>0.74387999999999987</v>
          </cell>
        </row>
        <row r="50">
          <cell r="A50">
            <v>45469</v>
          </cell>
          <cell r="B50">
            <v>0.76971999999999996</v>
          </cell>
        </row>
        <row r="51">
          <cell r="A51">
            <v>45470</v>
          </cell>
          <cell r="B51">
            <v>0.76057999999999959</v>
          </cell>
        </row>
        <row r="52">
          <cell r="A52">
            <v>45471</v>
          </cell>
          <cell r="B52">
            <v>0.8162199999999995</v>
          </cell>
        </row>
        <row r="53">
          <cell r="A53">
            <v>45474</v>
          </cell>
          <cell r="B53">
            <v>0.87247999999999992</v>
          </cell>
        </row>
        <row r="54">
          <cell r="A54">
            <v>45475</v>
          </cell>
          <cell r="B54">
            <v>0.93353999999999937</v>
          </cell>
        </row>
        <row r="55">
          <cell r="A55">
            <v>45476</v>
          </cell>
          <cell r="B55">
            <v>1.0486399999999998</v>
          </cell>
        </row>
        <row r="56">
          <cell r="A56">
            <v>45478</v>
          </cell>
          <cell r="B56">
            <v>1.1492</v>
          </cell>
        </row>
        <row r="57">
          <cell r="A57">
            <v>45481</v>
          </cell>
          <cell r="B57">
            <v>1.1380400000000002</v>
          </cell>
        </row>
        <row r="58">
          <cell r="A58">
            <v>45482</v>
          </cell>
          <cell r="B58">
            <v>1.0264000000000002</v>
          </cell>
        </row>
        <row r="59">
          <cell r="A59">
            <v>45483</v>
          </cell>
          <cell r="B59">
            <v>0.98754000000000008</v>
          </cell>
        </row>
        <row r="60">
          <cell r="A60">
            <v>45484</v>
          </cell>
          <cell r="B60">
            <v>1.0453199999999998</v>
          </cell>
        </row>
        <row r="61">
          <cell r="A61">
            <v>45485</v>
          </cell>
          <cell r="B61">
            <v>1.0184999999999995</v>
          </cell>
        </row>
        <row r="62">
          <cell r="A62">
            <v>45488</v>
          </cell>
          <cell r="B62">
            <v>0.9734200000000004</v>
          </cell>
        </row>
        <row r="63">
          <cell r="A63">
            <v>45489</v>
          </cell>
          <cell r="B63">
            <v>1.0292799999999995</v>
          </cell>
        </row>
        <row r="64">
          <cell r="A64">
            <v>45490</v>
          </cell>
          <cell r="B64">
            <v>0.94171999999999967</v>
          </cell>
        </row>
        <row r="65">
          <cell r="A65">
            <v>45491</v>
          </cell>
          <cell r="B65">
            <v>0.96989999999999998</v>
          </cell>
        </row>
        <row r="66">
          <cell r="A66">
            <v>45492</v>
          </cell>
          <cell r="B66">
            <v>1.0324</v>
          </cell>
        </row>
        <row r="67">
          <cell r="A67">
            <v>45495</v>
          </cell>
          <cell r="B67">
            <v>1.0598199999999998</v>
          </cell>
        </row>
        <row r="68">
          <cell r="A68">
            <v>45496</v>
          </cell>
          <cell r="B68">
            <v>1.07498</v>
          </cell>
        </row>
        <row r="69">
          <cell r="A69">
            <v>45497</v>
          </cell>
          <cell r="B69">
            <v>0.97228000000000003</v>
          </cell>
        </row>
        <row r="70">
          <cell r="A70">
            <v>45498</v>
          </cell>
          <cell r="B70">
            <v>0.94633999999999929</v>
          </cell>
        </row>
        <row r="71">
          <cell r="A71">
            <v>45499</v>
          </cell>
          <cell r="B71">
            <v>0.83115999999999968</v>
          </cell>
        </row>
        <row r="72">
          <cell r="A72">
            <v>45502</v>
          </cell>
          <cell r="B72">
            <v>0.84257999999999944</v>
          </cell>
        </row>
        <row r="73">
          <cell r="A73">
            <v>45503</v>
          </cell>
          <cell r="B73">
            <v>0.88726000000000038</v>
          </cell>
        </row>
        <row r="74">
          <cell r="A74">
            <v>45504</v>
          </cell>
          <cell r="B74">
            <v>0.84945999999999966</v>
          </cell>
        </row>
        <row r="75">
          <cell r="A75">
            <v>45505</v>
          </cell>
          <cell r="B75">
            <v>0.80491999999999964</v>
          </cell>
        </row>
        <row r="76">
          <cell r="A76">
            <v>45506</v>
          </cell>
          <cell r="B76">
            <v>0.83148</v>
          </cell>
        </row>
        <row r="77">
          <cell r="A77">
            <v>45509</v>
          </cell>
          <cell r="B77">
            <v>0.80674000000000001</v>
          </cell>
        </row>
        <row r="78">
          <cell r="A78">
            <v>45510</v>
          </cell>
          <cell r="B78">
            <v>0.79219999999999979</v>
          </cell>
        </row>
        <row r="79">
          <cell r="A79">
            <v>45511</v>
          </cell>
          <cell r="B79">
            <v>0.82561999999999935</v>
          </cell>
        </row>
        <row r="80">
          <cell r="A80">
            <v>45512</v>
          </cell>
          <cell r="B80">
            <v>0.82731999999999983</v>
          </cell>
        </row>
        <row r="81">
          <cell r="A81">
            <v>45513</v>
          </cell>
          <cell r="B81">
            <v>0.86302000000000012</v>
          </cell>
        </row>
        <row r="82">
          <cell r="A82">
            <v>45516</v>
          </cell>
          <cell r="B82">
            <v>0.72397999999999918</v>
          </cell>
        </row>
        <row r="83">
          <cell r="A83">
            <v>45517</v>
          </cell>
          <cell r="B83">
            <v>0.65103999999999962</v>
          </cell>
        </row>
        <row r="84">
          <cell r="A84">
            <v>45518</v>
          </cell>
          <cell r="B84">
            <v>0.65305999999999953</v>
          </cell>
        </row>
        <row r="85">
          <cell r="A85">
            <v>45519</v>
          </cell>
          <cell r="B85">
            <v>0.55873999999999979</v>
          </cell>
        </row>
        <row r="86">
          <cell r="A86">
            <v>45520</v>
          </cell>
          <cell r="B86">
            <v>0.63107999999999986</v>
          </cell>
        </row>
        <row r="87">
          <cell r="A87">
            <v>45523</v>
          </cell>
          <cell r="B87">
            <v>0.73135999999999957</v>
          </cell>
        </row>
        <row r="88">
          <cell r="A88">
            <v>45524</v>
          </cell>
          <cell r="B88">
            <v>0.74965999999999955</v>
          </cell>
        </row>
        <row r="89">
          <cell r="A89">
            <v>45525</v>
          </cell>
          <cell r="B89">
            <v>0.7911999999999999</v>
          </cell>
        </row>
        <row r="90">
          <cell r="A90">
            <v>45526</v>
          </cell>
          <cell r="B90">
            <v>0.72633999999999954</v>
          </cell>
        </row>
        <row r="91">
          <cell r="A91">
            <v>45527</v>
          </cell>
          <cell r="B91">
            <v>0.77890000000000015</v>
          </cell>
        </row>
        <row r="92">
          <cell r="A92">
            <v>45530</v>
          </cell>
          <cell r="B92">
            <v>0.75390000000000024</v>
          </cell>
        </row>
        <row r="93">
          <cell r="A93">
            <v>45531</v>
          </cell>
          <cell r="B93">
            <v>0.78259999999999996</v>
          </cell>
        </row>
        <row r="94">
          <cell r="A94">
            <v>45532</v>
          </cell>
          <cell r="B94">
            <v>0.87410000000000032</v>
          </cell>
        </row>
        <row r="95">
          <cell r="A95">
            <v>45533</v>
          </cell>
          <cell r="B95">
            <v>0.92575999999999947</v>
          </cell>
        </row>
        <row r="96">
          <cell r="A96">
            <v>45534</v>
          </cell>
          <cell r="B96">
            <v>0.95398000000000005</v>
          </cell>
        </row>
        <row r="97">
          <cell r="A97">
            <v>45538</v>
          </cell>
          <cell r="B97">
            <v>0.93047999999999931</v>
          </cell>
        </row>
        <row r="98">
          <cell r="A98">
            <v>45539</v>
          </cell>
          <cell r="B98">
            <v>0.91951999999999989</v>
          </cell>
        </row>
        <row r="99">
          <cell r="A99">
            <v>45540</v>
          </cell>
          <cell r="B99">
            <v>0.98383999999999983</v>
          </cell>
        </row>
        <row r="100">
          <cell r="A100">
            <v>45541</v>
          </cell>
          <cell r="B100">
            <v>0.92356000000000016</v>
          </cell>
        </row>
        <row r="101">
          <cell r="A101">
            <v>45544</v>
          </cell>
          <cell r="B101">
            <v>0.96791999999999989</v>
          </cell>
        </row>
        <row r="102">
          <cell r="A102">
            <v>45545</v>
          </cell>
          <cell r="B102">
            <v>0.98813999999999957</v>
          </cell>
        </row>
        <row r="103">
          <cell r="A103">
            <v>45546</v>
          </cell>
          <cell r="B103">
            <v>0.91797999999999957</v>
          </cell>
        </row>
        <row r="104">
          <cell r="A104">
            <v>45547</v>
          </cell>
          <cell r="B104">
            <v>0.93108000000000013</v>
          </cell>
        </row>
        <row r="105">
          <cell r="A105">
            <v>45548</v>
          </cell>
          <cell r="B105">
            <v>0.90337999999999985</v>
          </cell>
        </row>
        <row r="106">
          <cell r="A106">
            <v>45551</v>
          </cell>
          <cell r="B106">
            <v>0.86086000000000018</v>
          </cell>
        </row>
        <row r="107">
          <cell r="A107">
            <v>45552</v>
          </cell>
          <cell r="B107">
            <v>0.88118000000000007</v>
          </cell>
        </row>
        <row r="108">
          <cell r="A108">
            <v>45553</v>
          </cell>
          <cell r="B108">
            <v>0.90476000000000001</v>
          </cell>
        </row>
        <row r="109">
          <cell r="A109">
            <v>45554</v>
          </cell>
          <cell r="B109">
            <v>0.92827999999999999</v>
          </cell>
        </row>
        <row r="110">
          <cell r="A110">
            <v>45555</v>
          </cell>
          <cell r="B110">
            <v>0.96985999999999928</v>
          </cell>
        </row>
        <row r="111">
          <cell r="A111">
            <v>45558</v>
          </cell>
          <cell r="B111">
            <v>1.0192400000000004</v>
          </cell>
        </row>
        <row r="112">
          <cell r="A112">
            <v>45559</v>
          </cell>
          <cell r="B112">
            <v>1.0947400000000003</v>
          </cell>
        </row>
        <row r="113">
          <cell r="A113">
            <v>45560</v>
          </cell>
          <cell r="B113">
            <v>1.1784999999999997</v>
          </cell>
        </row>
        <row r="114">
          <cell r="A114">
            <v>45561</v>
          </cell>
          <cell r="B114">
            <v>1.1074999999999999</v>
          </cell>
        </row>
        <row r="115">
          <cell r="A115">
            <v>45562</v>
          </cell>
          <cell r="B115">
            <v>1.06806</v>
          </cell>
        </row>
        <row r="116">
          <cell r="A116">
            <v>45565</v>
          </cell>
          <cell r="B116">
            <v>1.1371600000000002</v>
          </cell>
        </row>
        <row r="117">
          <cell r="A117">
            <v>45566</v>
          </cell>
          <cell r="B117">
            <v>1.0742599999999998</v>
          </cell>
        </row>
        <row r="118">
          <cell r="A118">
            <v>45567</v>
          </cell>
          <cell r="B118">
            <v>1.1202399999999999</v>
          </cell>
        </row>
        <row r="119">
          <cell r="A119">
            <v>45568</v>
          </cell>
          <cell r="B119">
            <v>1.0792799999999998</v>
          </cell>
        </row>
        <row r="120">
          <cell r="A120">
            <v>45569</v>
          </cell>
          <cell r="B120">
            <v>1.0161199999999995</v>
          </cell>
        </row>
        <row r="121">
          <cell r="A121">
            <v>45572</v>
          </cell>
          <cell r="B121">
            <v>0.98071999999999981</v>
          </cell>
        </row>
        <row r="122">
          <cell r="A122">
            <v>45573</v>
          </cell>
          <cell r="B122">
            <v>0.96474000000000038</v>
          </cell>
        </row>
        <row r="123">
          <cell r="A123">
            <v>45574</v>
          </cell>
          <cell r="B123">
            <v>0.98556000000000044</v>
          </cell>
        </row>
        <row r="124">
          <cell r="A124">
            <v>45575</v>
          </cell>
          <cell r="B124">
            <v>0.96415999999999968</v>
          </cell>
        </row>
        <row r="125">
          <cell r="A125">
            <v>45576</v>
          </cell>
          <cell r="B125">
            <v>0.93787999999999982</v>
          </cell>
        </row>
        <row r="126">
          <cell r="A126">
            <v>45579</v>
          </cell>
          <cell r="B126">
            <v>0.89710000000000001</v>
          </cell>
        </row>
        <row r="127">
          <cell r="A127">
            <v>45580</v>
          </cell>
          <cell r="B127">
            <v>1.0171799999999998</v>
          </cell>
        </row>
        <row r="128">
          <cell r="A128">
            <v>45581</v>
          </cell>
          <cell r="B128">
            <v>0.97571999999999992</v>
          </cell>
        </row>
        <row r="129">
          <cell r="A129">
            <v>45582</v>
          </cell>
          <cell r="B129">
            <v>1.0139000000000005</v>
          </cell>
        </row>
        <row r="130">
          <cell r="A130">
            <v>45583</v>
          </cell>
          <cell r="B130">
            <v>1.0049200000000003</v>
          </cell>
        </row>
        <row r="131">
          <cell r="A131">
            <v>45586</v>
          </cell>
          <cell r="B131">
            <v>1.0146799999999998</v>
          </cell>
        </row>
        <row r="132">
          <cell r="A132">
            <v>45587</v>
          </cell>
          <cell r="B132">
            <v>1.0566199999999997</v>
          </cell>
        </row>
        <row r="133">
          <cell r="A133">
            <v>45588</v>
          </cell>
          <cell r="B133">
            <v>1.06046</v>
          </cell>
        </row>
        <row r="134">
          <cell r="A134">
            <v>45589</v>
          </cell>
          <cell r="B134">
            <v>1.1501000000000001</v>
          </cell>
        </row>
        <row r="135">
          <cell r="A135">
            <v>45590</v>
          </cell>
          <cell r="B135">
            <v>1.10554</v>
          </cell>
        </row>
        <row r="136">
          <cell r="A136">
            <v>45593</v>
          </cell>
          <cell r="B136">
            <v>1.1069199999999997</v>
          </cell>
        </row>
        <row r="137">
          <cell r="A137">
            <v>45594</v>
          </cell>
          <cell r="B137">
            <v>1.1129999999999995</v>
          </cell>
        </row>
        <row r="138">
          <cell r="A138">
            <v>45595</v>
          </cell>
          <cell r="B138">
            <v>1.1310600000000002</v>
          </cell>
        </row>
        <row r="139">
          <cell r="A139">
            <v>45596</v>
          </cell>
          <cell r="B139">
            <v>1.1906199999999996</v>
          </cell>
        </row>
        <row r="140">
          <cell r="A140">
            <v>45597</v>
          </cell>
          <cell r="B140">
            <v>1.2581599999999997</v>
          </cell>
        </row>
        <row r="141">
          <cell r="A141">
            <v>45600</v>
          </cell>
          <cell r="B141">
            <v>1.1663599999999996</v>
          </cell>
        </row>
        <row r="142">
          <cell r="A142">
            <v>45601</v>
          </cell>
          <cell r="B142">
            <v>1.1069</v>
          </cell>
        </row>
        <row r="143">
          <cell r="A143">
            <v>45602</v>
          </cell>
          <cell r="B143">
            <v>1.2367399999999997</v>
          </cell>
        </row>
        <row r="144">
          <cell r="A144">
            <v>45603</v>
          </cell>
          <cell r="B144">
            <v>1.3743999999999996</v>
          </cell>
        </row>
        <row r="145">
          <cell r="A145">
            <v>45604</v>
          </cell>
          <cell r="B145">
            <v>1.4626000000000001</v>
          </cell>
        </row>
        <row r="146">
          <cell r="A146">
            <v>45607</v>
          </cell>
          <cell r="B146">
            <v>1.4592400000000003</v>
          </cell>
        </row>
        <row r="147">
          <cell r="A147">
            <v>45608</v>
          </cell>
          <cell r="B147">
            <v>1.3024400000000003</v>
          </cell>
        </row>
        <row r="148">
          <cell r="A148">
            <v>45609</v>
          </cell>
          <cell r="B148">
            <v>1.2170399999999999</v>
          </cell>
        </row>
        <row r="149">
          <cell r="A149">
            <v>45610</v>
          </cell>
          <cell r="B149">
            <v>1.1645600000000003</v>
          </cell>
        </row>
        <row r="150">
          <cell r="A150">
            <v>45611</v>
          </cell>
          <cell r="B150">
            <v>1.2754400000000001</v>
          </cell>
        </row>
        <row r="151">
          <cell r="A151">
            <v>45614</v>
          </cell>
          <cell r="B151">
            <v>1.2042599999999997</v>
          </cell>
        </row>
        <row r="152">
          <cell r="A152">
            <v>45615</v>
          </cell>
          <cell r="B152">
            <v>1.16222</v>
          </cell>
        </row>
        <row r="153">
          <cell r="A153">
            <v>45616</v>
          </cell>
          <cell r="B153">
            <v>1.0588600000000001</v>
          </cell>
        </row>
        <row r="154">
          <cell r="A154">
            <v>45617</v>
          </cell>
          <cell r="B154">
            <v>0.92937999999999965</v>
          </cell>
        </row>
        <row r="155">
          <cell r="A155">
            <v>45618</v>
          </cell>
          <cell r="B155">
            <v>0.89534000000000047</v>
          </cell>
        </row>
        <row r="156">
          <cell r="A156">
            <v>45621</v>
          </cell>
          <cell r="B156">
            <v>0.89697999999999967</v>
          </cell>
        </row>
        <row r="157">
          <cell r="A157">
            <v>45622</v>
          </cell>
          <cell r="B157">
            <v>0.99826000000000015</v>
          </cell>
        </row>
        <row r="158">
          <cell r="A158">
            <v>45623</v>
          </cell>
          <cell r="B158">
            <v>0.89852000000000043</v>
          </cell>
        </row>
        <row r="159">
          <cell r="A159">
            <v>45625</v>
          </cell>
          <cell r="B159">
            <v>0.97983999999999982</v>
          </cell>
        </row>
        <row r="160">
          <cell r="A160">
            <v>45628</v>
          </cell>
          <cell r="B160">
            <v>0.96981999999999946</v>
          </cell>
        </row>
        <row r="161">
          <cell r="A161">
            <v>45629</v>
          </cell>
          <cell r="B161">
            <v>0.98274000000000017</v>
          </cell>
        </row>
        <row r="162">
          <cell r="A162">
            <v>45630</v>
          </cell>
          <cell r="B162">
            <v>0.97401999999999944</v>
          </cell>
        </row>
        <row r="163">
          <cell r="A163">
            <v>45631</v>
          </cell>
          <cell r="B163">
            <v>1.0535600000000001</v>
          </cell>
        </row>
        <row r="164">
          <cell r="A164">
            <v>45632</v>
          </cell>
          <cell r="B164">
            <v>1.1265199999999997</v>
          </cell>
        </row>
        <row r="165">
          <cell r="A165">
            <v>45635</v>
          </cell>
          <cell r="B165">
            <v>1.0647999999999995</v>
          </cell>
        </row>
        <row r="166">
          <cell r="A166">
            <v>45636</v>
          </cell>
          <cell r="B166">
            <v>1.0543199999999997</v>
          </cell>
        </row>
        <row r="167">
          <cell r="A167">
            <v>45637</v>
          </cell>
          <cell r="B167">
            <v>0.99594000000000005</v>
          </cell>
        </row>
        <row r="168">
          <cell r="A168">
            <v>45638</v>
          </cell>
          <cell r="B168">
            <v>1.0005199999999999</v>
          </cell>
        </row>
        <row r="169">
          <cell r="A169">
            <v>45639</v>
          </cell>
          <cell r="B169">
            <v>0.96475999999999962</v>
          </cell>
        </row>
        <row r="170">
          <cell r="A170">
            <v>45642</v>
          </cell>
          <cell r="B170">
            <v>0.93071999999999955</v>
          </cell>
        </row>
        <row r="171">
          <cell r="A171">
            <v>45643</v>
          </cell>
          <cell r="B171">
            <v>0.87979999999999992</v>
          </cell>
        </row>
        <row r="172">
          <cell r="A172">
            <v>45644</v>
          </cell>
          <cell r="B172">
            <v>0.77627999999999986</v>
          </cell>
        </row>
        <row r="173">
          <cell r="A173">
            <v>45645</v>
          </cell>
          <cell r="B173">
            <v>0.83031999999999995</v>
          </cell>
        </row>
        <row r="174">
          <cell r="A174">
            <v>45646</v>
          </cell>
          <cell r="B174">
            <v>0.79448000000000008</v>
          </cell>
        </row>
        <row r="175">
          <cell r="A175">
            <v>45649</v>
          </cell>
          <cell r="B175">
            <v>0.8598599999999994</v>
          </cell>
        </row>
        <row r="176">
          <cell r="A176">
            <v>45650</v>
          </cell>
          <cell r="B176">
            <v>0.83659999999999979</v>
          </cell>
        </row>
        <row r="177">
          <cell r="A177">
            <v>45652</v>
          </cell>
          <cell r="B177">
            <v>0.8206800000000003</v>
          </cell>
        </row>
        <row r="178">
          <cell r="A178">
            <v>45653</v>
          </cell>
          <cell r="B178">
            <v>0.79010000000000025</v>
          </cell>
        </row>
        <row r="179">
          <cell r="A179">
            <v>45656</v>
          </cell>
          <cell r="B179">
            <v>0.76159999999999961</v>
          </cell>
        </row>
        <row r="180">
          <cell r="A180">
            <v>45657</v>
          </cell>
          <cell r="B180">
            <v>0.75096000000000007</v>
          </cell>
        </row>
        <row r="181">
          <cell r="A181">
            <v>45659</v>
          </cell>
          <cell r="B181">
            <v>0.7274200000000004</v>
          </cell>
        </row>
        <row r="182">
          <cell r="A182">
            <v>45660</v>
          </cell>
          <cell r="B182">
            <v>0.70438000000000001</v>
          </cell>
        </row>
        <row r="183">
          <cell r="A183">
            <v>45663</v>
          </cell>
          <cell r="B183">
            <v>0.72977999999999987</v>
          </cell>
        </row>
        <row r="184">
          <cell r="A184">
            <v>45664</v>
          </cell>
          <cell r="B184">
            <v>0.78629999999999978</v>
          </cell>
        </row>
        <row r="185">
          <cell r="A185">
            <v>45665</v>
          </cell>
          <cell r="B185">
            <v>0.82853999999999983</v>
          </cell>
        </row>
        <row r="186">
          <cell r="A186">
            <v>45666</v>
          </cell>
          <cell r="B186">
            <v>0.89175999999999922</v>
          </cell>
        </row>
        <row r="187">
          <cell r="A187">
            <v>45667</v>
          </cell>
          <cell r="B187">
            <v>0.98817999999999939</v>
          </cell>
        </row>
        <row r="188">
          <cell r="A188">
            <v>45670</v>
          </cell>
          <cell r="B188">
            <v>0.98713999999999968</v>
          </cell>
        </row>
        <row r="189">
          <cell r="A189">
            <v>45671</v>
          </cell>
          <cell r="B189">
            <v>1.0140199999999999</v>
          </cell>
        </row>
        <row r="190">
          <cell r="A190">
            <v>45672</v>
          </cell>
          <cell r="B190">
            <v>0.97702</v>
          </cell>
        </row>
        <row r="191">
          <cell r="A191">
            <v>45673</v>
          </cell>
          <cell r="B191">
            <v>0.88941999999999988</v>
          </cell>
        </row>
        <row r="192">
          <cell r="A192">
            <v>45674</v>
          </cell>
          <cell r="B192">
            <v>0.94351999999999947</v>
          </cell>
        </row>
        <row r="193">
          <cell r="A193">
            <v>45678</v>
          </cell>
          <cell r="B193">
            <v>1.0249599999999996</v>
          </cell>
        </row>
        <row r="194">
          <cell r="A194">
            <v>45679</v>
          </cell>
          <cell r="B194">
            <v>0.9783599999999999</v>
          </cell>
        </row>
        <row r="195">
          <cell r="A195">
            <v>45680</v>
          </cell>
          <cell r="B195">
            <v>1.0285199999999999</v>
          </cell>
        </row>
        <row r="196">
          <cell r="A196">
            <v>45681</v>
          </cell>
          <cell r="B196">
            <v>1.0183599999999999</v>
          </cell>
        </row>
        <row r="197">
          <cell r="A197">
            <v>45684</v>
          </cell>
          <cell r="B197">
            <v>1.05898</v>
          </cell>
        </row>
        <row r="198">
          <cell r="A198">
            <v>45685</v>
          </cell>
          <cell r="B198">
            <v>1.0768200000000001</v>
          </cell>
        </row>
        <row r="199">
          <cell r="A199">
            <v>45686</v>
          </cell>
          <cell r="B199">
            <v>1.06406</v>
          </cell>
        </row>
        <row r="200">
          <cell r="A200">
            <v>45687</v>
          </cell>
          <cell r="B200">
            <v>1.0536000000000003</v>
          </cell>
        </row>
        <row r="201">
          <cell r="A201">
            <v>45688</v>
          </cell>
          <cell r="B201">
            <v>1.13822</v>
          </cell>
        </row>
        <row r="202">
          <cell r="A202">
            <v>45691</v>
          </cell>
          <cell r="B202">
            <v>1.17272</v>
          </cell>
        </row>
        <row r="203">
          <cell r="A203">
            <v>45692</v>
          </cell>
          <cell r="B203">
            <v>1.1371199999999999</v>
          </cell>
        </row>
        <row r="204">
          <cell r="A204">
            <v>45693</v>
          </cell>
          <cell r="B204">
            <v>1.1284000000000001</v>
          </cell>
        </row>
        <row r="205">
          <cell r="A205">
            <v>45694</v>
          </cell>
          <cell r="B205">
            <v>1.1487799999999999</v>
          </cell>
        </row>
        <row r="206">
          <cell r="A206">
            <v>45695</v>
          </cell>
          <cell r="B206">
            <v>1.1648799999999992</v>
          </cell>
        </row>
        <row r="207">
          <cell r="A207">
            <v>45698</v>
          </cell>
          <cell r="B207">
            <v>1.1223599999999996</v>
          </cell>
        </row>
        <row r="208">
          <cell r="A208">
            <v>45699</v>
          </cell>
          <cell r="B208">
            <v>1.0912600000000001</v>
          </cell>
        </row>
        <row r="209">
          <cell r="A209">
            <v>45700</v>
          </cell>
          <cell r="B209">
            <v>1.1126800000000001</v>
          </cell>
        </row>
        <row r="210">
          <cell r="A210">
            <v>45701</v>
          </cell>
          <cell r="B210">
            <v>1.1571799999999999</v>
          </cell>
        </row>
        <row r="211">
          <cell r="A211">
            <v>45702</v>
          </cell>
          <cell r="B211">
            <v>1.1372200000000001</v>
          </cell>
        </row>
        <row r="212">
          <cell r="A212">
            <v>45706</v>
          </cell>
          <cell r="B212">
            <v>1.2408399999999999</v>
          </cell>
        </row>
        <row r="213">
          <cell r="A213">
            <v>45707</v>
          </cell>
          <cell r="B213">
            <v>1.1497999999999995</v>
          </cell>
        </row>
        <row r="214">
          <cell r="A214">
            <v>45708</v>
          </cell>
          <cell r="B214">
            <v>1.1854399999999994</v>
          </cell>
        </row>
        <row r="215">
          <cell r="A215">
            <v>45709</v>
          </cell>
          <cell r="B215">
            <v>1.2197399999999998</v>
          </cell>
        </row>
        <row r="216">
          <cell r="A216">
            <v>45712</v>
          </cell>
          <cell r="B216">
            <v>1.1410999999999993</v>
          </cell>
        </row>
        <row r="217">
          <cell r="A217">
            <v>45713</v>
          </cell>
          <cell r="B217">
            <v>1.1655999999999995</v>
          </cell>
        </row>
        <row r="218">
          <cell r="A218">
            <v>45714</v>
          </cell>
          <cell r="B218">
            <v>1.1728400000000008</v>
          </cell>
        </row>
        <row r="219">
          <cell r="A219">
            <v>45715</v>
          </cell>
          <cell r="B219">
            <v>1.0984999999999996</v>
          </cell>
        </row>
        <row r="220">
          <cell r="A220">
            <v>45716</v>
          </cell>
          <cell r="B220">
            <v>1.0381199999999997</v>
          </cell>
        </row>
        <row r="221">
          <cell r="A221">
            <v>45719</v>
          </cell>
          <cell r="B221">
            <v>1.0917400000000002</v>
          </cell>
        </row>
        <row r="222">
          <cell r="A222">
            <v>45720</v>
          </cell>
          <cell r="B222">
            <v>1.0300400000000001</v>
          </cell>
        </row>
        <row r="223">
          <cell r="A223">
            <v>45721</v>
          </cell>
          <cell r="B223">
            <v>1.0828399999999996</v>
          </cell>
        </row>
        <row r="224">
          <cell r="A224">
            <v>45722</v>
          </cell>
          <cell r="B224">
            <v>1.1055200000000003</v>
          </cell>
        </row>
        <row r="225">
          <cell r="A225">
            <v>45723</v>
          </cell>
          <cell r="B225">
            <v>1.1189200000000001</v>
          </cell>
        </row>
        <row r="226">
          <cell r="A226">
            <v>45726</v>
          </cell>
          <cell r="B226">
            <v>1.0637599999999998</v>
          </cell>
        </row>
        <row r="227">
          <cell r="A227">
            <v>45727</v>
          </cell>
          <cell r="B227">
            <v>1.0255800000000002</v>
          </cell>
        </row>
        <row r="228">
          <cell r="A228">
            <v>45728</v>
          </cell>
          <cell r="B228">
            <v>0.98887999999999998</v>
          </cell>
        </row>
        <row r="229">
          <cell r="A229">
            <v>45729</v>
          </cell>
          <cell r="B229">
            <v>1.0028800000000002</v>
          </cell>
        </row>
        <row r="230">
          <cell r="A230">
            <v>45730</v>
          </cell>
          <cell r="B230">
            <v>1.0260400000000001</v>
          </cell>
        </row>
        <row r="231">
          <cell r="A231">
            <v>45733</v>
          </cell>
          <cell r="B231">
            <v>1.0653199999999998</v>
          </cell>
        </row>
        <row r="232">
          <cell r="A232">
            <v>45734</v>
          </cell>
          <cell r="B232">
            <v>1.1093799999999998</v>
          </cell>
        </row>
        <row r="233">
          <cell r="A233">
            <v>45735</v>
          </cell>
          <cell r="B233">
            <v>1.0695999999999999</v>
          </cell>
        </row>
        <row r="234">
          <cell r="A234">
            <v>45736</v>
          </cell>
          <cell r="B234">
            <v>1.0749</v>
          </cell>
        </row>
        <row r="235">
          <cell r="A235">
            <v>45737</v>
          </cell>
          <cell r="B235">
            <v>1.02258</v>
          </cell>
        </row>
        <row r="236">
          <cell r="A236">
            <v>45740</v>
          </cell>
          <cell r="B236">
            <v>1.02332</v>
          </cell>
        </row>
        <row r="237">
          <cell r="A237">
            <v>45741</v>
          </cell>
          <cell r="B237">
            <v>1.0132999999999996</v>
          </cell>
        </row>
        <row r="238">
          <cell r="A238">
            <v>45742</v>
          </cell>
          <cell r="B238">
            <v>1.0308800000000002</v>
          </cell>
        </row>
        <row r="239">
          <cell r="A239">
            <v>45743</v>
          </cell>
          <cell r="B239">
            <v>1.1467999999999998</v>
          </cell>
        </row>
        <row r="240">
          <cell r="A240">
            <v>45744</v>
          </cell>
          <cell r="B240">
            <v>1.24288</v>
          </cell>
        </row>
        <row r="241">
          <cell r="A241">
            <v>45747</v>
          </cell>
          <cell r="B241">
            <v>1.1702400000000002</v>
          </cell>
        </row>
        <row r="242">
          <cell r="A242">
            <v>45748</v>
          </cell>
          <cell r="B242">
            <v>1.3710999999999998</v>
          </cell>
        </row>
        <row r="243">
          <cell r="A243">
            <v>45749</v>
          </cell>
          <cell r="B243">
            <v>1.4280599999999999</v>
          </cell>
        </row>
        <row r="244">
          <cell r="A244">
            <v>45750</v>
          </cell>
          <cell r="B244">
            <v>1.4573799999999992</v>
          </cell>
        </row>
        <row r="245">
          <cell r="A245">
            <v>45751</v>
          </cell>
          <cell r="B245">
            <v>1.4723199999999999</v>
          </cell>
        </row>
        <row r="246">
          <cell r="A246">
            <v>45754</v>
          </cell>
          <cell r="B246">
            <v>1.4325600000000001</v>
          </cell>
        </row>
        <row r="247">
          <cell r="A247">
            <v>45755</v>
          </cell>
          <cell r="B247">
            <v>1.4423599999999999</v>
          </cell>
        </row>
        <row r="248">
          <cell r="A248">
            <v>45756</v>
          </cell>
          <cell r="B248">
            <v>1.4714</v>
          </cell>
        </row>
        <row r="249">
          <cell r="A249">
            <v>45757</v>
          </cell>
          <cell r="B249">
            <v>1.54332</v>
          </cell>
        </row>
        <row r="250">
          <cell r="A250">
            <v>45758</v>
          </cell>
          <cell r="B250">
            <v>1.6075399999999997</v>
          </cell>
        </row>
        <row r="251">
          <cell r="A251">
            <v>45761</v>
          </cell>
          <cell r="B251">
            <v>1.5125999999999999</v>
          </cell>
        </row>
        <row r="252">
          <cell r="A252">
            <v>45762</v>
          </cell>
          <cell r="B252">
            <v>1.5972399999999998</v>
          </cell>
        </row>
        <row r="253">
          <cell r="A253">
            <v>45763</v>
          </cell>
          <cell r="B253">
            <v>1.5782999999999996</v>
          </cell>
        </row>
        <row r="254">
          <cell r="A254">
            <v>45764</v>
          </cell>
          <cell r="B254">
            <v>1.5615400000000004</v>
          </cell>
        </row>
        <row r="255">
          <cell r="A255">
            <v>45768</v>
          </cell>
          <cell r="B255">
            <v>1.6029599999999999</v>
          </cell>
        </row>
        <row r="256">
          <cell r="A256">
            <v>45769</v>
          </cell>
          <cell r="B256">
            <v>1.5468799999999994</v>
          </cell>
        </row>
        <row r="257">
          <cell r="A257">
            <v>45770</v>
          </cell>
          <cell r="B257">
            <v>1.59294</v>
          </cell>
        </row>
        <row r="258">
          <cell r="A258">
            <v>45771</v>
          </cell>
          <cell r="B258">
            <v>1.7073200000000002</v>
          </cell>
        </row>
        <row r="259">
          <cell r="A259">
            <v>45772</v>
          </cell>
          <cell r="B259">
            <v>1.6669599999999996</v>
          </cell>
        </row>
        <row r="260">
          <cell r="A260">
            <v>45778</v>
          </cell>
          <cell r="B260">
            <v>1.1957</v>
          </cell>
        </row>
        <row r="261">
          <cell r="A261">
            <v>45839</v>
          </cell>
          <cell r="B261">
            <v>1.3163</v>
          </cell>
        </row>
        <row r="262">
          <cell r="A262">
            <v>45901</v>
          </cell>
        </row>
      </sheetData>
      <sheetData sheetId="3">
        <row r="2">
          <cell r="A2">
            <v>43586</v>
          </cell>
          <cell r="B2">
            <v>0.23691090909090901</v>
          </cell>
          <cell r="E2">
            <v>28048311.599999994</v>
          </cell>
          <cell r="H2">
            <v>22084876.199999988</v>
          </cell>
          <cell r="J2">
            <v>0.19415209090909097</v>
          </cell>
          <cell r="M2">
            <v>20423954.600000001</v>
          </cell>
          <cell r="P2">
            <v>27267987.200000003</v>
          </cell>
        </row>
        <row r="3">
          <cell r="A3">
            <v>43617</v>
          </cell>
          <cell r="B3">
            <v>0.265683</v>
          </cell>
          <cell r="E3">
            <v>5608049.8000000119</v>
          </cell>
          <cell r="H3">
            <v>-9959198.599999994</v>
          </cell>
          <cell r="J3">
            <v>0.15829399999999999</v>
          </cell>
          <cell r="M3">
            <v>23203553.800000001</v>
          </cell>
          <cell r="P3">
            <v>32276743</v>
          </cell>
        </row>
        <row r="4">
          <cell r="A4">
            <v>43647</v>
          </cell>
          <cell r="B4">
            <v>0.20697272727272714</v>
          </cell>
          <cell r="E4">
            <v>26395806.400000006</v>
          </cell>
          <cell r="H4">
            <v>14637270.599999994</v>
          </cell>
          <cell r="J4">
            <v>0.24893627272727281</v>
          </cell>
          <cell r="M4">
            <v>30433456.399999999</v>
          </cell>
          <cell r="P4">
            <v>36149249.399999999</v>
          </cell>
        </row>
        <row r="5">
          <cell r="A5">
            <v>43678</v>
          </cell>
          <cell r="B5">
            <v>0.3396336363636363</v>
          </cell>
          <cell r="E5">
            <v>2933954.8000000119</v>
          </cell>
          <cell r="H5">
            <v>-21136826.599999994</v>
          </cell>
          <cell r="J5">
            <v>0.15096636363636373</v>
          </cell>
          <cell r="M5">
            <v>13652520.199999999</v>
          </cell>
          <cell r="P5">
            <v>20040767</v>
          </cell>
        </row>
        <row r="6">
          <cell r="A6">
            <v>43709</v>
          </cell>
          <cell r="B6">
            <v>0.26977199999999979</v>
          </cell>
          <cell r="E6">
            <v>4705833</v>
          </cell>
          <cell r="H6">
            <v>-9788013</v>
          </cell>
          <cell r="J6">
            <v>0.29783700000000024</v>
          </cell>
          <cell r="M6">
            <v>22047062.800000001</v>
          </cell>
          <cell r="P6">
            <v>29887758.200000003</v>
          </cell>
        </row>
        <row r="7">
          <cell r="A7">
            <v>43739</v>
          </cell>
          <cell r="B7">
            <v>0.37060347826086942</v>
          </cell>
          <cell r="E7">
            <v>8631830.400000006</v>
          </cell>
          <cell r="H7">
            <v>-10459420.400000006</v>
          </cell>
          <cell r="J7">
            <v>0.24926452173913055</v>
          </cell>
          <cell r="M7">
            <v>25943646.600000001</v>
          </cell>
          <cell r="P7">
            <v>47291808.200000003</v>
          </cell>
        </row>
        <row r="8">
          <cell r="A8">
            <v>43770</v>
          </cell>
          <cell r="B8">
            <v>0.43054800000000004</v>
          </cell>
          <cell r="E8">
            <v>-7304206.400000006</v>
          </cell>
          <cell r="H8">
            <v>-23132307.199999988</v>
          </cell>
          <cell r="J8">
            <v>7.5761999999999996E-2</v>
          </cell>
          <cell r="M8">
            <v>18518240.800000001</v>
          </cell>
          <cell r="P8">
            <v>22573507</v>
          </cell>
        </row>
        <row r="9">
          <cell r="A9">
            <v>43800</v>
          </cell>
          <cell r="B9">
            <v>0.49128952380952373</v>
          </cell>
          <cell r="E9">
            <v>-21745735.800000012</v>
          </cell>
          <cell r="H9">
            <v>-44681814.400000006</v>
          </cell>
          <cell r="J9">
            <v>-8.7766523809523711E-2</v>
          </cell>
          <cell r="M9">
            <v>25563480</v>
          </cell>
          <cell r="P9">
            <v>35685321</v>
          </cell>
        </row>
        <row r="10">
          <cell r="A10">
            <v>43831</v>
          </cell>
          <cell r="B10">
            <v>0.65678952380952382</v>
          </cell>
          <cell r="E10">
            <v>33295590.599999994</v>
          </cell>
          <cell r="H10">
            <v>19761940.799999997</v>
          </cell>
          <cell r="J10">
            <v>-0.17139452380952386</v>
          </cell>
          <cell r="M10">
            <v>22259285.800000001</v>
          </cell>
          <cell r="P10">
            <v>30448117</v>
          </cell>
        </row>
        <row r="11">
          <cell r="A11">
            <v>43862</v>
          </cell>
          <cell r="B11">
            <v>0.6760484210526313</v>
          </cell>
          <cell r="E11">
            <v>33117394</v>
          </cell>
          <cell r="H11">
            <v>19157965.200000003</v>
          </cell>
          <cell r="J11">
            <v>-0.19036642105263135</v>
          </cell>
          <cell r="M11">
            <v>16569232.199999999</v>
          </cell>
          <cell r="P11">
            <v>32100197.200000003</v>
          </cell>
        </row>
        <row r="12">
          <cell r="A12">
            <v>43891</v>
          </cell>
          <cell r="B12">
            <v>0.86921999999999988</v>
          </cell>
          <cell r="E12">
            <v>25431777</v>
          </cell>
          <cell r="H12">
            <v>17961394.199999988</v>
          </cell>
          <cell r="J12">
            <v>-0.34814899999999982</v>
          </cell>
          <cell r="M12">
            <v>23086819.199999999</v>
          </cell>
          <cell r="P12">
            <v>36361325</v>
          </cell>
        </row>
        <row r="13">
          <cell r="A13">
            <v>43922</v>
          </cell>
          <cell r="B13">
            <v>1.1245457142857145</v>
          </cell>
          <cell r="E13">
            <v>16831378.200000003</v>
          </cell>
          <cell r="H13">
            <v>29975271.599999994</v>
          </cell>
          <cell r="J13">
            <v>-0.58829571428571448</v>
          </cell>
          <cell r="M13">
            <v>14299384.600000001</v>
          </cell>
          <cell r="P13">
            <v>15495267.399999999</v>
          </cell>
        </row>
        <row r="14">
          <cell r="A14">
            <v>43952</v>
          </cell>
          <cell r="B14">
            <v>1.1078229999999998</v>
          </cell>
          <cell r="E14">
            <v>-3657263.8000000119</v>
          </cell>
          <cell r="H14">
            <v>9088381.400000006</v>
          </cell>
          <cell r="J14">
            <v>-0.54272299999999984</v>
          </cell>
          <cell r="M14">
            <v>21629468.399999999</v>
          </cell>
          <cell r="P14">
            <v>30348093.399999999</v>
          </cell>
        </row>
        <row r="15">
          <cell r="A15">
            <v>43983</v>
          </cell>
          <cell r="B15">
            <v>0.97575272727272733</v>
          </cell>
          <cell r="E15">
            <v>20854539.800000012</v>
          </cell>
          <cell r="H15">
            <v>-18899702.400000006</v>
          </cell>
          <cell r="J15">
            <v>-0.37734372727272736</v>
          </cell>
          <cell r="M15">
            <v>31831692</v>
          </cell>
          <cell r="P15">
            <v>29397233.399999999</v>
          </cell>
        </row>
        <row r="16">
          <cell r="A16">
            <v>44013</v>
          </cell>
          <cell r="B16">
            <v>0.97904545454545444</v>
          </cell>
          <cell r="E16">
            <v>11402358.400000006</v>
          </cell>
          <cell r="H16">
            <v>6449310.599999994</v>
          </cell>
          <cell r="J16">
            <v>-0.32940245454545447</v>
          </cell>
          <cell r="M16">
            <v>24378626</v>
          </cell>
          <cell r="P16">
            <v>21949650</v>
          </cell>
        </row>
        <row r="17">
          <cell r="A17">
            <v>44044</v>
          </cell>
          <cell r="B17">
            <v>1.1782904761904762</v>
          </cell>
          <cell r="E17">
            <v>15688316.199999988</v>
          </cell>
          <cell r="H17">
            <v>-26582527.400000006</v>
          </cell>
          <cell r="J17">
            <v>-0.41448047619047623</v>
          </cell>
          <cell r="M17">
            <v>21797057.800000001</v>
          </cell>
          <cell r="P17">
            <v>20015850.200000003</v>
          </cell>
        </row>
        <row r="18">
          <cell r="A18">
            <v>44075</v>
          </cell>
          <cell r="B18">
            <v>1.4271971428571426</v>
          </cell>
          <cell r="E18">
            <v>25170993.800000012</v>
          </cell>
          <cell r="H18">
            <v>-14103423.199999988</v>
          </cell>
          <cell r="J18">
            <v>-0.63026514285714252</v>
          </cell>
          <cell r="M18">
            <v>22518863</v>
          </cell>
          <cell r="P18">
            <v>53847699</v>
          </cell>
        </row>
        <row r="19">
          <cell r="A19">
            <v>44105</v>
          </cell>
          <cell r="B19">
            <v>1.3838309090909091</v>
          </cell>
          <cell r="E19">
            <v>6490731.1999999881</v>
          </cell>
          <cell r="H19">
            <v>-15223065.400000006</v>
          </cell>
          <cell r="J19">
            <v>-0.51067290909090912</v>
          </cell>
          <cell r="M19">
            <v>-4157560.3999999985</v>
          </cell>
          <cell r="P19">
            <v>-196614.20000000298</v>
          </cell>
        </row>
        <row r="20">
          <cell r="A20">
            <v>44136</v>
          </cell>
          <cell r="B20">
            <v>1.5535700000000001</v>
          </cell>
          <cell r="E20">
            <v>12037799</v>
          </cell>
          <cell r="H20">
            <v>-25348421.199999988</v>
          </cell>
          <cell r="J20">
            <v>-0.58175200000000016</v>
          </cell>
          <cell r="M20">
            <v>19853413.800000001</v>
          </cell>
          <cell r="P20">
            <v>33786666.200000003</v>
          </cell>
        </row>
        <row r="21">
          <cell r="A21">
            <v>44166</v>
          </cell>
          <cell r="B21">
            <v>1.5903154545454543</v>
          </cell>
          <cell r="E21">
            <v>19312543.199999988</v>
          </cell>
          <cell r="H21">
            <v>-41494754</v>
          </cell>
          <cell r="J21">
            <v>-0.56413145454545433</v>
          </cell>
          <cell r="M21">
            <v>24582302.199999999</v>
          </cell>
          <cell r="P21">
            <v>34143103</v>
          </cell>
        </row>
        <row r="22">
          <cell r="A22">
            <v>44197</v>
          </cell>
          <cell r="B22">
            <v>1.7194252631578943</v>
          </cell>
          <cell r="E22">
            <v>9689565.799999997</v>
          </cell>
          <cell r="H22">
            <v>2595452.400000006</v>
          </cell>
          <cell r="J22">
            <v>-0.62047826315789445</v>
          </cell>
          <cell r="M22">
            <v>25905861.199999999</v>
          </cell>
          <cell r="P22">
            <v>41993977</v>
          </cell>
        </row>
        <row r="23">
          <cell r="A23">
            <v>44228</v>
          </cell>
          <cell r="B23">
            <v>1.7828094736842108</v>
          </cell>
          <cell r="E23">
            <v>1925930.599999994</v>
          </cell>
          <cell r="H23">
            <v>-5925924.400000006</v>
          </cell>
          <cell r="J23">
            <v>-0.39878747368421097</v>
          </cell>
          <cell r="M23">
            <v>25680359.199999999</v>
          </cell>
          <cell r="P23">
            <v>38496839.200000003</v>
          </cell>
        </row>
        <row r="24">
          <cell r="A24">
            <v>44256</v>
          </cell>
          <cell r="B24">
            <v>2.254263478260869</v>
          </cell>
          <cell r="E24">
            <v>14134103.199999988</v>
          </cell>
          <cell r="H24">
            <v>10179228.599999994</v>
          </cell>
          <cell r="J24">
            <v>-0.79604947826086891</v>
          </cell>
          <cell r="M24">
            <v>31258695</v>
          </cell>
          <cell r="P24">
            <v>50910426.799999997</v>
          </cell>
        </row>
        <row r="25">
          <cell r="A25">
            <v>44287</v>
          </cell>
          <cell r="B25">
            <v>2.5641809523809522</v>
          </cell>
          <cell r="E25">
            <v>3299063</v>
          </cell>
          <cell r="H25">
            <v>-595365.59999999404</v>
          </cell>
          <cell r="J25">
            <v>-0.68105595238095229</v>
          </cell>
          <cell r="M25">
            <v>21713721.600000001</v>
          </cell>
          <cell r="P25">
            <v>28199286.200000003</v>
          </cell>
        </row>
        <row r="26">
          <cell r="A26">
            <v>44317</v>
          </cell>
          <cell r="B26">
            <v>3.0686579999999997</v>
          </cell>
          <cell r="E26">
            <v>-655944.40000000596</v>
          </cell>
          <cell r="H26">
            <v>-11955528.400000006</v>
          </cell>
          <cell r="J26">
            <v>-1.3036579999999998</v>
          </cell>
          <cell r="M26">
            <v>29123732.600000001</v>
          </cell>
          <cell r="P26">
            <v>29685156.200000003</v>
          </cell>
        </row>
        <row r="27">
          <cell r="A27">
            <v>44348</v>
          </cell>
          <cell r="B27">
            <v>2.6667336363636363</v>
          </cell>
          <cell r="E27">
            <v>2872372</v>
          </cell>
          <cell r="H27">
            <v>-17288773.199999988</v>
          </cell>
          <cell r="J27">
            <v>-1.0106626363636362</v>
          </cell>
          <cell r="M27">
            <v>39725710.399999999</v>
          </cell>
          <cell r="P27">
            <v>48451264</v>
          </cell>
        </row>
        <row r="28">
          <cell r="A28">
            <v>44378</v>
          </cell>
          <cell r="B28">
            <v>2.7439638095238092</v>
          </cell>
          <cell r="E28">
            <v>-11156337.599999994</v>
          </cell>
          <cell r="H28">
            <v>-20357312.599999994</v>
          </cell>
          <cell r="J28">
            <v>-1.0255548095238092</v>
          </cell>
          <cell r="M28">
            <v>40962170</v>
          </cell>
          <cell r="P28">
            <v>17895635.600000001</v>
          </cell>
        </row>
        <row r="29">
          <cell r="A29">
            <v>44409</v>
          </cell>
          <cell r="B29">
            <v>2.5742027272727266</v>
          </cell>
          <cell r="E29">
            <v>-10401459</v>
          </cell>
          <cell r="H29">
            <v>-29686906.199999988</v>
          </cell>
          <cell r="J29">
            <v>-1.1375357272727267</v>
          </cell>
          <cell r="M29">
            <v>54466474.600000001</v>
          </cell>
          <cell r="P29">
            <v>60001296.200000003</v>
          </cell>
        </row>
        <row r="30">
          <cell r="A30">
            <v>44440</v>
          </cell>
          <cell r="B30">
            <v>2.1470571428571428</v>
          </cell>
          <cell r="E30">
            <v>-12766663.400000006</v>
          </cell>
          <cell r="H30">
            <v>-29345571.599999994</v>
          </cell>
          <cell r="J30">
            <v>-0.61181914285714289</v>
          </cell>
          <cell r="M30">
            <v>23300294.800000001</v>
          </cell>
          <cell r="P30">
            <v>41976236.200000003</v>
          </cell>
        </row>
        <row r="31">
          <cell r="A31">
            <v>44470</v>
          </cell>
          <cell r="B31">
            <v>2.1353857142857144</v>
          </cell>
          <cell r="E31">
            <v>-12114202.800000012</v>
          </cell>
          <cell r="H31">
            <v>-21547417.400000006</v>
          </cell>
          <cell r="J31">
            <v>-0.70588571428571445</v>
          </cell>
          <cell r="M31">
            <v>45585242.600000001</v>
          </cell>
          <cell r="P31">
            <v>62014720</v>
          </cell>
        </row>
        <row r="32">
          <cell r="A32">
            <v>44501</v>
          </cell>
          <cell r="B32">
            <v>2.1266238095238097</v>
          </cell>
          <cell r="E32">
            <v>797629</v>
          </cell>
          <cell r="H32">
            <v>-5759801.8000000119</v>
          </cell>
          <cell r="J32">
            <v>-0.61602880952380956</v>
          </cell>
          <cell r="M32">
            <v>65373456.200000003</v>
          </cell>
          <cell r="P32">
            <v>66545694.799999997</v>
          </cell>
        </row>
        <row r="33">
          <cell r="A33">
            <v>44531</v>
          </cell>
          <cell r="B33">
            <v>1.9574427272727275</v>
          </cell>
          <cell r="E33">
            <v>-4016668.8000000119</v>
          </cell>
          <cell r="H33">
            <v>1227834.8000000119</v>
          </cell>
          <cell r="J33">
            <v>-0.60031772727272736</v>
          </cell>
          <cell r="M33">
            <v>76147280.200000003</v>
          </cell>
          <cell r="P33">
            <v>95835165</v>
          </cell>
        </row>
        <row r="34">
          <cell r="A34">
            <v>44562</v>
          </cell>
          <cell r="B34">
            <v>2.0489189999999997</v>
          </cell>
          <cell r="E34">
            <v>-11246507</v>
          </cell>
          <cell r="H34">
            <v>-11739364.799999997</v>
          </cell>
          <cell r="J34">
            <v>-0.58431399999999978</v>
          </cell>
          <cell r="M34">
            <v>54818178</v>
          </cell>
          <cell r="N34">
            <v>121692397</v>
          </cell>
        </row>
        <row r="35">
          <cell r="A35">
            <v>44593</v>
          </cell>
          <cell r="B35">
            <v>2.3252063157894738</v>
          </cell>
          <cell r="E35">
            <v>591243.20000000298</v>
          </cell>
          <cell r="H35">
            <v>-6955641.799999997</v>
          </cell>
          <cell r="J35">
            <v>-0.84151031578947388</v>
          </cell>
          <cell r="M35">
            <v>67136988.200000003</v>
          </cell>
          <cell r="N35">
            <v>131671445</v>
          </cell>
        </row>
        <row r="36">
          <cell r="A36">
            <v>44621</v>
          </cell>
          <cell r="B36">
            <v>2.0870565217391306</v>
          </cell>
          <cell r="E36">
            <v>-5087742.599999994</v>
          </cell>
          <cell r="H36">
            <v>-2801797.599999994</v>
          </cell>
          <cell r="J36">
            <v>-0.44536852173913055</v>
          </cell>
          <cell r="M36">
            <v>73833230.599999994</v>
          </cell>
          <cell r="N36">
            <v>150541927</v>
          </cell>
        </row>
        <row r="37">
          <cell r="A37">
            <v>44652</v>
          </cell>
          <cell r="B37">
            <v>2.3215059999999998</v>
          </cell>
          <cell r="E37">
            <v>-436456.19999998808</v>
          </cell>
          <cell r="H37">
            <v>10572930.800000012</v>
          </cell>
          <cell r="J37">
            <v>-0.53769599999999995</v>
          </cell>
          <cell r="M37">
            <v>71683680.200000003</v>
          </cell>
          <cell r="N37">
            <v>147920550</v>
          </cell>
        </row>
        <row r="38">
          <cell r="A38">
            <v>44682</v>
          </cell>
          <cell r="B38">
            <v>2.3091104761904759</v>
          </cell>
          <cell r="E38">
            <v>-14330379.599999994</v>
          </cell>
          <cell r="H38">
            <v>-23097178.199999988</v>
          </cell>
          <cell r="J38">
            <v>-0.67661047619047587</v>
          </cell>
          <cell r="M38">
            <v>97524429.599999994</v>
          </cell>
          <cell r="N38">
            <v>180869468</v>
          </cell>
        </row>
        <row r="39">
          <cell r="A39">
            <v>44713</v>
          </cell>
          <cell r="B39">
            <v>1.4467923809523813</v>
          </cell>
          <cell r="E39">
            <v>-11072413</v>
          </cell>
          <cell r="H39">
            <v>-21702341.599999994</v>
          </cell>
          <cell r="J39">
            <v>0.16745761904761891</v>
          </cell>
          <cell r="M39">
            <v>77861395.799999997</v>
          </cell>
          <cell r="N39">
            <v>154126522</v>
          </cell>
        </row>
        <row r="40">
          <cell r="A40">
            <v>44743</v>
          </cell>
          <cell r="B40">
            <v>1.0371319999999999</v>
          </cell>
          <cell r="E40">
            <v>-22284427.599999994</v>
          </cell>
          <cell r="H40">
            <v>-35897926.800000012</v>
          </cell>
          <cell r="J40">
            <v>0.72873799999999989</v>
          </cell>
          <cell r="M40">
            <v>70441022</v>
          </cell>
          <cell r="N40">
            <v>128058899</v>
          </cell>
        </row>
        <row r="41">
          <cell r="A41">
            <v>44774</v>
          </cell>
          <cell r="B41">
            <v>1.4865573913043477</v>
          </cell>
          <cell r="E41">
            <v>-11735368.800000012</v>
          </cell>
          <cell r="H41">
            <v>-16722175.800000012</v>
          </cell>
          <cell r="J41">
            <v>0.26159760869565218</v>
          </cell>
          <cell r="M41">
            <v>82804397.400000006</v>
          </cell>
          <cell r="N41">
            <v>143340284</v>
          </cell>
        </row>
        <row r="42">
          <cell r="A42">
            <v>44805</v>
          </cell>
          <cell r="B42">
            <v>1.6098457142857141</v>
          </cell>
          <cell r="E42">
            <v>-9498930</v>
          </cell>
          <cell r="H42">
            <v>-6491039.1999999881</v>
          </cell>
          <cell r="J42">
            <v>0.20324952380952377</v>
          </cell>
          <cell r="M42">
            <v>87859747.799999997</v>
          </cell>
          <cell r="N42">
            <v>165201806</v>
          </cell>
        </row>
        <row r="43">
          <cell r="A43">
            <v>44835</v>
          </cell>
          <cell r="B43">
            <v>1.495452380952381</v>
          </cell>
          <cell r="E43">
            <v>-13195749</v>
          </cell>
          <cell r="H43">
            <v>-16656621</v>
          </cell>
          <cell r="J43">
            <v>0.41929761904761897</v>
          </cell>
          <cell r="M43">
            <v>70578919.799999997</v>
          </cell>
          <cell r="N43">
            <v>151498690</v>
          </cell>
        </row>
        <row r="44">
          <cell r="A44">
            <v>44866</v>
          </cell>
          <cell r="B44">
            <v>2.0885828571428569</v>
          </cell>
          <cell r="E44">
            <v>1008489.599999994</v>
          </cell>
          <cell r="H44">
            <v>15632831.400000006</v>
          </cell>
          <cell r="J44">
            <v>-0.35834485714285691</v>
          </cell>
          <cell r="M44">
            <v>120400032.40000001</v>
          </cell>
          <cell r="N44">
            <v>198800014</v>
          </cell>
        </row>
        <row r="45">
          <cell r="A45">
            <v>44896</v>
          </cell>
          <cell r="B45">
            <v>1.7587895238095237</v>
          </cell>
          <cell r="E45">
            <v>-19831715.400000006</v>
          </cell>
          <cell r="H45">
            <v>-8883192</v>
          </cell>
          <cell r="J45">
            <v>-6.7539523809523772E-2</v>
          </cell>
          <cell r="M45">
            <v>93413281.200000003</v>
          </cell>
          <cell r="N45">
            <v>194157620</v>
          </cell>
        </row>
        <row r="46">
          <cell r="A46">
            <v>44927</v>
          </cell>
          <cell r="B46">
            <v>1.9314810000000002</v>
          </cell>
          <cell r="E46">
            <v>12631019</v>
          </cell>
          <cell r="H46">
            <v>25717397.799999997</v>
          </cell>
          <cell r="J46">
            <v>-0.31174415789473686</v>
          </cell>
        </row>
        <row r="47">
          <cell r="A47">
            <v>44958</v>
          </cell>
          <cell r="B47">
            <v>2.2958694736842102</v>
          </cell>
          <cell r="E47">
            <v>-1502078.400000006</v>
          </cell>
          <cell r="H47">
            <v>29609184.799999997</v>
          </cell>
          <cell r="J47">
            <v>-0.72184773455377549</v>
          </cell>
        </row>
        <row r="48">
          <cell r="A48">
            <v>44986</v>
          </cell>
          <cell r="B48">
            <v>2.1410860869565216</v>
          </cell>
          <cell r="E48">
            <v>-14942415</v>
          </cell>
          <cell r="H48">
            <v>13025101.599999994</v>
          </cell>
          <cell r="J48">
            <v>-0.57403345537757433</v>
          </cell>
        </row>
        <row r="49">
          <cell r="A49">
            <v>45017</v>
          </cell>
          <cell r="B49">
            <v>2.2498547368421047</v>
          </cell>
          <cell r="E49">
            <v>-14879761.800000012</v>
          </cell>
          <cell r="H49">
            <v>-582930.40000000596</v>
          </cell>
          <cell r="J49">
            <v>-0.71587746411483177</v>
          </cell>
        </row>
        <row r="50">
          <cell r="A50">
            <v>45047</v>
          </cell>
          <cell r="B50">
            <v>2.3677636363636365</v>
          </cell>
          <cell r="E50">
            <v>10827673.400000006</v>
          </cell>
          <cell r="H50">
            <v>35155043.199999988</v>
          </cell>
          <cell r="J50">
            <v>-0.92306125541125539</v>
          </cell>
        </row>
        <row r="51">
          <cell r="A51">
            <v>45078</v>
          </cell>
          <cell r="B51">
            <v>2.4054542857142853</v>
          </cell>
          <cell r="E51">
            <v>-490168</v>
          </cell>
          <cell r="H51">
            <v>23634527.400000006</v>
          </cell>
          <cell r="J51">
            <v>-0.84907928571428548</v>
          </cell>
        </row>
        <row r="52">
          <cell r="A52">
            <v>45108</v>
          </cell>
          <cell r="B52">
            <v>1.0249949999999999</v>
          </cell>
          <cell r="E52">
            <v>-14688161</v>
          </cell>
          <cell r="H52">
            <v>2484910</v>
          </cell>
          <cell r="J52">
            <v>0.42533108695652189</v>
          </cell>
        </row>
        <row r="53">
          <cell r="A53">
            <v>45139</v>
          </cell>
          <cell r="B53">
            <v>1.4837747826086951</v>
          </cell>
          <cell r="E53">
            <v>-10082295.199999988</v>
          </cell>
          <cell r="H53">
            <v>21255051.199999988</v>
          </cell>
          <cell r="J53">
            <v>-0.28977478260869516</v>
          </cell>
        </row>
        <row r="54">
          <cell r="A54">
            <v>45170</v>
          </cell>
          <cell r="B54">
            <v>1.6180319999999999</v>
          </cell>
          <cell r="E54">
            <v>-6194524</v>
          </cell>
          <cell r="H54">
            <v>19947649.199999988</v>
          </cell>
          <cell r="J54">
            <v>-0.73200927272727256</v>
          </cell>
        </row>
        <row r="55">
          <cell r="A55">
            <v>45200</v>
          </cell>
          <cell r="B55">
            <v>1.4876072727272722</v>
          </cell>
          <cell r="E55">
            <v>-4887075.400000006</v>
          </cell>
          <cell r="H55">
            <v>35236040.199999988</v>
          </cell>
          <cell r="J55">
            <v>-0.65848227272727233</v>
          </cell>
        </row>
        <row r="56">
          <cell r="A56">
            <v>45231</v>
          </cell>
          <cell r="B56">
            <v>2.0575269999999999</v>
          </cell>
          <cell r="E56">
            <v>-3903983.599999994</v>
          </cell>
          <cell r="H56">
            <v>17503207</v>
          </cell>
          <cell r="J56">
            <v>-1.2452144999999999</v>
          </cell>
        </row>
        <row r="57">
          <cell r="A57">
            <v>45261</v>
          </cell>
          <cell r="B57">
            <v>1.2018329999999995</v>
          </cell>
          <cell r="E57">
            <v>-25290301</v>
          </cell>
          <cell r="H57">
            <v>3848973.400000006</v>
          </cell>
          <cell r="J57">
            <v>-0.47599966666666615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BO Forward Curve"/>
      <sheetName val="Chart2"/>
      <sheetName val="Historical Prices"/>
      <sheetName val="Regressions"/>
    </sheetNames>
    <sheetDataSet>
      <sheetData sheetId="0">
        <row r="2">
          <cell r="C2">
            <v>2.1673</v>
          </cell>
          <cell r="D2">
            <v>1.1957</v>
          </cell>
          <cell r="E2">
            <v>106.38026952909382</v>
          </cell>
          <cell r="F2">
            <v>114.38026952909382</v>
          </cell>
        </row>
        <row r="3">
          <cell r="C3">
            <v>2.0923000000000003</v>
          </cell>
          <cell r="D3">
            <v>1.3163</v>
          </cell>
          <cell r="E3">
            <v>116.86345009798404</v>
          </cell>
          <cell r="F3">
            <v>120.86345009798404</v>
          </cell>
        </row>
        <row r="4">
          <cell r="C4">
            <v>2.0987</v>
          </cell>
          <cell r="D4">
            <v>1.0210999999999997</v>
          </cell>
          <cell r="E4">
            <v>104.4272109787392</v>
          </cell>
          <cell r="F4">
            <v>106.4272109787392</v>
          </cell>
        </row>
        <row r="5">
          <cell r="C5">
            <v>2.1129000000000002</v>
          </cell>
          <cell r="D5">
            <v>1.1513</v>
          </cell>
          <cell r="E5">
            <v>103.81107466500848</v>
          </cell>
          <cell r="F5">
            <v>112.81107466500848</v>
          </cell>
        </row>
        <row r="6">
          <cell r="C6">
            <v>2.1038000000000001</v>
          </cell>
          <cell r="D6">
            <v>1.0729999999999995</v>
          </cell>
          <cell r="E6">
            <v>103.83302497349253</v>
          </cell>
          <cell r="F6">
            <v>109.83302497349253</v>
          </cell>
        </row>
      </sheetData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YJWNLYO763DVDJFFAQRKSQ7NEE">
      <xxl21:absoluteUrl r:id="rId2"/>
    </xxl21:alternateUrls>
    <sheetNames>
      <sheetName val="Futures Price Forecasts"/>
      <sheetName val="Forecasts"/>
      <sheetName val="Sheet1"/>
      <sheetName val="Prices"/>
      <sheetName val="Chart1"/>
      <sheetName val="Chart2"/>
      <sheetName val="Chart3"/>
      <sheetName val="Chart4"/>
      <sheetName val="Chart5"/>
      <sheetName val="Monthly Oil Share Change (2)"/>
      <sheetName val="Monthly Oil Share Change"/>
      <sheetName val="Chart6"/>
      <sheetName val="Chart7"/>
      <sheetName val="Chart8"/>
      <sheetName val="Chart9"/>
      <sheetName val="Chart10"/>
      <sheetName val="Chart11"/>
      <sheetName val="Chart12"/>
      <sheetName val="Chart13"/>
      <sheetName val="Chart14"/>
      <sheetName val="PDF Data"/>
      <sheetName val="Chart15"/>
      <sheetName val="Chart16"/>
      <sheetName val="Chart17"/>
      <sheetName val="Chart18"/>
      <sheetName val="Forecast Print"/>
      <sheetName val="PDF Print"/>
    </sheetNames>
    <sheetDataSet>
      <sheetData sheetId="0"/>
      <sheetData sheetId="1">
        <row r="36">
          <cell r="F36">
            <v>49.38</v>
          </cell>
        </row>
        <row r="37">
          <cell r="F37">
            <v>49.35</v>
          </cell>
        </row>
        <row r="38">
          <cell r="F38">
            <v>49.24</v>
          </cell>
        </row>
        <row r="39">
          <cell r="F39">
            <v>49.230000000000004</v>
          </cell>
        </row>
      </sheetData>
      <sheetData sheetId="2"/>
      <sheetData sheetId="3">
        <row r="525">
          <cell r="D525">
            <v>45.387300000000003</v>
          </cell>
        </row>
        <row r="601">
          <cell r="D601">
            <v>30.957999999999998</v>
          </cell>
        </row>
        <row r="602">
          <cell r="D602">
            <v>32.689523809523813</v>
          </cell>
        </row>
        <row r="603">
          <cell r="D603">
            <v>33.150952380952383</v>
          </cell>
        </row>
        <row r="604">
          <cell r="D604">
            <v>30.248421052631581</v>
          </cell>
        </row>
        <row r="605">
          <cell r="D605">
            <v>27.017727272727271</v>
          </cell>
        </row>
        <row r="606">
          <cell r="D606">
            <v>26.202857142857148</v>
          </cell>
        </row>
        <row r="607">
          <cell r="D607">
            <v>26.708999999999996</v>
          </cell>
        </row>
        <row r="608">
          <cell r="D608">
            <v>27.891363636363643</v>
          </cell>
        </row>
        <row r="609">
          <cell r="D609">
            <v>29.206818181818178</v>
          </cell>
        </row>
        <row r="610">
          <cell r="D610">
            <v>31.59238095238096</v>
          </cell>
        </row>
        <row r="611">
          <cell r="D611">
            <v>33.51047619047619</v>
          </cell>
        </row>
        <row r="612">
          <cell r="D612">
            <v>33.276818181818186</v>
          </cell>
        </row>
        <row r="613">
          <cell r="D613">
            <v>36.862499999999997</v>
          </cell>
        </row>
        <row r="614">
          <cell r="D614">
            <v>39.571363636363643</v>
          </cell>
        </row>
        <row r="615">
          <cell r="D615">
            <v>43.154210526315786</v>
          </cell>
        </row>
        <row r="616">
          <cell r="D616">
            <v>46.94631578947368</v>
          </cell>
        </row>
        <row r="617">
          <cell r="D617">
            <v>53.370000000000012</v>
          </cell>
        </row>
        <row r="618">
          <cell r="D618">
            <v>58.235714285714302</v>
          </cell>
        </row>
        <row r="619">
          <cell r="D619">
            <v>65.639500000000012</v>
          </cell>
        </row>
        <row r="620">
          <cell r="D620">
            <v>65.243181818181839</v>
          </cell>
        </row>
        <row r="621">
          <cell r="D621">
            <v>64.936190476190475</v>
          </cell>
        </row>
        <row r="622">
          <cell r="D622">
            <v>61.464090909090899</v>
          </cell>
        </row>
        <row r="623">
          <cell r="D623">
            <v>57.204761904761902</v>
          </cell>
        </row>
        <row r="624">
          <cell r="D624">
            <v>61.246190476190478</v>
          </cell>
        </row>
        <row r="625">
          <cell r="D625">
            <v>59.234761904761896</v>
          </cell>
        </row>
        <row r="626">
          <cell r="D626">
            <v>55.209545454545463</v>
          </cell>
        </row>
        <row r="627">
          <cell r="D627">
            <v>60.679999999999993</v>
          </cell>
        </row>
        <row r="628">
          <cell r="D628">
            <v>67.012631578947364</v>
          </cell>
        </row>
        <row r="629">
          <cell r="D629">
            <v>74.006521739130449</v>
          </cell>
        </row>
        <row r="630">
          <cell r="D630">
            <v>79.201999999999998</v>
          </cell>
        </row>
        <row r="631">
          <cell r="D631">
            <v>81.004761904761907</v>
          </cell>
        </row>
        <row r="632">
          <cell r="D632">
            <v>76.33</v>
          </cell>
        </row>
        <row r="633">
          <cell r="D633">
            <v>61.398000000000003</v>
          </cell>
        </row>
        <row r="634">
          <cell r="D634">
            <v>67.486956521739117</v>
          </cell>
        </row>
        <row r="635">
          <cell r="D635">
            <v>66.873333333333335</v>
          </cell>
        </row>
        <row r="636">
          <cell r="D636">
            <v>68.494285714285709</v>
          </cell>
        </row>
        <row r="637">
          <cell r="D637">
            <v>74.968095238095245</v>
          </cell>
        </row>
        <row r="638">
          <cell r="D638">
            <v>64.203809523809525</v>
          </cell>
        </row>
        <row r="639">
          <cell r="D639">
            <v>62.383999999999993</v>
          </cell>
        </row>
        <row r="640">
          <cell r="D640">
            <v>60.783157894736839</v>
          </cell>
        </row>
        <row r="641">
          <cell r="D641">
            <v>56.891304347826086</v>
          </cell>
        </row>
        <row r="642">
          <cell r="D642">
            <v>53.917894736842108</v>
          </cell>
        </row>
        <row r="643">
          <cell r="D643">
            <v>49.765454545454553</v>
          </cell>
        </row>
        <row r="644">
          <cell r="D644">
            <v>55.860952380952369</v>
          </cell>
        </row>
        <row r="645">
          <cell r="D645">
            <v>66.389999999999972</v>
          </cell>
        </row>
        <row r="646">
          <cell r="D646">
            <v>65.607391304347829</v>
          </cell>
        </row>
        <row r="647">
          <cell r="D647">
            <v>61.316499999999984</v>
          </cell>
        </row>
        <row r="648">
          <cell r="D648">
            <v>53.868181818181831</v>
          </cell>
        </row>
        <row r="649">
          <cell r="D649">
            <v>51.671428571428564</v>
          </cell>
        </row>
        <row r="650">
          <cell r="D650">
            <v>49.773000000000003</v>
          </cell>
        </row>
        <row r="651">
          <cell r="D651">
            <v>47.540476190476184</v>
          </cell>
        </row>
        <row r="652">
          <cell r="D652">
            <v>45.639999999999993</v>
          </cell>
        </row>
        <row r="653">
          <cell r="D653">
            <v>47.468999999999994</v>
          </cell>
        </row>
        <row r="654">
          <cell r="D654">
            <v>46.189999999999991</v>
          </cell>
        </row>
        <row r="655">
          <cell r="D655">
            <v>44.612272727272725</v>
          </cell>
        </row>
        <row r="656">
          <cell r="D656">
            <v>43.706842105263163</v>
          </cell>
        </row>
        <row r="657">
          <cell r="D657">
            <v>46.263181818181813</v>
          </cell>
        </row>
        <row r="658">
          <cell r="D658">
            <v>41.318181818181813</v>
          </cell>
        </row>
        <row r="659">
          <cell r="D659">
            <v>41.493000000000002</v>
          </cell>
        </row>
        <row r="660">
          <cell r="D660">
            <v>43.290869565217378</v>
          </cell>
        </row>
        <row r="661">
          <cell r="D661">
            <v>44.668500000000002</v>
          </cell>
        </row>
        <row r="662">
          <cell r="D662">
            <v>41.116190476190482</v>
          </cell>
        </row>
        <row r="663">
          <cell r="D663">
            <v>46.11</v>
          </cell>
        </row>
        <row r="664">
          <cell r="D664">
            <v>45.823157894736845</v>
          </cell>
        </row>
        <row r="665">
          <cell r="D665">
            <v>42.1</v>
          </cell>
        </row>
        <row r="666">
          <cell r="D666">
            <v>42.65</v>
          </cell>
        </row>
        <row r="667">
          <cell r="D667">
            <v>44.25</v>
          </cell>
        </row>
        <row r="668">
          <cell r="D668">
            <v>44.75</v>
          </cell>
        </row>
        <row r="669">
          <cell r="D669">
            <v>44.85</v>
          </cell>
        </row>
        <row r="670">
          <cell r="D670">
            <v>43.65</v>
          </cell>
        </row>
        <row r="671">
          <cell r="D671">
            <v>41.05</v>
          </cell>
        </row>
        <row r="672">
          <cell r="D672">
            <v>41.1</v>
          </cell>
        </row>
        <row r="673">
          <cell r="D673">
            <v>42.45</v>
          </cell>
        </row>
        <row r="674">
          <cell r="D674">
            <v>42.95</v>
          </cell>
        </row>
        <row r="675">
          <cell r="D675">
            <v>42.45</v>
          </cell>
        </row>
        <row r="676">
          <cell r="D676">
            <v>40.75</v>
          </cell>
        </row>
        <row r="677">
          <cell r="D677">
            <v>41.8</v>
          </cell>
        </row>
        <row r="678">
          <cell r="D678">
            <v>42.5</v>
          </cell>
        </row>
        <row r="679">
          <cell r="D679">
            <v>43.5</v>
          </cell>
        </row>
        <row r="680">
          <cell r="D680">
            <v>44.5</v>
          </cell>
        </row>
        <row r="681">
          <cell r="D681">
            <v>44.5</v>
          </cell>
        </row>
        <row r="682">
          <cell r="D682">
            <v>43.5</v>
          </cell>
        </row>
        <row r="683">
          <cell r="D683">
            <v>45.75</v>
          </cell>
        </row>
        <row r="684">
          <cell r="D684">
            <v>45</v>
          </cell>
        </row>
        <row r="685">
          <cell r="D685">
            <v>47</v>
          </cell>
        </row>
        <row r="686">
          <cell r="D686">
            <v>47.5</v>
          </cell>
        </row>
        <row r="687">
          <cell r="D687">
            <v>46</v>
          </cell>
        </row>
        <row r="688">
          <cell r="D688">
            <v>44.25</v>
          </cell>
        </row>
        <row r="689">
          <cell r="D689">
            <v>44.75</v>
          </cell>
        </row>
        <row r="690">
          <cell r="D690">
            <v>45.5</v>
          </cell>
        </row>
        <row r="691">
          <cell r="D691">
            <v>46</v>
          </cell>
        </row>
        <row r="692">
          <cell r="D692">
            <v>46.75</v>
          </cell>
        </row>
        <row r="693">
          <cell r="D693">
            <v>47</v>
          </cell>
        </row>
        <row r="694">
          <cell r="D694">
            <v>46</v>
          </cell>
        </row>
        <row r="695">
          <cell r="D695">
            <v>45.75</v>
          </cell>
        </row>
        <row r="696">
          <cell r="D696">
            <v>47</v>
          </cell>
        </row>
        <row r="697">
          <cell r="D697">
            <v>48.5</v>
          </cell>
        </row>
        <row r="698">
          <cell r="D698">
            <v>48</v>
          </cell>
        </row>
        <row r="699">
          <cell r="D699">
            <v>47.5</v>
          </cell>
        </row>
        <row r="700">
          <cell r="D700">
            <v>45.5</v>
          </cell>
        </row>
        <row r="701">
          <cell r="D701">
            <v>46</v>
          </cell>
        </row>
        <row r="702">
          <cell r="D702">
            <v>47</v>
          </cell>
        </row>
        <row r="703">
          <cell r="D703">
            <v>48</v>
          </cell>
        </row>
        <row r="704">
          <cell r="D704">
            <v>48.5</v>
          </cell>
        </row>
        <row r="705">
          <cell r="D705">
            <v>48</v>
          </cell>
        </row>
        <row r="706">
          <cell r="D706">
            <v>47.5</v>
          </cell>
        </row>
        <row r="707">
          <cell r="D707">
            <v>50</v>
          </cell>
        </row>
        <row r="708">
          <cell r="D708">
            <v>49.75</v>
          </cell>
        </row>
        <row r="709">
          <cell r="D709">
            <v>50</v>
          </cell>
        </row>
        <row r="710">
          <cell r="D710">
            <v>50.75</v>
          </cell>
        </row>
        <row r="711">
          <cell r="D711">
            <v>51</v>
          </cell>
        </row>
        <row r="712">
          <cell r="D712">
            <v>49</v>
          </cell>
        </row>
        <row r="713">
          <cell r="D713">
            <v>50</v>
          </cell>
        </row>
        <row r="714">
          <cell r="D714">
            <v>50.5</v>
          </cell>
        </row>
        <row r="715">
          <cell r="D715">
            <v>51</v>
          </cell>
        </row>
        <row r="716">
          <cell r="D716">
            <v>51</v>
          </cell>
        </row>
        <row r="717">
          <cell r="D717">
            <v>50.5</v>
          </cell>
        </row>
        <row r="718">
          <cell r="D718">
            <v>50</v>
          </cell>
        </row>
        <row r="719">
          <cell r="D719">
            <v>53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BO Forward Curve"/>
      <sheetName val="Sheet1"/>
      <sheetName val="HOBO 1 Week Ago"/>
      <sheetName val="HOBO History"/>
    </sheetNames>
    <sheetDataSet>
      <sheetData sheetId="0">
        <row r="2">
          <cell r="G2">
            <v>1.5254199999999996</v>
          </cell>
          <cell r="J2">
            <v>0.97384000000000048</v>
          </cell>
        </row>
        <row r="3">
          <cell r="G3">
            <v>1.6174599999999999</v>
          </cell>
          <cell r="J3">
            <v>1.0427999999999997</v>
          </cell>
        </row>
        <row r="4">
          <cell r="G4">
            <v>1.5922999999999998</v>
          </cell>
          <cell r="J4">
            <v>1.0303400000000003</v>
          </cell>
        </row>
        <row r="5">
          <cell r="G5">
            <v>1.5560399999999999</v>
          </cell>
          <cell r="J5">
            <v>1.0192399999999999</v>
          </cell>
        </row>
        <row r="6">
          <cell r="G6">
            <v>1.5635599999999998</v>
          </cell>
          <cell r="J6">
            <v>1.0543</v>
          </cell>
        </row>
      </sheetData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ProphetX" ddeTopic="HISTORY">
    <ddeItems>
      <ddeItem name="((@bo@c2*7.6/100)-qho@c2)[INTERVAL:DAILY,COMPRESSION:1,FILTER:USA,SORT:ASC,NDATE:4/25/2025,FDATE:4/17/2024,VERSION:1]?CLOSE" advise="1">
        <values rows="258">
          <value>
            <val>0.88166000000000011</val>
          </value>
          <value>
            <val>0.85195999999999961</val>
          </value>
          <value>
            <val>0.86483999999999961</val>
          </value>
          <value>
            <val>0.90225999999999962</val>
          </value>
          <value>
            <val>0.9008799999999999</val>
          </value>
          <value>
            <val>0.88082000000000038</val>
          </value>
          <value>
            <val>0.89227999999999952</val>
          </value>
          <value>
            <val>0.90033999999999947</val>
          </value>
          <value>
            <val>0.82611999999999997</val>
          </value>
          <value>
            <val>0.74115999999999982</val>
          </value>
          <value>
            <val>0.8226599999999995</val>
          </value>
          <value>
            <val>0.82864000000000049</val>
          </value>
          <value>
            <val>0.81707999999999981</val>
          </value>
          <value>
            <val>0.85794000000000015</val>
          </value>
          <value>
            <val>0.90299999999999958</val>
          </value>
          <value>
            <val>0.84013999999999989</val>
          </value>
          <value>
            <val>0.74993999999999961</val>
          </value>
          <value>
            <val>0.92763999999999935</val>
          </value>
          <value>
            <val>0.97829999999999995</val>
          </value>
          <value>
            <val>0.86389999999999967</val>
          </value>
          <value>
            <val>0.89449999999999985</val>
          </value>
          <value>
            <val>0.94519999999999982</val>
          </value>
          <value>
            <val>0.9598399999999998</val>
          </value>
          <value>
            <val>1.03546</val>
          </value>
          <value>
            <val>1.02454</val>
          </value>
          <value>
            <val>1.0603400000000001</val>
          </value>
          <value>
            <val>1.0276799999999997</val>
          </value>
          <value>
            <val>1.0059199999999997</val>
          </value>
          <value>
            <val>0.99598000000000031</val>
          </value>
          <value>
            <val>1.0507399999999998</val>
          </value>
          <value>
            <val>1.1027799999999996</val>
          </value>
          <value>
            <val>1.0950800000000003</val>
          </value>
          <value>
            <val>1.0510800000000002</val>
          </value>
          <value>
            <val>1.0271999999999997</val>
          </value>
          <value>
            <val>0.97707999999999995</val>
          </value>
          <value>
            <val>1.0139800000000001</val>
          </value>
          <value>
            <val>0.96572000000000013</val>
          </value>
          <value>
            <val>0.9070999999999998</val>
          </value>
          <value>
            <val>0.90035999999999961</val>
          </value>
          <value>
            <val>0.88870000000000005</val>
          </value>
          <value>
            <val>0.85337999999999958</val>
          </value>
          <value>
            <val>0.85249999999999959</val>
          </value>
          <value>
            <val>0.84113999999999978</val>
          </value>
          <value>
            <val>0.84619999999999962</val>
          </value>
          <value>
            <val>0.82430000000000003</val>
          </value>
          <value>
            <val>0.84909999999999997</val>
          </value>
          <value>
            <val>0.78973999999999966</val>
          </value>
          <value>
            <val>0.74387999999999987</val>
          </value>
          <value>
            <val>0.76971999999999996</val>
          </value>
          <value>
            <val>0.76057999999999959</val>
          </value>
          <value>
            <val>0.8162199999999995</val>
          </value>
          <value>
            <val>0.87247999999999992</val>
          </value>
          <value>
            <val>0.93353999999999937</val>
          </value>
          <value>
            <val>1.0486399999999998</val>
          </value>
          <value>
            <val>1.1492</val>
          </value>
          <value>
            <val>1.1380400000000002</val>
          </value>
          <value>
            <val>1.0264000000000002</val>
          </value>
          <value>
            <val>0.98754000000000008</val>
          </value>
          <value>
            <val>1.0453199999999998</val>
          </value>
          <value>
            <val>1.0184999999999995</val>
          </value>
          <value>
            <val>0.9734200000000004</val>
          </value>
          <value>
            <val>1.0292799999999995</val>
          </value>
          <value>
            <val>0.94171999999999967</val>
          </value>
          <value>
            <val>0.96989999999999998</val>
          </value>
          <value>
            <val>1.0324</val>
          </value>
          <value>
            <val>1.0598199999999998</val>
          </value>
          <value>
            <val>1.07498</val>
          </value>
          <value>
            <val>0.97228000000000003</val>
          </value>
          <value>
            <val>0.94633999999999929</val>
          </value>
          <value>
            <val>0.83115999999999968</val>
          </value>
          <value>
            <val>0.84257999999999944</val>
          </value>
          <value>
            <val>0.88726000000000038</val>
          </value>
          <value>
            <val>0.84945999999999966</val>
          </value>
          <value>
            <val>0.80491999999999964</val>
          </value>
          <value>
            <val>0.83148</val>
          </value>
          <value>
            <val>0.80674000000000001</val>
          </value>
          <value>
            <val>0.79219999999999979</val>
          </value>
          <value>
            <val>0.82561999999999935</val>
          </value>
          <value>
            <val>0.82731999999999983</val>
          </value>
          <value>
            <val>0.86302000000000012</val>
          </value>
          <value>
            <val>0.72397999999999918</val>
          </value>
          <value>
            <val>0.65103999999999962</val>
          </value>
          <value>
            <val>0.65305999999999953</val>
          </value>
          <value>
            <val>0.55873999999999979</val>
          </value>
          <value>
            <val>0.63107999999999986</val>
          </value>
          <value>
            <val>0.73135999999999957</val>
          </value>
          <value>
            <val>0.74965999999999955</val>
          </value>
          <value>
            <val>0.7911999999999999</val>
          </value>
          <value>
            <val>0.72633999999999954</val>
          </value>
          <value>
            <val>0.77890000000000015</val>
          </value>
          <value>
            <val>0.75390000000000024</val>
          </value>
          <value>
            <val>0.78259999999999996</val>
          </value>
          <value>
            <val>0.87410000000000032</val>
          </value>
          <value>
            <val>0.92575999999999947</val>
          </value>
          <value>
            <val>0.95398000000000005</val>
          </value>
          <value>
            <val>0.93047999999999931</val>
          </value>
          <value>
            <val>0.91951999999999989</val>
          </value>
          <value>
            <val>0.98383999999999983</val>
          </value>
          <value>
            <val>0.92356000000000016</val>
          </value>
          <value>
            <val>0.96791999999999989</val>
          </value>
          <value>
            <val>0.98813999999999957</val>
          </value>
          <value>
            <val>0.91797999999999957</val>
          </value>
          <value>
            <val>0.93108000000000013</val>
          </value>
          <value>
            <val>0.90337999999999985</val>
          </value>
          <value>
            <val>0.86086000000000018</val>
          </value>
          <value>
            <val>0.88118000000000007</val>
          </value>
          <value>
            <val>0.90476000000000001</val>
          </value>
          <value>
            <val>0.92827999999999999</val>
          </value>
          <value>
            <val>0.96985999999999928</val>
          </value>
          <value>
            <val>1.0192400000000004</val>
          </value>
          <value>
            <val>1.0947400000000003</val>
          </value>
          <value>
            <val>1.1784999999999997</val>
          </value>
          <value>
            <val>1.1074999999999999</val>
          </value>
          <value>
            <val>1.06806</val>
          </value>
          <value>
            <val>1.1371600000000002</val>
          </value>
          <value>
            <val>1.0742599999999998</val>
          </value>
          <value>
            <val>1.1202399999999999</val>
          </value>
          <value>
            <val>1.0792799999999998</val>
          </value>
          <value>
            <val>1.0161199999999995</val>
          </value>
          <value>
            <val>0.98071999999999981</val>
          </value>
          <value>
            <val>0.96474000000000038</val>
          </value>
          <value>
            <val>0.98556000000000044</val>
          </value>
          <value>
            <val>0.96415999999999968</val>
          </value>
          <value>
            <val>0.93787999999999982</val>
          </value>
          <value>
            <val>0.89710000000000001</val>
          </value>
          <value>
            <val>1.0171799999999998</val>
          </value>
          <value>
            <val>0.97571999999999992</val>
          </value>
          <value>
            <val>1.0139000000000005</val>
          </value>
          <value>
            <val>1.0049200000000003</val>
          </value>
          <value>
            <val>1.0146799999999998</val>
          </value>
          <value>
            <val>1.0566199999999997</val>
          </value>
          <value>
            <val>1.06046</val>
          </value>
          <value>
            <val>1.1501000000000001</val>
          </value>
          <value>
            <val>1.10554</val>
          </value>
          <value>
            <val>1.1069199999999997</val>
          </value>
          <value>
            <val>1.1129999999999995</val>
          </value>
          <value>
            <val>1.1310600000000002</val>
          </value>
          <value>
            <val>1.1906199999999996</val>
          </value>
          <value>
            <val>1.2581599999999997</val>
          </value>
          <value>
            <val>1.1663599999999996</val>
          </value>
          <value>
            <val>1.1069</val>
          </value>
          <value>
            <val>1.2367399999999997</val>
          </value>
          <value>
            <val>1.3743999999999996</val>
          </value>
          <value>
            <val>1.4626000000000001</val>
          </value>
          <value>
            <val>1.4592400000000003</val>
          </value>
          <value>
            <val>1.3024400000000003</val>
          </value>
          <value>
            <val>1.2170399999999999</val>
          </value>
          <value>
            <val>1.1645600000000003</val>
          </value>
          <value>
            <val>1.2754400000000001</val>
          </value>
          <value>
            <val>1.2042599999999997</val>
          </value>
          <value>
            <val>1.16222</val>
          </value>
          <value>
            <val>1.0588600000000001</val>
          </value>
          <value>
            <val>0.92937999999999965</val>
          </value>
          <value>
            <val>0.89534000000000047</val>
          </value>
          <value>
            <val>0.89697999999999967</val>
          </value>
          <value>
            <val>0.99826000000000015</val>
          </value>
          <value>
            <val>0.89852000000000043</val>
          </value>
          <value>
            <val>0.97983999999999982</val>
          </value>
          <value>
            <val>0.96981999999999946</val>
          </value>
          <value>
            <val>0.98274000000000017</val>
          </value>
          <value>
            <val>0.97401999999999944</val>
          </value>
          <value>
            <val>1.0535600000000001</val>
          </value>
          <value>
            <val>1.1265199999999997</val>
          </value>
          <value>
            <val>1.0647999999999995</val>
          </value>
          <value>
            <val>1.0543199999999997</val>
          </value>
          <value>
            <val>0.99594000000000005</val>
          </value>
          <value>
            <val>1.0005199999999999</val>
          </value>
          <value>
            <val>0.96475999999999962</val>
          </value>
          <value>
            <val>0.93071999999999955</val>
          </value>
          <value>
            <val>0.87979999999999992</val>
          </value>
          <value>
            <val>0.77627999999999986</val>
          </value>
          <value>
            <val>0.83031999999999995</val>
          </value>
          <value>
            <val>0.79448000000000008</val>
          </value>
          <value>
            <val>0.8598599999999994</val>
          </value>
          <value>
            <val>0.83659999999999979</val>
          </value>
          <value>
            <val>0.8206800000000003</val>
          </value>
          <value>
            <val>0.79010000000000025</val>
          </value>
          <value>
            <val>0.76159999999999961</val>
          </value>
          <value>
            <val>0.75096000000000007</val>
          </value>
          <value>
            <val>0.7274200000000004</val>
          </value>
          <value>
            <val>0.70438000000000001</val>
          </value>
          <value>
            <val>0.72977999999999987</val>
          </value>
          <value>
            <val>0.78629999999999978</val>
          </value>
          <value>
            <val>0.82853999999999983</val>
          </value>
          <value>
            <val>0.89175999999999922</val>
          </value>
          <value>
            <val>0.98817999999999939</val>
          </value>
          <value>
            <val>0.98713999999999968</val>
          </value>
          <value>
            <val>1.0140199999999999</val>
          </value>
          <value>
            <val>0.97702</val>
          </value>
          <value>
            <val>0.88941999999999988</val>
          </value>
          <value>
            <val>0.94351999999999947</val>
          </value>
          <value>
            <val>1.0249599999999996</val>
          </value>
          <value>
            <val>0.9783599999999999</val>
          </value>
          <value>
            <val>1.0285199999999999</val>
          </value>
          <value>
            <val>1.0183599999999999</val>
          </value>
          <value>
            <val>1.05898</val>
          </value>
          <value>
            <val>1.0768200000000001</val>
          </value>
          <value>
            <val>1.06406</val>
          </value>
          <value>
            <val>1.0536000000000003</val>
          </value>
          <value>
            <val>1.13822</val>
          </value>
          <value>
            <val>1.17272</val>
          </value>
          <value>
            <val>1.1371199999999999</val>
          </value>
          <value>
            <val>1.1284000000000001</val>
          </value>
          <value>
            <val>1.1487799999999999</val>
          </value>
          <value>
            <val>1.1648799999999992</val>
          </value>
          <value>
            <val>1.1223599999999996</val>
          </value>
          <value>
            <val>1.0912600000000001</val>
          </value>
          <value>
            <val>1.1126800000000001</val>
          </value>
          <value>
            <val>1.1571799999999999</val>
          </value>
          <value>
            <val>1.1372200000000001</val>
          </value>
          <value>
            <val>1.2408399999999999</val>
          </value>
          <value>
            <val>1.1497999999999995</val>
          </value>
          <value>
            <val>1.1854399999999994</val>
          </value>
          <value>
            <val>1.2197399999999998</val>
          </value>
          <value>
            <val>1.1410999999999993</val>
          </value>
          <value>
            <val>1.1655999999999995</val>
          </value>
          <value>
            <val>1.1728400000000008</val>
          </value>
          <value>
            <val>1.0984999999999996</val>
          </value>
          <value>
            <val>1.0381199999999997</val>
          </value>
          <value>
            <val>1.0917400000000002</val>
          </value>
          <value>
            <val>1.0300400000000001</val>
          </value>
          <value>
            <val>1.0828399999999996</val>
          </value>
          <value>
            <val>1.1055200000000003</val>
          </value>
          <value>
            <val>1.1189200000000001</val>
          </value>
          <value>
            <val>1.0637599999999998</val>
          </value>
          <value>
            <val>1.0255800000000002</val>
          </value>
          <value>
            <val>0.98887999999999998</val>
          </value>
          <value>
            <val>1.0028800000000002</val>
          </value>
          <value>
            <val>1.0260400000000001</val>
          </value>
          <value>
            <val>1.0653199999999998</val>
          </value>
          <value>
            <val>1.1093799999999998</val>
          </value>
          <value>
            <val>1.0695999999999999</val>
          </value>
          <value>
            <val>1.0749</val>
          </value>
          <value>
            <val>1.02258</val>
          </value>
          <value>
            <val>1.02332</val>
          </value>
          <value>
            <val>1.0132999999999996</val>
          </value>
          <value>
            <val>1.0308800000000002</val>
          </value>
          <value>
            <val>1.1467999999999998</val>
          </value>
          <value>
            <val>1.24288</val>
          </value>
          <value>
            <val>1.1702400000000002</val>
          </value>
          <value>
            <val>1.3710999999999998</val>
          </value>
          <value>
            <val>1.4280599999999999</val>
          </value>
          <value>
            <val>1.4573799999999992</val>
          </value>
          <value>
            <val>1.4723199999999999</val>
          </value>
          <value>
            <val>1.4325600000000001</val>
          </value>
          <value>
            <val>1.4423599999999999</val>
          </value>
          <value>
            <val>1.4714</val>
          </value>
          <value>
            <val>1.54332</val>
          </value>
          <value>
            <val>1.6075399999999997</val>
          </value>
          <value>
            <val>1.5125999999999999</val>
          </value>
          <value>
            <val>1.5972399999999998</val>
          </value>
          <value>
            <val>1.5782999999999996</val>
          </value>
          <value>
            <val>1.5615400000000004</val>
          </value>
          <value>
            <val>1.6029599999999999</val>
          </value>
          <value>
            <val>1.5468799999999994</val>
          </value>
          <value>
            <val>1.59294</val>
          </value>
          <value>
            <val>1.7073200000000002</val>
          </value>
          <value>
            <val>1.6669599999999996</val>
          </value>
        </values>
      </ddeItem>
      <ddeItem name="(@bo@c2*7.6/100)-qho@c2[INTERVAL:DAILY,COMPRESSION:1,FILTER:USA,SORT:ASC,NDATE:4/25/2025,FDATE:4/17/2024,VERSION:1]?DATE" advise="1">
        <values rows="258">
          <value>
            <val>45399</val>
          </value>
          <value>
            <val>45400</val>
          </value>
          <value>
            <val>45401</val>
          </value>
          <value>
            <val>45404</val>
          </value>
          <value>
            <val>45405</val>
          </value>
          <value>
            <val>45406</val>
          </value>
          <value>
            <val>45407</val>
          </value>
          <value>
            <val>45408</val>
          </value>
          <value>
            <val>45411</val>
          </value>
          <value>
            <val>45412</val>
          </value>
          <value>
            <val>45413</val>
          </value>
          <value>
            <val>45414</val>
          </value>
          <value>
            <val>45415</val>
          </value>
          <value>
            <val>45418</val>
          </value>
          <value>
            <val>45419</val>
          </value>
          <value>
            <val>45420</val>
          </value>
          <value>
            <val>45421</val>
          </value>
          <value>
            <val>45422</val>
          </value>
          <value>
            <val>45425</val>
          </value>
          <value>
            <val>45426</val>
          </value>
          <value>
            <val>45427</val>
          </value>
          <value>
            <val>45428</val>
          </value>
          <value>
            <val>45429</val>
          </value>
          <value>
            <val>45432</val>
          </value>
          <value>
            <val>45433</val>
          </value>
          <value>
            <val>45434</val>
          </value>
          <value>
            <val>45435</val>
          </value>
          <value>
            <val>45436</val>
          </value>
          <value>
            <val>45440</val>
          </value>
          <value>
            <val>45441</val>
          </value>
          <value>
            <val>45442</val>
          </value>
          <value>
            <val>45443</val>
          </value>
          <value>
            <val>45446</val>
          </value>
          <value>
            <val>45447</val>
          </value>
          <value>
            <val>45448</val>
          </value>
          <value>
            <val>45449</val>
          </value>
          <value>
            <val>45450</val>
          </value>
          <value>
            <val>45453</val>
          </value>
          <value>
            <val>45454</val>
          </value>
          <value>
            <val>45455</val>
          </value>
          <value>
            <val>45456</val>
          </value>
          <value>
            <val>45457</val>
          </value>
          <value>
            <val>45460</val>
          </value>
          <value>
            <val>45461</val>
          </value>
          <value>
            <val>45463</val>
          </value>
          <value>
            <val>45464</val>
          </value>
          <value>
            <val>45467</val>
          </value>
          <value>
            <val>45468</val>
          </value>
          <value>
            <val>45469</val>
          </value>
          <value>
            <val>45470</val>
          </value>
          <value>
            <val>45471</val>
          </value>
          <value>
            <val>45474</val>
          </value>
          <value>
            <val>45475</val>
          </value>
          <value>
            <val>45476</val>
          </value>
          <value>
            <val>45478</val>
          </value>
          <value>
            <val>45481</val>
          </value>
          <value>
            <val>45482</val>
          </value>
          <value>
            <val>45483</val>
          </value>
          <value>
            <val>45484</val>
          </value>
          <value>
            <val>45485</val>
          </value>
          <value>
            <val>45488</val>
          </value>
          <value>
            <val>45489</val>
          </value>
          <value>
            <val>45490</val>
          </value>
          <value>
            <val>45491</val>
          </value>
          <value>
            <val>45492</val>
          </value>
          <value>
            <val>45495</val>
          </value>
          <value>
            <val>45496</val>
          </value>
          <value>
            <val>45497</val>
          </value>
          <value>
            <val>45498</val>
          </value>
          <value>
            <val>45499</val>
          </value>
          <value>
            <val>45502</val>
          </value>
          <value>
            <val>45503</val>
          </value>
          <value>
            <val>45504</val>
          </value>
          <value>
            <val>45505</val>
          </value>
          <value>
            <val>45506</val>
          </value>
          <value>
            <val>45509</val>
          </value>
          <value>
            <val>45510</val>
          </value>
          <value>
            <val>45511</val>
          </value>
          <value>
            <val>45512</val>
          </value>
          <value>
            <val>45513</val>
          </value>
          <value>
            <val>45516</val>
          </value>
          <value>
            <val>45517</val>
          </value>
          <value>
            <val>45518</val>
          </value>
          <value>
            <val>45519</val>
          </value>
          <value>
            <val>45520</val>
          </value>
          <value>
            <val>45523</val>
          </value>
          <value>
            <val>45524</val>
          </value>
          <value>
            <val>45525</val>
          </value>
          <value>
            <val>45526</val>
          </value>
          <value>
            <val>45527</val>
          </value>
          <value>
            <val>45530</val>
          </value>
          <value>
            <val>45531</val>
          </value>
          <value>
            <val>45532</val>
          </value>
          <value>
            <val>45533</val>
          </value>
          <value>
            <val>45534</val>
          </value>
          <value>
            <val>45538</val>
          </value>
          <value>
            <val>45539</val>
          </value>
          <value>
            <val>45540</val>
          </value>
          <value>
            <val>45541</val>
          </value>
          <value>
            <val>45544</val>
          </value>
          <value>
            <val>45545</val>
          </value>
          <value>
            <val>45546</val>
          </value>
          <value>
            <val>45547</val>
          </value>
          <value>
            <val>45548</val>
          </value>
          <value>
            <val>45551</val>
          </value>
          <value>
            <val>45552</val>
          </value>
          <value>
            <val>45553</val>
          </value>
          <value>
            <val>45554</val>
          </value>
          <value>
            <val>45555</val>
          </value>
          <value>
            <val>45558</val>
          </value>
          <value>
            <val>45559</val>
          </value>
          <value>
            <val>45560</val>
          </value>
          <value>
            <val>45561</val>
          </value>
          <value>
            <val>45562</val>
          </value>
          <value>
            <val>45565</val>
          </value>
          <value>
            <val>45566</val>
          </value>
          <value>
            <val>45567</val>
          </value>
          <value>
            <val>45568</val>
          </value>
          <value>
            <val>45569</val>
          </value>
          <value>
            <val>45572</val>
          </value>
          <value>
            <val>45573</val>
          </value>
          <value>
            <val>45574</val>
          </value>
          <value>
            <val>45575</val>
          </value>
          <value>
            <val>45576</val>
          </value>
          <value>
            <val>45579</val>
          </value>
          <value>
            <val>45580</val>
          </value>
          <value>
            <val>45581</val>
          </value>
          <value>
            <val>45582</val>
          </value>
          <value>
            <val>45583</val>
          </value>
          <value>
            <val>45586</val>
          </value>
          <value>
            <val>45587</val>
          </value>
          <value>
            <val>45588</val>
          </value>
          <value>
            <val>45589</val>
          </value>
          <value>
            <val>45590</val>
          </value>
          <value>
            <val>45593</val>
          </value>
          <value>
            <val>45594</val>
          </value>
          <value>
            <val>45595</val>
          </value>
          <value>
            <val>45596</val>
          </value>
          <value>
            <val>45597</val>
          </value>
          <value>
            <val>45600</val>
          </value>
          <value>
            <val>45601</val>
          </value>
          <value>
            <val>45602</val>
          </value>
          <value>
            <val>45603</val>
          </value>
          <value>
            <val>45604</val>
          </value>
          <value>
            <val>45607</val>
          </value>
          <value>
            <val>45608</val>
          </value>
          <value>
            <val>45609</val>
          </value>
          <value>
            <val>45610</val>
          </value>
          <value>
            <val>45611</val>
          </value>
          <value>
            <val>45614</val>
          </value>
          <value>
            <val>45615</val>
          </value>
          <value>
            <val>45616</val>
          </value>
          <value>
            <val>45617</val>
          </value>
          <value>
            <val>45618</val>
          </value>
          <value>
            <val>45621</val>
          </value>
          <value>
            <val>45622</val>
          </value>
          <value>
            <val>45623</val>
          </value>
          <value>
            <val>45625</val>
          </value>
          <value>
            <val>45628</val>
          </value>
          <value>
            <val>45629</val>
          </value>
          <value>
            <val>45630</val>
          </value>
          <value>
            <val>45631</val>
          </value>
          <value>
            <val>45632</val>
          </value>
          <value>
            <val>45635</val>
          </value>
          <value>
            <val>45636</val>
          </value>
          <value>
            <val>45637</val>
          </value>
          <value>
            <val>45638</val>
          </value>
          <value>
            <val>45639</val>
          </value>
          <value>
            <val>45642</val>
          </value>
          <value>
            <val>45643</val>
          </value>
          <value>
            <val>45644</val>
          </value>
          <value>
            <val>45645</val>
          </value>
          <value>
            <val>45646</val>
          </value>
          <value>
            <val>45649</val>
          </value>
          <value>
            <val>45650</val>
          </value>
          <value>
            <val>45652</val>
          </value>
          <value>
            <val>45653</val>
          </value>
          <value>
            <val>45656</val>
          </value>
          <value>
            <val>45657</val>
          </value>
          <value>
            <val>45659</val>
          </value>
          <value>
            <val>45660</val>
          </value>
          <value>
            <val>45663</val>
          </value>
          <value>
            <val>45664</val>
          </value>
          <value>
            <val>45665</val>
          </value>
          <value>
            <val>45666</val>
          </value>
          <value>
            <val>45667</val>
          </value>
          <value>
            <val>45670</val>
          </value>
          <value>
            <val>45671</val>
          </value>
          <value>
            <val>45672</val>
          </value>
          <value>
            <val>45673</val>
          </value>
          <value>
            <val>45674</val>
          </value>
          <value>
            <val>45678</val>
          </value>
          <value>
            <val>45679</val>
          </value>
          <value>
            <val>45680</val>
          </value>
          <value>
            <val>45681</val>
          </value>
          <value>
            <val>45684</val>
          </value>
          <value>
            <val>45685</val>
          </value>
          <value>
            <val>45686</val>
          </value>
          <value>
            <val>45687</val>
          </value>
          <value>
            <val>45688</val>
          </value>
          <value>
            <val>45691</val>
          </value>
          <value>
            <val>45692</val>
          </value>
          <value>
            <val>45693</val>
          </value>
          <value>
            <val>45694</val>
          </value>
          <value>
            <val>45695</val>
          </value>
          <value>
            <val>45698</val>
          </value>
          <value>
            <val>45699</val>
          </value>
          <value>
            <val>45700</val>
          </value>
          <value>
            <val>45701</val>
          </value>
          <value>
            <val>45702</val>
          </value>
          <value>
            <val>45706</val>
          </value>
          <value>
            <val>45707</val>
          </value>
          <value>
            <val>45708</val>
          </value>
          <value>
            <val>45709</val>
          </value>
          <value>
            <val>45712</val>
          </value>
          <value>
            <val>45713</val>
          </value>
          <value>
            <val>45714</val>
          </value>
          <value>
            <val>45715</val>
          </value>
          <value>
            <val>45716</val>
          </value>
          <value>
            <val>45719</val>
          </value>
          <value>
            <val>45720</val>
          </value>
          <value>
            <val>45721</val>
          </value>
          <value>
            <val>45722</val>
          </value>
          <value>
            <val>45723</val>
          </value>
          <value>
            <val>45726</val>
          </value>
          <value>
            <val>45727</val>
          </value>
          <value>
            <val>45728</val>
          </value>
          <value>
            <val>45729</val>
          </value>
          <value>
            <val>45730</val>
          </value>
          <value>
            <val>45733</val>
          </value>
          <value>
            <val>45734</val>
          </value>
          <value>
            <val>45735</val>
          </value>
          <value>
            <val>45736</val>
          </value>
          <value>
            <val>45737</val>
          </value>
          <value>
            <val>45740</val>
          </value>
          <value>
            <val>45741</val>
          </value>
          <value>
            <val>45742</val>
          </value>
          <value>
            <val>45743</val>
          </value>
          <value>
            <val>45744</val>
          </value>
          <value>
            <val>45747</val>
          </value>
          <value>
            <val>45748</val>
          </value>
          <value>
            <val>45749</val>
          </value>
          <value>
            <val>45750</val>
          </value>
          <value>
            <val>45751</val>
          </value>
          <value>
            <val>45754</val>
          </value>
          <value>
            <val>45755</val>
          </value>
          <value>
            <val>45756</val>
          </value>
          <value>
            <val>45757</val>
          </value>
          <value>
            <val>45758</val>
          </value>
          <value>
            <val>45761</val>
          </value>
          <value>
            <val>45762</val>
          </value>
          <value>
            <val>45763</val>
          </value>
          <value>
            <val>45764</val>
          </value>
          <value>
            <val>45768</val>
          </value>
          <value>
            <val>45769</val>
          </value>
          <value>
            <val>45770</val>
          </value>
          <value>
            <val>45771</val>
          </value>
          <value>
            <val>45772</val>
          </value>
        </values>
      </ddeItem>
      <ddeItem name="StdDocumentName" ole="1" advise="1"/>
    </ddeItems>
  </ddeLin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7XSYIXVO5T3JGIYPOVMBYAFLJL">
      <xxl21:absoluteUrl r:id="rId2"/>
    </xxl21:alternateUrls>
    <sheetNames>
      <sheetName val="Domestic BBD Production Chart"/>
      <sheetName val="Chart1"/>
      <sheetName val="Chart2"/>
      <sheetName val="Chart3"/>
      <sheetName val="Chart4"/>
      <sheetName val="Chart5"/>
      <sheetName val="Graph Dashboard"/>
      <sheetName val="Dom Production"/>
      <sheetName val="Feedstock Yields"/>
      <sheetName val="Feedstock Use"/>
      <sheetName val="Feedstock Use - chart data"/>
      <sheetName val="BBD Prod and Profit - data"/>
      <sheetName val="Biodiesel"/>
      <sheetName val="Renewable Diesel"/>
      <sheetName val="SAF"/>
      <sheetName val="Renewable Fuel - E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>
        <row r="3">
          <cell r="G3">
            <v>55879853</v>
          </cell>
          <cell r="H3">
            <v>85560071</v>
          </cell>
          <cell r="I3">
            <v>65936175</v>
          </cell>
          <cell r="J3">
            <v>110496056</v>
          </cell>
          <cell r="K3">
            <v>107668977</v>
          </cell>
          <cell r="L3">
            <v>118403817</v>
          </cell>
          <cell r="M3">
            <v>107302585</v>
          </cell>
          <cell r="N3">
            <v>90715015</v>
          </cell>
          <cell r="O3">
            <v>119548309</v>
          </cell>
          <cell r="P3">
            <v>120715672</v>
          </cell>
          <cell r="Q3">
            <v>65635810</v>
          </cell>
          <cell r="R3">
            <v>96738881.301988035</v>
          </cell>
          <cell r="S3">
            <v>95491385.671609297</v>
          </cell>
          <cell r="T3">
            <v>97135879.777277082</v>
          </cell>
          <cell r="U3">
            <v>91605699.599289626</v>
          </cell>
          <cell r="V3">
            <v>90957681.995493427</v>
          </cell>
          <cell r="W3">
            <v>92045118.069235623</v>
          </cell>
          <cell r="X3">
            <v>92474986.930504054</v>
          </cell>
          <cell r="Y3">
            <v>108484138.84992138</v>
          </cell>
          <cell r="Z3">
            <v>92617055.944727346</v>
          </cell>
          <cell r="AA3">
            <v>90484287.912247792</v>
          </cell>
          <cell r="AB3">
            <v>78674146.534280658</v>
          </cell>
          <cell r="AC3">
            <v>64620763.390263967</v>
          </cell>
          <cell r="AD3">
            <v>50727042.91684147</v>
          </cell>
          <cell r="AE3">
            <v>47100470.515124187</v>
          </cell>
          <cell r="AF3">
            <v>43325311.289447419</v>
          </cell>
        </row>
        <row r="4">
          <cell r="G4">
            <v>62835451</v>
          </cell>
          <cell r="H4">
            <v>100399613</v>
          </cell>
          <cell r="I4">
            <v>78476257</v>
          </cell>
          <cell r="J4">
            <v>115536272</v>
          </cell>
          <cell r="K4">
            <v>117330452</v>
          </cell>
          <cell r="L4">
            <v>128033003</v>
          </cell>
          <cell r="M4">
            <v>109881050</v>
          </cell>
          <cell r="N4">
            <v>110442650</v>
          </cell>
          <cell r="O4">
            <v>114742607</v>
          </cell>
          <cell r="P4">
            <v>125799224</v>
          </cell>
          <cell r="Q4">
            <v>73721896</v>
          </cell>
          <cell r="R4">
            <v>102626721.30338958</v>
          </cell>
          <cell r="S4">
            <v>102068292.10677457</v>
          </cell>
          <cell r="T4">
            <v>101197494.53168061</v>
          </cell>
          <cell r="U4">
            <v>97324055.650823236</v>
          </cell>
          <cell r="V4">
            <v>97134959.784561336</v>
          </cell>
          <cell r="W4">
            <v>97588542.947977543</v>
          </cell>
          <cell r="X4">
            <v>98032082.574690059</v>
          </cell>
          <cell r="Y4">
            <v>93641578.571388662</v>
          </cell>
          <cell r="Z4">
            <v>87084958.054912776</v>
          </cell>
          <cell r="AA4">
            <v>83935300.210890815</v>
          </cell>
          <cell r="AB4">
            <v>76059451.571007878</v>
          </cell>
          <cell r="AC4">
            <v>61271789.017069869</v>
          </cell>
          <cell r="AD4">
            <v>46890870.309038959</v>
          </cell>
          <cell r="AE4">
            <v>44367672.007979922</v>
          </cell>
          <cell r="AF4">
            <v>40832245.101295888</v>
          </cell>
        </row>
        <row r="5">
          <cell r="G5">
            <v>92373044</v>
          </cell>
          <cell r="H5">
            <v>126577167</v>
          </cell>
          <cell r="I5">
            <v>111496726</v>
          </cell>
          <cell r="J5">
            <v>145196752</v>
          </cell>
          <cell r="K5">
            <v>147660816</v>
          </cell>
          <cell r="L5">
            <v>150092678</v>
          </cell>
          <cell r="M5">
            <v>150338931</v>
          </cell>
          <cell r="N5">
            <v>135869438</v>
          </cell>
          <cell r="O5">
            <v>130889308</v>
          </cell>
          <cell r="P5">
            <v>133487105</v>
          </cell>
          <cell r="Q5">
            <v>95835418</v>
          </cell>
          <cell r="R5">
            <v>112814507.50096633</v>
          </cell>
          <cell r="S5">
            <v>117855276.20304999</v>
          </cell>
          <cell r="T5">
            <v>115222583.49346527</v>
          </cell>
          <cell r="U5">
            <v>110765287.04677273</v>
          </cell>
          <cell r="V5">
            <v>112522643.11371331</v>
          </cell>
          <cell r="W5">
            <v>111012957.8202599</v>
          </cell>
          <cell r="X5">
            <v>112295242.48374712</v>
          </cell>
          <cell r="Y5">
            <v>107087498.58248618</v>
          </cell>
          <cell r="Z5">
            <v>99680587.093874365</v>
          </cell>
          <cell r="AA5">
            <v>96188034.671942919</v>
          </cell>
          <cell r="AB5">
            <v>86962990.933331341</v>
          </cell>
          <cell r="AC5">
            <v>70134714.778018072</v>
          </cell>
          <cell r="AD5">
            <v>53664273.470572583</v>
          </cell>
          <cell r="AE5">
            <v>50786525.971153505</v>
          </cell>
          <cell r="AF5">
            <v>46739953.174115635</v>
          </cell>
        </row>
        <row r="6">
          <cell r="G6">
            <v>106492710</v>
          </cell>
          <cell r="H6">
            <v>126269458</v>
          </cell>
          <cell r="I6">
            <v>124324164</v>
          </cell>
          <cell r="J6">
            <v>144637673</v>
          </cell>
          <cell r="K6">
            <v>160899734</v>
          </cell>
          <cell r="L6">
            <v>149356126</v>
          </cell>
          <cell r="M6">
            <v>144396494</v>
          </cell>
          <cell r="N6">
            <v>144286382</v>
          </cell>
          <cell r="O6">
            <v>133835520</v>
          </cell>
          <cell r="P6">
            <v>136121554</v>
          </cell>
          <cell r="Q6">
            <v>85792559.080304191</v>
          </cell>
          <cell r="R6">
            <v>112748196.19883355</v>
          </cell>
          <cell r="S6">
            <v>118517390.9023557</v>
          </cell>
          <cell r="T6">
            <v>114189073.55849801</v>
          </cell>
          <cell r="U6">
            <v>109149917.50492638</v>
          </cell>
          <cell r="V6">
            <v>110105431.1406212</v>
          </cell>
          <cell r="W6">
            <v>110091849.210109</v>
          </cell>
          <cell r="X6">
            <v>111238948.74192025</v>
          </cell>
          <cell r="Y6">
            <v>105784709.70747478</v>
          </cell>
          <cell r="Z6">
            <v>98378705.764652923</v>
          </cell>
          <cell r="AA6">
            <v>94962303.798143849</v>
          </cell>
          <cell r="AB6">
            <v>86041081.116644874</v>
          </cell>
          <cell r="AC6">
            <v>69389794.994155005</v>
          </cell>
          <cell r="AD6">
            <v>53108051.139805883</v>
          </cell>
          <cell r="AE6">
            <v>50269915.877223574</v>
          </cell>
          <cell r="AF6">
            <v>46294214.899754435</v>
          </cell>
        </row>
        <row r="7">
          <cell r="F7">
            <v>109855624</v>
          </cell>
          <cell r="G7">
            <v>121542185</v>
          </cell>
          <cell r="H7">
            <v>135263309</v>
          </cell>
          <cell r="I7">
            <v>147074058</v>
          </cell>
          <cell r="J7">
            <v>166235446</v>
          </cell>
          <cell r="K7">
            <v>164042436</v>
          </cell>
          <cell r="L7">
            <v>143174223</v>
          </cell>
          <cell r="M7">
            <v>150501950</v>
          </cell>
          <cell r="N7">
            <v>139875243</v>
          </cell>
          <cell r="O7">
            <v>163593533</v>
          </cell>
          <cell r="P7">
            <v>142728755</v>
          </cell>
          <cell r="Q7">
            <v>89817675.762297302</v>
          </cell>
          <cell r="R7">
            <v>120184111.81558163</v>
          </cell>
          <cell r="S7">
            <v>126994618.42411031</v>
          </cell>
          <cell r="T7">
            <v>125230101.9666566</v>
          </cell>
          <cell r="U7">
            <v>116460323.96163221</v>
          </cell>
          <cell r="V7">
            <v>117885877.87927911</v>
          </cell>
          <cell r="W7">
            <v>118288981.66749325</v>
          </cell>
          <cell r="X7">
            <v>119710973.31052823</v>
          </cell>
          <cell r="Y7">
            <v>113945647.27475674</v>
          </cell>
          <cell r="Z7">
            <v>105566730.87772734</v>
          </cell>
          <cell r="AA7">
            <v>102018524.46225077</v>
          </cell>
          <cell r="AB7">
            <v>92500509.307504058</v>
          </cell>
          <cell r="AC7">
            <v>74608371.343882769</v>
          </cell>
          <cell r="AD7">
            <v>57089527.997654743</v>
          </cell>
          <cell r="AE7">
            <v>54009958.635979712</v>
          </cell>
          <cell r="AF7">
            <v>49755673.719142854</v>
          </cell>
        </row>
        <row r="8">
          <cell r="F8">
            <v>113250338</v>
          </cell>
          <cell r="G8">
            <v>130919551</v>
          </cell>
          <cell r="H8">
            <v>142742678</v>
          </cell>
          <cell r="I8">
            <v>145011076</v>
          </cell>
          <cell r="J8">
            <v>160548223</v>
          </cell>
          <cell r="K8">
            <v>144102423</v>
          </cell>
          <cell r="L8">
            <v>165519330</v>
          </cell>
          <cell r="M8">
            <v>154457118</v>
          </cell>
          <cell r="N8">
            <v>142855221</v>
          </cell>
          <cell r="O8">
            <v>153006295</v>
          </cell>
          <cell r="P8">
            <v>133806992</v>
          </cell>
          <cell r="Q8">
            <v>90872942.843258873</v>
          </cell>
          <cell r="R8">
            <v>118267965.04147252</v>
          </cell>
          <cell r="S8">
            <v>123633689.864416</v>
          </cell>
          <cell r="T8">
            <v>120561014.89019951</v>
          </cell>
          <cell r="U8">
            <v>113031652.05756508</v>
          </cell>
          <cell r="V8">
            <v>115409164.82418416</v>
          </cell>
          <cell r="W8">
            <v>115185139.34351449</v>
          </cell>
          <cell r="X8">
            <v>116338001.2091343</v>
          </cell>
          <cell r="Y8">
            <v>110705382.69079341</v>
          </cell>
          <cell r="Z8">
            <v>102757870.60845751</v>
          </cell>
          <cell r="AA8">
            <v>99362747.238838986</v>
          </cell>
          <cell r="AB8">
            <v>90001238.360340178</v>
          </cell>
          <cell r="AC8">
            <v>72589209.449838728</v>
          </cell>
          <cell r="AD8">
            <v>55568307.340391748</v>
          </cell>
          <cell r="AE8">
            <v>52592298.963341601</v>
          </cell>
          <cell r="AF8">
            <v>48452434.88892249</v>
          </cell>
        </row>
        <row r="9">
          <cell r="F9">
            <v>128057221</v>
          </cell>
          <cell r="G9">
            <v>129184420</v>
          </cell>
          <cell r="H9">
            <v>137972248</v>
          </cell>
          <cell r="I9">
            <v>150290364</v>
          </cell>
          <cell r="J9">
            <v>169779870</v>
          </cell>
          <cell r="K9">
            <v>169452631</v>
          </cell>
          <cell r="L9">
            <v>162738265</v>
          </cell>
          <cell r="M9">
            <v>146890338</v>
          </cell>
          <cell r="N9">
            <v>137545866</v>
          </cell>
          <cell r="O9">
            <v>142593233</v>
          </cell>
          <cell r="P9">
            <v>145953904</v>
          </cell>
          <cell r="Q9">
            <v>89294274.630435944</v>
          </cell>
          <cell r="R9">
            <v>116019697.86600816</v>
          </cell>
          <cell r="S9">
            <v>122156394.76437618</v>
          </cell>
          <cell r="T9">
            <v>119813733.10169965</v>
          </cell>
          <cell r="U9">
            <v>114160642.86817056</v>
          </cell>
          <cell r="V9">
            <v>114382449.45299669</v>
          </cell>
          <cell r="W9">
            <v>114331082.80528103</v>
          </cell>
          <cell r="X9">
            <v>115748845.55772388</v>
          </cell>
          <cell r="Y9">
            <v>110308664.59070867</v>
          </cell>
          <cell r="Z9">
            <v>102445527.98963925</v>
          </cell>
          <cell r="AA9">
            <v>98799704.262355417</v>
          </cell>
          <cell r="AB9">
            <v>89553803.480951265</v>
          </cell>
          <cell r="AC9">
            <v>72269005.318817496</v>
          </cell>
          <cell r="AD9">
            <v>55333210.064569958</v>
          </cell>
          <cell r="AE9">
            <v>52360287.149967879</v>
          </cell>
          <cell r="AF9">
            <v>48219957.197845668</v>
          </cell>
        </row>
        <row r="10">
          <cell r="F10">
            <v>127896494</v>
          </cell>
          <cell r="G10">
            <v>125600893</v>
          </cell>
          <cell r="H10">
            <v>161658331</v>
          </cell>
          <cell r="I10">
            <v>157536696</v>
          </cell>
          <cell r="J10">
            <v>180631297</v>
          </cell>
          <cell r="K10">
            <v>153598697</v>
          </cell>
          <cell r="L10">
            <v>171493499</v>
          </cell>
          <cell r="M10">
            <v>154582245</v>
          </cell>
          <cell r="N10">
            <v>151833118</v>
          </cell>
          <cell r="O10">
            <v>152345476</v>
          </cell>
          <cell r="P10">
            <v>139724190</v>
          </cell>
          <cell r="Q10">
            <v>93408011.186981797</v>
          </cell>
          <cell r="R10">
            <v>121141976.146208</v>
          </cell>
          <cell r="S10">
            <v>127318950.93615313</v>
          </cell>
          <cell r="T10">
            <v>123225666.55184281</v>
          </cell>
          <cell r="U10">
            <v>116317982.68917514</v>
          </cell>
          <cell r="V10">
            <v>118450592.08884685</v>
          </cell>
          <cell r="W10">
            <v>118214146.89815192</v>
          </cell>
          <cell r="X10">
            <v>119446457.50620532</v>
          </cell>
          <cell r="Y10">
            <v>113592662.63042255</v>
          </cell>
          <cell r="Z10">
            <v>105523067.5824191</v>
          </cell>
          <cell r="AA10">
            <v>101993241.96470319</v>
          </cell>
          <cell r="AB10">
            <v>92387398.646471024</v>
          </cell>
          <cell r="AC10">
            <v>74518946.453410149</v>
          </cell>
          <cell r="AD10">
            <v>57045234.18053782</v>
          </cell>
          <cell r="AE10">
            <v>53996284.409559444</v>
          </cell>
          <cell r="AF10">
            <v>49742627.245301828</v>
          </cell>
        </row>
        <row r="11">
          <cell r="F11">
            <v>124958575</v>
          </cell>
          <cell r="G11">
            <v>117829158</v>
          </cell>
          <cell r="H11">
            <v>146642586</v>
          </cell>
          <cell r="I11">
            <v>148333215</v>
          </cell>
          <cell r="J11">
            <v>157006356</v>
          </cell>
          <cell r="K11">
            <v>143659811</v>
          </cell>
          <cell r="L11">
            <v>167865219</v>
          </cell>
          <cell r="M11">
            <v>139934774</v>
          </cell>
          <cell r="N11">
            <v>141860945</v>
          </cell>
          <cell r="O11">
            <v>143870897</v>
          </cell>
          <cell r="P11">
            <v>134537885</v>
          </cell>
          <cell r="Q11">
            <v>88209947.47979176</v>
          </cell>
          <cell r="R11">
            <v>113392422.27321623</v>
          </cell>
          <cell r="S11">
            <v>120060248.80931373</v>
          </cell>
          <cell r="T11">
            <v>116442320.69246098</v>
          </cell>
          <cell r="U11">
            <v>109944716.36880697</v>
          </cell>
          <cell r="V11">
            <v>111655717.98436834</v>
          </cell>
          <cell r="W11">
            <v>111395712.81996165</v>
          </cell>
          <cell r="X11">
            <v>112711540.88541441</v>
          </cell>
          <cell r="Y11">
            <v>107206265.79869463</v>
          </cell>
          <cell r="Z11">
            <v>99562577.537496388</v>
          </cell>
          <cell r="AA11">
            <v>96197266.814978272</v>
          </cell>
          <cell r="AB11">
            <v>87149665.209153965</v>
          </cell>
          <cell r="AC11">
            <v>70313169.995797992</v>
          </cell>
          <cell r="AD11">
            <v>53827198.273566782</v>
          </cell>
          <cell r="AE11">
            <v>50946441.434847653</v>
          </cell>
          <cell r="AF11">
            <v>46932464.549585722</v>
          </cell>
        </row>
        <row r="12">
          <cell r="F12">
            <v>121555864</v>
          </cell>
          <cell r="G12">
            <v>105019500</v>
          </cell>
          <cell r="H12">
            <v>143064387</v>
          </cell>
          <cell r="I12">
            <v>149347918</v>
          </cell>
          <cell r="J12">
            <v>170944979</v>
          </cell>
          <cell r="K12">
            <v>146618360</v>
          </cell>
          <cell r="L12">
            <v>149489760</v>
          </cell>
          <cell r="M12">
            <v>139778878</v>
          </cell>
          <cell r="N12">
            <v>138040230</v>
          </cell>
          <cell r="O12">
            <v>144087366</v>
          </cell>
          <cell r="P12">
            <v>148097836</v>
          </cell>
          <cell r="Q12">
            <v>87377420.495982558</v>
          </cell>
          <cell r="R12">
            <v>115256437.15175015</v>
          </cell>
          <cell r="S12">
            <v>122519058.93866944</v>
          </cell>
          <cell r="T12">
            <v>120144255.82381831</v>
          </cell>
          <cell r="U12">
            <v>114271315.88413678</v>
          </cell>
          <cell r="V12">
            <v>114001647.8463062</v>
          </cell>
          <cell r="W12">
            <v>114262336.76022615</v>
          </cell>
          <cell r="X12">
            <v>115818857.29315376</v>
          </cell>
          <cell r="Y12">
            <v>110322357.28974395</v>
          </cell>
          <cell r="Z12">
            <v>102400312.18942349</v>
          </cell>
          <cell r="AA12">
            <v>98727578.623314768</v>
          </cell>
          <cell r="AB12">
            <v>89538742.206983492</v>
          </cell>
          <cell r="AC12">
            <v>72265458.83432661</v>
          </cell>
          <cell r="AD12">
            <v>55323127.814930208</v>
          </cell>
          <cell r="AE12">
            <v>52345819.76100941</v>
          </cell>
          <cell r="AF12">
            <v>48208450.782833219</v>
          </cell>
        </row>
        <row r="13">
          <cell r="F13">
            <v>97405510</v>
          </cell>
          <cell r="G13">
            <v>96486492</v>
          </cell>
          <cell r="H13">
            <v>139716935</v>
          </cell>
          <cell r="I13">
            <v>147829945</v>
          </cell>
          <cell r="J13">
            <v>150780540</v>
          </cell>
          <cell r="K13">
            <v>119139678</v>
          </cell>
          <cell r="L13">
            <v>142828517</v>
          </cell>
          <cell r="M13">
            <v>140856752</v>
          </cell>
          <cell r="N13">
            <v>141295576</v>
          </cell>
          <cell r="O13">
            <v>135076229</v>
          </cell>
          <cell r="P13">
            <v>133353588</v>
          </cell>
          <cell r="Q13">
            <v>84249144.946832791</v>
          </cell>
          <cell r="R13">
            <v>111389030.13356747</v>
          </cell>
          <cell r="S13">
            <v>117254456.95173889</v>
          </cell>
          <cell r="T13">
            <v>113170405.02579209</v>
          </cell>
          <cell r="U13">
            <v>107795168.50788569</v>
          </cell>
          <cell r="V13">
            <v>108766633.28854868</v>
          </cell>
          <cell r="W13">
            <v>108834677.89658071</v>
          </cell>
          <cell r="X13">
            <v>110004421.47520705</v>
          </cell>
          <cell r="Y13">
            <v>104619803.45372143</v>
          </cell>
          <cell r="Z13">
            <v>97242042.470244139</v>
          </cell>
          <cell r="AA13">
            <v>93882010.830117017</v>
          </cell>
          <cell r="AB13">
            <v>85087364.143719628</v>
          </cell>
          <cell r="AC13">
            <v>68641477.231158361</v>
          </cell>
          <cell r="AD13">
            <v>52552972.846325204</v>
          </cell>
          <cell r="AE13">
            <v>49745369.935579114</v>
          </cell>
          <cell r="AF13">
            <v>45821923.175654843</v>
          </cell>
        </row>
        <row r="14">
          <cell r="F14">
            <v>163494776</v>
          </cell>
          <cell r="G14">
            <v>110100066</v>
          </cell>
          <cell r="H14">
            <v>187217202</v>
          </cell>
          <cell r="I14">
            <v>162595163</v>
          </cell>
          <cell r="J14">
            <v>183329377</v>
          </cell>
          <cell r="K14">
            <v>139601581</v>
          </cell>
          <cell r="L14">
            <v>175881221</v>
          </cell>
          <cell r="M14">
            <v>165708240</v>
          </cell>
          <cell r="N14">
            <v>145591401</v>
          </cell>
          <cell r="O14">
            <v>136732063</v>
          </cell>
          <cell r="P14">
            <v>174921835</v>
          </cell>
          <cell r="Q14">
            <v>85798495.037701413</v>
          </cell>
          <cell r="R14">
            <v>105963522.33774163</v>
          </cell>
          <cell r="S14">
            <v>125512279.24433076</v>
          </cell>
          <cell r="T14">
            <v>122278656.83158956</v>
          </cell>
          <cell r="U14">
            <v>118395041.31396517</v>
          </cell>
          <cell r="V14">
            <v>113670510.85459337</v>
          </cell>
          <cell r="W14">
            <v>114191636.80728208</v>
          </cell>
          <cell r="X14">
            <v>117570440.80128434</v>
          </cell>
          <cell r="Y14">
            <v>91770867.133817986</v>
          </cell>
          <cell r="Z14">
            <v>93045257.798746482</v>
          </cell>
          <cell r="AA14">
            <v>88019172.703237325</v>
          </cell>
          <cell r="AB14">
            <v>83434020.02587539</v>
          </cell>
          <cell r="AC14">
            <v>66262267.356177106</v>
          </cell>
          <cell r="AD14">
            <v>49403031.337970763</v>
          </cell>
          <cell r="AE14">
            <v>47585280.416395254</v>
          </cell>
          <cell r="AF14">
            <v>43829022.742757067</v>
          </cell>
        </row>
        <row r="35">
          <cell r="K35">
            <v>119478211</v>
          </cell>
          <cell r="L35">
            <v>132141705</v>
          </cell>
          <cell r="M35">
            <v>115838804</v>
          </cell>
          <cell r="N35">
            <v>103416061</v>
          </cell>
          <cell r="O35">
            <v>144130783</v>
          </cell>
          <cell r="P35">
            <v>161030405</v>
          </cell>
          <cell r="Q35">
            <v>68771165</v>
          </cell>
          <cell r="R35">
            <v>108710743.78287479</v>
          </cell>
          <cell r="S35">
            <v>108751028.58708087</v>
          </cell>
          <cell r="T35">
            <v>112245093.38742533</v>
          </cell>
          <cell r="U35">
            <v>108784726.57797086</v>
          </cell>
          <cell r="V35">
            <v>106545026.3827484</v>
          </cell>
          <cell r="W35">
            <v>106528598.23736107</v>
          </cell>
          <cell r="X35">
            <v>105778278.1632258</v>
          </cell>
          <cell r="Y35">
            <v>121212385.71706876</v>
          </cell>
          <cell r="Z35">
            <v>105067777.48447287</v>
          </cell>
          <cell r="AA35">
            <v>101619814.2789475</v>
          </cell>
          <cell r="AB35">
            <v>87781430.253053531</v>
          </cell>
          <cell r="AC35">
            <v>72357000.120514974</v>
          </cell>
          <cell r="AD35">
            <v>57063759.963246085</v>
          </cell>
          <cell r="AE35">
            <v>52374886.161952049</v>
          </cell>
          <cell r="AF35">
            <v>48580644.852583177</v>
          </cell>
        </row>
        <row r="36">
          <cell r="K36">
            <v>128298680</v>
          </cell>
          <cell r="L36">
            <v>139499905</v>
          </cell>
          <cell r="M36">
            <v>117542663</v>
          </cell>
          <cell r="N36">
            <v>117186475</v>
          </cell>
          <cell r="O36">
            <v>155538920</v>
          </cell>
          <cell r="P36">
            <v>177754856</v>
          </cell>
          <cell r="Q36">
            <v>80131009</v>
          </cell>
          <cell r="R36">
            <v>117856979.03143667</v>
          </cell>
          <cell r="S36">
            <v>119394224.46262681</v>
          </cell>
          <cell r="T36">
            <v>122536302.63858755</v>
          </cell>
          <cell r="U36">
            <v>120339864.01682851</v>
          </cell>
          <cell r="V36">
            <v>118546782.6874291</v>
          </cell>
          <cell r="W36">
            <v>117067554.44470647</v>
          </cell>
          <cell r="X36">
            <v>116077048.14264248</v>
          </cell>
          <cell r="Y36">
            <v>111017536.47726066</v>
          </cell>
          <cell r="Z36">
            <v>103961000.86258231</v>
          </cell>
          <cell r="AA36">
            <v>99072404.890052751</v>
          </cell>
          <cell r="AB36">
            <v>88407758.368231952</v>
          </cell>
          <cell r="AC36">
            <v>71782042.37439537</v>
          </cell>
          <cell r="AD36">
            <v>55503174.811360516</v>
          </cell>
          <cell r="AE36">
            <v>51527523.001630589</v>
          </cell>
          <cell r="AF36">
            <v>47969566.383997269</v>
          </cell>
        </row>
        <row r="37">
          <cell r="K37">
            <v>159718814</v>
          </cell>
          <cell r="L37">
            <v>168671952</v>
          </cell>
          <cell r="M37">
            <v>165487926</v>
          </cell>
          <cell r="N37">
            <v>158552137</v>
          </cell>
          <cell r="O37">
            <v>175679732</v>
          </cell>
          <cell r="P37">
            <v>163379961</v>
          </cell>
          <cell r="Q37">
            <v>99739018</v>
          </cell>
          <cell r="R37">
            <v>128427923.25710358</v>
          </cell>
          <cell r="S37">
            <v>134573604.60071686</v>
          </cell>
          <cell r="T37">
            <v>133192305.28676863</v>
          </cell>
          <cell r="U37">
            <v>128007231.71347493</v>
          </cell>
          <cell r="V37">
            <v>130882752.88039066</v>
          </cell>
          <cell r="W37">
            <v>128031601.91450733</v>
          </cell>
          <cell r="X37">
            <v>127655362.17498182</v>
          </cell>
          <cell r="Y37">
            <v>121546793.45369151</v>
          </cell>
          <cell r="Z37">
            <v>113687711.06063332</v>
          </cell>
          <cell r="AA37">
            <v>109054253.61348587</v>
          </cell>
          <cell r="AB37">
            <v>97436240.871526554</v>
          </cell>
          <cell r="AC37">
            <v>78983628.562428951</v>
          </cell>
          <cell r="AD37">
            <v>60895472.245658942</v>
          </cell>
          <cell r="AE37">
            <v>56812985.129724294</v>
          </cell>
          <cell r="AF37">
            <v>52773301.439311147</v>
          </cell>
        </row>
        <row r="38">
          <cell r="K38">
            <v>182419876</v>
          </cell>
          <cell r="L38">
            <v>168039266</v>
          </cell>
          <cell r="M38">
            <v>161733115</v>
          </cell>
          <cell r="N38">
            <v>174159602</v>
          </cell>
          <cell r="O38">
            <v>168799978</v>
          </cell>
          <cell r="P38">
            <v>184411893</v>
          </cell>
          <cell r="Q38">
            <v>92002055.910146385</v>
          </cell>
          <cell r="R38">
            <v>131077389.85658588</v>
          </cell>
          <cell r="S38">
            <v>138207829.59130588</v>
          </cell>
          <cell r="T38">
            <v>134842063.78543931</v>
          </cell>
          <cell r="U38">
            <v>132352853.31155005</v>
          </cell>
          <cell r="V38">
            <v>132741814.04377787</v>
          </cell>
          <cell r="W38">
            <v>130797045.12474963</v>
          </cell>
          <cell r="X38">
            <v>130043309.17956781</v>
          </cell>
          <cell r="Y38">
            <v>123616799.1953456</v>
          </cell>
          <cell r="Z38">
            <v>115909452.16876882</v>
          </cell>
          <cell r="AA38">
            <v>110801292.65457943</v>
          </cell>
          <cell r="AB38">
            <v>98929036.90144527</v>
          </cell>
          <cell r="AC38">
            <v>80309981.229838505</v>
          </cell>
          <cell r="AD38">
            <v>62049636.582456954</v>
          </cell>
          <cell r="AE38">
            <v>57726998.139293477</v>
          </cell>
          <cell r="AF38">
            <v>53733922.676078387</v>
          </cell>
        </row>
        <row r="39">
          <cell r="K39">
            <v>179698181</v>
          </cell>
          <cell r="L39">
            <v>161820889</v>
          </cell>
          <cell r="M39">
            <v>163828393</v>
          </cell>
          <cell r="N39">
            <v>151651903</v>
          </cell>
          <cell r="O39">
            <v>203013371</v>
          </cell>
          <cell r="P39">
            <v>179709360</v>
          </cell>
          <cell r="Q39">
            <v>94756246.428989708</v>
          </cell>
          <cell r="R39">
            <v>134253850.0106093</v>
          </cell>
          <cell r="S39">
            <v>142106604.01285893</v>
          </cell>
          <cell r="T39">
            <v>142887240.16333795</v>
          </cell>
          <cell r="U39">
            <v>134344227.08952811</v>
          </cell>
          <cell r="V39">
            <v>135787673.66504508</v>
          </cell>
          <cell r="W39">
            <v>134657998.44840372</v>
          </cell>
          <cell r="X39">
            <v>134651278.40423235</v>
          </cell>
          <cell r="Y39">
            <v>128203019.81428234</v>
          </cell>
          <cell r="Z39">
            <v>119388739.45283934</v>
          </cell>
          <cell r="AA39">
            <v>114573326.2937258</v>
          </cell>
          <cell r="AB39">
            <v>102721990.86673306</v>
          </cell>
          <cell r="AC39">
            <v>83276103.86591275</v>
          </cell>
          <cell r="AD39">
            <v>64185032.279063277</v>
          </cell>
          <cell r="AE39">
            <v>59915394.211459547</v>
          </cell>
          <cell r="AF39">
            <v>55655446.608915739</v>
          </cell>
        </row>
        <row r="40">
          <cell r="K40">
            <v>163491563</v>
          </cell>
          <cell r="L40">
            <v>182268531</v>
          </cell>
          <cell r="M40">
            <v>172045534</v>
          </cell>
          <cell r="N40">
            <v>162170057</v>
          </cell>
          <cell r="O40">
            <v>194186168</v>
          </cell>
          <cell r="P40">
            <v>171320567</v>
          </cell>
          <cell r="Q40">
            <v>96382924.042590648</v>
          </cell>
          <cell r="R40">
            <v>134509427.37605277</v>
          </cell>
          <cell r="S40">
            <v>140762897.1756635</v>
          </cell>
          <cell r="T40">
            <v>139608566.90101355</v>
          </cell>
          <cell r="U40">
            <v>132599393.85713685</v>
          </cell>
          <cell r="V40">
            <v>135324323.78594443</v>
          </cell>
          <cell r="W40">
            <v>133391965.48292439</v>
          </cell>
          <cell r="X40">
            <v>132851549.71129416</v>
          </cell>
          <cell r="Y40">
            <v>126392437.76973626</v>
          </cell>
          <cell r="Z40">
            <v>118030499.57381946</v>
          </cell>
          <cell r="AA40">
            <v>113266538.93794718</v>
          </cell>
          <cell r="AB40">
            <v>101308233.49700439</v>
          </cell>
          <cell r="AC40">
            <v>82164349.727738217</v>
          </cell>
          <cell r="AD40">
            <v>63405532.511541285</v>
          </cell>
          <cell r="AE40">
            <v>59121898.352460027</v>
          </cell>
          <cell r="AF40">
            <v>54977136.438560523</v>
          </cell>
        </row>
        <row r="41">
          <cell r="K41">
            <v>185779056</v>
          </cell>
          <cell r="L41">
            <v>182733358</v>
          </cell>
          <cell r="M41">
            <v>162272680</v>
          </cell>
          <cell r="N41">
            <v>146261573</v>
          </cell>
          <cell r="O41">
            <v>172912484</v>
          </cell>
          <cell r="P41">
            <v>170840660</v>
          </cell>
          <cell r="Q41">
            <v>95827376.135834023</v>
          </cell>
          <cell r="R41">
            <v>127205745.39157848</v>
          </cell>
          <cell r="S41">
            <v>133486355.07664034</v>
          </cell>
          <cell r="T41">
            <v>133070290.88635027</v>
          </cell>
          <cell r="U41">
            <v>127439059.38853897</v>
          </cell>
          <cell r="V41">
            <v>128666627.37377642</v>
          </cell>
          <cell r="W41">
            <v>126878614.51600082</v>
          </cell>
          <cell r="X41">
            <v>127130662.60149121</v>
          </cell>
          <cell r="Y41">
            <v>121200935.78365396</v>
          </cell>
          <cell r="Z41">
            <v>113044787.71585439</v>
          </cell>
          <cell r="AA41">
            <v>108497987.72947051</v>
          </cell>
          <cell r="AB41">
            <v>97384941.413518637</v>
          </cell>
          <cell r="AC41">
            <v>78908891.103113458</v>
          </cell>
          <cell r="AD41">
            <v>60776223.878189161</v>
          </cell>
          <cell r="AE41">
            <v>56895427.833104663</v>
          </cell>
          <cell r="AF41">
            <v>52752806.093518376</v>
          </cell>
        </row>
        <row r="42">
          <cell r="K42">
            <v>162420863</v>
          </cell>
          <cell r="L42">
            <v>187845121</v>
          </cell>
          <cell r="M42">
            <v>165630384</v>
          </cell>
          <cell r="N42">
            <v>167103111</v>
          </cell>
          <cell r="O42">
            <v>196585405</v>
          </cell>
          <cell r="P42">
            <v>164221312</v>
          </cell>
          <cell r="Q42">
            <v>99046231.15744859</v>
          </cell>
          <cell r="R42">
            <v>134645839.80996242</v>
          </cell>
          <cell r="S42">
            <v>142072347.82176799</v>
          </cell>
          <cell r="T42">
            <v>139852615.01521239</v>
          </cell>
          <cell r="U42">
            <v>131698702.08204322</v>
          </cell>
          <cell r="V42">
            <v>135386596.69945794</v>
          </cell>
          <cell r="W42">
            <v>133508671.36362907</v>
          </cell>
          <cell r="X42">
            <v>133343126.7889912</v>
          </cell>
          <cell r="Y42">
            <v>126736845.73203014</v>
          </cell>
          <cell r="Z42">
            <v>118206676.95070669</v>
          </cell>
          <cell r="AA42">
            <v>113681362.30237131</v>
          </cell>
          <cell r="AB42">
            <v>101864911.05330974</v>
          </cell>
          <cell r="AC42">
            <v>82540396.027889997</v>
          </cell>
          <cell r="AD42">
            <v>63603298.72490783</v>
          </cell>
          <cell r="AE42">
            <v>59458174.210120827</v>
          </cell>
          <cell r="AF42">
            <v>55212587.864405997</v>
          </cell>
        </row>
        <row r="43">
          <cell r="K43">
            <v>158518831</v>
          </cell>
          <cell r="L43">
            <v>181919433</v>
          </cell>
          <cell r="M43">
            <v>151727069</v>
          </cell>
          <cell r="N43">
            <v>160952336</v>
          </cell>
          <cell r="O43">
            <v>184335390</v>
          </cell>
          <cell r="P43">
            <v>163462307</v>
          </cell>
          <cell r="Q43">
            <v>94874964.898702666</v>
          </cell>
          <cell r="R43">
            <v>127428410.76795061</v>
          </cell>
          <cell r="S43">
            <v>135350841.26815581</v>
          </cell>
          <cell r="T43">
            <v>133145675.06615742</v>
          </cell>
          <cell r="U43">
            <v>126211845.69557086</v>
          </cell>
          <cell r="V43">
            <v>129377817.28803086</v>
          </cell>
          <cell r="W43">
            <v>127248566.05686434</v>
          </cell>
          <cell r="X43">
            <v>127108620.00853926</v>
          </cell>
          <cell r="Y43">
            <v>120822763.71042086</v>
          </cell>
          <cell r="Z43">
            <v>112790480.74903186</v>
          </cell>
          <cell r="AA43">
            <v>108350189.90727501</v>
          </cell>
          <cell r="AB43">
            <v>96988073.24721536</v>
          </cell>
          <cell r="AC43">
            <v>78643240.955608666</v>
          </cell>
          <cell r="AD43">
            <v>60641664.881790288</v>
          </cell>
          <cell r="AE43">
            <v>56626566.086343266</v>
          </cell>
          <cell r="AF43">
            <v>52616003.489836335</v>
          </cell>
        </row>
        <row r="44">
          <cell r="K44">
            <v>160399806</v>
          </cell>
          <cell r="L44">
            <v>164772262</v>
          </cell>
          <cell r="M44">
            <v>157667026</v>
          </cell>
          <cell r="N44">
            <v>155371189</v>
          </cell>
          <cell r="O44">
            <v>201131379</v>
          </cell>
          <cell r="P44">
            <v>174761632</v>
          </cell>
          <cell r="Q44">
            <v>91964985.840777472</v>
          </cell>
          <cell r="R44">
            <v>131820806.48852435</v>
          </cell>
          <cell r="S44">
            <v>139995968.08700499</v>
          </cell>
          <cell r="T44">
            <v>139963363.7778185</v>
          </cell>
          <cell r="U44">
            <v>131721165.85716397</v>
          </cell>
          <cell r="V44">
            <v>133506110.8676407</v>
          </cell>
          <cell r="W44">
            <v>132253928.15742336</v>
          </cell>
          <cell r="X44">
            <v>132046602.74115375</v>
          </cell>
          <cell r="Y44">
            <v>125629550.18959501</v>
          </cell>
          <cell r="Z44">
            <v>117093659.25679897</v>
          </cell>
          <cell r="AA44">
            <v>112327471.38818921</v>
          </cell>
          <cell r="AB44">
            <v>100595102.91195482</v>
          </cell>
          <cell r="AC44">
            <v>81603541.801222369</v>
          </cell>
          <cell r="AD44">
            <v>62951656.127985999</v>
          </cell>
          <cell r="AE44">
            <v>58697272.221592806</v>
          </cell>
          <cell r="AF44">
            <v>54576722.978901453</v>
          </cell>
        </row>
        <row r="45">
          <cell r="K45">
            <v>134375291</v>
          </cell>
          <cell r="L45">
            <v>164773007</v>
          </cell>
          <cell r="M45">
            <v>162339335</v>
          </cell>
          <cell r="N45">
            <v>175112972</v>
          </cell>
          <cell r="O45">
            <v>177617706</v>
          </cell>
          <cell r="P45">
            <v>156329288</v>
          </cell>
          <cell r="Q45">
            <v>88192766.770418078</v>
          </cell>
          <cell r="R45">
            <v>128120538.69930525</v>
          </cell>
          <cell r="S45">
            <v>134419418.25423464</v>
          </cell>
          <cell r="T45">
            <v>129914764.28893052</v>
          </cell>
          <cell r="U45">
            <v>123696768.85435727</v>
          </cell>
          <cell r="V45">
            <v>126880367.14254715</v>
          </cell>
          <cell r="W45">
            <v>125606181.95288904</v>
          </cell>
          <cell r="X45">
            <v>124904671.63840926</v>
          </cell>
          <cell r="Y45">
            <v>118486775.96116202</v>
          </cell>
          <cell r="Z45">
            <v>110758509.13267006</v>
          </cell>
          <cell r="AA45">
            <v>106417065.00162978</v>
          </cell>
          <cell r="AB45">
            <v>95258656.146906167</v>
          </cell>
          <cell r="AC45">
            <v>77203038.795055941</v>
          </cell>
          <cell r="AD45">
            <v>59544524.1334268</v>
          </cell>
          <cell r="AE45">
            <v>55584760.050781116</v>
          </cell>
          <cell r="AF45">
            <v>51675752.707632788</v>
          </cell>
        </row>
        <row r="46">
          <cell r="K46">
            <v>163919996</v>
          </cell>
          <cell r="L46">
            <v>199885923</v>
          </cell>
          <cell r="M46">
            <v>216969174</v>
          </cell>
          <cell r="N46">
            <v>188600282</v>
          </cell>
          <cell r="O46">
            <v>203475839</v>
          </cell>
          <cell r="P46">
            <v>206312055</v>
          </cell>
          <cell r="Q46">
            <v>93326877.278679058</v>
          </cell>
          <cell r="R46">
            <v>132487840.59873919</v>
          </cell>
          <cell r="S46">
            <v>150262950.87884146</v>
          </cell>
          <cell r="T46">
            <v>147354933.04793906</v>
          </cell>
          <cell r="U46">
            <v>142027994.00898606</v>
          </cell>
          <cell r="V46">
            <v>141299447.43672401</v>
          </cell>
          <cell r="W46">
            <v>139473488.34661406</v>
          </cell>
          <cell r="X46">
            <v>139802321.2149837</v>
          </cell>
          <cell r="Y46">
            <v>112605765.76968323</v>
          </cell>
          <cell r="Z46">
            <v>113367433.50414301</v>
          </cell>
          <cell r="AA46">
            <v>106910501.49534675</v>
          </cell>
          <cell r="AB46">
            <v>98716072.005364269</v>
          </cell>
          <cell r="AC46">
            <v>79114790.599196926</v>
          </cell>
          <cell r="AD46">
            <v>59914909.552578986</v>
          </cell>
          <cell r="AE46">
            <v>56366478.679698586</v>
          </cell>
          <cell r="AF46">
            <v>52632427.232915871</v>
          </cell>
        </row>
      </sheetData>
      <sheetData sheetId="13">
        <row r="3">
          <cell r="G3">
            <v>27404189</v>
          </cell>
          <cell r="H3">
            <v>19762301</v>
          </cell>
          <cell r="I3">
            <v>39001198</v>
          </cell>
          <cell r="J3">
            <v>29377946</v>
          </cell>
          <cell r="K3">
            <v>52780826</v>
          </cell>
          <cell r="L3">
            <v>64113409</v>
          </cell>
          <cell r="M3">
            <v>83001113</v>
          </cell>
          <cell r="N3">
            <v>121692397</v>
          </cell>
          <cell r="O3">
            <v>186177512</v>
          </cell>
          <cell r="P3">
            <v>254443224</v>
          </cell>
          <cell r="Q3">
            <v>217367275</v>
          </cell>
          <cell r="R3">
            <v>202460301.40510899</v>
          </cell>
          <cell r="S3">
            <v>207298298.11680996</v>
          </cell>
          <cell r="T3">
            <v>197272647.83049697</v>
          </cell>
          <cell r="U3">
            <v>213467905.27841321</v>
          </cell>
          <cell r="V3">
            <v>222453308.35552204</v>
          </cell>
          <cell r="W3">
            <v>234937899.48318848</v>
          </cell>
          <cell r="X3">
            <v>255089511.26490587</v>
          </cell>
          <cell r="Y3">
            <v>250302501.94754907</v>
          </cell>
          <cell r="Z3">
            <v>234630968.66891962</v>
          </cell>
          <cell r="AA3">
            <v>266651214.90391985</v>
          </cell>
          <cell r="AB3">
            <v>323585855.33229387</v>
          </cell>
          <cell r="AC3">
            <v>380581176.87185925</v>
          </cell>
          <cell r="AD3">
            <v>467748370.47261816</v>
          </cell>
          <cell r="AE3">
            <v>526997051.31255686</v>
          </cell>
          <cell r="AF3">
            <v>532307378.41461033</v>
          </cell>
        </row>
        <row r="4">
          <cell r="G4">
            <v>21740823</v>
          </cell>
          <cell r="H4">
            <v>19891097</v>
          </cell>
          <cell r="I4">
            <v>30947366</v>
          </cell>
          <cell r="J4">
            <v>33934856</v>
          </cell>
          <cell r="K4">
            <v>61346937</v>
          </cell>
          <cell r="L4">
            <v>65672413</v>
          </cell>
          <cell r="M4">
            <v>80855373</v>
          </cell>
          <cell r="N4">
            <v>131671445</v>
          </cell>
          <cell r="O4">
            <v>168557943</v>
          </cell>
          <cell r="P4">
            <v>286287459</v>
          </cell>
          <cell r="Q4">
            <v>186102792</v>
          </cell>
          <cell r="R4">
            <v>222708275.77583662</v>
          </cell>
          <cell r="S4">
            <v>229256770.59326789</v>
          </cell>
          <cell r="T4">
            <v>218897047.44135529</v>
          </cell>
          <cell r="U4">
            <v>239433663.59989792</v>
          </cell>
          <cell r="V4">
            <v>244920785.70760271</v>
          </cell>
          <cell r="W4">
            <v>258745228.15633824</v>
          </cell>
          <cell r="X4">
            <v>280880386.0218569</v>
          </cell>
          <cell r="Y4">
            <v>275623675.59517336</v>
          </cell>
          <cell r="Z4">
            <v>258251536.61077991</v>
          </cell>
          <cell r="AA4">
            <v>288387678.10915381</v>
          </cell>
          <cell r="AB4">
            <v>344963286.20156896</v>
          </cell>
          <cell r="AC4">
            <v>399066967.37560594</v>
          </cell>
          <cell r="AD4">
            <v>478719795.59190363</v>
          </cell>
          <cell r="AE4">
            <v>518933968.94309884</v>
          </cell>
          <cell r="AF4">
            <v>484698051.74039561</v>
          </cell>
        </row>
        <row r="5">
          <cell r="G5">
            <v>24396214</v>
          </cell>
          <cell r="H5">
            <v>30076890</v>
          </cell>
          <cell r="I5">
            <v>32479490</v>
          </cell>
          <cell r="J5">
            <v>42416205</v>
          </cell>
          <cell r="K5">
            <v>54996251</v>
          </cell>
          <cell r="L5">
            <v>73234335</v>
          </cell>
          <cell r="M5">
            <v>97551061</v>
          </cell>
          <cell r="N5">
            <v>150541927</v>
          </cell>
          <cell r="O5">
            <v>219843657</v>
          </cell>
          <cell r="P5">
            <v>241876889</v>
          </cell>
          <cell r="Q5">
            <v>249516587</v>
          </cell>
          <cell r="R5">
            <v>235815822.28692624</v>
          </cell>
          <cell r="S5">
            <v>242740304.53877079</v>
          </cell>
          <cell r="T5">
            <v>231371725.54261974</v>
          </cell>
          <cell r="U5">
            <v>250237186.72244301</v>
          </cell>
          <cell r="V5">
            <v>261609681.67480183</v>
          </cell>
          <cell r="W5">
            <v>275040052.76209998</v>
          </cell>
          <cell r="X5">
            <v>298732609.75995183</v>
          </cell>
          <cell r="Y5">
            <v>293194504.63171113</v>
          </cell>
          <cell r="Z5">
            <v>274958135.90816694</v>
          </cell>
          <cell r="AA5">
            <v>314171026.55775559</v>
          </cell>
          <cell r="AB5">
            <v>381834556.34704715</v>
          </cell>
          <cell r="AC5">
            <v>451402888.80596364</v>
          </cell>
          <cell r="AD5">
            <v>559592419.31481445</v>
          </cell>
          <cell r="AE5">
            <v>639016600.61442196</v>
          </cell>
          <cell r="AF5">
            <v>662051729.37446618</v>
          </cell>
        </row>
        <row r="6">
          <cell r="G6">
            <v>46780177</v>
          </cell>
          <cell r="H6">
            <v>57657610</v>
          </cell>
          <cell r="I6">
            <v>48114203</v>
          </cell>
          <cell r="J6">
            <v>60297697</v>
          </cell>
          <cell r="K6">
            <v>74326841</v>
          </cell>
          <cell r="L6">
            <v>72930573</v>
          </cell>
          <cell r="M6">
            <v>90864671</v>
          </cell>
          <cell r="N6">
            <v>147920550</v>
          </cell>
          <cell r="O6">
            <v>219470818</v>
          </cell>
          <cell r="P6">
            <v>310669850</v>
          </cell>
          <cell r="Q6">
            <v>181301124.21453577</v>
          </cell>
          <cell r="R6">
            <v>226923033.00381148</v>
          </cell>
          <cell r="S6">
            <v>232838739.41859433</v>
          </cell>
          <cell r="T6">
            <v>220477758.70083937</v>
          </cell>
          <cell r="U6">
            <v>238692534.02567035</v>
          </cell>
          <cell r="V6">
            <v>248847817.35348552</v>
          </cell>
          <cell r="W6">
            <v>262561881.86200482</v>
          </cell>
          <cell r="X6">
            <v>285130178.06638825</v>
          </cell>
          <cell r="Y6">
            <v>279548901.43064666</v>
          </cell>
          <cell r="Z6">
            <v>261859465.6254898</v>
          </cell>
          <cell r="AA6">
            <v>293818943.52484185</v>
          </cell>
          <cell r="AB6">
            <v>353497251.70785689</v>
          </cell>
          <cell r="AC6">
            <v>410383358.29586428</v>
          </cell>
          <cell r="AD6">
            <v>494051979.92231733</v>
          </cell>
          <cell r="AE6">
            <v>538713658.46668148</v>
          </cell>
          <cell r="AF6">
            <v>509522280.51170504</v>
          </cell>
        </row>
        <row r="7">
          <cell r="F7">
            <v>52489874</v>
          </cell>
          <cell r="G7">
            <v>51747248</v>
          </cell>
          <cell r="H7">
            <v>48948064</v>
          </cell>
          <cell r="I7">
            <v>59582383</v>
          </cell>
          <cell r="J7">
            <v>61604485</v>
          </cell>
          <cell r="K7">
            <v>82142398</v>
          </cell>
          <cell r="L7">
            <v>91153009</v>
          </cell>
          <cell r="M7">
            <v>98371224</v>
          </cell>
          <cell r="N7">
            <v>180869468</v>
          </cell>
          <cell r="O7">
            <v>277943732</v>
          </cell>
          <cell r="P7">
            <v>250083449</v>
          </cell>
          <cell r="Q7">
            <v>179332674.8834216</v>
          </cell>
          <cell r="R7">
            <v>251920624.55093771</v>
          </cell>
          <cell r="S7">
            <v>260235501.8391878</v>
          </cell>
          <cell r="T7">
            <v>246350541.92909336</v>
          </cell>
          <cell r="U7">
            <v>265375806.21940556</v>
          </cell>
          <cell r="V7">
            <v>277529718.60566485</v>
          </cell>
          <cell r="W7">
            <v>292800655.45199817</v>
          </cell>
          <cell r="X7">
            <v>318191173.30625963</v>
          </cell>
          <cell r="Y7">
            <v>311833771.44025111</v>
          </cell>
          <cell r="Z7">
            <v>291987521.19033784</v>
          </cell>
          <cell r="AA7">
            <v>327742590.56631738</v>
          </cell>
          <cell r="AB7">
            <v>394460223.56919408</v>
          </cell>
          <cell r="AC7">
            <v>457871178.8253749</v>
          </cell>
          <cell r="AD7">
            <v>550926234.71416545</v>
          </cell>
          <cell r="AE7">
            <v>600253232.28868043</v>
          </cell>
          <cell r="AF7">
            <v>566809903.06912935</v>
          </cell>
        </row>
        <row r="8">
          <cell r="F8">
            <v>49019953</v>
          </cell>
          <cell r="G8">
            <v>47468482</v>
          </cell>
          <cell r="H8">
            <v>57729364</v>
          </cell>
          <cell r="I8">
            <v>48607445</v>
          </cell>
          <cell r="J8">
            <v>46602246</v>
          </cell>
          <cell r="K8">
            <v>82162241</v>
          </cell>
          <cell r="L8">
            <v>85911189</v>
          </cell>
          <cell r="M8">
            <v>112653761</v>
          </cell>
          <cell r="N8">
            <v>154126522</v>
          </cell>
          <cell r="O8">
            <v>246714258</v>
          </cell>
          <cell r="P8">
            <v>339060733</v>
          </cell>
          <cell r="Q8">
            <v>176736118.69496799</v>
          </cell>
          <cell r="R8">
            <v>254058221.07225698</v>
          </cell>
          <cell r="S8">
            <v>262295551.27169818</v>
          </cell>
          <cell r="T8">
            <v>251917521.29783314</v>
          </cell>
          <cell r="U8">
            <v>273870492.5181517</v>
          </cell>
          <cell r="V8">
            <v>281529162.05784196</v>
          </cell>
          <cell r="W8">
            <v>296938943.57873619</v>
          </cell>
          <cell r="X8">
            <v>322414256.08493012</v>
          </cell>
          <cell r="Y8">
            <v>316562158.49888599</v>
          </cell>
          <cell r="Z8">
            <v>296740632.58589399</v>
          </cell>
          <cell r="AA8">
            <v>336474623.63545471</v>
          </cell>
          <cell r="AB8">
            <v>406330205.26436031</v>
          </cell>
          <cell r="AC8">
            <v>477309503.16351765</v>
          </cell>
          <cell r="AD8">
            <v>586816279.73144138</v>
          </cell>
          <cell r="AE8">
            <v>661655022.25070131</v>
          </cell>
          <cell r="AF8">
            <v>669490140.27133882</v>
          </cell>
        </row>
        <row r="9">
          <cell r="F9">
            <v>55428231</v>
          </cell>
          <cell r="G9">
            <v>43727824</v>
          </cell>
          <cell r="H9">
            <v>55829488</v>
          </cell>
          <cell r="I9">
            <v>49455236</v>
          </cell>
          <cell r="J9">
            <v>43877564</v>
          </cell>
          <cell r="K9">
            <v>85812918</v>
          </cell>
          <cell r="L9">
            <v>77690256</v>
          </cell>
          <cell r="M9">
            <v>80428728</v>
          </cell>
          <cell r="N9">
            <v>128058899</v>
          </cell>
          <cell r="O9">
            <v>236554662</v>
          </cell>
          <cell r="P9">
            <v>339856960</v>
          </cell>
          <cell r="Q9">
            <v>174950999.9665958</v>
          </cell>
          <cell r="R9">
            <v>234347654.1216172</v>
          </cell>
          <cell r="S9">
            <v>245193927.05454305</v>
          </cell>
          <cell r="T9">
            <v>236288393.24777529</v>
          </cell>
          <cell r="U9">
            <v>254747966.85060963</v>
          </cell>
          <cell r="V9">
            <v>265843320.70518386</v>
          </cell>
          <cell r="W9">
            <v>280334307.62474275</v>
          </cell>
          <cell r="X9">
            <v>306226770.19348776</v>
          </cell>
          <cell r="Y9">
            <v>300698724.3382349</v>
          </cell>
          <cell r="Z9">
            <v>281416992.39733714</v>
          </cell>
          <cell r="AA9">
            <v>317904478.80426711</v>
          </cell>
          <cell r="AB9">
            <v>386833408.02373052</v>
          </cell>
          <cell r="AC9">
            <v>452696300.9939878</v>
          </cell>
          <cell r="AD9">
            <v>550275774.60392761</v>
          </cell>
          <cell r="AE9">
            <v>608801647.77400565</v>
          </cell>
          <cell r="AF9">
            <v>593247319.44989491</v>
          </cell>
        </row>
        <row r="10">
          <cell r="F10">
            <v>20479681</v>
          </cell>
          <cell r="G10">
            <v>41234312</v>
          </cell>
          <cell r="H10">
            <v>56210427</v>
          </cell>
          <cell r="I10">
            <v>49242619</v>
          </cell>
          <cell r="J10">
            <v>44979501</v>
          </cell>
          <cell r="K10">
            <v>62470075</v>
          </cell>
          <cell r="L10">
            <v>70843237</v>
          </cell>
          <cell r="M10">
            <v>116750468</v>
          </cell>
          <cell r="N10">
            <v>143340284</v>
          </cell>
          <cell r="O10">
            <v>261948806</v>
          </cell>
          <cell r="P10">
            <v>283467210</v>
          </cell>
          <cell r="Q10">
            <v>179168507.04781878</v>
          </cell>
          <cell r="R10">
            <v>238742560.9091976</v>
          </cell>
          <cell r="S10">
            <v>246461573.39525464</v>
          </cell>
          <cell r="T10">
            <v>236728718.56776279</v>
          </cell>
          <cell r="U10">
            <v>260205686.34783447</v>
          </cell>
          <cell r="V10">
            <v>271271352.52963734</v>
          </cell>
          <cell r="W10">
            <v>285968887.34770447</v>
          </cell>
          <cell r="X10">
            <v>312502004.76340961</v>
          </cell>
          <cell r="Y10">
            <v>307262366.43032336</v>
          </cell>
          <cell r="Z10">
            <v>288302848.28076619</v>
          </cell>
          <cell r="AA10">
            <v>332211574.18184727</v>
          </cell>
          <cell r="AB10">
            <v>410844235.40297145</v>
          </cell>
          <cell r="AC10">
            <v>490447540.14338285</v>
          </cell>
          <cell r="AD10">
            <v>614250606.99580133</v>
          </cell>
          <cell r="AE10">
            <v>711473994.72048914</v>
          </cell>
          <cell r="AF10">
            <v>755541641.41026723</v>
          </cell>
        </row>
        <row r="11">
          <cell r="F11">
            <v>17758438</v>
          </cell>
          <cell r="G11">
            <v>34879566</v>
          </cell>
          <cell r="H11">
            <v>46874998</v>
          </cell>
          <cell r="I11">
            <v>50710898</v>
          </cell>
          <cell r="J11">
            <v>54479754</v>
          </cell>
          <cell r="K11">
            <v>70828489</v>
          </cell>
          <cell r="L11">
            <v>105402440</v>
          </cell>
          <cell r="M11">
            <v>107635552</v>
          </cell>
          <cell r="N11">
            <v>165201806</v>
          </cell>
          <cell r="O11">
            <v>248926184</v>
          </cell>
          <cell r="P11">
            <v>300733550</v>
          </cell>
          <cell r="Q11">
            <v>179992875.18500397</v>
          </cell>
          <cell r="R11">
            <v>247452276.45215097</v>
          </cell>
          <cell r="S11">
            <v>253416722.84795576</v>
          </cell>
          <cell r="T11">
            <v>239216205.31612912</v>
          </cell>
          <cell r="U11">
            <v>263251688.68800557</v>
          </cell>
          <cell r="V11">
            <v>275735725.31904727</v>
          </cell>
          <cell r="W11">
            <v>291000438.62513226</v>
          </cell>
          <cell r="X11">
            <v>317217944.62554812</v>
          </cell>
          <cell r="Y11">
            <v>311398745.64486039</v>
          </cell>
          <cell r="Z11">
            <v>292246198.82369626</v>
          </cell>
          <cell r="AA11">
            <v>334482600.81363386</v>
          </cell>
          <cell r="AB11">
            <v>411259477.39650649</v>
          </cell>
          <cell r="AC11">
            <v>487404170.11611128</v>
          </cell>
          <cell r="AD11">
            <v>603907438.77239347</v>
          </cell>
          <cell r="AE11">
            <v>688633744.45841956</v>
          </cell>
          <cell r="AF11">
            <v>710792575.44566655</v>
          </cell>
        </row>
        <row r="12">
          <cell r="F12">
            <v>28418857</v>
          </cell>
          <cell r="G12">
            <v>41079368</v>
          </cell>
          <cell r="H12">
            <v>42187106</v>
          </cell>
          <cell r="I12">
            <v>53849132</v>
          </cell>
          <cell r="J12">
            <v>48668916</v>
          </cell>
          <cell r="K12">
            <v>90132484</v>
          </cell>
          <cell r="L12">
            <v>54986787</v>
          </cell>
          <cell r="M12">
            <v>119979605</v>
          </cell>
          <cell r="N12">
            <v>151498690</v>
          </cell>
          <cell r="O12">
            <v>267606156</v>
          </cell>
          <cell r="P12">
            <v>307086568</v>
          </cell>
          <cell r="Q12">
            <v>194907988.07054949</v>
          </cell>
          <cell r="R12">
            <v>272942871.29153872</v>
          </cell>
          <cell r="S12">
            <v>280145689.47753483</v>
          </cell>
          <cell r="T12">
            <v>266823726.79202893</v>
          </cell>
          <cell r="U12">
            <v>287294705.95592463</v>
          </cell>
          <cell r="V12">
            <v>302055470.98889261</v>
          </cell>
          <cell r="W12">
            <v>318886945.64337492</v>
          </cell>
          <cell r="X12">
            <v>347221193.32755476</v>
          </cell>
          <cell r="Y12">
            <v>340618364.39804351</v>
          </cell>
          <cell r="Z12">
            <v>318874632.70995694</v>
          </cell>
          <cell r="AA12">
            <v>359498883.78064191</v>
          </cell>
          <cell r="AB12">
            <v>436220150.84719598</v>
          </cell>
          <cell r="AC12">
            <v>508851484.70371801</v>
          </cell>
          <cell r="AD12">
            <v>615609740.33870792</v>
          </cell>
          <cell r="AE12">
            <v>676183577.60732353</v>
          </cell>
          <cell r="AF12">
            <v>649246400.53090394</v>
          </cell>
        </row>
        <row r="13">
          <cell r="F13">
            <v>45828118</v>
          </cell>
          <cell r="G13">
            <v>40683102</v>
          </cell>
          <cell r="H13">
            <v>57918098</v>
          </cell>
          <cell r="I13">
            <v>51586887</v>
          </cell>
          <cell r="J13">
            <v>59440295</v>
          </cell>
          <cell r="K13">
            <v>73664807</v>
          </cell>
          <cell r="L13">
            <v>90445304</v>
          </cell>
          <cell r="M13">
            <v>133156773</v>
          </cell>
          <cell r="N13">
            <v>198800014</v>
          </cell>
          <cell r="O13">
            <v>251009802</v>
          </cell>
          <cell r="P13">
            <v>299113899</v>
          </cell>
          <cell r="Q13">
            <v>206401022.45060739</v>
          </cell>
          <cell r="R13">
            <v>319281023.11134666</v>
          </cell>
          <cell r="S13">
            <v>329385080.33750135</v>
          </cell>
          <cell r="T13">
            <v>313688564.29507715</v>
          </cell>
          <cell r="U13">
            <v>339478707.59937423</v>
          </cell>
          <cell r="V13">
            <v>357524361.81791949</v>
          </cell>
          <cell r="W13">
            <v>377932039.73769742</v>
          </cell>
          <cell r="X13">
            <v>413117780.83240837</v>
          </cell>
          <cell r="Y13">
            <v>405335837.50507891</v>
          </cell>
          <cell r="Z13">
            <v>379227599.91150856</v>
          </cell>
          <cell r="AA13">
            <v>425090531.66485065</v>
          </cell>
          <cell r="AB13">
            <v>517647276.7687788</v>
          </cell>
          <cell r="AC13">
            <v>600875832.84963763</v>
          </cell>
          <cell r="AD13">
            <v>718644750.21465671</v>
          </cell>
          <cell r="AE13">
            <v>774083013.5396868</v>
          </cell>
          <cell r="AF13">
            <v>712506795.76731861</v>
          </cell>
        </row>
        <row r="14">
          <cell r="F14">
            <v>34459265</v>
          </cell>
          <cell r="G14">
            <v>40730768</v>
          </cell>
          <cell r="H14">
            <v>53552183</v>
          </cell>
          <cell r="I14">
            <v>56967990</v>
          </cell>
          <cell r="J14">
            <v>76869039</v>
          </cell>
          <cell r="K14">
            <v>88201170</v>
          </cell>
          <cell r="L14">
            <v>97407333</v>
          </cell>
          <cell r="M14">
            <v>170434708</v>
          </cell>
          <cell r="N14">
            <v>194157620</v>
          </cell>
          <cell r="O14">
            <v>323439638</v>
          </cell>
          <cell r="P14">
            <v>351250772</v>
          </cell>
          <cell r="Q14">
            <v>193635054.75880581</v>
          </cell>
          <cell r="R14">
            <v>364686173.84378457</v>
          </cell>
          <cell r="S14">
            <v>372211622.23208565</v>
          </cell>
          <cell r="T14">
            <v>352955052.41933751</v>
          </cell>
          <cell r="U14">
            <v>382445645.70406485</v>
          </cell>
          <cell r="V14">
            <v>403624607.20216894</v>
          </cell>
          <cell r="W14">
            <v>427372666.88920194</v>
          </cell>
          <cell r="X14">
            <v>466562885.60684681</v>
          </cell>
          <cell r="Y14">
            <v>457656941.84399396</v>
          </cell>
          <cell r="Z14">
            <v>428196279.64874446</v>
          </cell>
          <cell r="AA14">
            <v>478650859.08432674</v>
          </cell>
          <cell r="AB14">
            <v>582248357.55847073</v>
          </cell>
          <cell r="AC14">
            <v>673610282.34645963</v>
          </cell>
          <cell r="AD14">
            <v>801167527.88223994</v>
          </cell>
          <cell r="AE14">
            <v>854909625.63874865</v>
          </cell>
          <cell r="AF14">
            <v>770441169.14943349</v>
          </cell>
        </row>
        <row r="49">
          <cell r="G49">
            <v>17504679</v>
          </cell>
          <cell r="H49">
            <v>11758144</v>
          </cell>
          <cell r="I49">
            <v>18560535</v>
          </cell>
          <cell r="J49">
            <v>13680652</v>
          </cell>
          <cell r="K49">
            <v>36487021</v>
          </cell>
          <cell r="L49">
            <v>41857492</v>
          </cell>
          <cell r="M49">
            <v>50374630</v>
          </cell>
          <cell r="N49">
            <v>87010244</v>
          </cell>
          <cell r="O49">
            <v>148278375</v>
          </cell>
          <cell r="P49">
            <v>230210264</v>
          </cell>
          <cell r="Q49">
            <v>217367275</v>
          </cell>
          <cell r="R49">
            <v>180297523.08939135</v>
          </cell>
          <cell r="S49">
            <v>186796128.92822084</v>
          </cell>
          <cell r="T49">
            <v>178989927.80719867</v>
          </cell>
          <cell r="U49">
            <v>197326382.48826179</v>
          </cell>
          <cell r="V49">
            <v>207999085.17094269</v>
          </cell>
          <cell r="W49">
            <v>219958068.18280625</v>
          </cell>
          <cell r="X49">
            <v>241856496.91400385</v>
          </cell>
          <cell r="Y49">
            <v>237836672.82978779</v>
          </cell>
          <cell r="Z49">
            <v>222860880.83967215</v>
          </cell>
          <cell r="AA49">
            <v>254844805.64811885</v>
          </cell>
          <cell r="AB49">
            <v>317717852.79863548</v>
          </cell>
          <cell r="AC49">
            <v>376653603.13157099</v>
          </cell>
          <cell r="AD49">
            <v>463853768.06338322</v>
          </cell>
          <cell r="AE49">
            <v>523115522.99984121</v>
          </cell>
          <cell r="AF49">
            <v>528413872.05656731</v>
          </cell>
        </row>
        <row r="50">
          <cell r="G50">
            <v>13481081</v>
          </cell>
          <cell r="H50">
            <v>7354950</v>
          </cell>
          <cell r="I50">
            <v>21042625</v>
          </cell>
          <cell r="J50">
            <v>21604812</v>
          </cell>
          <cell r="K50">
            <v>40173701</v>
          </cell>
          <cell r="L50">
            <v>37300666</v>
          </cell>
          <cell r="M50">
            <v>51175710</v>
          </cell>
          <cell r="N50">
            <v>101396491</v>
          </cell>
          <cell r="O50">
            <v>141070359</v>
          </cell>
          <cell r="P50">
            <v>230073636</v>
          </cell>
          <cell r="Q50">
            <v>186102792</v>
          </cell>
          <cell r="R50">
            <v>196545275.228946</v>
          </cell>
          <cell r="S50">
            <v>203640217.99442101</v>
          </cell>
          <cell r="T50">
            <v>194339785.8096548</v>
          </cell>
          <cell r="U50">
            <v>214315638.49682814</v>
          </cell>
          <cell r="V50">
            <v>225898003.2300075</v>
          </cell>
          <cell r="W50">
            <v>239030708.13410321</v>
          </cell>
          <cell r="X50">
            <v>262993461.81268868</v>
          </cell>
          <cell r="Y50">
            <v>258434818.10213843</v>
          </cell>
          <cell r="Z50">
            <v>241914289.20259774</v>
          </cell>
          <cell r="AA50">
            <v>272478796.06029224</v>
          </cell>
          <cell r="AB50">
            <v>337014820.98147357</v>
          </cell>
          <cell r="AC50">
            <v>393758107.88557851</v>
          </cell>
          <cell r="AD50">
            <v>473349614.02018708</v>
          </cell>
          <cell r="AE50">
            <v>513546287.11041754</v>
          </cell>
          <cell r="AF50">
            <v>479451635.8264153</v>
          </cell>
        </row>
        <row r="51">
          <cell r="G51">
            <v>16109924</v>
          </cell>
          <cell r="H51">
            <v>17925081</v>
          </cell>
          <cell r="I51">
            <v>15856580</v>
          </cell>
          <cell r="J51">
            <v>25067979</v>
          </cell>
          <cell r="K51">
            <v>35740265</v>
          </cell>
          <cell r="L51">
            <v>45226785</v>
          </cell>
          <cell r="M51">
            <v>59222033</v>
          </cell>
          <cell r="N51">
            <v>110055959</v>
          </cell>
          <cell r="O51">
            <v>184175802</v>
          </cell>
          <cell r="P51">
            <v>215239327</v>
          </cell>
          <cell r="Q51">
            <v>229400517</v>
          </cell>
          <cell r="R51">
            <v>209205509.38675943</v>
          </cell>
          <cell r="S51">
            <v>218600778.35684696</v>
          </cell>
          <cell r="T51">
            <v>209925909.7028141</v>
          </cell>
          <cell r="U51">
            <v>230098702.91521826</v>
          </cell>
          <cell r="V51">
            <v>242902021.03809163</v>
          </cell>
          <cell r="W51">
            <v>256868833.04769123</v>
          </cell>
          <cell r="X51">
            <v>282637186.35915601</v>
          </cell>
          <cell r="Y51">
            <v>277903393.82677531</v>
          </cell>
          <cell r="Z51">
            <v>260358612.94896188</v>
          </cell>
          <cell r="AA51">
            <v>299547318.17256927</v>
          </cell>
          <cell r="AB51">
            <v>374637791.34959751</v>
          </cell>
          <cell r="AC51">
            <v>446622880.99736786</v>
          </cell>
          <cell r="AD51">
            <v>554812330.34648669</v>
          </cell>
          <cell r="AE51">
            <v>634199247.43049812</v>
          </cell>
          <cell r="AF51">
            <v>657226399.00344038</v>
          </cell>
        </row>
        <row r="52">
          <cell r="G52">
            <v>15732656</v>
          </cell>
          <cell r="H52">
            <v>21253081</v>
          </cell>
          <cell r="I52">
            <v>20403202</v>
          </cell>
          <cell r="J52">
            <v>25750984</v>
          </cell>
          <cell r="K52">
            <v>38557434</v>
          </cell>
          <cell r="L52">
            <v>38638856</v>
          </cell>
          <cell r="M52">
            <v>50634433</v>
          </cell>
          <cell r="N52">
            <v>106480662</v>
          </cell>
          <cell r="O52">
            <v>174407540</v>
          </cell>
          <cell r="P52">
            <v>283042186</v>
          </cell>
          <cell r="Q52">
            <v>177544344.84850821</v>
          </cell>
          <cell r="R52">
            <v>201147291.8178297</v>
          </cell>
          <cell r="S52">
            <v>209024476.0848856</v>
          </cell>
          <cell r="T52">
            <v>199564489.04953969</v>
          </cell>
          <cell r="U52">
            <v>219385058.10777694</v>
          </cell>
          <cell r="V52">
            <v>231303905.5806897</v>
          </cell>
          <cell r="W52">
            <v>244994755.37554818</v>
          </cell>
          <cell r="X52">
            <v>269577856.94291306</v>
          </cell>
          <cell r="Y52">
            <v>264852748.28948498</v>
          </cell>
          <cell r="Z52">
            <v>247877761.11216789</v>
          </cell>
          <cell r="AA52">
            <v>279817552.28298104</v>
          </cell>
          <cell r="AB52">
            <v>346575054.936571</v>
          </cell>
          <cell r="AC52">
            <v>405767411.66228962</v>
          </cell>
          <cell r="AD52">
            <v>489460574.65842646</v>
          </cell>
          <cell r="AE52">
            <v>534102785.31808639</v>
          </cell>
          <cell r="AF52">
            <v>504904915.09259188</v>
          </cell>
        </row>
        <row r="53">
          <cell r="F53">
            <v>16218844</v>
          </cell>
          <cell r="G53">
            <v>15741162</v>
          </cell>
          <cell r="H53">
            <v>21933497</v>
          </cell>
          <cell r="I53">
            <v>24392752</v>
          </cell>
          <cell r="J53">
            <v>21508247</v>
          </cell>
          <cell r="K53">
            <v>40382855</v>
          </cell>
          <cell r="L53">
            <v>46421171</v>
          </cell>
          <cell r="M53">
            <v>60051437</v>
          </cell>
          <cell r="N53">
            <v>136075722</v>
          </cell>
          <cell r="O53">
            <v>229265334</v>
          </cell>
          <cell r="P53">
            <v>220402735</v>
          </cell>
          <cell r="Q53">
            <v>175230598.43460765</v>
          </cell>
          <cell r="R53">
            <v>224821293.25287169</v>
          </cell>
          <cell r="S53">
            <v>234107532.29123083</v>
          </cell>
          <cell r="T53">
            <v>222828584.63535574</v>
          </cell>
          <cell r="U53">
            <v>244430250.48542839</v>
          </cell>
          <cell r="V53">
            <v>258442801.67018637</v>
          </cell>
          <cell r="W53">
            <v>273690917.68321735</v>
          </cell>
          <cell r="X53">
            <v>301125740.00744694</v>
          </cell>
          <cell r="Y53">
            <v>295707282.76293242</v>
          </cell>
          <cell r="Z53">
            <v>276739682.80998349</v>
          </cell>
          <cell r="AA53">
            <v>312453811.43795061</v>
          </cell>
          <cell r="AB53">
            <v>386895148.15531135</v>
          </cell>
          <cell r="AC53">
            <v>452806138.77374911</v>
          </cell>
          <cell r="AD53">
            <v>545887960.8005836</v>
          </cell>
          <cell r="AE53">
            <v>595224814.72377586</v>
          </cell>
          <cell r="AF53">
            <v>561767984.10348248</v>
          </cell>
        </row>
        <row r="54">
          <cell r="F54">
            <v>15664923</v>
          </cell>
          <cell r="G54">
            <v>14419983</v>
          </cell>
          <cell r="H54">
            <v>22569322</v>
          </cell>
          <cell r="I54">
            <v>17747238</v>
          </cell>
          <cell r="J54">
            <v>12384025</v>
          </cell>
          <cell r="K54">
            <v>39760652</v>
          </cell>
          <cell r="L54">
            <v>53207936</v>
          </cell>
          <cell r="M54">
            <v>68859545</v>
          </cell>
          <cell r="N54">
            <v>116253275</v>
          </cell>
          <cell r="O54">
            <v>202490999</v>
          </cell>
          <cell r="P54">
            <v>282589564</v>
          </cell>
          <cell r="Q54">
            <v>172677390.54541308</v>
          </cell>
          <cell r="R54">
            <v>224431062.06441367</v>
          </cell>
          <cell r="S54">
            <v>234105651.45581567</v>
          </cell>
          <cell r="T54">
            <v>224675346.34374565</v>
          </cell>
          <cell r="U54">
            <v>246281704.5146721</v>
          </cell>
          <cell r="V54">
            <v>259646646.44580799</v>
          </cell>
          <cell r="W54">
            <v>274924855.64164633</v>
          </cell>
          <cell r="X54">
            <v>302505633.91668332</v>
          </cell>
          <cell r="Y54">
            <v>297378434.37272584</v>
          </cell>
          <cell r="Z54">
            <v>278480088.72125006</v>
          </cell>
          <cell r="AA54">
            <v>318607065.92224741</v>
          </cell>
          <cell r="AB54">
            <v>397450414.17479694</v>
          </cell>
          <cell r="AC54">
            <v>471400601.4152174</v>
          </cell>
          <cell r="AD54">
            <v>580822857.43324935</v>
          </cell>
          <cell r="AE54">
            <v>655633077.55118299</v>
          </cell>
          <cell r="AF54">
            <v>663597794.16916621</v>
          </cell>
        </row>
        <row r="55">
          <cell r="F55">
            <v>13997563</v>
          </cell>
          <cell r="G55">
            <v>15521249</v>
          </cell>
          <cell r="H55">
            <v>19520008</v>
          </cell>
          <cell r="I55">
            <v>19651809</v>
          </cell>
          <cell r="J55">
            <v>10553514</v>
          </cell>
          <cell r="K55">
            <v>46282285</v>
          </cell>
          <cell r="L55">
            <v>46684399</v>
          </cell>
          <cell r="M55">
            <v>69500573</v>
          </cell>
          <cell r="N55">
            <v>108975538</v>
          </cell>
          <cell r="O55">
            <v>182796774</v>
          </cell>
          <cell r="P55">
            <v>292633360</v>
          </cell>
          <cell r="Q55">
            <v>169628317.8452439</v>
          </cell>
          <cell r="R55">
            <v>219016465.98521736</v>
          </cell>
          <cell r="S55">
            <v>227493544.45818886</v>
          </cell>
          <cell r="T55">
            <v>217697084.14826158</v>
          </cell>
          <cell r="U55">
            <v>239779318.5966872</v>
          </cell>
          <cell r="V55">
            <v>252359406.29126972</v>
          </cell>
          <cell r="W55">
            <v>267231053.39745298</v>
          </cell>
          <cell r="X55">
            <v>294015396.29686123</v>
          </cell>
          <cell r="Y55">
            <v>288998200.95156199</v>
          </cell>
          <cell r="Z55">
            <v>270605810.23943198</v>
          </cell>
          <cell r="AA55">
            <v>307085023.26031268</v>
          </cell>
          <cell r="AB55">
            <v>381477673.53953242</v>
          </cell>
          <cell r="AC55">
            <v>449071951.30483609</v>
          </cell>
          <cell r="AD55">
            <v>546620270.73486531</v>
          </cell>
          <cell r="AE55">
            <v>605236346.45691955</v>
          </cell>
          <cell r="AF55">
            <v>589679289.74346638</v>
          </cell>
        </row>
        <row r="56">
          <cell r="F56">
            <v>2043114</v>
          </cell>
          <cell r="G56">
            <v>15100408</v>
          </cell>
          <cell r="H56">
            <v>24799964</v>
          </cell>
          <cell r="I56">
            <v>24672392</v>
          </cell>
          <cell r="J56">
            <v>16024601</v>
          </cell>
          <cell r="K56">
            <v>30180616</v>
          </cell>
          <cell r="L56">
            <v>43952654</v>
          </cell>
          <cell r="M56">
            <v>82392520</v>
          </cell>
          <cell r="N56">
            <v>122248954</v>
          </cell>
          <cell r="O56">
            <v>236476280</v>
          </cell>
          <cell r="P56">
            <v>260490373</v>
          </cell>
          <cell r="Q56">
            <v>173990692.44960639</v>
          </cell>
          <cell r="R56">
            <v>224972906.49770355</v>
          </cell>
          <cell r="S56">
            <v>234966122.44751394</v>
          </cell>
          <cell r="T56">
            <v>225367867.39515719</v>
          </cell>
          <cell r="U56">
            <v>247929917.86805612</v>
          </cell>
          <cell r="V56">
            <v>261131438.85279399</v>
          </cell>
          <cell r="W56">
            <v>276307528.2895925</v>
          </cell>
          <cell r="X56">
            <v>303885009.73045588</v>
          </cell>
          <cell r="Y56">
            <v>298844980.37938237</v>
          </cell>
          <cell r="Z56">
            <v>280192705.14888263</v>
          </cell>
          <cell r="AA56">
            <v>324279962.95524722</v>
          </cell>
          <cell r="AB56">
            <v>406941300.91887188</v>
          </cell>
          <cell r="AC56">
            <v>487890006.19728565</v>
          </cell>
          <cell r="AD56">
            <v>611620828.28764093</v>
          </cell>
          <cell r="AE56">
            <v>708799439.47134662</v>
          </cell>
          <cell r="AF56">
            <v>752925962.24218154</v>
          </cell>
        </row>
        <row r="57">
          <cell r="F57">
            <v>5949426</v>
          </cell>
          <cell r="G57">
            <v>13846255</v>
          </cell>
          <cell r="H57">
            <v>19215411</v>
          </cell>
          <cell r="I57">
            <v>21967038</v>
          </cell>
          <cell r="J57">
            <v>32248456</v>
          </cell>
          <cell r="K57">
            <v>40692380</v>
          </cell>
          <cell r="L57">
            <v>48112771</v>
          </cell>
          <cell r="M57">
            <v>55747506</v>
          </cell>
          <cell r="N57">
            <v>127613378</v>
          </cell>
          <cell r="O57">
            <v>234008508</v>
          </cell>
          <cell r="P57">
            <v>257927937</v>
          </cell>
          <cell r="Q57">
            <v>176384420.27777696</v>
          </cell>
          <cell r="R57">
            <v>228079606.84155732</v>
          </cell>
          <cell r="S57">
            <v>238163233.55638808</v>
          </cell>
          <cell r="T57">
            <v>227636180.66493666</v>
          </cell>
          <cell r="U57">
            <v>250353545.66327974</v>
          </cell>
          <cell r="V57">
            <v>263977078.79055226</v>
          </cell>
          <cell r="W57">
            <v>279404679.38951099</v>
          </cell>
          <cell r="X57">
            <v>307322091.6480419</v>
          </cell>
          <cell r="Y57">
            <v>302063936.26670486</v>
          </cell>
          <cell r="Z57">
            <v>283083833.6805672</v>
          </cell>
          <cell r="AA57">
            <v>325350700.82606202</v>
          </cell>
          <cell r="AB57">
            <v>406773607.91981822</v>
          </cell>
          <cell r="AC57">
            <v>484467069.67462665</v>
          </cell>
          <cell r="AD57">
            <v>600991036.60207057</v>
          </cell>
          <cell r="AE57">
            <v>685612188.44027996</v>
          </cell>
          <cell r="AF57">
            <v>707781066.19740343</v>
          </cell>
        </row>
        <row r="58">
          <cell r="F58">
            <v>14721823</v>
          </cell>
          <cell r="G58">
            <v>13414121</v>
          </cell>
          <cell r="H58">
            <v>20639765</v>
          </cell>
          <cell r="I58">
            <v>25346827</v>
          </cell>
          <cell r="J58">
            <v>39005346</v>
          </cell>
          <cell r="K58">
            <v>48569223</v>
          </cell>
          <cell r="L58">
            <v>25237496</v>
          </cell>
          <cell r="M58">
            <v>77344974</v>
          </cell>
          <cell r="N58">
            <v>113679693</v>
          </cell>
          <cell r="O58">
            <v>214031283</v>
          </cell>
          <cell r="P58">
            <v>289557293</v>
          </cell>
          <cell r="Q58">
            <v>191172414.61914441</v>
          </cell>
          <cell r="R58">
            <v>248212741.53644824</v>
          </cell>
          <cell r="S58">
            <v>257846058.19906035</v>
          </cell>
          <cell r="T58">
            <v>246559756.93297684</v>
          </cell>
          <cell r="U58">
            <v>270914053.93022895</v>
          </cell>
          <cell r="V58">
            <v>285666104.16957051</v>
          </cell>
          <cell r="W58">
            <v>302512877.50448924</v>
          </cell>
          <cell r="X58">
            <v>332835673.62223238</v>
          </cell>
          <cell r="Y58">
            <v>327068764.78598154</v>
          </cell>
          <cell r="Z58">
            <v>306145956.44001949</v>
          </cell>
          <cell r="AA58">
            <v>346541137.21378374</v>
          </cell>
          <cell r="AB58">
            <v>429827911.79946083</v>
          </cell>
          <cell r="AC58">
            <v>504581846.06079066</v>
          </cell>
          <cell r="AD58">
            <v>611376543.91071272</v>
          </cell>
          <cell r="AE58">
            <v>671985926.9149996</v>
          </cell>
          <cell r="AF58">
            <v>644973207.25504124</v>
          </cell>
        </row>
        <row r="59">
          <cell r="F59">
            <v>16462802</v>
          </cell>
          <cell r="G59">
            <v>12655566</v>
          </cell>
          <cell r="H59">
            <v>27361235</v>
          </cell>
          <cell r="I59">
            <v>23176779</v>
          </cell>
          <cell r="J59">
            <v>40325399</v>
          </cell>
          <cell r="K59">
            <v>42514597</v>
          </cell>
          <cell r="L59">
            <v>49060129</v>
          </cell>
          <cell r="M59">
            <v>101861084</v>
          </cell>
          <cell r="N59">
            <v>171787630</v>
          </cell>
          <cell r="O59">
            <v>205619514</v>
          </cell>
          <cell r="P59">
            <v>261189424</v>
          </cell>
          <cell r="Q59">
            <v>203029217.58734667</v>
          </cell>
          <cell r="R59">
            <v>299627766.8417356</v>
          </cell>
          <cell r="S59">
            <v>311617815.44366825</v>
          </cell>
          <cell r="T59">
            <v>297104487.95130962</v>
          </cell>
          <cell r="U59">
            <v>327229157.3907305</v>
          </cell>
          <cell r="V59">
            <v>344469495.70933521</v>
          </cell>
          <cell r="W59">
            <v>364954201.11188</v>
          </cell>
          <cell r="X59">
            <v>401724275.54916978</v>
          </cell>
          <cell r="Y59">
            <v>394621480.95332587</v>
          </cell>
          <cell r="Z59">
            <v>369254920.07660335</v>
          </cell>
          <cell r="AA59">
            <v>414835252.88762152</v>
          </cell>
          <cell r="AB59">
            <v>512595843.83007342</v>
          </cell>
          <cell r="AC59">
            <v>597494227.49701941</v>
          </cell>
          <cell r="AD59">
            <v>715297346.80926228</v>
          </cell>
          <cell r="AE59">
            <v>770794232.71711349</v>
          </cell>
          <cell r="AF59">
            <v>709124819.73569608</v>
          </cell>
        </row>
        <row r="60">
          <cell r="F60">
            <v>22831111</v>
          </cell>
          <cell r="G60">
            <v>13320532</v>
          </cell>
          <cell r="H60">
            <v>27156977</v>
          </cell>
          <cell r="I60">
            <v>25524348</v>
          </cell>
          <cell r="J60">
            <v>47330432</v>
          </cell>
          <cell r="K60">
            <v>52796160</v>
          </cell>
          <cell r="L60">
            <v>57807992</v>
          </cell>
          <cell r="M60">
            <v>118270462</v>
          </cell>
          <cell r="N60">
            <v>153759160</v>
          </cell>
          <cell r="O60">
            <v>274816428</v>
          </cell>
          <cell r="P60">
            <v>314111589</v>
          </cell>
          <cell r="Q60">
            <v>192087845.41465932</v>
          </cell>
          <cell r="R60">
            <v>341225025.1566397</v>
          </cell>
          <cell r="S60">
            <v>352419720.40696388</v>
          </cell>
          <cell r="T60">
            <v>335657850.06439811</v>
          </cell>
          <cell r="U60">
            <v>369875494.80262703</v>
          </cell>
          <cell r="V60">
            <v>389624429.74352074</v>
          </cell>
          <cell r="W60">
            <v>413116571.77928144</v>
          </cell>
          <cell r="X60">
            <v>454340842.053895</v>
          </cell>
          <cell r="Y60">
            <v>446281897.4339509</v>
          </cell>
          <cell r="Z60">
            <v>417557534.64145982</v>
          </cell>
          <cell r="AA60">
            <v>467622840.45982409</v>
          </cell>
          <cell r="AB60">
            <v>576812792.01583254</v>
          </cell>
          <cell r="AC60">
            <v>669982765.89115095</v>
          </cell>
          <cell r="AD60">
            <v>797613710.88811898</v>
          </cell>
          <cell r="AE60">
            <v>851401190.48035288</v>
          </cell>
          <cell r="AF60">
            <v>766804359.7096777</v>
          </cell>
        </row>
      </sheetData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7VQWVWUZO2KFBZGAICHUXWMDW7">
      <xxl21:absoluteUrl r:id="rId2"/>
    </xxl21:alternateUrls>
    <sheetNames>
      <sheetName val="RFS Data"/>
      <sheetName val="RIN Summary"/>
      <sheetName val="Monthly RIN Summary"/>
      <sheetName val="Monthly Gallon Summary"/>
      <sheetName val="Qtrly Gallon Summary"/>
      <sheetName val="Production Summary"/>
      <sheetName val="D3 Gallon Forecast"/>
      <sheetName val="Monthly D3 Gallon Data"/>
      <sheetName val="D3 RIN Forecast"/>
      <sheetName val="Monthly D3 RIN Data"/>
      <sheetName val="D4 Gallon Forecast"/>
      <sheetName val="Monthly D4 Gallon Data"/>
      <sheetName val="D4 RIN Forecast"/>
      <sheetName val="Monthly D4 RIN Data"/>
      <sheetName val="D5 Gallon Forecast"/>
      <sheetName val="Monthly D5 Gallon Data"/>
      <sheetName val="D5 RIN Forecast"/>
      <sheetName val="Monthly D5 RIN Data"/>
      <sheetName val="D6 Gallon Forecast"/>
      <sheetName val="Monthly D6 Gallon Data"/>
      <sheetName val="D6 RIN Forecast"/>
      <sheetName val="Monthly D6 RIN Data"/>
      <sheetName val="D7 Gallon Forecast"/>
      <sheetName val="Monthly D7 Gallon Data"/>
      <sheetName val="D7 RIN Forecast"/>
      <sheetName val="Monthly D7 RIN Data"/>
      <sheetName val="Chart1"/>
      <sheetName val="Chart2"/>
      <sheetName val="Chart3"/>
      <sheetName val="Chart4"/>
      <sheetName val="Chart5"/>
      <sheetName val="Chart6"/>
      <sheetName val="USBD Impo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9">
          <cell r="B69">
            <v>485714</v>
          </cell>
          <cell r="G69">
            <v>55879853</v>
          </cell>
          <cell r="H69">
            <v>85560071</v>
          </cell>
          <cell r="I69">
            <v>65936175</v>
          </cell>
          <cell r="J69">
            <v>110496056</v>
          </cell>
          <cell r="K69">
            <v>107668977</v>
          </cell>
          <cell r="L69">
            <v>118403817</v>
          </cell>
          <cell r="M69">
            <v>107302585</v>
          </cell>
          <cell r="N69">
            <v>90715015</v>
          </cell>
          <cell r="O69">
            <v>119548309</v>
          </cell>
        </row>
        <row r="70">
          <cell r="G70">
            <v>62835451</v>
          </cell>
          <cell r="H70">
            <v>100399613</v>
          </cell>
          <cell r="I70">
            <v>78476257</v>
          </cell>
          <cell r="J70">
            <v>115536272</v>
          </cell>
          <cell r="K70">
            <v>117330452</v>
          </cell>
          <cell r="L70">
            <v>128033003</v>
          </cell>
          <cell r="M70">
            <v>109881050</v>
          </cell>
          <cell r="N70">
            <v>110442650</v>
          </cell>
          <cell r="O70">
            <v>114742607</v>
          </cell>
        </row>
        <row r="71">
          <cell r="G71">
            <v>92371029</v>
          </cell>
          <cell r="H71">
            <v>126575151</v>
          </cell>
          <cell r="I71">
            <v>111494709</v>
          </cell>
          <cell r="J71">
            <v>145194734</v>
          </cell>
          <cell r="K71">
            <v>147658797</v>
          </cell>
          <cell r="L71">
            <v>150090658</v>
          </cell>
          <cell r="M71">
            <v>150336910</v>
          </cell>
          <cell r="N71">
            <v>135867416</v>
          </cell>
          <cell r="O71">
            <v>130887285</v>
          </cell>
        </row>
        <row r="72">
          <cell r="G72">
            <v>106492710</v>
          </cell>
          <cell r="H72">
            <v>126257818</v>
          </cell>
          <cell r="I72">
            <v>124324164</v>
          </cell>
          <cell r="J72">
            <v>144637673</v>
          </cell>
          <cell r="K72">
            <v>160888556</v>
          </cell>
          <cell r="L72">
            <v>149356126</v>
          </cell>
          <cell r="M72">
            <v>144396494</v>
          </cell>
          <cell r="N72">
            <v>144286382</v>
          </cell>
          <cell r="O72">
            <v>133835520</v>
          </cell>
        </row>
        <row r="73">
          <cell r="F73">
            <v>109855624</v>
          </cell>
          <cell r="G73">
            <v>121530326</v>
          </cell>
          <cell r="H73">
            <v>135261004</v>
          </cell>
          <cell r="I73">
            <v>147074058</v>
          </cell>
          <cell r="J73">
            <v>166235446</v>
          </cell>
          <cell r="K73">
            <v>164042436</v>
          </cell>
          <cell r="L73">
            <v>143174223</v>
          </cell>
          <cell r="M73">
            <v>150501950</v>
          </cell>
          <cell r="N73">
            <v>139875243</v>
          </cell>
          <cell r="O73">
            <v>163593533</v>
          </cell>
        </row>
        <row r="74">
          <cell r="F74">
            <v>113250338</v>
          </cell>
          <cell r="G74">
            <v>130919551</v>
          </cell>
          <cell r="H74">
            <v>142561451</v>
          </cell>
          <cell r="I74">
            <v>145011076</v>
          </cell>
          <cell r="J74">
            <v>160548223</v>
          </cell>
          <cell r="K74">
            <v>144102423</v>
          </cell>
          <cell r="L74">
            <v>165519330</v>
          </cell>
          <cell r="M74">
            <v>154457118</v>
          </cell>
          <cell r="N74">
            <v>142855221</v>
          </cell>
          <cell r="O74">
            <v>153006295</v>
          </cell>
        </row>
        <row r="75">
          <cell r="F75">
            <v>128017921</v>
          </cell>
          <cell r="G75">
            <v>129173039</v>
          </cell>
          <cell r="H75">
            <v>137963278</v>
          </cell>
          <cell r="I75">
            <v>150290364</v>
          </cell>
          <cell r="J75">
            <v>169779870</v>
          </cell>
          <cell r="K75">
            <v>169452631</v>
          </cell>
          <cell r="L75">
            <v>162738265</v>
          </cell>
          <cell r="M75">
            <v>146890338</v>
          </cell>
          <cell r="N75">
            <v>137545866</v>
          </cell>
          <cell r="O75">
            <v>142593233</v>
          </cell>
        </row>
        <row r="76">
          <cell r="F76">
            <v>127377367</v>
          </cell>
          <cell r="G76">
            <v>125600893</v>
          </cell>
          <cell r="H76">
            <v>161632981</v>
          </cell>
          <cell r="I76">
            <v>157536696</v>
          </cell>
          <cell r="J76">
            <v>180631297</v>
          </cell>
          <cell r="K76">
            <v>153598697</v>
          </cell>
          <cell r="L76">
            <v>171493499</v>
          </cell>
          <cell r="M76">
            <v>154582245</v>
          </cell>
          <cell r="N76">
            <v>151833118</v>
          </cell>
          <cell r="O76">
            <v>152345476</v>
          </cell>
        </row>
        <row r="77">
          <cell r="F77">
            <v>124535190</v>
          </cell>
          <cell r="G77">
            <v>117829158</v>
          </cell>
          <cell r="H77">
            <v>146610102</v>
          </cell>
          <cell r="I77">
            <v>148333215</v>
          </cell>
          <cell r="J77">
            <v>157006356</v>
          </cell>
          <cell r="K77">
            <v>143659811</v>
          </cell>
          <cell r="L77">
            <v>167865219</v>
          </cell>
          <cell r="M77">
            <v>139934774</v>
          </cell>
          <cell r="N77">
            <v>141860945</v>
          </cell>
          <cell r="O77">
            <v>143870897</v>
          </cell>
        </row>
        <row r="78">
          <cell r="F78">
            <v>121329751</v>
          </cell>
          <cell r="G78">
            <v>105019500</v>
          </cell>
          <cell r="H78">
            <v>143064387</v>
          </cell>
          <cell r="I78">
            <v>149347918</v>
          </cell>
          <cell r="J78">
            <v>170944979</v>
          </cell>
          <cell r="K78">
            <v>146618360</v>
          </cell>
          <cell r="L78">
            <v>149489760</v>
          </cell>
          <cell r="M78">
            <v>139778878</v>
          </cell>
          <cell r="N78">
            <v>138040230</v>
          </cell>
          <cell r="O78">
            <v>144087366</v>
          </cell>
        </row>
        <row r="79">
          <cell r="F79">
            <v>97332075</v>
          </cell>
          <cell r="G79">
            <v>96476718</v>
          </cell>
          <cell r="H79">
            <v>139703517</v>
          </cell>
          <cell r="I79">
            <v>147829945</v>
          </cell>
          <cell r="J79">
            <v>150780540</v>
          </cell>
          <cell r="K79">
            <v>119139678</v>
          </cell>
          <cell r="L79">
            <v>142828517</v>
          </cell>
          <cell r="M79">
            <v>140856752</v>
          </cell>
          <cell r="N79">
            <v>141295576</v>
          </cell>
          <cell r="O79">
            <v>135022031</v>
          </cell>
        </row>
        <row r="80">
          <cell r="F80">
            <v>163494776</v>
          </cell>
          <cell r="G80">
            <v>110100066</v>
          </cell>
          <cell r="H80">
            <v>187163249</v>
          </cell>
          <cell r="I80">
            <v>162595163</v>
          </cell>
          <cell r="J80">
            <v>183329377</v>
          </cell>
          <cell r="K80">
            <v>139601581</v>
          </cell>
          <cell r="L80">
            <v>175881221</v>
          </cell>
          <cell r="M80">
            <v>165708240</v>
          </cell>
          <cell r="N80">
            <v>145591401</v>
          </cell>
          <cell r="O80">
            <v>135716325</v>
          </cell>
        </row>
        <row r="101">
          <cell r="G101">
            <v>8626445</v>
          </cell>
          <cell r="H101">
            <v>20718362</v>
          </cell>
          <cell r="I101">
            <v>21190089</v>
          </cell>
          <cell r="J101">
            <v>10696089</v>
          </cell>
          <cell r="K101">
            <v>11809234</v>
          </cell>
          <cell r="L101">
            <v>13737888</v>
          </cell>
          <cell r="M101">
            <v>8536219</v>
          </cell>
          <cell r="N101">
            <v>12701046</v>
          </cell>
          <cell r="O101">
            <v>24582474</v>
          </cell>
        </row>
        <row r="102">
          <cell r="G102">
            <v>5025091</v>
          </cell>
          <cell r="H102">
            <v>13775403</v>
          </cell>
          <cell r="I102">
            <v>29772126</v>
          </cell>
          <cell r="J102">
            <v>11584681</v>
          </cell>
          <cell r="K102">
            <v>10968228</v>
          </cell>
          <cell r="L102">
            <v>11466902</v>
          </cell>
          <cell r="M102">
            <v>7661613</v>
          </cell>
          <cell r="N102">
            <v>6743825</v>
          </cell>
          <cell r="O102">
            <v>40796313</v>
          </cell>
        </row>
        <row r="103">
          <cell r="G103">
            <v>8540515</v>
          </cell>
          <cell r="H103">
            <v>8682557</v>
          </cell>
          <cell r="I103">
            <v>40549915</v>
          </cell>
          <cell r="J103">
            <v>15643523</v>
          </cell>
          <cell r="K103">
            <v>12055979</v>
          </cell>
          <cell r="L103">
            <v>18577254</v>
          </cell>
          <cell r="M103">
            <v>15146974</v>
          </cell>
          <cell r="N103">
            <v>22680677</v>
          </cell>
          <cell r="O103">
            <v>44788401</v>
          </cell>
        </row>
        <row r="104">
          <cell r="G104">
            <v>12071285</v>
          </cell>
          <cell r="H104">
            <v>29184344</v>
          </cell>
          <cell r="I104">
            <v>20854252</v>
          </cell>
          <cell r="J104">
            <v>15936188</v>
          </cell>
          <cell r="K104">
            <v>21520142</v>
          </cell>
          <cell r="L104">
            <v>18683140</v>
          </cell>
          <cell r="M104">
            <v>17336621</v>
          </cell>
          <cell r="N104">
            <v>29873220</v>
          </cell>
          <cell r="O104">
            <v>34964458</v>
          </cell>
        </row>
        <row r="105">
          <cell r="F105">
            <v>4860083</v>
          </cell>
          <cell r="G105">
            <v>14419954</v>
          </cell>
          <cell r="H105">
            <v>33741590</v>
          </cell>
          <cell r="I105">
            <v>39031612</v>
          </cell>
          <cell r="J105">
            <v>16056827</v>
          </cell>
          <cell r="K105">
            <v>15655745</v>
          </cell>
          <cell r="L105">
            <v>18646666</v>
          </cell>
          <cell r="M105">
            <v>13326443</v>
          </cell>
          <cell r="N105">
            <v>11776660</v>
          </cell>
          <cell r="O105">
            <v>39419838</v>
          </cell>
        </row>
        <row r="106">
          <cell r="F106">
            <v>5538706</v>
          </cell>
          <cell r="G106">
            <v>16633771</v>
          </cell>
          <cell r="H106">
            <v>56793626</v>
          </cell>
          <cell r="I106">
            <v>83762771</v>
          </cell>
          <cell r="J106">
            <v>12234295</v>
          </cell>
          <cell r="K106">
            <v>19389140</v>
          </cell>
          <cell r="L106">
            <v>16749201</v>
          </cell>
          <cell r="M106">
            <v>17588416</v>
          </cell>
          <cell r="N106">
            <v>19314836</v>
          </cell>
          <cell r="O106">
            <v>41179873</v>
          </cell>
        </row>
        <row r="107">
          <cell r="F107">
            <v>16821335</v>
          </cell>
          <cell r="G107">
            <v>37059083</v>
          </cell>
          <cell r="H107">
            <v>26661866</v>
          </cell>
          <cell r="I107">
            <v>54630838</v>
          </cell>
          <cell r="J107">
            <v>5311333</v>
          </cell>
          <cell r="K107">
            <v>16326425</v>
          </cell>
          <cell r="L107">
            <v>19995093</v>
          </cell>
          <cell r="M107">
            <v>15382342</v>
          </cell>
          <cell r="N107">
            <v>8715707</v>
          </cell>
          <cell r="O107">
            <v>30319251</v>
          </cell>
        </row>
        <row r="108">
          <cell r="F108">
            <v>7814992</v>
          </cell>
          <cell r="G108">
            <v>30674729</v>
          </cell>
          <cell r="H108">
            <v>61457420</v>
          </cell>
          <cell r="I108">
            <v>52041080</v>
          </cell>
          <cell r="J108">
            <v>13020993</v>
          </cell>
          <cell r="K108">
            <v>8822166</v>
          </cell>
          <cell r="L108">
            <v>16351622</v>
          </cell>
          <cell r="M108">
            <v>11048139</v>
          </cell>
          <cell r="N108">
            <v>15269993</v>
          </cell>
          <cell r="O108">
            <v>44239929</v>
          </cell>
        </row>
        <row r="109">
          <cell r="F109">
            <v>12406590</v>
          </cell>
          <cell r="G109">
            <v>21838343</v>
          </cell>
          <cell r="H109">
            <v>73263294</v>
          </cell>
          <cell r="I109">
            <v>27897293</v>
          </cell>
          <cell r="J109">
            <v>11814679</v>
          </cell>
          <cell r="K109">
            <v>14859020</v>
          </cell>
          <cell r="L109">
            <v>14054214</v>
          </cell>
          <cell r="M109">
            <v>11792295</v>
          </cell>
          <cell r="N109">
            <v>19091391</v>
          </cell>
          <cell r="O109">
            <v>40464493</v>
          </cell>
        </row>
        <row r="110">
          <cell r="F110">
            <v>15251830</v>
          </cell>
          <cell r="G110">
            <v>41794902</v>
          </cell>
          <cell r="H110">
            <v>50535806</v>
          </cell>
          <cell r="I110">
            <v>36685627</v>
          </cell>
          <cell r="J110">
            <v>20321432</v>
          </cell>
          <cell r="K110">
            <v>13781446</v>
          </cell>
          <cell r="L110">
            <v>15282502</v>
          </cell>
          <cell r="M110">
            <v>17888148</v>
          </cell>
          <cell r="N110">
            <v>17330959</v>
          </cell>
          <cell r="O110">
            <v>57044013</v>
          </cell>
        </row>
        <row r="111">
          <cell r="F111">
            <v>25962646</v>
          </cell>
          <cell r="G111">
            <v>26419166</v>
          </cell>
          <cell r="H111">
            <v>65730799</v>
          </cell>
          <cell r="I111">
            <v>24382225</v>
          </cell>
          <cell r="J111">
            <v>12920360</v>
          </cell>
          <cell r="K111">
            <v>15235613</v>
          </cell>
          <cell r="L111">
            <v>21944490</v>
          </cell>
          <cell r="M111">
            <v>21482583</v>
          </cell>
          <cell r="N111">
            <v>33817396</v>
          </cell>
          <cell r="O111">
            <v>42541477</v>
          </cell>
        </row>
        <row r="112">
          <cell r="F112">
            <v>16360522</v>
          </cell>
          <cell r="G112">
            <v>38152911</v>
          </cell>
          <cell r="H112">
            <v>121095251</v>
          </cell>
          <cell r="I112">
            <v>31116816</v>
          </cell>
          <cell r="J112">
            <v>29600921</v>
          </cell>
          <cell r="K112">
            <v>24318415</v>
          </cell>
          <cell r="L112">
            <v>24004702</v>
          </cell>
          <cell r="M112">
            <v>51260934</v>
          </cell>
          <cell r="N112">
            <v>43008881</v>
          </cell>
          <cell r="O112">
            <v>64593783</v>
          </cell>
        </row>
      </sheetData>
      <sheetData sheetId="11"/>
      <sheetData sheetId="12"/>
      <sheetData sheetId="13"/>
      <sheetData sheetId="14">
        <row r="104">
          <cell r="AR104">
            <v>5200778</v>
          </cell>
        </row>
      </sheetData>
      <sheetData sheetId="15"/>
      <sheetData sheetId="16"/>
      <sheetData sheetId="17"/>
      <sheetData sheetId="18">
        <row r="30">
          <cell r="L30">
            <v>9.5198057542983591E-2</v>
          </cell>
          <cell r="M30">
            <v>0.10305423778294379</v>
          </cell>
          <cell r="N30">
            <v>0.10559683835528583</v>
          </cell>
          <cell r="O30">
            <v>0.10710500934695366</v>
          </cell>
          <cell r="P30">
            <v>0.10755237957113294</v>
          </cell>
          <cell r="Q30">
            <v>0.10524621284526418</v>
          </cell>
          <cell r="R30">
            <v>0.10726493883896951</v>
          </cell>
          <cell r="S30">
            <v>0.10664376225619519</v>
          </cell>
          <cell r="T30">
            <v>0.10685242730253049</v>
          </cell>
          <cell r="U30">
            <v>0.10680119687197259</v>
          </cell>
          <cell r="V30">
            <v>0.10665025197730595</v>
          </cell>
          <cell r="W30">
            <v>0.10693035707074354</v>
          </cell>
          <cell r="X30">
            <v>0.10686274356137335</v>
          </cell>
          <cell r="Y30">
            <v>0.10690584819966592</v>
          </cell>
          <cell r="Z30">
            <v>0.10691584624541935</v>
          </cell>
          <cell r="AA30">
            <v>0.1069380954319404</v>
          </cell>
          <cell r="AB30">
            <v>0.10699498883698602</v>
          </cell>
        </row>
        <row r="31">
          <cell r="L31">
            <v>345194670.00000191</v>
          </cell>
          <cell r="M31">
            <v>320176420</v>
          </cell>
          <cell r="N31">
            <v>-840599018.99999809</v>
          </cell>
          <cell r="O31">
            <v>-583708223</v>
          </cell>
          <cell r="P31">
            <v>-146918200</v>
          </cell>
          <cell r="Q31">
            <v>-73690845.469572067</v>
          </cell>
          <cell r="R31">
            <v>408316773.90032005</v>
          </cell>
          <cell r="S31">
            <v>576289424.08061409</v>
          </cell>
          <cell r="T31">
            <v>867929413.19973564</v>
          </cell>
          <cell r="U31">
            <v>1017987683.8811779</v>
          </cell>
          <cell r="V31">
            <v>1232471203.1460228</v>
          </cell>
          <cell r="W31">
            <v>1498041908.434494</v>
          </cell>
          <cell r="X31">
            <v>1716442010.1575222</v>
          </cell>
          <cell r="Y31">
            <v>2171171192.1803989</v>
          </cell>
          <cell r="Z31">
            <v>2517939399.031559</v>
          </cell>
          <cell r="AA31">
            <v>2668220723.9111519</v>
          </cell>
          <cell r="AB31">
            <v>2755442489.6380997</v>
          </cell>
        </row>
        <row r="32">
          <cell r="L32">
            <v>2020</v>
          </cell>
          <cell r="M32">
            <v>2021</v>
          </cell>
          <cell r="N32">
            <v>2022</v>
          </cell>
          <cell r="O32">
            <v>2023</v>
          </cell>
          <cell r="P32">
            <v>2024</v>
          </cell>
          <cell r="Q32">
            <v>2025</v>
          </cell>
          <cell r="R32">
            <v>2026</v>
          </cell>
          <cell r="S32">
            <v>2027</v>
          </cell>
          <cell r="T32">
            <v>2028</v>
          </cell>
          <cell r="U32">
            <v>2029</v>
          </cell>
          <cell r="V32">
            <v>2030</v>
          </cell>
          <cell r="W32">
            <v>2031</v>
          </cell>
          <cell r="X32">
            <v>2032</v>
          </cell>
          <cell r="Y32">
            <v>2033</v>
          </cell>
          <cell r="Z32">
            <v>2034</v>
          </cell>
          <cell r="AA32">
            <v>2035</v>
          </cell>
          <cell r="AB32">
            <v>2036</v>
          </cell>
        </row>
        <row r="33">
          <cell r="L33">
            <v>1246862311</v>
          </cell>
          <cell r="M33">
            <v>1076940326</v>
          </cell>
          <cell r="N33">
            <v>1210570470</v>
          </cell>
          <cell r="O33">
            <v>1209680062</v>
          </cell>
          <cell r="P33">
            <v>1205701584</v>
          </cell>
          <cell r="Q33">
            <v>1245242512</v>
          </cell>
          <cell r="R33">
            <v>1197445647.3450313</v>
          </cell>
          <cell r="S33">
            <v>1220433807.926218</v>
          </cell>
          <cell r="T33">
            <v>1229450780.63536</v>
          </cell>
          <cell r="U33">
            <v>1240802216.0450516</v>
          </cell>
          <cell r="V33">
            <v>1253759064.0639737</v>
          </cell>
          <cell r="W33">
            <v>1259878909.3116407</v>
          </cell>
          <cell r="X33">
            <v>1271709528.9754722</v>
          </cell>
          <cell r="Y33">
            <v>1282251334.1480241</v>
          </cell>
          <cell r="Z33">
            <v>1293022115.6115513</v>
          </cell>
          <cell r="AA33">
            <v>1303715078.013936</v>
          </cell>
          <cell r="AB33">
            <v>1313967062.4893503</v>
          </cell>
        </row>
        <row r="34">
          <cell r="L34">
            <v>1155041535</v>
          </cell>
          <cell r="M34">
            <v>897684298</v>
          </cell>
          <cell r="N34">
            <v>1070334623</v>
          </cell>
          <cell r="O34">
            <v>1125647359</v>
          </cell>
          <cell r="P34">
            <v>1209610736</v>
          </cell>
          <cell r="Q34">
            <v>1120306678</v>
          </cell>
          <cell r="R34">
            <v>1090816542.8095653</v>
          </cell>
          <cell r="S34">
            <v>1129790774.401402</v>
          </cell>
          <cell r="T34">
            <v>1148364117.2556152</v>
          </cell>
          <cell r="U34">
            <v>1159477265.0769424</v>
          </cell>
          <cell r="V34">
            <v>1154822389.7897949</v>
          </cell>
          <cell r="W34">
            <v>1165854339.6434848</v>
          </cell>
          <cell r="X34">
            <v>1180274993.9293587</v>
          </cell>
          <cell r="Y34">
            <v>1190657475.4507065</v>
          </cell>
          <cell r="Z34">
            <v>1199273172.1161976</v>
          </cell>
          <cell r="AA34">
            <v>1207419748.2789812</v>
          </cell>
          <cell r="AB34">
            <v>1218213835.6740832</v>
          </cell>
        </row>
        <row r="35">
          <cell r="L35">
            <v>1128723447</v>
          </cell>
          <cell r="M35">
            <v>1185146443</v>
          </cell>
          <cell r="N35">
            <v>1266829142</v>
          </cell>
          <cell r="O35">
            <v>1215002124</v>
          </cell>
          <cell r="P35">
            <v>1187428875</v>
          </cell>
          <cell r="Q35">
            <v>1214311837</v>
          </cell>
          <cell r="R35">
            <v>1220615692.0216711</v>
          </cell>
          <cell r="S35">
            <v>1227283850.6440778</v>
          </cell>
          <cell r="T35">
            <v>1226790986.2994208</v>
          </cell>
          <cell r="U35">
            <v>1236448135.1813366</v>
          </cell>
          <cell r="V35">
            <v>1252161721.5279405</v>
          </cell>
          <cell r="W35">
            <v>1264250525.8368957</v>
          </cell>
          <cell r="X35">
            <v>1272244070.5352752</v>
          </cell>
          <cell r="Y35">
            <v>1281502469.3214407</v>
          </cell>
          <cell r="Z35">
            <v>1292652748.7894018</v>
          </cell>
          <cell r="AA35">
            <v>1304162055.9616728</v>
          </cell>
          <cell r="AB35">
            <v>1314836736.6965733</v>
          </cell>
        </row>
        <row r="36">
          <cell r="L36">
            <v>638195944</v>
          </cell>
          <cell r="M36">
            <v>1130685524</v>
          </cell>
          <cell r="N36">
            <v>1132884643</v>
          </cell>
          <cell r="O36">
            <v>1149481362</v>
          </cell>
          <cell r="P36">
            <v>1192043647</v>
          </cell>
          <cell r="Q36">
            <v>1070934314.5474825</v>
          </cell>
          <cell r="R36">
            <v>1142286057.4468083</v>
          </cell>
          <cell r="S36">
            <v>1141856133.1922858</v>
          </cell>
          <cell r="T36">
            <v>1150517011.2158082</v>
          </cell>
          <cell r="U36">
            <v>1157961980.8947403</v>
          </cell>
          <cell r="V36">
            <v>1157348729.9207146</v>
          </cell>
          <cell r="W36">
            <v>1179043211.1078668</v>
          </cell>
          <cell r="X36">
            <v>1186097722.154073</v>
          </cell>
          <cell r="Y36">
            <v>1195210398.2438049</v>
          </cell>
          <cell r="Z36">
            <v>1204307106.3637154</v>
          </cell>
          <cell r="AA36">
            <v>1213795730.6116726</v>
          </cell>
          <cell r="AB36">
            <v>1225382262.0119784</v>
          </cell>
        </row>
        <row r="37">
          <cell r="L37">
            <v>839783910</v>
          </cell>
          <cell r="M37">
            <v>1257888244</v>
          </cell>
          <cell r="N37">
            <v>1229187862</v>
          </cell>
          <cell r="O37">
            <v>1269149591</v>
          </cell>
          <cell r="P37">
            <v>1265620270</v>
          </cell>
          <cell r="Q37">
            <v>1199306427.3776815</v>
          </cell>
          <cell r="R37">
            <v>1250297831.4638512</v>
          </cell>
          <cell r="S37">
            <v>1247786056.963222</v>
          </cell>
          <cell r="T37">
            <v>1259261898.1086383</v>
          </cell>
          <cell r="U37">
            <v>1265828407.169147</v>
          </cell>
          <cell r="V37">
            <v>1271885416.7917988</v>
          </cell>
          <cell r="W37">
            <v>1291208167.4634781</v>
          </cell>
          <cell r="X37">
            <v>1298685492.1890543</v>
          </cell>
          <cell r="Y37">
            <v>1309164436.0805442</v>
          </cell>
          <cell r="Z37">
            <v>1319325749.4533722</v>
          </cell>
          <cell r="AA37">
            <v>1330279506.5816829</v>
          </cell>
          <cell r="AB37">
            <v>1342265750.4119637</v>
          </cell>
        </row>
        <row r="38">
          <cell r="L38">
            <v>1071106093</v>
          </cell>
          <cell r="M38">
            <v>1263970706</v>
          </cell>
          <cell r="N38">
            <v>1289620439</v>
          </cell>
          <cell r="O38">
            <v>1281223297</v>
          </cell>
          <cell r="P38">
            <v>1210964535</v>
          </cell>
          <cell r="Q38">
            <v>1252534131.6291037</v>
          </cell>
          <cell r="R38">
            <v>1266700684.5414958</v>
          </cell>
          <cell r="S38">
            <v>1266704937.1032228</v>
          </cell>
          <cell r="T38">
            <v>1269288110.1670325</v>
          </cell>
          <cell r="U38">
            <v>1274181544.3837361</v>
          </cell>
          <cell r="V38">
            <v>1293753831.7172627</v>
          </cell>
          <cell r="W38">
            <v>1306739757.4846361</v>
          </cell>
          <cell r="X38">
            <v>1313999307.6689744</v>
          </cell>
          <cell r="Y38">
            <v>1323739078.3002501</v>
          </cell>
          <cell r="Z38">
            <v>1334832682.0635223</v>
          </cell>
          <cell r="AA38">
            <v>1347252763.8019536</v>
          </cell>
          <cell r="AB38">
            <v>1358235541.8595746</v>
          </cell>
        </row>
        <row r="39">
          <cell r="L39">
            <v>1170632814</v>
          </cell>
          <cell r="M39">
            <v>1274480273</v>
          </cell>
          <cell r="N39">
            <v>1209337395</v>
          </cell>
          <cell r="O39">
            <v>1276548415</v>
          </cell>
          <cell r="P39">
            <v>1325929257</v>
          </cell>
          <cell r="Q39">
            <v>1285030717.7430379</v>
          </cell>
          <cell r="R39">
            <v>1284261121.7170761</v>
          </cell>
          <cell r="S39">
            <v>1283815706.1003165</v>
          </cell>
          <cell r="T39">
            <v>1306269174.644912</v>
          </cell>
          <cell r="U39">
            <v>1319471469.6630034</v>
          </cell>
          <cell r="V39">
            <v>1324251547.2149951</v>
          </cell>
          <cell r="W39">
            <v>1336962635.1235235</v>
          </cell>
          <cell r="X39">
            <v>1346817027.8338377</v>
          </cell>
          <cell r="Y39">
            <v>1359776511.1367311</v>
          </cell>
          <cell r="Z39">
            <v>1370676396.3275356</v>
          </cell>
          <cell r="AA39">
            <v>1381159809.4256949</v>
          </cell>
          <cell r="AB39">
            <v>1392841392.9769015</v>
          </cell>
        </row>
        <row r="40">
          <cell r="K40">
            <v>1251992948</v>
          </cell>
          <cell r="L40">
            <v>1126569822</v>
          </cell>
          <cell r="M40">
            <v>1214931088</v>
          </cell>
          <cell r="N40">
            <v>1268928960</v>
          </cell>
          <cell r="O40">
            <v>1273370657</v>
          </cell>
          <cell r="P40">
            <v>1317843752</v>
          </cell>
          <cell r="Q40">
            <v>1273000602.3081188</v>
          </cell>
          <cell r="R40">
            <v>1288363002.939677</v>
          </cell>
          <cell r="S40">
            <v>1319797124.353241</v>
          </cell>
          <cell r="T40">
            <v>1323161917.8231897</v>
          </cell>
          <cell r="U40">
            <v>1332175661.8212132</v>
          </cell>
          <cell r="V40">
            <v>1335255601.7556679</v>
          </cell>
          <cell r="W40">
            <v>1347862073.5586877</v>
          </cell>
          <cell r="X40">
            <v>1356349787.3176894</v>
          </cell>
          <cell r="Y40">
            <v>1365095595.360034</v>
          </cell>
          <cell r="Z40">
            <v>1374480837.8765597</v>
          </cell>
          <cell r="AA40">
            <v>1383794471.8457243</v>
          </cell>
          <cell r="AB40">
            <v>1394368155.7600482</v>
          </cell>
        </row>
        <row r="41">
          <cell r="K41">
            <v>1192047218</v>
          </cell>
          <cell r="L41">
            <v>1119849242</v>
          </cell>
          <cell r="M41">
            <v>1157746336</v>
          </cell>
          <cell r="N41">
            <v>1125059424</v>
          </cell>
          <cell r="O41">
            <v>1178003954</v>
          </cell>
          <cell r="P41">
            <v>1213706725</v>
          </cell>
          <cell r="Q41">
            <v>1187729718.2245543</v>
          </cell>
          <cell r="R41">
            <v>1179753054.0928557</v>
          </cell>
          <cell r="S41">
            <v>1183709784.4799883</v>
          </cell>
          <cell r="T41">
            <v>1203175343.3146923</v>
          </cell>
          <cell r="U41">
            <v>1214531944.5923924</v>
          </cell>
          <cell r="V41">
            <v>1220167060.6756775</v>
          </cell>
          <cell r="W41">
            <v>1231036315.4351096</v>
          </cell>
          <cell r="X41">
            <v>1240600768.6055169</v>
          </cell>
          <cell r="Y41">
            <v>1252306580.4755938</v>
          </cell>
          <cell r="Z41">
            <v>1262312088.3939288</v>
          </cell>
          <cell r="AA41">
            <v>1272094354.3060348</v>
          </cell>
          <cell r="AB41">
            <v>1282754506.7455785</v>
          </cell>
        </row>
      </sheetData>
      <sheetData sheetId="19"/>
      <sheetData sheetId="20">
        <row r="35">
          <cell r="R35">
            <v>1220475148.3910947</v>
          </cell>
        </row>
      </sheetData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3H2NNMB766WZDI6HXLG4EJHMOK"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Protein Meal and Animal Units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  <sheetName val="FOG MY Balance Sheet"/>
      <sheetName val="FOG CY Balance Sheet"/>
      <sheetName val="Corn Oil Balance Sheet"/>
      <sheetName val="Distillers' Corn Oil Complex"/>
      <sheetName val="Corn Oil Monthly Bal"/>
      <sheetName val="Palm Complex"/>
      <sheetName val="Copra Complex"/>
      <sheetName val="Meat and Bone Meal Complex"/>
      <sheetName val="Inedible Fat and Oil Bal"/>
      <sheetName val="Tallow Complex"/>
      <sheetName val="Technical Tallow"/>
      <sheetName val="Edible Tallow Complex"/>
      <sheetName val="Inedible Tallow Complex"/>
      <sheetName val="Grease Complex"/>
      <sheetName val="UCO-YG Combined Bal Sheets"/>
      <sheetName val="tblSAFFeedstock"/>
      <sheetName val="DataDepotMetaData"/>
      <sheetName val="Yellow Grease Complex"/>
      <sheetName val="Used Cooking Oil Complex"/>
      <sheetName val="CWG Complex"/>
      <sheetName val="Lard Complex"/>
      <sheetName val="Feather Meal Complex"/>
      <sheetName val="Poultry Fat Non-Bio Use"/>
      <sheetName val="Poultry Fat Bio Use"/>
      <sheetName val="Poultry Byproduct Complex"/>
      <sheetName val="SBO_NonBioUse_chart"/>
      <sheetName val="SBO_Nonbiochart_data"/>
      <sheetName val="Chart1"/>
      <sheetName val="Chart1-old"/>
      <sheetName val="Chart2"/>
      <sheetName val="Chart3"/>
      <sheetName val="Chart5 (2)"/>
      <sheetName val="Chart5 (3)"/>
      <sheetName val="Chart4"/>
      <sheetName val="Chart5"/>
      <sheetName val="Chart6"/>
      <sheetName val="Chart7"/>
      <sheetName val="Chart9"/>
      <sheetName val="Chart8"/>
      <sheetName val="Chart10"/>
      <sheetName val="Chart11"/>
      <sheetName val="Chart12"/>
      <sheetName val="US VO Trade Balance Chart"/>
      <sheetName val="Chart13"/>
      <sheetName val="Chart78"/>
      <sheetName val="SBO BBD use chart"/>
      <sheetName val="SBO Daily Use"/>
      <sheetName val="Chart14"/>
      <sheetName val="US SBO Use Breakout Chart"/>
      <sheetName val="SBO Ref Margin"/>
      <sheetName val="Sheet1"/>
      <sheetName val="Chart15"/>
      <sheetName val="Price Spreads"/>
      <sheetName val="Chart16"/>
      <sheetName val="Chart17"/>
      <sheetName val="SBO Biofuel Use Data"/>
      <sheetName val="Chart18"/>
      <sheetName val="Chart19"/>
      <sheetName val="Chart20"/>
      <sheetName val="Chart21"/>
      <sheetName val="Chart22"/>
      <sheetName val="Chart23"/>
      <sheetName val="Oil Domestic Use"/>
      <sheetName val="Oil Biodiesel Use"/>
      <sheetName val="Oil Non-Biodiesel Use"/>
      <sheetName val="Chart24"/>
      <sheetName val="Chart25"/>
      <sheetName val="SBO Stocks Cont"/>
      <sheetName val="Veg Oil Stocks"/>
      <sheetName val="Chart26"/>
      <sheetName val="Chart27"/>
      <sheetName val="Chart28"/>
      <sheetName val="Chart29"/>
      <sheetName val="Chart30"/>
      <sheetName val="Chart31"/>
      <sheetName val="Chart32"/>
      <sheetName val="Chart33"/>
      <sheetName val="Chart34"/>
      <sheetName val="Chart35"/>
      <sheetName val="Canola Oil Imports-Ex Canada"/>
      <sheetName val="Canola Meal Domestic Use"/>
      <sheetName val="Chart79"/>
      <sheetName val="CO Monthly BBD Feedstock Use"/>
      <sheetName val="Chart36"/>
      <sheetName val="Chart37"/>
      <sheetName val="Chart38"/>
      <sheetName val="Chart39"/>
      <sheetName val="FoG Qrtly imports"/>
      <sheetName val="Chart40"/>
      <sheetName val="Chart41"/>
      <sheetName val="Inedible Tallow Price Chart"/>
      <sheetName val="Tallow Imports"/>
      <sheetName val="Chart42"/>
      <sheetName val="Chart43"/>
      <sheetName val="Chart44"/>
      <sheetName val="Chart45"/>
      <sheetName val="Chart46"/>
      <sheetName val="Chart47"/>
      <sheetName val="Chart48"/>
      <sheetName val="Chart49"/>
      <sheetName val="Chart51"/>
      <sheetName val="Chart52"/>
      <sheetName val="UCO-YG RD Use"/>
      <sheetName val="UCO-YG BD Use"/>
      <sheetName val="Chart53"/>
      <sheetName val="Chart54"/>
      <sheetName val="China UCO Monthly Export US-EU"/>
      <sheetName val="UCO Imports by Origin"/>
      <sheetName val="Chart55"/>
      <sheetName val="UCO-YG Exports"/>
      <sheetName val="Tallow UCO Imports "/>
      <sheetName val="Chart56"/>
      <sheetName val="Chart57"/>
      <sheetName val="Chart58"/>
      <sheetName val="Chart59"/>
      <sheetName val="CWG Monthly Production"/>
      <sheetName val="Monthly CWG Imports"/>
      <sheetName val="Chart60"/>
      <sheetName val="Chart61"/>
      <sheetName val="Chart62"/>
      <sheetName val="Chart63"/>
      <sheetName val="Chart64"/>
      <sheetName val="Chart65"/>
      <sheetName val="Chart66"/>
      <sheetName val="Chart67"/>
      <sheetName val="Chart68"/>
      <sheetName val="Chart69"/>
      <sheetName val="Chart70"/>
      <sheetName val="Chart71"/>
      <sheetName val="Chart72"/>
      <sheetName val="Chart73"/>
      <sheetName val="Chart74"/>
      <sheetName val="Chart75"/>
      <sheetName val="Chart76"/>
      <sheetName val="Chart77"/>
      <sheetName val="Complex Template Meal-Oil"/>
      <sheetName val="Complex Template"/>
      <sheetName val="Monthly Bal Template"/>
      <sheetName val="Chart50"/>
      <sheetName val="Sc1-Cc1_chartdata"/>
      <sheetName val="Sc1-Cc1_chat"/>
      <sheetName val="Canola Complex (2)"/>
      <sheetName val="Argentina Soybean Oil Exports"/>
      <sheetName val="usoilseedbal"/>
    </sheetNames>
    <sheetDataSet>
      <sheetData sheetId="0"/>
      <sheetData sheetId="1"/>
      <sheetData sheetId="2"/>
      <sheetData sheetId="3"/>
      <sheetData sheetId="4"/>
      <sheetData sheetId="5">
        <row r="436">
          <cell r="DZ436">
            <v>531.24151557377047</v>
          </cell>
        </row>
        <row r="594">
          <cell r="BI594">
            <v>33.269100000000002</v>
          </cell>
          <cell r="BJ594">
            <v>37.026800000000001</v>
          </cell>
          <cell r="BK594">
            <v>79.65095238095239</v>
          </cell>
          <cell r="BL594">
            <v>84.172857142857154</v>
          </cell>
          <cell r="BM594">
            <v>65.822727272727278</v>
          </cell>
          <cell r="BN594">
            <v>47.606086956521729</v>
          </cell>
          <cell r="BO594">
            <v>47.75</v>
          </cell>
          <cell r="BP594">
            <v>50.75</v>
          </cell>
          <cell r="BQ594">
            <v>53</v>
          </cell>
          <cell r="BR594">
            <v>57.75</v>
          </cell>
          <cell r="BS594">
            <v>66.5</v>
          </cell>
          <cell r="BT594">
            <v>73.25</v>
          </cell>
          <cell r="BU594">
            <v>75</v>
          </cell>
          <cell r="BV594">
            <v>73.5</v>
          </cell>
          <cell r="BW594">
            <v>70.5</v>
          </cell>
          <cell r="BX594">
            <v>69.25</v>
          </cell>
          <cell r="BY594">
            <v>67.75</v>
          </cell>
          <cell r="BZ594">
            <v>71.75</v>
          </cell>
          <cell r="CA594">
            <v>-171.36277444555466</v>
          </cell>
          <cell r="CB594">
            <v>-975.65792829373697</v>
          </cell>
          <cell r="CC594">
            <v>-1798.5121738934522</v>
          </cell>
          <cell r="CD594">
            <v>-2309.0731766288754</v>
          </cell>
        </row>
        <row r="595">
          <cell r="BI595">
            <v>33.766500000000001</v>
          </cell>
          <cell r="BJ595">
            <v>41.102499999999999</v>
          </cell>
          <cell r="BK595">
            <v>77.377619047619064</v>
          </cell>
          <cell r="BL595">
            <v>91.439047619047614</v>
          </cell>
          <cell r="BM595">
            <v>63.272857142857141</v>
          </cell>
          <cell r="BN595">
            <v>49.0685</v>
          </cell>
          <cell r="BO595">
            <v>49.75</v>
          </cell>
          <cell r="BP595">
            <v>53</v>
          </cell>
          <cell r="BQ595">
            <v>54.5</v>
          </cell>
          <cell r="BR595">
            <v>58</v>
          </cell>
          <cell r="BS595">
            <v>69.25</v>
          </cell>
          <cell r="BT595">
            <v>73.25</v>
          </cell>
          <cell r="BU595">
            <v>74.75</v>
          </cell>
          <cell r="BV595">
            <v>74.25</v>
          </cell>
          <cell r="BW595">
            <v>71.75</v>
          </cell>
          <cell r="BX595">
            <v>70.25</v>
          </cell>
          <cell r="BY595">
            <v>70.5</v>
          </cell>
          <cell r="BZ595">
            <v>76</v>
          </cell>
          <cell r="CA595">
            <v>-242.98960233898265</v>
          </cell>
          <cell r="CB595">
            <v>-1076.1222012810344</v>
          </cell>
          <cell r="CC595">
            <v>-1876.6110528926517</v>
          </cell>
          <cell r="CD595">
            <v>-2351.2153931965172</v>
          </cell>
        </row>
        <row r="596">
          <cell r="BI596">
            <v>35.382399999999997</v>
          </cell>
          <cell r="BJ596">
            <v>45.719099999999997</v>
          </cell>
          <cell r="BK596">
            <v>73.03857142857143</v>
          </cell>
          <cell r="BL596">
            <v>78.703809523809525</v>
          </cell>
          <cell r="BM596">
            <v>60.323</v>
          </cell>
          <cell r="BN596">
            <v>43.401904761904767</v>
          </cell>
          <cell r="BO596">
            <v>49.5</v>
          </cell>
          <cell r="BP596">
            <v>52.25</v>
          </cell>
          <cell r="BQ596">
            <v>53</v>
          </cell>
          <cell r="BR596">
            <v>57.25</v>
          </cell>
          <cell r="BS596">
            <v>73</v>
          </cell>
          <cell r="BT596">
            <v>73.75</v>
          </cell>
          <cell r="BU596">
            <v>72.5</v>
          </cell>
          <cell r="BV596">
            <v>73</v>
          </cell>
          <cell r="BW596">
            <v>71.25</v>
          </cell>
          <cell r="BX596">
            <v>70</v>
          </cell>
          <cell r="BY596">
            <v>69.25</v>
          </cell>
          <cell r="BZ596">
            <v>74</v>
          </cell>
          <cell r="CA596">
            <v>-287.10360470754631</v>
          </cell>
          <cell r="CB596">
            <v>-1154.4278494223811</v>
          </cell>
          <cell r="CC596">
            <v>-1923.0415136321724</v>
          </cell>
          <cell r="CD596">
            <v>-2348.1521778361575</v>
          </cell>
        </row>
        <row r="597">
          <cell r="BI597">
            <v>36.0929</v>
          </cell>
          <cell r="BJ597">
            <v>49.417400000000001</v>
          </cell>
          <cell r="BK597">
            <v>75.567499999999995</v>
          </cell>
          <cell r="BL597">
            <v>74.771500000000003</v>
          </cell>
          <cell r="BM597">
            <v>56.159523809523805</v>
          </cell>
          <cell r="BN597">
            <v>46.1095238095238</v>
          </cell>
          <cell r="BO597">
            <v>50</v>
          </cell>
          <cell r="BP597">
            <v>52.5</v>
          </cell>
          <cell r="BQ597">
            <v>53.5</v>
          </cell>
          <cell r="BR597">
            <v>58.25</v>
          </cell>
          <cell r="BS597">
            <v>72.25</v>
          </cell>
          <cell r="BT597">
            <v>75.25</v>
          </cell>
          <cell r="BU597">
            <v>74.25</v>
          </cell>
          <cell r="BV597">
            <v>73.75</v>
          </cell>
          <cell r="BW597">
            <v>72.5</v>
          </cell>
          <cell r="BX597">
            <v>70.5</v>
          </cell>
          <cell r="BY597">
            <v>74.25</v>
          </cell>
          <cell r="BZ597">
            <v>75.75</v>
          </cell>
          <cell r="CA597">
            <v>-326.31972580807013</v>
          </cell>
          <cell r="CB597">
            <v>-1190.3680694454233</v>
          </cell>
          <cell r="CC597">
            <v>-1934.3761492553435</v>
          </cell>
        </row>
        <row r="598">
          <cell r="BI598">
            <v>33.432600000000001</v>
          </cell>
          <cell r="BJ598">
            <v>52.604199999999999</v>
          </cell>
          <cell r="BK598">
            <v>79.657368421052638</v>
          </cell>
          <cell r="BL598">
            <v>71.927894736842092</v>
          </cell>
          <cell r="BM598">
            <v>53.214999999999996</v>
          </cell>
          <cell r="BN598">
            <v>47.9021052631579</v>
          </cell>
          <cell r="BO598">
            <v>48.5</v>
          </cell>
          <cell r="BP598">
            <v>51.5</v>
          </cell>
          <cell r="BQ598">
            <v>51.75</v>
          </cell>
          <cell r="BR598">
            <v>55.75</v>
          </cell>
          <cell r="BS598">
            <v>69.75</v>
          </cell>
          <cell r="BT598">
            <v>73.75</v>
          </cell>
          <cell r="BU598">
            <v>72</v>
          </cell>
          <cell r="BV598">
            <v>70.75</v>
          </cell>
          <cell r="BW598">
            <v>69.25</v>
          </cell>
          <cell r="BX598">
            <v>67</v>
          </cell>
          <cell r="BY598">
            <v>72</v>
          </cell>
          <cell r="BZ598">
            <v>72.75</v>
          </cell>
          <cell r="CA598">
            <v>-375.53139328977716</v>
          </cell>
          <cell r="CB598">
            <v>-1237.4360470699016</v>
          </cell>
          <cell r="CC598">
            <v>-1955.1705404746542</v>
          </cell>
        </row>
        <row r="599">
          <cell r="BI599">
            <v>30.1768</v>
          </cell>
          <cell r="BJ599">
            <v>62.609099999999998</v>
          </cell>
          <cell r="BK599">
            <v>91.289130434782606</v>
          </cell>
          <cell r="BL599">
            <v>68.043478260869549</v>
          </cell>
          <cell r="BM599">
            <v>53.306499999999993</v>
          </cell>
          <cell r="BN599">
            <v>45.5</v>
          </cell>
          <cell r="BO599">
            <v>47</v>
          </cell>
          <cell r="BP599">
            <v>51</v>
          </cell>
          <cell r="BQ599">
            <v>51.5</v>
          </cell>
          <cell r="BR599">
            <v>57.75</v>
          </cell>
          <cell r="BS599">
            <v>72.75</v>
          </cell>
          <cell r="BT599">
            <v>75.25</v>
          </cell>
          <cell r="BU599">
            <v>74.75</v>
          </cell>
          <cell r="BV599">
            <v>74.5</v>
          </cell>
          <cell r="BW599">
            <v>74.75</v>
          </cell>
          <cell r="BX599">
            <v>72.5</v>
          </cell>
          <cell r="BY599">
            <v>75.5</v>
          </cell>
          <cell r="BZ599">
            <v>77.75</v>
          </cell>
          <cell r="CA599">
            <v>-429.90942764187764</v>
          </cell>
          <cell r="CB599">
            <v>-1289.2002343756585</v>
          </cell>
          <cell r="CC599">
            <v>-1978.5324093968509</v>
          </cell>
        </row>
        <row r="600">
          <cell r="BI600">
            <v>28.802900000000001</v>
          </cell>
          <cell r="BJ600">
            <v>71.7667</v>
          </cell>
          <cell r="BK600">
            <v>96.501999999999995</v>
          </cell>
          <cell r="BL600">
            <v>66.049473684210511</v>
          </cell>
          <cell r="BM600">
            <v>50.796818181818168</v>
          </cell>
          <cell r="BN600">
            <v>47.75</v>
          </cell>
          <cell r="BO600">
            <v>47</v>
          </cell>
          <cell r="BP600">
            <v>50.5</v>
          </cell>
          <cell r="BQ600">
            <v>51.5</v>
          </cell>
          <cell r="BR600">
            <v>57.75</v>
          </cell>
          <cell r="BS600">
            <v>71.5</v>
          </cell>
          <cell r="BT600">
            <v>75</v>
          </cell>
          <cell r="BU600">
            <v>73.25</v>
          </cell>
          <cell r="BV600">
            <v>72.25</v>
          </cell>
          <cell r="BW600">
            <v>71</v>
          </cell>
          <cell r="BX600">
            <v>67.75</v>
          </cell>
          <cell r="BY600">
            <v>72</v>
          </cell>
          <cell r="BZ600">
            <v>72.5</v>
          </cell>
          <cell r="CA600">
            <v>-489.77217095174575</v>
          </cell>
          <cell r="CB600">
            <v>-1347.0019415437914</v>
          </cell>
          <cell r="CC600">
            <v>-2009.1043275377619</v>
          </cell>
        </row>
        <row r="601">
          <cell r="BH601">
            <v>30.131399999999999</v>
          </cell>
          <cell r="BI601">
            <v>28.418500000000002</v>
          </cell>
          <cell r="BJ601">
            <v>92.789500000000004</v>
          </cell>
          <cell r="BK601">
            <v>104.02857142857144</v>
          </cell>
          <cell r="BL601">
            <v>63.015454545454553</v>
          </cell>
          <cell r="BM601">
            <v>50.794090909090897</v>
          </cell>
          <cell r="BN601">
            <v>49.5</v>
          </cell>
          <cell r="BO601">
            <v>50.75</v>
          </cell>
          <cell r="BP601">
            <v>52</v>
          </cell>
          <cell r="BQ601">
            <v>53.5</v>
          </cell>
          <cell r="BR601">
            <v>60.25</v>
          </cell>
          <cell r="BS601">
            <v>74.25</v>
          </cell>
          <cell r="BT601">
            <v>75.75</v>
          </cell>
          <cell r="BU601">
            <v>75.75</v>
          </cell>
          <cell r="BV601">
            <v>75.75</v>
          </cell>
          <cell r="BW601">
            <v>75.25</v>
          </cell>
          <cell r="BX601">
            <v>72.25</v>
          </cell>
          <cell r="BY601">
            <v>76</v>
          </cell>
          <cell r="BZ601">
            <v>77.75</v>
          </cell>
          <cell r="CA601">
            <v>-556.21125154193169</v>
          </cell>
          <cell r="CB601">
            <v>-1411.0809003478441</v>
          </cell>
          <cell r="CC601">
            <v>-2043.7681120874536</v>
          </cell>
        </row>
        <row r="602">
          <cell r="BH602">
            <v>31.390499999999999</v>
          </cell>
          <cell r="BI602">
            <v>29.764099999999999</v>
          </cell>
          <cell r="BJ602">
            <v>97.356800000000007</v>
          </cell>
          <cell r="BK602">
            <v>98.782380952380947</v>
          </cell>
          <cell r="BL602">
            <v>71.920476190476194</v>
          </cell>
          <cell r="BM602">
            <v>49.845263157894742</v>
          </cell>
          <cell r="BN602">
            <v>51.5</v>
          </cell>
          <cell r="BO602">
            <v>50.25</v>
          </cell>
          <cell r="BP602">
            <v>52.5</v>
          </cell>
          <cell r="BQ602">
            <v>55</v>
          </cell>
          <cell r="BR602">
            <v>60</v>
          </cell>
          <cell r="BS602">
            <v>73.75</v>
          </cell>
          <cell r="BT602">
            <v>75.75</v>
          </cell>
          <cell r="BU602">
            <v>74.25</v>
          </cell>
          <cell r="BV602">
            <v>73.5</v>
          </cell>
          <cell r="BW602">
            <v>71.75</v>
          </cell>
          <cell r="BX602">
            <v>69.25</v>
          </cell>
          <cell r="BY602">
            <v>72.75</v>
          </cell>
          <cell r="BZ602">
            <v>73.5</v>
          </cell>
          <cell r="CA602">
            <v>-629.47287951971498</v>
          </cell>
          <cell r="CB602">
            <v>-1483.1238667813152</v>
          </cell>
          <cell r="CC602">
            <v>-2086.5104335308929</v>
          </cell>
        </row>
        <row r="603">
          <cell r="BH603">
            <v>31.423200000000001</v>
          </cell>
          <cell r="BI603">
            <v>31.8109</v>
          </cell>
          <cell r="BJ603">
            <v>92.793300000000002</v>
          </cell>
          <cell r="BK603">
            <v>81.498000000000005</v>
          </cell>
          <cell r="BL603">
            <v>83.214999999999989</v>
          </cell>
          <cell r="BM603">
            <v>53.649545454545454</v>
          </cell>
          <cell r="BN603">
            <v>51.25</v>
          </cell>
          <cell r="BO603">
            <v>50.75</v>
          </cell>
          <cell r="BP603">
            <v>52.25</v>
          </cell>
          <cell r="BQ603">
            <v>54.75</v>
          </cell>
          <cell r="BR603">
            <v>58.75</v>
          </cell>
          <cell r="BS603">
            <v>71.75</v>
          </cell>
          <cell r="BT603">
            <v>74</v>
          </cell>
          <cell r="BU603">
            <v>71</v>
          </cell>
          <cell r="BV603">
            <v>70</v>
          </cell>
          <cell r="BW603">
            <v>68.75</v>
          </cell>
          <cell r="BX603">
            <v>68.25</v>
          </cell>
          <cell r="BY603">
            <v>72</v>
          </cell>
          <cell r="BZ603">
            <v>73.5</v>
          </cell>
          <cell r="CA603">
            <v>-695.47559769184761</v>
          </cell>
          <cell r="CB603">
            <v>-1547.6097839794443</v>
          </cell>
          <cell r="CC603">
            <v>-2121.6375660199392</v>
          </cell>
        </row>
        <row r="604">
          <cell r="BH604">
            <v>31.520900000000001</v>
          </cell>
          <cell r="BI604">
            <v>35.142899999999997</v>
          </cell>
          <cell r="BJ604">
            <v>82.827699999999993</v>
          </cell>
          <cell r="BK604">
            <v>85.409130434782597</v>
          </cell>
          <cell r="BL604">
            <v>79.824782608695656</v>
          </cell>
          <cell r="BM604">
            <v>48.193181818181827</v>
          </cell>
          <cell r="BN604">
            <v>49.5</v>
          </cell>
          <cell r="BO604">
            <v>50</v>
          </cell>
          <cell r="BP604">
            <v>51.75</v>
          </cell>
          <cell r="BQ604">
            <v>54.25</v>
          </cell>
          <cell r="BR604">
            <v>57.75</v>
          </cell>
          <cell r="BS604">
            <v>72</v>
          </cell>
          <cell r="BT604">
            <v>73.5</v>
          </cell>
          <cell r="BU604">
            <v>73</v>
          </cell>
          <cell r="BV604">
            <v>70.75</v>
          </cell>
          <cell r="BW604">
            <v>70.5</v>
          </cell>
          <cell r="BX604">
            <v>71</v>
          </cell>
          <cell r="BY604">
            <v>75.5</v>
          </cell>
          <cell r="BZ604">
            <v>77</v>
          </cell>
          <cell r="CA604">
            <v>-819.31978823121506</v>
          </cell>
          <cell r="CB604">
            <v>-1668.3868632310555</v>
          </cell>
          <cell r="CC604">
            <v>-2219.6266205820066</v>
          </cell>
        </row>
        <row r="605">
          <cell r="BH605">
            <v>31.963000000000001</v>
          </cell>
          <cell r="BI605">
            <v>37.217599999999997</v>
          </cell>
          <cell r="BJ605">
            <v>75.1571</v>
          </cell>
          <cell r="BK605">
            <v>83.801904761904751</v>
          </cell>
          <cell r="BL605">
            <v>74.341499999999982</v>
          </cell>
          <cell r="BM605">
            <v>47.349499999999992</v>
          </cell>
          <cell r="BN605">
            <v>47.5</v>
          </cell>
          <cell r="BO605">
            <v>51.5</v>
          </cell>
          <cell r="BP605">
            <v>52.25</v>
          </cell>
          <cell r="BQ605">
            <v>57.75</v>
          </cell>
          <cell r="BR605">
            <v>63</v>
          </cell>
          <cell r="BS605">
            <v>74.25</v>
          </cell>
          <cell r="BT605">
            <v>76.75</v>
          </cell>
          <cell r="BU605">
            <v>76.25</v>
          </cell>
          <cell r="BV605">
            <v>73.5</v>
          </cell>
          <cell r="BW605">
            <v>73.5</v>
          </cell>
          <cell r="BX605">
            <v>72.5</v>
          </cell>
          <cell r="BY605">
            <v>77.25</v>
          </cell>
          <cell r="BZ605">
            <v>78</v>
          </cell>
          <cell r="CA605">
            <v>-916.96698866434315</v>
          </cell>
          <cell r="CB605">
            <v>-1758.2408244774836</v>
          </cell>
          <cell r="CC605">
            <v>-2289.091108717952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323">
          <cell r="BA323">
            <v>69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87">
          <cell r="T87">
            <v>48.831926520020431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86">
          <cell r="T86">
            <v>43.528996073770493</v>
          </cell>
        </row>
      </sheetData>
      <sheetData sheetId="43">
        <row r="102">
          <cell r="T102">
            <v>67.301100571359115</v>
          </cell>
        </row>
      </sheetData>
      <sheetData sheetId="44"/>
      <sheetData sheetId="45"/>
      <sheetData sheetId="46"/>
      <sheetData sheetId="47">
        <row r="87">
          <cell r="T87">
            <v>29.882404302594828</v>
          </cell>
        </row>
      </sheetData>
      <sheetData sheetId="48">
        <row r="87">
          <cell r="T87">
            <v>37.418696268764279</v>
          </cell>
        </row>
      </sheetData>
      <sheetData sheetId="49">
        <row r="89">
          <cell r="T89">
            <v>34.8724241436569</v>
          </cell>
        </row>
      </sheetData>
      <sheetData sheetId="50"/>
      <sheetData sheetId="51"/>
      <sheetData sheetId="52" refreshError="1"/>
      <sheetData sheetId="53" refreshError="1"/>
      <sheetData sheetId="54">
        <row r="226">
          <cell r="T226">
            <v>31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5377OPMYC5WNHJVK7FJDNQZ4BY">
      <xxl21:absoluteUrl r:id="rId2"/>
    </xxl21:alternateUrls>
    <sheetNames>
      <sheetName val="Dashboard"/>
      <sheetName val="Forecasts"/>
      <sheetName val="AnnualForecast"/>
      <sheetName val="Sheet2"/>
      <sheetName val="Chart1"/>
      <sheetName val="Chart2"/>
      <sheetName val="Historical Comp"/>
    </sheetNames>
    <sheetDataSet>
      <sheetData sheetId="0"/>
      <sheetData sheetId="1">
        <row r="48">
          <cell r="B48">
            <v>560.75</v>
          </cell>
        </row>
        <row r="49">
          <cell r="B49">
            <v>546.125</v>
          </cell>
        </row>
        <row r="50">
          <cell r="B50">
            <v>521.42859999999996</v>
          </cell>
        </row>
        <row r="51">
          <cell r="B51">
            <v>493.875</v>
          </cell>
        </row>
        <row r="52">
          <cell r="B52">
            <v>466.5</v>
          </cell>
        </row>
        <row r="53">
          <cell r="B53">
            <v>466.7045</v>
          </cell>
        </row>
        <row r="54">
          <cell r="B54">
            <v>440.34</v>
          </cell>
        </row>
        <row r="55">
          <cell r="B55">
            <v>441.58</v>
          </cell>
        </row>
        <row r="56">
          <cell r="B56">
            <v>471.82</v>
          </cell>
        </row>
        <row r="57">
          <cell r="B57">
            <v>445.43</v>
          </cell>
        </row>
        <row r="58">
          <cell r="B58">
            <v>434.63</v>
          </cell>
        </row>
        <row r="59">
          <cell r="B59">
            <v>470.17</v>
          </cell>
        </row>
        <row r="60">
          <cell r="B60">
            <v>483.9</v>
          </cell>
        </row>
        <row r="61">
          <cell r="B61">
            <v>483.64</v>
          </cell>
        </row>
        <row r="62">
          <cell r="B62">
            <v>433.45</v>
          </cell>
        </row>
        <row r="63">
          <cell r="B63">
            <v>429.14</v>
          </cell>
        </row>
        <row r="64">
          <cell r="B64">
            <v>394.3</v>
          </cell>
        </row>
        <row r="65">
          <cell r="B65">
            <v>440</v>
          </cell>
        </row>
        <row r="66">
          <cell r="B66">
            <v>443.32000000000016</v>
          </cell>
        </row>
        <row r="67">
          <cell r="B67">
            <v>451.23000000000013</v>
          </cell>
        </row>
        <row r="68">
          <cell r="B68">
            <v>446.23000000000013</v>
          </cell>
        </row>
        <row r="69">
          <cell r="B69">
            <v>441.86000000000013</v>
          </cell>
        </row>
        <row r="70">
          <cell r="B70">
            <v>432.57000000000016</v>
          </cell>
        </row>
        <row r="71">
          <cell r="B71">
            <v>423.02000000000015</v>
          </cell>
        </row>
        <row r="72">
          <cell r="B72">
            <v>418.27000000000021</v>
          </cell>
        </row>
        <row r="73">
          <cell r="B73">
            <v>413.63000000000017</v>
          </cell>
        </row>
        <row r="74">
          <cell r="B74">
            <v>405.88000000000011</v>
          </cell>
        </row>
        <row r="75">
          <cell r="B75">
            <v>401.88000000000017</v>
          </cell>
        </row>
        <row r="76">
          <cell r="B76">
            <v>405</v>
          </cell>
        </row>
        <row r="77">
          <cell r="B77">
            <v>407.5</v>
          </cell>
        </row>
        <row r="78">
          <cell r="B78">
            <v>410</v>
          </cell>
        </row>
        <row r="79">
          <cell r="B79">
            <v>412.5</v>
          </cell>
        </row>
        <row r="80">
          <cell r="B80">
            <v>415</v>
          </cell>
        </row>
        <row r="81">
          <cell r="B81">
            <v>417.5</v>
          </cell>
        </row>
        <row r="82">
          <cell r="B82">
            <v>420</v>
          </cell>
        </row>
        <row r="83">
          <cell r="B83">
            <v>422.5</v>
          </cell>
        </row>
        <row r="84">
          <cell r="B84">
            <v>425</v>
          </cell>
        </row>
        <row r="85">
          <cell r="B85">
            <v>427.5</v>
          </cell>
        </row>
        <row r="86">
          <cell r="B86">
            <v>430</v>
          </cell>
        </row>
        <row r="87">
          <cell r="B87">
            <v>432.5</v>
          </cell>
        </row>
        <row r="88">
          <cell r="B88">
            <v>435</v>
          </cell>
        </row>
        <row r="89">
          <cell r="B89">
            <v>437.5</v>
          </cell>
        </row>
        <row r="90">
          <cell r="B90">
            <v>440</v>
          </cell>
        </row>
        <row r="91">
          <cell r="B91">
            <v>442.5</v>
          </cell>
        </row>
        <row r="92">
          <cell r="B92">
            <v>445</v>
          </cell>
        </row>
        <row r="93">
          <cell r="B93">
            <v>447.5</v>
          </cell>
        </row>
        <row r="94">
          <cell r="B94">
            <v>443</v>
          </cell>
        </row>
        <row r="95">
          <cell r="B95">
            <v>445</v>
          </cell>
        </row>
        <row r="96">
          <cell r="B96">
            <v>447.5</v>
          </cell>
        </row>
        <row r="97">
          <cell r="B97">
            <v>450</v>
          </cell>
        </row>
        <row r="98">
          <cell r="B98">
            <v>412.5</v>
          </cell>
        </row>
        <row r="99">
          <cell r="B99">
            <v>415</v>
          </cell>
        </row>
        <row r="100">
          <cell r="B100">
            <v>417.5</v>
          </cell>
        </row>
        <row r="101">
          <cell r="B101">
            <v>420</v>
          </cell>
        </row>
        <row r="102">
          <cell r="B102">
            <v>442.5</v>
          </cell>
        </row>
        <row r="103">
          <cell r="B103">
            <v>455</v>
          </cell>
        </row>
        <row r="104">
          <cell r="B104">
            <v>460</v>
          </cell>
        </row>
        <row r="105">
          <cell r="B105">
            <v>465</v>
          </cell>
        </row>
        <row r="106">
          <cell r="B106">
            <v>492.5</v>
          </cell>
        </row>
        <row r="107">
          <cell r="B107">
            <v>500</v>
          </cell>
        </row>
        <row r="108">
          <cell r="B108">
            <v>510</v>
          </cell>
        </row>
        <row r="109">
          <cell r="B109">
            <v>520</v>
          </cell>
        </row>
        <row r="110">
          <cell r="B110">
            <v>520</v>
          </cell>
        </row>
        <row r="111">
          <cell r="B111">
            <v>507.5</v>
          </cell>
        </row>
        <row r="112">
          <cell r="B112">
            <v>512.5</v>
          </cell>
        </row>
        <row r="113">
          <cell r="B113">
            <v>517.5</v>
          </cell>
        </row>
        <row r="114">
          <cell r="B114">
            <v>550</v>
          </cell>
        </row>
        <row r="115">
          <cell r="B115">
            <v>550</v>
          </cell>
        </row>
        <row r="116">
          <cell r="B116">
            <v>570</v>
          </cell>
        </row>
        <row r="117">
          <cell r="B117">
            <v>567.5</v>
          </cell>
        </row>
        <row r="118">
          <cell r="B118">
            <v>562.5</v>
          </cell>
        </row>
        <row r="119">
          <cell r="B119">
            <v>557.5</v>
          </cell>
        </row>
        <row r="120">
          <cell r="B120">
            <v>550</v>
          </cell>
        </row>
        <row r="121">
          <cell r="B121">
            <v>540</v>
          </cell>
        </row>
        <row r="122">
          <cell r="B122">
            <v>540</v>
          </cell>
        </row>
        <row r="123">
          <cell r="B123">
            <v>547.5</v>
          </cell>
        </row>
        <row r="124">
          <cell r="B124">
            <v>555</v>
          </cell>
        </row>
        <row r="125">
          <cell r="B125">
            <v>560</v>
          </cell>
        </row>
        <row r="126">
          <cell r="B126">
            <v>562.5</v>
          </cell>
        </row>
        <row r="127">
          <cell r="B127">
            <v>565</v>
          </cell>
        </row>
        <row r="128">
          <cell r="B128">
            <v>570</v>
          </cell>
        </row>
        <row r="129">
          <cell r="B129">
            <v>567.5</v>
          </cell>
        </row>
        <row r="130">
          <cell r="B130">
            <v>565</v>
          </cell>
        </row>
        <row r="131">
          <cell r="B131">
            <v>560</v>
          </cell>
        </row>
        <row r="132">
          <cell r="B132">
            <v>552.5</v>
          </cell>
        </row>
        <row r="133">
          <cell r="B133">
            <v>525</v>
          </cell>
        </row>
        <row r="134">
          <cell r="B134">
            <v>527.5</v>
          </cell>
        </row>
        <row r="135">
          <cell r="B135">
            <v>530</v>
          </cell>
        </row>
        <row r="136">
          <cell r="B136">
            <v>532.5</v>
          </cell>
        </row>
        <row r="137">
          <cell r="B137">
            <v>535</v>
          </cell>
        </row>
        <row r="138">
          <cell r="B138">
            <v>537.5</v>
          </cell>
        </row>
        <row r="139">
          <cell r="B139">
            <v>542.5</v>
          </cell>
        </row>
        <row r="140">
          <cell r="B140">
            <v>547.5</v>
          </cell>
        </row>
        <row r="141">
          <cell r="B141">
            <v>555</v>
          </cell>
        </row>
        <row r="142">
          <cell r="B142">
            <v>562.5</v>
          </cell>
        </row>
        <row r="143">
          <cell r="B143">
            <v>572.5</v>
          </cell>
        </row>
        <row r="144">
          <cell r="B144">
            <v>542.5</v>
          </cell>
        </row>
        <row r="145">
          <cell r="B145">
            <v>552.5</v>
          </cell>
        </row>
        <row r="146">
          <cell r="B146">
            <v>552.5</v>
          </cell>
        </row>
        <row r="147">
          <cell r="B147">
            <v>545</v>
          </cell>
        </row>
        <row r="148">
          <cell r="B148">
            <v>520</v>
          </cell>
        </row>
        <row r="149">
          <cell r="B149">
            <v>525</v>
          </cell>
        </row>
        <row r="150">
          <cell r="B150">
            <v>527.5</v>
          </cell>
        </row>
        <row r="151">
          <cell r="B151">
            <v>520</v>
          </cell>
        </row>
        <row r="152">
          <cell r="B152">
            <v>510</v>
          </cell>
        </row>
        <row r="153">
          <cell r="B153">
            <v>507.5</v>
          </cell>
        </row>
        <row r="154">
          <cell r="B154">
            <v>505</v>
          </cell>
        </row>
        <row r="155">
          <cell r="B155">
            <v>500</v>
          </cell>
        </row>
        <row r="156">
          <cell r="B156">
            <v>492.5</v>
          </cell>
        </row>
        <row r="157">
          <cell r="B157">
            <v>485</v>
          </cell>
        </row>
        <row r="158">
          <cell r="B158">
            <v>492.5</v>
          </cell>
        </row>
        <row r="159">
          <cell r="B159">
            <v>493</v>
          </cell>
        </row>
        <row r="160">
          <cell r="B160">
            <v>500</v>
          </cell>
        </row>
        <row r="161">
          <cell r="B161">
            <v>505</v>
          </cell>
        </row>
        <row r="162">
          <cell r="B162">
            <v>497.5</v>
          </cell>
        </row>
        <row r="163">
          <cell r="B163">
            <v>502.5</v>
          </cell>
        </row>
        <row r="164">
          <cell r="B164">
            <v>505</v>
          </cell>
        </row>
        <row r="165">
          <cell r="B165">
            <v>492.5</v>
          </cell>
        </row>
        <row r="166">
          <cell r="B166">
            <v>490</v>
          </cell>
        </row>
        <row r="167">
          <cell r="B167">
            <v>475</v>
          </cell>
        </row>
        <row r="168">
          <cell r="B168">
            <v>460</v>
          </cell>
        </row>
        <row r="169">
          <cell r="B169">
            <v>442.5</v>
          </cell>
        </row>
        <row r="170">
          <cell r="B170">
            <v>425</v>
          </cell>
        </row>
        <row r="171">
          <cell r="B171">
            <v>407.5</v>
          </cell>
        </row>
        <row r="172">
          <cell r="B172">
            <v>400</v>
          </cell>
        </row>
        <row r="173">
          <cell r="B173">
            <v>402.5</v>
          </cell>
        </row>
        <row r="174">
          <cell r="B174">
            <v>400</v>
          </cell>
        </row>
        <row r="175">
          <cell r="B175">
            <v>402.5</v>
          </cell>
        </row>
        <row r="176">
          <cell r="B176">
            <v>412.5</v>
          </cell>
        </row>
        <row r="177">
          <cell r="B177">
            <v>422.5</v>
          </cell>
        </row>
        <row r="178">
          <cell r="B178">
            <v>432.5</v>
          </cell>
        </row>
        <row r="179">
          <cell r="B179">
            <v>445</v>
          </cell>
        </row>
        <row r="180">
          <cell r="B180">
            <v>457.5</v>
          </cell>
        </row>
        <row r="181">
          <cell r="B181">
            <v>472.5</v>
          </cell>
        </row>
        <row r="182">
          <cell r="B182">
            <v>475</v>
          </cell>
        </row>
        <row r="183">
          <cell r="B183">
            <v>477.5</v>
          </cell>
        </row>
        <row r="184">
          <cell r="B184">
            <v>467.5</v>
          </cell>
        </row>
        <row r="185">
          <cell r="B185">
            <v>455</v>
          </cell>
        </row>
        <row r="186">
          <cell r="B186">
            <v>442.5</v>
          </cell>
        </row>
        <row r="187">
          <cell r="B187">
            <v>425</v>
          </cell>
        </row>
        <row r="188">
          <cell r="B188">
            <v>410</v>
          </cell>
        </row>
        <row r="189">
          <cell r="B189">
            <v>392.5</v>
          </cell>
        </row>
        <row r="190">
          <cell r="B190">
            <v>375</v>
          </cell>
        </row>
        <row r="191">
          <cell r="B191">
            <v>357.5</v>
          </cell>
        </row>
        <row r="192">
          <cell r="B192">
            <v>337.5</v>
          </cell>
        </row>
        <row r="193">
          <cell r="B193">
            <v>317.5</v>
          </cell>
        </row>
        <row r="194">
          <cell r="B194">
            <v>307.5</v>
          </cell>
        </row>
        <row r="195">
          <cell r="B195">
            <v>297.5</v>
          </cell>
        </row>
        <row r="196">
          <cell r="B196">
            <v>285</v>
          </cell>
        </row>
        <row r="197">
          <cell r="B197">
            <v>272.5</v>
          </cell>
        </row>
        <row r="198">
          <cell r="B198">
            <v>260</v>
          </cell>
        </row>
        <row r="199">
          <cell r="B199">
            <v>247.5</v>
          </cell>
        </row>
      </sheetData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PROPHETX" ddeTopic="QUOTE">
    <ddeItems>
      <ddeItem name="Qhof4?Last" advise="1">
        <values>
          <value t="str">
            <val>Invalid</val>
          </value>
        </values>
      </ddeItem>
      <ddeItem name="Qhof5?Last" advise="1">
        <values>
          <value t="str">
            <val>Invalid</val>
          </value>
        </values>
      </ddeItem>
      <ddeItem name="Qhof6?Last" advise="1">
        <values>
          <value>
            <val>2.1213000000000002</val>
          </value>
        </values>
      </ddeItem>
      <ddeItem name="Qhof7?Last" advise="1">
        <values>
          <value>
            <val>2.1166</val>
          </value>
        </values>
      </ddeItem>
      <ddeItem name="Qhog4?Last" advise="1">
        <values>
          <value t="str">
            <val>Invalid</val>
          </value>
        </values>
      </ddeItem>
      <ddeItem name="Qhog5?Last" advise="1">
        <values>
          <value t="str">
            <val>Invalid</val>
          </value>
        </values>
      </ddeItem>
      <ddeItem name="Qhog6?Last" advise="1">
        <values>
          <value>
            <val>2.1137999999999999</val>
          </value>
        </values>
      </ddeItem>
      <ddeItem name="Qhoh4?Last" advise="1">
        <values>
          <value t="str">
            <val>Invalid</val>
          </value>
        </values>
      </ddeItem>
      <ddeItem name="Qhoh5?Last" advise="1">
        <values>
          <value t="str">
            <val>Invalid</val>
          </value>
        </values>
      </ddeItem>
      <ddeItem name="Qhoh6?Last" advise="1">
        <values>
          <value>
            <val>2.1038000000000001</val>
          </value>
        </values>
      </ddeItem>
      <ddeItem name="Qhoj4?Last" advise="1">
        <values>
          <value t="str">
            <val>Invalid</val>
          </value>
        </values>
      </ddeItem>
      <ddeItem name="Qhoj5?Last" advise="1">
        <values>
          <value t="str">
            <val>Invalid</val>
          </value>
        </values>
      </ddeItem>
      <ddeItem name="Qhoj6?Last" advise="1">
        <values>
          <value>
            <val>2.0888</val>
          </value>
        </values>
      </ddeItem>
      <ddeItem name="Qhok4?Last" advise="1">
        <values>
          <value t="str">
            <val>Invalid</val>
          </value>
        </values>
      </ddeItem>
      <ddeItem name="Qhok5?Last" advise="1">
        <values>
          <value>
            <val>2.1757</val>
          </value>
        </values>
      </ddeItem>
      <ddeItem name="Qhok6?Last" advise="1">
        <values>
          <value>
            <val>2.0821000000000001</val>
          </value>
        </values>
      </ddeItem>
      <ddeItem name="Qhom4?Last" advise="1">
        <values>
          <value t="str">
            <val>Invalid</val>
          </value>
        </values>
      </ddeItem>
      <ddeItem name="Qhom5?Last" advise="1">
        <values>
          <value>
            <val>2.1182000000000003</val>
          </value>
        </values>
      </ddeItem>
      <ddeItem name="Qhom6?Last" advise="1">
        <values>
          <value>
            <val>2.0792000000000002</val>
          </value>
        </values>
      </ddeItem>
      <ddeItem name="Qhon4?Last" advise="1">
        <values>
          <value t="str">
            <val>Invalid</val>
          </value>
        </values>
      </ddeItem>
      <ddeItem name="Qhon5?Last" advise="1">
        <values>
          <value>
            <val>2.0973000000000002</val>
          </value>
        </values>
      </ddeItem>
      <ddeItem name="Qhon6?Last" advise="1">
        <values>
          <value>
            <val>2.0891999999999999</val>
          </value>
        </values>
      </ddeItem>
      <ddeItem name="Qhoq4?Last" advise="1">
        <values>
          <value t="str">
            <val>Invalid</val>
          </value>
        </values>
      </ddeItem>
      <ddeItem name="Qhoq5?Last" advise="1">
        <values>
          <value>
            <val>2.0973000000000002</val>
          </value>
        </values>
      </ddeItem>
      <ddeItem name="Qhoq6?Last" advise="1">
        <values>
          <value>
            <val>2.0914999999999999</val>
          </value>
        </values>
      </ddeItem>
      <ddeItem name="Qhou4?Last" advise="1">
        <values>
          <value t="str">
            <val>Invalid</val>
          </value>
        </values>
      </ddeItem>
      <ddeItem name="Qhou5?Last" advise="1">
        <values>
          <value>
            <val>2.1036000000000001</val>
          </value>
        </values>
      </ddeItem>
      <ddeItem name="Qhou6?Last" advise="1">
        <values>
          <value>
            <val>2.0992999999999999</val>
          </value>
        </values>
      </ddeItem>
      <ddeItem name="Qhov4?Last" advise="1">
        <values>
          <value t="str">
            <val>Invalid</val>
          </value>
        </values>
      </ddeItem>
      <ddeItem name="Qhov5?Last" advise="1">
        <values>
          <value>
            <val>2.1107</val>
          </value>
        </values>
      </ddeItem>
      <ddeItem name="Qhov6?Last" advise="1">
        <values>
          <value>
            <val>2.1069</val>
          </value>
        </values>
      </ddeItem>
      <ddeItem name="Qhox4?Last" advise="1">
        <values>
          <value t="str">
            <val>Invalid</val>
          </value>
        </values>
      </ddeItem>
      <ddeItem name="Qhox5?Last" advise="1">
        <values>
          <value>
            <val>2.1152000000000002</val>
          </value>
        </values>
      </ddeItem>
      <ddeItem name="Qhox6?Last" advise="1">
        <values>
          <value>
            <val>2.1124000000000001</val>
          </value>
        </values>
      </ddeItem>
      <ddeItem name="Qhoz3?Last" advise="1">
        <values>
          <value t="str">
            <val>Invalid</val>
          </value>
        </values>
      </ddeItem>
      <ddeItem name="Qhoz4?Last" advise="1">
        <values>
          <value t="str">
            <val>Invalid</val>
          </value>
        </values>
      </ddeItem>
      <ddeItem name="Qhoz5?Last" advise="1">
        <values>
          <value>
            <val>2.1177000000000001</val>
          </value>
        </values>
      </ddeItem>
      <ddeItem name="Qhoz6?Last" advise="1">
        <values>
          <value>
            <val>2.1116999999999999</val>
          </value>
        </values>
      </ddeItem>
      <ddeItem name="StdDocumentName" ole="1" advise="1"/>
    </ddeItems>
  </ddeLin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ecasts"/>
      <sheetName val="Prices"/>
      <sheetName val="Sheet1"/>
      <sheetName val="Barley"/>
      <sheetName val="Corn and Barley Monthly"/>
      <sheetName val="Chart1"/>
      <sheetName val="Chart2"/>
    </sheetNames>
    <sheetDataSet>
      <sheetData sheetId="0"/>
      <sheetData sheetId="1">
        <row r="517">
          <cell r="D517">
            <v>5.2798863636363622</v>
          </cell>
        </row>
        <row r="641">
          <cell r="D641">
            <v>4.8584523809523805</v>
          </cell>
        </row>
        <row r="642">
          <cell r="D642">
            <v>4.7971249999999994</v>
          </cell>
        </row>
        <row r="643">
          <cell r="D643">
            <v>4.5184523809523807</v>
          </cell>
        </row>
        <row r="644">
          <cell r="D644">
            <v>4.2337499999999997</v>
          </cell>
        </row>
        <row r="645">
          <cell r="D645">
            <v>4.3581250000000002</v>
          </cell>
        </row>
        <row r="646">
          <cell r="D646">
            <v>4.3462500000000004</v>
          </cell>
        </row>
        <row r="647">
          <cell r="D647">
            <v>4.6021590909090904</v>
          </cell>
        </row>
        <row r="648">
          <cell r="D648">
            <v>4.3939473684210526</v>
          </cell>
        </row>
        <row r="649">
          <cell r="D649">
            <v>3.9970833333333333</v>
          </cell>
        </row>
        <row r="650">
          <cell r="D650">
            <v>3.7802777777777776</v>
          </cell>
        </row>
        <row r="651">
          <cell r="D651">
            <v>4.1072500000000005</v>
          </cell>
        </row>
        <row r="652">
          <cell r="D652">
            <v>4.1611956521739133</v>
          </cell>
        </row>
        <row r="653">
          <cell r="D653">
            <v>4.242375</v>
          </cell>
        </row>
        <row r="654">
          <cell r="D654">
            <v>4.3899999999999997</v>
          </cell>
        </row>
      </sheetData>
      <sheetData sheetId="2"/>
      <sheetData sheetId="3"/>
      <sheetData sheetId="4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1214-ECC0-4E4B-88C0-95B10CD4E84A}">
  <dimension ref="A1"/>
  <sheetViews>
    <sheetView tabSelected="1" zoomScaleNormal="100" workbookViewId="0">
      <selection activeCell="B21" sqref="B2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446A-5901-4633-80A4-984B9AF77711}">
  <dimension ref="A1:H106"/>
  <sheetViews>
    <sheetView zoomScale="110" zoomScaleNormal="110" workbookViewId="0">
      <pane xSplit="1" ySplit="1" topLeftCell="B92" activePane="bottomRight" state="frozen"/>
      <selection activeCell="B21" sqref="B21"/>
      <selection pane="topRight" activeCell="B21" sqref="B21"/>
      <selection pane="bottomLeft" activeCell="B21" sqref="B21"/>
      <selection pane="bottomRight" activeCell="B21" sqref="B21"/>
    </sheetView>
  </sheetViews>
  <sheetFormatPr defaultColWidth="9.140625" defaultRowHeight="12.75" x14ac:dyDescent="0.2"/>
  <cols>
    <col min="1" max="1" width="9.140625" style="1"/>
    <col min="2" max="16384" width="9.140625" style="2"/>
  </cols>
  <sheetData>
    <row r="1" spans="1: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>
        <v>42736</v>
      </c>
      <c r="B2" s="3">
        <v>69.025000000000006</v>
      </c>
      <c r="C2" s="3">
        <v>104.22499999999999</v>
      </c>
      <c r="D2" s="3"/>
      <c r="E2" s="3"/>
      <c r="F2" s="3"/>
    </row>
    <row r="3" spans="1:6" x14ac:dyDescent="0.2">
      <c r="A3" s="1">
        <v>42767</v>
      </c>
      <c r="B3" s="3">
        <v>47.381599999999999</v>
      </c>
      <c r="C3" s="3">
        <v>94.131600000000006</v>
      </c>
      <c r="D3" s="3"/>
      <c r="E3" s="3"/>
      <c r="F3" s="3"/>
    </row>
    <row r="4" spans="1:6" x14ac:dyDescent="0.2">
      <c r="A4" s="1">
        <v>42795</v>
      </c>
      <c r="B4" s="3">
        <v>44.641300000000001</v>
      </c>
      <c r="C4" s="3">
        <v>96.597800000000007</v>
      </c>
      <c r="D4" s="3"/>
      <c r="E4" s="3"/>
      <c r="F4" s="3"/>
    </row>
    <row r="5" spans="1:6" x14ac:dyDescent="0.2">
      <c r="A5" s="1">
        <v>42826</v>
      </c>
      <c r="B5" s="3">
        <v>51.907899999999998</v>
      </c>
      <c r="C5" s="3">
        <v>99.473699999999994</v>
      </c>
      <c r="D5" s="3"/>
      <c r="E5" s="3"/>
      <c r="F5" s="3"/>
    </row>
    <row r="6" spans="1:6" x14ac:dyDescent="0.2">
      <c r="A6" s="1">
        <v>42856</v>
      </c>
      <c r="B6" s="3">
        <v>54.218800000000002</v>
      </c>
      <c r="C6" s="3">
        <v>103.4205</v>
      </c>
      <c r="D6" s="3"/>
      <c r="E6" s="3"/>
      <c r="F6" s="3"/>
    </row>
    <row r="7" spans="1:6" x14ac:dyDescent="0.2">
      <c r="A7" s="1">
        <v>42887</v>
      </c>
      <c r="B7" s="3">
        <v>73.1648</v>
      </c>
      <c r="C7" s="3">
        <v>106.98860000000001</v>
      </c>
      <c r="D7" s="3"/>
      <c r="E7" s="3"/>
      <c r="F7" s="3"/>
    </row>
    <row r="8" spans="1:6" x14ac:dyDescent="0.2">
      <c r="A8" s="1">
        <v>42917</v>
      </c>
      <c r="B8" s="3">
        <v>78.381299999999996</v>
      </c>
      <c r="C8" s="3">
        <v>111.1875</v>
      </c>
      <c r="D8" s="3"/>
      <c r="E8" s="3"/>
      <c r="F8" s="3"/>
    </row>
    <row r="9" spans="1:6" x14ac:dyDescent="0.2">
      <c r="A9" s="1">
        <v>42948</v>
      </c>
      <c r="B9" s="3">
        <v>88.228300000000004</v>
      </c>
      <c r="C9" s="3">
        <v>109.212</v>
      </c>
      <c r="D9" s="3"/>
      <c r="E9" s="3"/>
      <c r="F9" s="3"/>
    </row>
    <row r="10" spans="1:6" x14ac:dyDescent="0.2">
      <c r="A10" s="1">
        <v>42979</v>
      </c>
      <c r="B10" s="3">
        <v>81.468800000000002</v>
      </c>
      <c r="C10" s="3">
        <v>104.22499999999999</v>
      </c>
      <c r="D10" s="3"/>
      <c r="E10" s="3"/>
      <c r="F10" s="3"/>
    </row>
    <row r="11" spans="1:6" x14ac:dyDescent="0.2">
      <c r="A11" s="1">
        <v>43009</v>
      </c>
      <c r="B11" s="3">
        <v>83.431799999999996</v>
      </c>
      <c r="C11" s="3">
        <v>99.403400000000005</v>
      </c>
      <c r="D11" s="3"/>
      <c r="E11" s="3"/>
      <c r="F11" s="3"/>
    </row>
    <row r="12" spans="1:6" x14ac:dyDescent="0.2">
      <c r="A12" s="1">
        <v>43040</v>
      </c>
      <c r="B12" s="3">
        <v>90.956299999999999</v>
      </c>
      <c r="C12" s="3">
        <v>103.27500000000001</v>
      </c>
      <c r="D12" s="3"/>
      <c r="E12" s="3"/>
      <c r="F12" s="3"/>
    </row>
    <row r="13" spans="1:6" x14ac:dyDescent="0.2">
      <c r="A13" s="1">
        <v>43070</v>
      </c>
      <c r="B13" s="3">
        <v>73.968800000000002</v>
      </c>
      <c r="C13" s="3">
        <v>85.325000000000003</v>
      </c>
      <c r="D13" s="3"/>
      <c r="E13" s="3"/>
      <c r="F13" s="3"/>
    </row>
    <row r="14" spans="1:6" x14ac:dyDescent="0.2">
      <c r="A14" s="1">
        <v>43101</v>
      </c>
      <c r="B14" s="3">
        <v>66.256</v>
      </c>
      <c r="C14" s="3">
        <v>77.1905</v>
      </c>
      <c r="D14" s="3"/>
      <c r="E14" s="3"/>
      <c r="F14" s="3"/>
    </row>
    <row r="15" spans="1:6" x14ac:dyDescent="0.2">
      <c r="A15" s="1">
        <v>43132</v>
      </c>
      <c r="B15" s="3">
        <v>65.289500000000004</v>
      </c>
      <c r="C15" s="3">
        <v>84.171099999999996</v>
      </c>
      <c r="D15" s="3"/>
      <c r="E15" s="3"/>
      <c r="F15" s="3"/>
    </row>
    <row r="16" spans="1:6" x14ac:dyDescent="0.2">
      <c r="A16" s="1">
        <v>43160</v>
      </c>
      <c r="B16" s="3">
        <v>45.386899999999997</v>
      </c>
      <c r="C16" s="3">
        <v>75.226200000000006</v>
      </c>
      <c r="D16" s="3"/>
      <c r="E16" s="3"/>
      <c r="F16" s="3"/>
    </row>
    <row r="17" spans="1:6" x14ac:dyDescent="0.2">
      <c r="A17" s="1">
        <v>43191</v>
      </c>
      <c r="B17" s="3">
        <v>36.595199999999998</v>
      </c>
      <c r="C17" s="3">
        <v>60.273800000000001</v>
      </c>
      <c r="D17" s="3"/>
      <c r="E17" s="3"/>
      <c r="F17" s="3"/>
    </row>
    <row r="18" spans="1:6" x14ac:dyDescent="0.2">
      <c r="A18" s="1">
        <v>43221</v>
      </c>
      <c r="B18" s="3">
        <v>31.073899999999998</v>
      </c>
      <c r="C18" s="3">
        <v>51.176099999999998</v>
      </c>
      <c r="D18" s="3"/>
      <c r="E18" s="3"/>
      <c r="F18" s="3"/>
    </row>
    <row r="19" spans="1:6" x14ac:dyDescent="0.2">
      <c r="A19" s="1">
        <v>43252</v>
      </c>
      <c r="B19" s="3">
        <v>24.541699999999999</v>
      </c>
      <c r="C19" s="3">
        <v>48.261899999999997</v>
      </c>
      <c r="D19" s="3"/>
      <c r="E19" s="3"/>
      <c r="F19" s="3"/>
    </row>
    <row r="20" spans="1:6" x14ac:dyDescent="0.2">
      <c r="A20" s="1">
        <v>43282</v>
      </c>
      <c r="B20" s="3">
        <v>22.845199999999998</v>
      </c>
      <c r="C20" s="3">
        <v>43.1905</v>
      </c>
      <c r="D20" s="3"/>
      <c r="E20" s="3"/>
      <c r="F20" s="3"/>
    </row>
    <row r="21" spans="1:6" x14ac:dyDescent="0.2">
      <c r="A21" s="1">
        <v>43313</v>
      </c>
      <c r="B21" s="3">
        <v>20.462</v>
      </c>
      <c r="C21" s="3">
        <v>42.358699999999999</v>
      </c>
      <c r="D21" s="3"/>
      <c r="E21" s="3"/>
      <c r="F21" s="3"/>
    </row>
    <row r="22" spans="1:6" x14ac:dyDescent="0.2">
      <c r="A22" s="1">
        <v>43344</v>
      </c>
      <c r="B22" s="3">
        <v>18.657900000000001</v>
      </c>
      <c r="C22" s="3">
        <v>39.236800000000002</v>
      </c>
      <c r="D22" s="3"/>
      <c r="E22" s="3"/>
      <c r="F22" s="3"/>
    </row>
    <row r="23" spans="1:6" x14ac:dyDescent="0.2">
      <c r="A23" s="1">
        <v>43374</v>
      </c>
      <c r="B23" s="3">
        <v>10.847799999999999</v>
      </c>
      <c r="C23" s="3">
        <v>33.478299999999997</v>
      </c>
      <c r="D23" s="3"/>
      <c r="E23" s="3"/>
      <c r="F23" s="3"/>
    </row>
    <row r="24" spans="1:6" x14ac:dyDescent="0.2">
      <c r="A24" s="1">
        <v>43405</v>
      </c>
      <c r="B24" s="3">
        <v>9.1125000000000007</v>
      </c>
      <c r="C24" s="3">
        <v>39.6188</v>
      </c>
      <c r="D24" s="3"/>
      <c r="E24" s="3"/>
      <c r="F24" s="3"/>
    </row>
    <row r="25" spans="1:6" x14ac:dyDescent="0.2">
      <c r="A25" s="1">
        <v>43435</v>
      </c>
      <c r="B25" s="3">
        <v>19.925000000000001</v>
      </c>
      <c r="C25" s="3">
        <v>49.274999999999999</v>
      </c>
      <c r="D25" s="3"/>
      <c r="E25" s="3"/>
      <c r="F25" s="3"/>
    </row>
    <row r="26" spans="1:6" x14ac:dyDescent="0.2">
      <c r="A26" s="1">
        <v>43466</v>
      </c>
      <c r="B26" s="3">
        <v>20.922599999999999</v>
      </c>
      <c r="C26" s="3">
        <v>53.4345</v>
      </c>
      <c r="D26" s="3"/>
      <c r="E26" s="3"/>
      <c r="F26" s="3"/>
    </row>
    <row r="27" spans="1:6" x14ac:dyDescent="0.2">
      <c r="A27" s="1">
        <v>43497</v>
      </c>
      <c r="B27" s="3">
        <v>21.907900000000001</v>
      </c>
      <c r="C27" s="3">
        <v>55.348700000000001</v>
      </c>
      <c r="D27" s="3"/>
      <c r="E27" s="3"/>
      <c r="F27" s="3"/>
    </row>
    <row r="28" spans="1:6" x14ac:dyDescent="0.2">
      <c r="A28" s="1">
        <v>43525</v>
      </c>
      <c r="B28" s="3">
        <v>16.785699999999999</v>
      </c>
      <c r="C28" s="3">
        <v>42.357100000000003</v>
      </c>
      <c r="D28" s="3"/>
      <c r="E28" s="3"/>
      <c r="F28" s="3"/>
    </row>
    <row r="29" spans="1:6" x14ac:dyDescent="0.2">
      <c r="A29" s="1">
        <v>43556</v>
      </c>
      <c r="B29" s="3">
        <v>16.3095</v>
      </c>
      <c r="C29" s="3">
        <v>36.4345</v>
      </c>
      <c r="D29" s="3"/>
      <c r="E29" s="3"/>
      <c r="F29" s="3"/>
    </row>
    <row r="30" spans="1:6" x14ac:dyDescent="0.2">
      <c r="A30" s="1">
        <v>43586</v>
      </c>
      <c r="B30" s="3">
        <v>14.568199999999999</v>
      </c>
      <c r="C30" s="3">
        <v>33.465899999999998</v>
      </c>
      <c r="D30" s="3"/>
      <c r="E30" s="3"/>
      <c r="F30" s="3"/>
    </row>
    <row r="31" spans="1:6" x14ac:dyDescent="0.2">
      <c r="A31" s="1">
        <v>43617</v>
      </c>
      <c r="B31" s="3">
        <v>19.225000000000001</v>
      </c>
      <c r="C31" s="3">
        <v>43.106299999999997</v>
      </c>
      <c r="D31" s="3"/>
      <c r="E31" s="3"/>
      <c r="F31" s="3"/>
    </row>
    <row r="32" spans="1:6" x14ac:dyDescent="0.2">
      <c r="A32" s="1">
        <v>43647</v>
      </c>
      <c r="B32" s="3">
        <v>22.7273</v>
      </c>
      <c r="C32" s="3">
        <v>42.3977</v>
      </c>
      <c r="D32" s="3"/>
      <c r="E32" s="3"/>
      <c r="F32" s="3"/>
    </row>
    <row r="33" spans="1:6" x14ac:dyDescent="0.2">
      <c r="A33" s="1">
        <v>43678</v>
      </c>
      <c r="B33" s="3">
        <v>15.233000000000001</v>
      </c>
      <c r="C33" s="3">
        <v>45.590899999999998</v>
      </c>
      <c r="D33" s="3"/>
      <c r="E33" s="3"/>
      <c r="F33" s="3"/>
    </row>
    <row r="34" spans="1:6" x14ac:dyDescent="0.2">
      <c r="A34" s="1">
        <v>43709</v>
      </c>
      <c r="B34" s="3">
        <v>19.48</v>
      </c>
      <c r="C34" s="3">
        <v>49.06</v>
      </c>
      <c r="D34" s="3"/>
      <c r="E34" s="3"/>
      <c r="F34" s="3"/>
    </row>
    <row r="35" spans="1:6" x14ac:dyDescent="0.2">
      <c r="A35" s="1">
        <v>43739</v>
      </c>
      <c r="B35" s="3">
        <v>17.706499999999998</v>
      </c>
      <c r="C35" s="3">
        <v>56.760899999999999</v>
      </c>
      <c r="D35" s="3"/>
      <c r="E35" s="3"/>
      <c r="F35" s="3"/>
    </row>
    <row r="36" spans="1:6" x14ac:dyDescent="0.2">
      <c r="A36" s="1">
        <v>43770</v>
      </c>
      <c r="B36" s="3">
        <v>13.006600000000001</v>
      </c>
      <c r="C36" s="3">
        <v>61.986800000000002</v>
      </c>
      <c r="D36" s="3"/>
      <c r="E36" s="3"/>
      <c r="F36" s="3"/>
    </row>
    <row r="37" spans="1:6" x14ac:dyDescent="0.2">
      <c r="A37" s="1">
        <v>43800</v>
      </c>
      <c r="B37" s="3">
        <v>12.5</v>
      </c>
      <c r="C37" s="3">
        <v>50.631</v>
      </c>
      <c r="D37" s="3"/>
      <c r="E37" s="3"/>
      <c r="F37" s="3"/>
    </row>
    <row r="38" spans="1:6" x14ac:dyDescent="0.2">
      <c r="A38" s="1">
        <v>43831</v>
      </c>
      <c r="B38" s="3">
        <v>15.9091</v>
      </c>
      <c r="C38" s="3">
        <v>40.3523</v>
      </c>
      <c r="D38" s="3"/>
      <c r="E38" s="3"/>
      <c r="F38" s="3"/>
    </row>
    <row r="39" spans="1:6" x14ac:dyDescent="0.2">
      <c r="A39" s="1">
        <v>43862</v>
      </c>
      <c r="B39" s="3">
        <v>31.473700000000001</v>
      </c>
      <c r="C39" s="3">
        <v>48.539499999999997</v>
      </c>
      <c r="D39" s="3"/>
      <c r="E39" s="3"/>
      <c r="F39" s="3"/>
    </row>
    <row r="40" spans="1:6" x14ac:dyDescent="0.2">
      <c r="A40" s="1">
        <v>43891</v>
      </c>
      <c r="B40" s="3">
        <v>28.829499999999999</v>
      </c>
      <c r="C40" s="3">
        <v>48.568199999999997</v>
      </c>
      <c r="D40" s="3"/>
      <c r="E40" s="3"/>
      <c r="F40" s="3"/>
    </row>
    <row r="41" spans="1:6" x14ac:dyDescent="0.2">
      <c r="A41" s="1">
        <v>43922</v>
      </c>
      <c r="B41" s="3">
        <v>35.0595</v>
      </c>
      <c r="C41" s="3">
        <v>52.107100000000003</v>
      </c>
      <c r="D41" s="3"/>
      <c r="E41" s="3"/>
      <c r="F41" s="3"/>
    </row>
    <row r="42" spans="1:6" x14ac:dyDescent="0.2">
      <c r="A42" s="1">
        <v>43952</v>
      </c>
      <c r="B42" s="3">
        <v>38.4</v>
      </c>
      <c r="C42" s="3">
        <v>53.625</v>
      </c>
      <c r="D42" s="3"/>
      <c r="E42" s="3"/>
      <c r="F42" s="3"/>
    </row>
    <row r="43" spans="1:6" x14ac:dyDescent="0.2">
      <c r="A43" s="1">
        <v>43983</v>
      </c>
      <c r="B43" s="3">
        <v>46.48</v>
      </c>
      <c r="C43" s="3">
        <v>56.51</v>
      </c>
      <c r="D43" s="3"/>
      <c r="E43" s="3"/>
      <c r="F43" s="3"/>
    </row>
    <row r="44" spans="1:6" x14ac:dyDescent="0.2">
      <c r="A44" s="1">
        <v>44013</v>
      </c>
      <c r="B44" s="3">
        <v>47.096600000000002</v>
      </c>
      <c r="C44" s="3">
        <v>59.840899999999998</v>
      </c>
      <c r="D44" s="3"/>
      <c r="E44" s="3"/>
      <c r="F44" s="3"/>
    </row>
    <row r="45" spans="1:6" x14ac:dyDescent="0.2">
      <c r="A45" s="1">
        <v>44044</v>
      </c>
      <c r="B45" s="3">
        <v>44.526200000000003</v>
      </c>
      <c r="C45" s="3">
        <v>64.964299999999994</v>
      </c>
      <c r="D45" s="3"/>
      <c r="E45" s="3"/>
      <c r="F45" s="3"/>
    </row>
    <row r="46" spans="1:6" x14ac:dyDescent="0.2">
      <c r="A46" s="1">
        <v>44075</v>
      </c>
      <c r="B46" s="3">
        <v>48.386899999999997</v>
      </c>
      <c r="C46" s="3">
        <v>76.381</v>
      </c>
      <c r="D46" s="3"/>
      <c r="E46" s="3"/>
      <c r="F46" s="3"/>
    </row>
    <row r="47" spans="1:6" x14ac:dyDescent="0.2">
      <c r="A47" s="1">
        <v>44105</v>
      </c>
      <c r="B47" s="3">
        <v>53.386400000000002</v>
      </c>
      <c r="C47" s="3">
        <v>79.693200000000004</v>
      </c>
      <c r="D47" s="3"/>
      <c r="E47" s="3"/>
      <c r="F47" s="3"/>
    </row>
    <row r="48" spans="1:6" x14ac:dyDescent="0.2">
      <c r="A48" s="1">
        <v>44136</v>
      </c>
      <c r="B48" s="3">
        <v>63.407899999999998</v>
      </c>
      <c r="C48" s="3">
        <v>87.315799999999996</v>
      </c>
      <c r="D48" s="3"/>
      <c r="E48" s="3"/>
      <c r="F48" s="3"/>
    </row>
    <row r="49" spans="1:6" x14ac:dyDescent="0.2">
      <c r="A49" s="1">
        <v>44166</v>
      </c>
      <c r="B49" s="3">
        <v>71.568200000000004</v>
      </c>
      <c r="C49" s="3">
        <v>97.181799999999996</v>
      </c>
      <c r="D49" s="3"/>
      <c r="E49" s="3"/>
      <c r="F49" s="3"/>
    </row>
    <row r="50" spans="1:6" x14ac:dyDescent="0.2">
      <c r="A50" s="1">
        <v>44197</v>
      </c>
      <c r="B50" s="3">
        <v>90.657899999999998</v>
      </c>
      <c r="C50" s="3">
        <v>102.61839999999999</v>
      </c>
    </row>
    <row r="51" spans="1:6" x14ac:dyDescent="0.2">
      <c r="A51" s="1">
        <v>44228</v>
      </c>
      <c r="B51" s="3">
        <v>101.3553</v>
      </c>
      <c r="C51" s="3">
        <v>109.8947</v>
      </c>
      <c r="D51" s="3"/>
      <c r="E51" s="3"/>
      <c r="F51" s="3"/>
    </row>
    <row r="52" spans="1:6" x14ac:dyDescent="0.2">
      <c r="A52" s="1">
        <v>44256</v>
      </c>
      <c r="B52" s="3">
        <v>129.13589999999999</v>
      </c>
      <c r="C52" s="3">
        <v>138.40219999999999</v>
      </c>
      <c r="D52" s="3"/>
      <c r="E52" s="3"/>
      <c r="F52" s="3"/>
    </row>
    <row r="53" spans="1:6" x14ac:dyDescent="0.2">
      <c r="A53" s="1">
        <v>44287</v>
      </c>
      <c r="B53" s="3">
        <v>138.08330000000001</v>
      </c>
      <c r="C53" s="3">
        <v>145.82140000000001</v>
      </c>
      <c r="D53" s="3"/>
      <c r="E53" s="3"/>
      <c r="F53" s="3"/>
    </row>
    <row r="54" spans="1:6" x14ac:dyDescent="0.2">
      <c r="A54" s="1">
        <v>44317</v>
      </c>
      <c r="B54" s="3">
        <v>179.98750000000001</v>
      </c>
      <c r="C54" s="3">
        <v>188.3125</v>
      </c>
      <c r="D54" s="3"/>
      <c r="E54" s="3"/>
      <c r="F54" s="3"/>
    </row>
    <row r="55" spans="1:6" x14ac:dyDescent="0.2">
      <c r="A55" s="1">
        <v>44348</v>
      </c>
      <c r="B55" s="3">
        <v>167.23859999999999</v>
      </c>
      <c r="C55" s="3">
        <v>176.5</v>
      </c>
      <c r="D55" s="3"/>
      <c r="E55" s="3"/>
      <c r="F55" s="3"/>
    </row>
    <row r="56" spans="1:6" x14ac:dyDescent="0.2">
      <c r="A56" s="1">
        <v>44378</v>
      </c>
      <c r="B56" s="3">
        <v>150.97020000000001</v>
      </c>
      <c r="C56" s="3">
        <v>165.6071</v>
      </c>
      <c r="D56" s="3"/>
      <c r="E56" s="3"/>
      <c r="F56" s="3"/>
    </row>
    <row r="57" spans="1:6" x14ac:dyDescent="0.2">
      <c r="A57" s="1">
        <v>44409</v>
      </c>
      <c r="B57" s="3">
        <v>154.97730000000001</v>
      </c>
      <c r="C57" s="3">
        <v>171.8409</v>
      </c>
      <c r="D57" s="3"/>
      <c r="E57" s="3"/>
      <c r="F57" s="3"/>
    </row>
    <row r="58" spans="1:6" x14ac:dyDescent="0.2">
      <c r="A58" s="1">
        <v>44440</v>
      </c>
      <c r="B58" s="3">
        <v>117.3929</v>
      </c>
      <c r="C58" s="3">
        <v>143.66669999999999</v>
      </c>
      <c r="D58" s="3"/>
      <c r="E58" s="3"/>
      <c r="F58" s="3"/>
    </row>
    <row r="59" spans="1:6" x14ac:dyDescent="0.2">
      <c r="A59" s="1">
        <v>44470</v>
      </c>
      <c r="B59" s="3">
        <v>127.9405</v>
      </c>
      <c r="C59" s="3">
        <v>153.52379999999999</v>
      </c>
      <c r="D59" s="3"/>
      <c r="E59" s="3"/>
      <c r="F59" s="3"/>
    </row>
    <row r="60" spans="1:6" x14ac:dyDescent="0.2">
      <c r="A60" s="1">
        <v>44501</v>
      </c>
      <c r="B60" s="3">
        <v>109.4375</v>
      </c>
      <c r="C60" s="3">
        <v>142.94999999999999</v>
      </c>
      <c r="D60" s="3"/>
      <c r="E60" s="3"/>
      <c r="F60" s="3"/>
    </row>
    <row r="61" spans="1:6" x14ac:dyDescent="0.2">
      <c r="A61" s="1">
        <v>44531</v>
      </c>
      <c r="B61" s="3">
        <v>100.8095</v>
      </c>
      <c r="C61" s="3">
        <v>151.05950000000001</v>
      </c>
      <c r="D61" s="3"/>
      <c r="E61" s="3"/>
      <c r="F61" s="3"/>
    </row>
    <row r="62" spans="1:6" x14ac:dyDescent="0.2">
      <c r="A62" s="1">
        <v>44562</v>
      </c>
      <c r="B62" s="3">
        <v>113.02630000000001</v>
      </c>
      <c r="C62" s="3">
        <v>135.71250000000001</v>
      </c>
      <c r="D62" s="3"/>
      <c r="E62" s="3"/>
      <c r="F62" s="3"/>
    </row>
    <row r="63" spans="1:6" x14ac:dyDescent="0.2">
      <c r="A63" s="1">
        <v>44593</v>
      </c>
      <c r="B63" s="3">
        <v>115.6118</v>
      </c>
      <c r="C63" s="3">
        <v>146.4605</v>
      </c>
      <c r="D63" s="3"/>
      <c r="E63" s="3"/>
      <c r="F63" s="3"/>
    </row>
    <row r="64" spans="1:6" x14ac:dyDescent="0.2">
      <c r="A64" s="1">
        <v>44621</v>
      </c>
      <c r="B64" s="3">
        <v>114.587</v>
      </c>
      <c r="C64" s="3">
        <v>148.36959999999999</v>
      </c>
      <c r="E64" s="3"/>
    </row>
    <row r="65" spans="1:8" x14ac:dyDescent="0.2">
      <c r="A65" s="1">
        <v>44652</v>
      </c>
      <c r="B65" s="3">
        <v>128.7063</v>
      </c>
      <c r="C65" s="3">
        <v>164.1688</v>
      </c>
    </row>
    <row r="66" spans="1:8" x14ac:dyDescent="0.2">
      <c r="A66" s="1">
        <v>44682</v>
      </c>
      <c r="B66" s="3">
        <v>153.20240000000001</v>
      </c>
      <c r="C66" s="3">
        <v>178.381</v>
      </c>
      <c r="D66" s="3"/>
      <c r="E66" s="3"/>
      <c r="F66" s="3"/>
    </row>
    <row r="67" spans="1:8" x14ac:dyDescent="0.2">
      <c r="A67" s="1">
        <v>44713</v>
      </c>
      <c r="B67" s="3">
        <v>152.19049999999999</v>
      </c>
      <c r="C67" s="3">
        <v>163.25</v>
      </c>
      <c r="D67" s="3"/>
      <c r="E67" s="3"/>
      <c r="F67" s="3"/>
    </row>
    <row r="68" spans="1:8" x14ac:dyDescent="0.2">
      <c r="A68" s="1">
        <v>44743</v>
      </c>
      <c r="B68" s="3">
        <v>149.8125</v>
      </c>
      <c r="C68" s="3">
        <v>161.42500000000001</v>
      </c>
      <c r="D68" s="3"/>
      <c r="E68" s="3"/>
      <c r="F68" s="3"/>
    </row>
    <row r="69" spans="1:8" x14ac:dyDescent="0.2">
      <c r="A69" s="1">
        <v>44774</v>
      </c>
      <c r="B69" s="3">
        <v>162.25</v>
      </c>
      <c r="C69" s="3">
        <v>176.58699999999999</v>
      </c>
      <c r="D69" s="3"/>
      <c r="E69" s="3"/>
      <c r="F69" s="3"/>
    </row>
    <row r="70" spans="1:8" x14ac:dyDescent="0.2">
      <c r="A70" s="1">
        <v>44805</v>
      </c>
      <c r="B70" s="3">
        <v>161.81549999999999</v>
      </c>
      <c r="C70" s="3">
        <v>174.81549999999999</v>
      </c>
      <c r="D70" s="3"/>
      <c r="E70" s="3"/>
      <c r="F70" s="3"/>
    </row>
    <row r="71" spans="1:8" x14ac:dyDescent="0.2">
      <c r="A71" s="1">
        <v>44835</v>
      </c>
      <c r="B71" s="3">
        <v>160</v>
      </c>
      <c r="C71" s="3">
        <v>181.3095238095238</v>
      </c>
      <c r="D71" s="3"/>
      <c r="E71" s="3"/>
      <c r="F71" s="3"/>
    </row>
    <row r="72" spans="1:8" x14ac:dyDescent="0.2">
      <c r="A72" s="1">
        <v>44866</v>
      </c>
      <c r="B72" s="3">
        <v>177.98750000000001</v>
      </c>
      <c r="C72" s="3">
        <v>191.47499999999999</v>
      </c>
      <c r="D72" s="3"/>
      <c r="E72" s="3"/>
      <c r="F72" s="3"/>
    </row>
    <row r="73" spans="1:8" x14ac:dyDescent="0.2">
      <c r="A73" s="1">
        <v>44896</v>
      </c>
      <c r="B73" s="3">
        <v>160.625</v>
      </c>
      <c r="C73" s="3">
        <v>173.02379999999999</v>
      </c>
      <c r="D73" s="3"/>
      <c r="E73" s="3"/>
      <c r="F73" s="3"/>
    </row>
    <row r="74" spans="1:8" x14ac:dyDescent="0.2">
      <c r="A74" s="1">
        <v>44927</v>
      </c>
      <c r="B74" s="3">
        <v>166.33750000000001</v>
      </c>
      <c r="C74" s="3">
        <v>169.125</v>
      </c>
      <c r="D74" s="3"/>
      <c r="E74" s="3"/>
      <c r="F74" s="3"/>
      <c r="H74" s="3"/>
    </row>
    <row r="75" spans="1:8" x14ac:dyDescent="0.2">
      <c r="A75" s="1">
        <v>44958</v>
      </c>
      <c r="B75" s="3">
        <v>158.56578947368422</v>
      </c>
      <c r="C75" s="3">
        <v>161.97368421052633</v>
      </c>
      <c r="D75" s="3"/>
      <c r="E75" s="3"/>
      <c r="F75" s="3"/>
      <c r="H75" s="3"/>
    </row>
    <row r="76" spans="1:8" x14ac:dyDescent="0.2">
      <c r="A76" s="1">
        <v>44986</v>
      </c>
      <c r="B76" s="3">
        <v>153.58695652173913</v>
      </c>
      <c r="C76" s="3">
        <v>157.40217391304347</v>
      </c>
      <c r="H76" s="3"/>
    </row>
    <row r="77" spans="1:8" x14ac:dyDescent="0.2">
      <c r="A77" s="1">
        <v>45017</v>
      </c>
      <c r="B77" s="3">
        <v>153.875</v>
      </c>
      <c r="C77" s="3">
        <v>156.70526315789473</v>
      </c>
      <c r="H77" s="3"/>
    </row>
    <row r="78" spans="1:8" x14ac:dyDescent="0.2">
      <c r="A78" s="1">
        <v>45047</v>
      </c>
      <c r="B78" s="3">
        <v>150.5625</v>
      </c>
      <c r="C78" s="3">
        <v>153.39772727272728</v>
      </c>
      <c r="H78" s="3"/>
    </row>
    <row r="79" spans="1:8" x14ac:dyDescent="0.2">
      <c r="A79" s="1">
        <v>45078</v>
      </c>
      <c r="B79" s="3">
        <v>142.38095238095238</v>
      </c>
      <c r="C79" s="3">
        <v>144.4702380952381</v>
      </c>
      <c r="H79" s="3"/>
    </row>
    <row r="80" spans="1:8" x14ac:dyDescent="0.2">
      <c r="A80" s="1">
        <v>45108</v>
      </c>
      <c r="B80" s="3">
        <v>155.02500000000001</v>
      </c>
      <c r="C80" s="3">
        <v>155.63749999999999</v>
      </c>
      <c r="D80" s="3"/>
      <c r="E80" s="3"/>
      <c r="F80" s="3"/>
      <c r="H80" s="3"/>
    </row>
    <row r="81" spans="1:8" x14ac:dyDescent="0.2">
      <c r="A81" s="1">
        <v>45139</v>
      </c>
      <c r="B81" s="3">
        <v>144.52173913043478</v>
      </c>
      <c r="C81" s="3">
        <v>145.03260869565219</v>
      </c>
      <c r="D81" s="3"/>
      <c r="E81" s="3"/>
      <c r="F81" s="3"/>
      <c r="H81" s="3"/>
    </row>
    <row r="82" spans="1:8" x14ac:dyDescent="0.2">
      <c r="A82" s="1">
        <v>45170</v>
      </c>
      <c r="B82" s="3">
        <v>118.425</v>
      </c>
      <c r="C82" s="3">
        <v>119.4</v>
      </c>
      <c r="D82" s="3"/>
      <c r="E82" s="3"/>
      <c r="F82" s="3"/>
      <c r="H82" s="3"/>
    </row>
    <row r="83" spans="1:8" x14ac:dyDescent="0.2">
      <c r="A83" s="1">
        <v>45200</v>
      </c>
      <c r="B83" s="3">
        <v>88.068181818181813</v>
      </c>
      <c r="C83" s="3">
        <v>88.602272727272734</v>
      </c>
      <c r="D83" s="3"/>
      <c r="E83" s="3"/>
      <c r="F83" s="3"/>
      <c r="H83" s="3"/>
    </row>
    <row r="84" spans="1:8" x14ac:dyDescent="0.2">
      <c r="A84" s="1">
        <v>45231</v>
      </c>
      <c r="B84" s="3">
        <v>82.887500000000003</v>
      </c>
      <c r="C84" s="3">
        <v>82.912499999999994</v>
      </c>
      <c r="D84" s="3"/>
      <c r="E84" s="3"/>
      <c r="F84" s="3"/>
      <c r="H84" s="3"/>
    </row>
    <row r="85" spans="1:8" x14ac:dyDescent="0.2">
      <c r="A85" s="1">
        <v>45261</v>
      </c>
      <c r="B85" s="3">
        <v>81.15625</v>
      </c>
      <c r="C85" s="3">
        <v>81.231250000000003</v>
      </c>
      <c r="D85" s="3"/>
      <c r="E85" s="3"/>
      <c r="F85" s="3"/>
      <c r="H85" s="3"/>
    </row>
    <row r="86" spans="1:8" x14ac:dyDescent="0.2">
      <c r="A86" s="1">
        <v>45292</v>
      </c>
      <c r="B86" s="3">
        <v>71.666666666666671</v>
      </c>
      <c r="C86" s="3">
        <v>72.583333333333329</v>
      </c>
      <c r="D86" s="3"/>
      <c r="E86" s="3"/>
      <c r="F86" s="3"/>
      <c r="H86" s="3"/>
    </row>
    <row r="87" spans="1:8" x14ac:dyDescent="0.2">
      <c r="A87" s="1">
        <v>45323</v>
      </c>
      <c r="B87" s="3">
        <v>47.35</v>
      </c>
      <c r="C87" s="3">
        <v>47.987499999999997</v>
      </c>
      <c r="D87" s="3"/>
      <c r="E87" s="3"/>
      <c r="F87" s="3"/>
      <c r="H87" s="3"/>
    </row>
    <row r="88" spans="1:8" x14ac:dyDescent="0.2">
      <c r="A88" s="1">
        <v>45352</v>
      </c>
      <c r="B88" s="3">
        <v>51.912500000000001</v>
      </c>
      <c r="C88" s="3">
        <v>52.475000000000001</v>
      </c>
      <c r="D88" s="3"/>
      <c r="E88" s="3"/>
      <c r="F88" s="3"/>
      <c r="H88" s="3"/>
    </row>
    <row r="89" spans="1:8" x14ac:dyDescent="0.2">
      <c r="A89" s="1">
        <v>45383</v>
      </c>
      <c r="B89" s="3">
        <v>48.272727272727273</v>
      </c>
      <c r="C89" s="3">
        <v>48.477272727272727</v>
      </c>
      <c r="D89" s="3"/>
      <c r="E89" s="3"/>
      <c r="F89" s="3"/>
      <c r="H89" s="3"/>
    </row>
    <row r="90" spans="1:8" x14ac:dyDescent="0.2">
      <c r="A90" s="1">
        <v>45413</v>
      </c>
      <c r="B90" s="3">
        <v>49.579545454545453</v>
      </c>
      <c r="C90" s="3">
        <v>49.738636363636367</v>
      </c>
      <c r="H90" s="3"/>
    </row>
    <row r="91" spans="1:8" x14ac:dyDescent="0.2">
      <c r="A91" s="1">
        <v>45444</v>
      </c>
      <c r="B91" s="3">
        <v>55.006842105263161</v>
      </c>
      <c r="C91" s="3">
        <v>55.157894736842103</v>
      </c>
      <c r="H91" s="3"/>
    </row>
    <row r="92" spans="1:8" x14ac:dyDescent="0.2">
      <c r="A92" s="1">
        <v>45474</v>
      </c>
      <c r="B92" s="3">
        <v>64.000454545454559</v>
      </c>
      <c r="C92" s="3">
        <v>64.045909090909106</v>
      </c>
      <c r="D92" s="3"/>
      <c r="E92" s="3"/>
      <c r="F92" s="3"/>
      <c r="H92" s="3"/>
    </row>
    <row r="93" spans="1:8" x14ac:dyDescent="0.2">
      <c r="A93" s="1">
        <v>45505</v>
      </c>
      <c r="B93" s="3">
        <v>56.545909090909092</v>
      </c>
      <c r="C93" s="3">
        <v>56.591818181818191</v>
      </c>
      <c r="D93" s="3"/>
      <c r="E93" s="3"/>
      <c r="F93" s="3"/>
      <c r="H93" s="3"/>
    </row>
    <row r="94" spans="1:8" x14ac:dyDescent="0.2">
      <c r="A94" s="1">
        <v>45536</v>
      </c>
      <c r="B94" s="3">
        <v>60.340499999999999</v>
      </c>
      <c r="C94" s="3">
        <v>60.412500000000001</v>
      </c>
      <c r="D94" s="3"/>
      <c r="E94" s="3"/>
      <c r="F94" s="3"/>
      <c r="H94" s="3"/>
    </row>
    <row r="95" spans="1:8" x14ac:dyDescent="0.2">
      <c r="A95" s="1">
        <v>45566</v>
      </c>
      <c r="B95" s="3">
        <v>69.833043478260876</v>
      </c>
      <c r="C95" s="3">
        <v>69.870434782608697</v>
      </c>
      <c r="D95" s="3"/>
      <c r="E95" s="3"/>
      <c r="F95" s="3"/>
      <c r="H95" s="3"/>
    </row>
    <row r="96" spans="1:8" x14ac:dyDescent="0.2">
      <c r="A96" s="1">
        <v>45597</v>
      </c>
      <c r="B96" s="3">
        <v>67.763000000000005</v>
      </c>
      <c r="C96" s="3">
        <v>68.287999999999997</v>
      </c>
      <c r="D96" s="3"/>
      <c r="E96" s="3"/>
      <c r="F96" s="3"/>
      <c r="H96" s="3"/>
    </row>
    <row r="97" spans="1:8" x14ac:dyDescent="0.2">
      <c r="A97" s="1">
        <v>45627</v>
      </c>
      <c r="B97" s="3">
        <v>60.184761904761913</v>
      </c>
      <c r="C97" s="3">
        <v>60.233809523809541</v>
      </c>
      <c r="D97" s="3"/>
      <c r="E97" s="3"/>
      <c r="F97" s="3"/>
      <c r="H97" s="3"/>
    </row>
    <row r="98" spans="1:8" x14ac:dyDescent="0.2">
      <c r="A98" s="1">
        <v>45658</v>
      </c>
      <c r="B98" s="3">
        <v>69.142857142857139</v>
      </c>
      <c r="C98" s="3">
        <v>71.86904761904762</v>
      </c>
      <c r="D98" s="3"/>
      <c r="E98" s="3"/>
      <c r="F98" s="3"/>
      <c r="H98" s="3"/>
    </row>
    <row r="99" spans="1:8" x14ac:dyDescent="0.2">
      <c r="A99" s="1">
        <v>45689</v>
      </c>
      <c r="B99" s="3">
        <v>80.55263157894737</v>
      </c>
      <c r="C99" s="3">
        <v>84.94736842105263</v>
      </c>
      <c r="D99" s="3"/>
      <c r="E99" s="3"/>
      <c r="F99" s="3"/>
      <c r="H99" s="3"/>
    </row>
    <row r="100" spans="1:8" x14ac:dyDescent="0.2">
      <c r="A100" s="1">
        <v>45717</v>
      </c>
      <c r="B100" s="3">
        <v>72</v>
      </c>
      <c r="C100" s="3">
        <v>78</v>
      </c>
      <c r="D100" s="3"/>
      <c r="E100" s="3"/>
      <c r="F100" s="3"/>
      <c r="H100" s="3"/>
    </row>
    <row r="101" spans="1:8" x14ac:dyDescent="0.2">
      <c r="A101" s="1">
        <v>45748</v>
      </c>
      <c r="B101" s="3">
        <v>70</v>
      </c>
      <c r="C101" s="3">
        <v>74</v>
      </c>
      <c r="D101" s="3"/>
      <c r="E101" s="3"/>
      <c r="F101" s="3"/>
      <c r="H101" s="3"/>
    </row>
    <row r="102" spans="1:8" x14ac:dyDescent="0.2">
      <c r="A102" s="1">
        <v>45778</v>
      </c>
      <c r="B102" s="3">
        <f>MROUND('[2]HOBO Forward Curve'!$E2,1)</f>
        <v>106</v>
      </c>
      <c r="C102" s="3">
        <f>MROUND('[2]HOBO Forward Curve'!$F2,1)</f>
        <v>114</v>
      </c>
      <c r="D102" s="3">
        <f>([3]Forecasts!$F36/100*7.6)-('[2]HOBO Forward Curve'!$C2)</f>
        <v>1.5855799999999998</v>
      </c>
      <c r="E102" s="3">
        <f>'[4]HOBO Forward Curve'!$G2</f>
        <v>1.5254199999999996</v>
      </c>
      <c r="F102" s="3">
        <f>'[4]HOBO Forward Curve'!$J2</f>
        <v>0.97384000000000048</v>
      </c>
      <c r="H102" s="3"/>
    </row>
    <row r="103" spans="1:8" x14ac:dyDescent="0.2">
      <c r="A103" s="1">
        <v>45839</v>
      </c>
      <c r="B103" s="3">
        <f>MROUND('[2]HOBO Forward Curve'!$E3,1)</f>
        <v>117</v>
      </c>
      <c r="C103" s="3">
        <f>MROUND('[2]HOBO Forward Curve'!$F3,1)</f>
        <v>121</v>
      </c>
      <c r="D103" s="3">
        <f>([3]Forecasts!$F37/100*7.6)-('[2]HOBO Forward Curve'!$C3)</f>
        <v>1.6582999999999997</v>
      </c>
      <c r="E103" s="3">
        <f>'[4]HOBO Forward Curve'!$G3</f>
        <v>1.6174599999999999</v>
      </c>
      <c r="F103" s="3">
        <f>'[4]HOBO Forward Curve'!$J3</f>
        <v>1.0427999999999997</v>
      </c>
      <c r="H103" s="3"/>
    </row>
    <row r="104" spans="1:8" x14ac:dyDescent="0.2">
      <c r="A104" s="1">
        <v>45901</v>
      </c>
      <c r="B104" s="3">
        <f>MROUND('[2]HOBO Forward Curve'!$E4,1)</f>
        <v>104</v>
      </c>
      <c r="C104" s="3">
        <f>MROUND('[2]HOBO Forward Curve'!$F4,1)</f>
        <v>106</v>
      </c>
      <c r="D104" s="3">
        <f>([3]Forecasts!$F38/100*7.6)-('[2]HOBO Forward Curve'!$C4)</f>
        <v>1.6435399999999998</v>
      </c>
      <c r="E104" s="3">
        <f>'[4]HOBO Forward Curve'!$G4</f>
        <v>1.5922999999999998</v>
      </c>
      <c r="F104" s="3">
        <f>'[4]HOBO Forward Curve'!$J4</f>
        <v>1.0303400000000003</v>
      </c>
      <c r="H104" s="3"/>
    </row>
    <row r="105" spans="1:8" x14ac:dyDescent="0.2">
      <c r="A105" s="1">
        <v>45992</v>
      </c>
      <c r="B105" s="3">
        <f>MROUND('[2]HOBO Forward Curve'!$E5,1)</f>
        <v>104</v>
      </c>
      <c r="C105" s="3">
        <f>MROUND('[2]HOBO Forward Curve'!$F5,1)</f>
        <v>113</v>
      </c>
      <c r="D105" s="3">
        <f>([3]Forecasts!$F40/100*7.6)-('[2]HOBO Forward Curve'!$C5)</f>
        <v>-2.1129000000000002</v>
      </c>
      <c r="E105" s="3">
        <f>'[4]HOBO Forward Curve'!$G5</f>
        <v>1.5560399999999999</v>
      </c>
      <c r="F105" s="3">
        <f>'[4]HOBO Forward Curve'!$J5</f>
        <v>1.0192399999999999</v>
      </c>
      <c r="H105" s="3"/>
    </row>
    <row r="106" spans="1:8" x14ac:dyDescent="0.2">
      <c r="A106" s="1">
        <v>46082</v>
      </c>
      <c r="B106" s="3">
        <f>MROUND('[2]HOBO Forward Curve'!$E6,1)</f>
        <v>104</v>
      </c>
      <c r="C106" s="3">
        <f>MROUND('[2]HOBO Forward Curve'!$F6,1)</f>
        <v>110</v>
      </c>
      <c r="D106" s="3">
        <f>([3]Forecasts!$F39/100*7.6)-('[2]HOBO Forward Curve'!$C6)</f>
        <v>1.63768</v>
      </c>
      <c r="E106" s="3">
        <f>'[4]HOBO Forward Curve'!$G6</f>
        <v>1.5635599999999998</v>
      </c>
      <c r="F106" s="3">
        <f>'[4]HOBO Forward Curve'!$J6</f>
        <v>1.0543</v>
      </c>
      <c r="H10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9440B-87D9-4917-A6C6-4E2249620AFC}">
  <dimension ref="A1:X1988"/>
  <sheetViews>
    <sheetView zoomScale="130" zoomScaleNormal="130" workbookViewId="0">
      <pane xSplit="1" ySplit="1" topLeftCell="B239" activePane="bottomRight" state="frozen"/>
      <selection activeCell="B21" sqref="B21"/>
      <selection pane="topRight" activeCell="B21" sqref="B21"/>
      <selection pane="bottomLeft" activeCell="B21" sqref="B21"/>
      <selection pane="bottomRight" activeCell="B21" sqref="B21"/>
    </sheetView>
  </sheetViews>
  <sheetFormatPr defaultColWidth="9.140625" defaultRowHeight="12.75" x14ac:dyDescent="0.2"/>
  <cols>
    <col min="1" max="1" width="10.140625" style="2" bestFit="1" customWidth="1"/>
    <col min="2" max="5" width="9.140625" style="2"/>
    <col min="6" max="6" width="21.28515625" style="2" customWidth="1"/>
    <col min="7" max="16384" width="9.140625" style="2"/>
  </cols>
  <sheetData>
    <row r="1" spans="1:24" x14ac:dyDescent="0.2">
      <c r="A1" s="2" t="s">
        <v>0</v>
      </c>
      <c r="B1" s="2" t="s">
        <v>6</v>
      </c>
      <c r="C1" s="2" t="s">
        <v>7</v>
      </c>
      <c r="D1" s="2" t="s">
        <v>8</v>
      </c>
      <c r="V1" s="2" t="s">
        <v>9</v>
      </c>
      <c r="W1" s="2" t="s">
        <v>10</v>
      </c>
      <c r="X1" s="2" t="s">
        <v>11</v>
      </c>
    </row>
    <row r="2" spans="1:24" x14ac:dyDescent="0.2">
      <c r="A2" s="4">
        <f t="array" ref="A2:A259">[5]!'(@bo@c2*7.6/100)-qho@c2[INTERVAL:DAILY,COMPRESSION:1,FILTER:USA,SORT:ASC,NDATE:4/25/2025,FDATE:4/17/2024,VERSION:1]?DATE'</f>
        <v>45399</v>
      </c>
      <c r="B2" s="5">
        <f t="array" ref="B2:B259">[5]!'((@bo@c2*7.6/100)-qho@c2)[INTERVAL:DAILY,COMPRESSION:1,FILTER:USA,SORT:ASC,NDATE:4/25/2025,FDATE:4/17/2024,VERSION:1]?CLOSE'</f>
        <v>0.88166000000000011</v>
      </c>
      <c r="F2" s="6"/>
      <c r="G2" s="4"/>
      <c r="H2" s="4"/>
      <c r="I2" s="5"/>
      <c r="L2" s="5"/>
      <c r="O2" s="4"/>
      <c r="P2" s="5"/>
      <c r="U2" s="1">
        <v>41275</v>
      </c>
      <c r="V2" s="2" t="e">
        <f t="shared" ref="V2:V65" si="0">AVERAGEIFS(P2:P1924,Q2:Q1924,W2,R2:R1924,X2)</f>
        <v>#DIV/0!</v>
      </c>
      <c r="W2" s="2">
        <f t="shared" ref="W2:W65" si="1">MONTH(U2)</f>
        <v>1</v>
      </c>
      <c r="X2" s="2">
        <f t="shared" ref="X2:X65" si="2">YEAR(U2)</f>
        <v>2013</v>
      </c>
    </row>
    <row r="3" spans="1:24" x14ac:dyDescent="0.2">
      <c r="A3" s="4">
        <v>45400</v>
      </c>
      <c r="B3" s="5">
        <v>0.85195999999999961</v>
      </c>
      <c r="G3" s="4"/>
      <c r="L3" s="5"/>
      <c r="O3" s="4"/>
      <c r="U3" s="1">
        <v>41306</v>
      </c>
      <c r="V3" s="2" t="e">
        <f t="shared" si="0"/>
        <v>#DIV/0!</v>
      </c>
      <c r="W3" s="2">
        <f t="shared" si="1"/>
        <v>2</v>
      </c>
      <c r="X3" s="2">
        <f t="shared" si="2"/>
        <v>2013</v>
      </c>
    </row>
    <row r="4" spans="1:24" x14ac:dyDescent="0.2">
      <c r="A4" s="4">
        <v>45401</v>
      </c>
      <c r="B4" s="5">
        <v>0.86483999999999961</v>
      </c>
      <c r="G4" s="4"/>
      <c r="L4" s="5"/>
      <c r="O4" s="4"/>
      <c r="U4" s="1">
        <v>41334</v>
      </c>
      <c r="V4" s="2" t="e">
        <f t="shared" si="0"/>
        <v>#DIV/0!</v>
      </c>
      <c r="W4" s="2">
        <f t="shared" si="1"/>
        <v>3</v>
      </c>
      <c r="X4" s="2">
        <f t="shared" si="2"/>
        <v>2013</v>
      </c>
    </row>
    <row r="5" spans="1:24" x14ac:dyDescent="0.2">
      <c r="A5" s="4">
        <v>45404</v>
      </c>
      <c r="B5" s="5">
        <v>0.90225999999999962</v>
      </c>
      <c r="G5" s="4"/>
      <c r="L5" s="5"/>
      <c r="O5" s="4"/>
      <c r="U5" s="1">
        <v>41365</v>
      </c>
      <c r="V5" s="2" t="e">
        <f t="shared" si="0"/>
        <v>#DIV/0!</v>
      </c>
      <c r="W5" s="2">
        <f t="shared" si="1"/>
        <v>4</v>
      </c>
      <c r="X5" s="2">
        <f t="shared" si="2"/>
        <v>2013</v>
      </c>
    </row>
    <row r="6" spans="1:24" x14ac:dyDescent="0.2">
      <c r="A6" s="4">
        <v>45405</v>
      </c>
      <c r="B6" s="5">
        <v>0.9008799999999999</v>
      </c>
      <c r="G6" s="4"/>
      <c r="L6" s="5"/>
      <c r="O6" s="4"/>
      <c r="U6" s="1">
        <v>41395</v>
      </c>
      <c r="V6" s="2" t="e">
        <f t="shared" si="0"/>
        <v>#DIV/0!</v>
      </c>
      <c r="W6" s="2">
        <f t="shared" si="1"/>
        <v>5</v>
      </c>
      <c r="X6" s="2">
        <f t="shared" si="2"/>
        <v>2013</v>
      </c>
    </row>
    <row r="7" spans="1:24" x14ac:dyDescent="0.2">
      <c r="A7" s="4">
        <v>45406</v>
      </c>
      <c r="B7" s="5">
        <v>0.88082000000000038</v>
      </c>
      <c r="G7" s="4"/>
      <c r="L7" s="5"/>
      <c r="O7" s="4"/>
      <c r="U7" s="1">
        <v>41426</v>
      </c>
      <c r="V7" s="2" t="e">
        <f t="shared" si="0"/>
        <v>#DIV/0!</v>
      </c>
      <c r="W7" s="2">
        <f t="shared" si="1"/>
        <v>6</v>
      </c>
      <c r="X7" s="2">
        <f t="shared" si="2"/>
        <v>2013</v>
      </c>
    </row>
    <row r="8" spans="1:24" x14ac:dyDescent="0.2">
      <c r="A8" s="4">
        <v>45407</v>
      </c>
      <c r="B8" s="5">
        <v>0.89227999999999952</v>
      </c>
      <c r="F8" s="1"/>
      <c r="L8" s="5"/>
      <c r="O8" s="4"/>
      <c r="U8" s="1">
        <v>41456</v>
      </c>
      <c r="V8" s="2" t="e">
        <f t="shared" si="0"/>
        <v>#DIV/0!</v>
      </c>
      <c r="W8" s="2">
        <f t="shared" si="1"/>
        <v>7</v>
      </c>
      <c r="X8" s="2">
        <f t="shared" si="2"/>
        <v>2013</v>
      </c>
    </row>
    <row r="9" spans="1:24" x14ac:dyDescent="0.2">
      <c r="A9" s="4">
        <v>45408</v>
      </c>
      <c r="B9" s="5">
        <v>0.90033999999999947</v>
      </c>
      <c r="F9" s="1"/>
      <c r="L9" s="5"/>
      <c r="O9" s="4"/>
      <c r="U9" s="1">
        <v>41487</v>
      </c>
      <c r="V9" s="2" t="e">
        <f t="shared" si="0"/>
        <v>#DIV/0!</v>
      </c>
      <c r="W9" s="2">
        <f t="shared" si="1"/>
        <v>8</v>
      </c>
      <c r="X9" s="2">
        <f t="shared" si="2"/>
        <v>2013</v>
      </c>
    </row>
    <row r="10" spans="1:24" x14ac:dyDescent="0.2">
      <c r="A10" s="4">
        <v>45411</v>
      </c>
      <c r="B10" s="5">
        <v>0.82611999999999997</v>
      </c>
      <c r="F10" s="1"/>
      <c r="L10" s="5"/>
      <c r="O10" s="4"/>
      <c r="U10" s="1">
        <v>41518</v>
      </c>
      <c r="V10" s="2" t="e">
        <f t="shared" si="0"/>
        <v>#DIV/0!</v>
      </c>
      <c r="W10" s="2">
        <f t="shared" si="1"/>
        <v>9</v>
      </c>
      <c r="X10" s="2">
        <f t="shared" si="2"/>
        <v>2013</v>
      </c>
    </row>
    <row r="11" spans="1:24" x14ac:dyDescent="0.2">
      <c r="A11" s="4">
        <v>45412</v>
      </c>
      <c r="B11" s="5">
        <v>0.74115999999999982</v>
      </c>
      <c r="F11" s="1"/>
      <c r="L11" s="5"/>
      <c r="O11" s="4"/>
      <c r="U11" s="1">
        <v>41548</v>
      </c>
      <c r="V11" s="2" t="e">
        <f t="shared" si="0"/>
        <v>#DIV/0!</v>
      </c>
      <c r="W11" s="2">
        <f t="shared" si="1"/>
        <v>10</v>
      </c>
      <c r="X11" s="2">
        <f t="shared" si="2"/>
        <v>2013</v>
      </c>
    </row>
    <row r="12" spans="1:24" x14ac:dyDescent="0.2">
      <c r="A12" s="4">
        <v>45413</v>
      </c>
      <c r="B12" s="5">
        <v>0.8226599999999995</v>
      </c>
      <c r="F12" s="1"/>
      <c r="L12" s="5"/>
      <c r="O12" s="4"/>
      <c r="U12" s="1">
        <v>41579</v>
      </c>
      <c r="V12" s="2" t="e">
        <f t="shared" si="0"/>
        <v>#DIV/0!</v>
      </c>
      <c r="W12" s="2">
        <f t="shared" si="1"/>
        <v>11</v>
      </c>
      <c r="X12" s="2">
        <f t="shared" si="2"/>
        <v>2013</v>
      </c>
    </row>
    <row r="13" spans="1:24" x14ac:dyDescent="0.2">
      <c r="A13" s="4">
        <v>45414</v>
      </c>
      <c r="B13" s="5">
        <v>0.82864000000000049</v>
      </c>
      <c r="F13" s="1"/>
      <c r="L13" s="5"/>
      <c r="O13" s="4"/>
      <c r="U13" s="1">
        <v>41609</v>
      </c>
      <c r="V13" s="2" t="e">
        <f t="shared" si="0"/>
        <v>#DIV/0!</v>
      </c>
      <c r="W13" s="2">
        <f t="shared" si="1"/>
        <v>12</v>
      </c>
      <c r="X13" s="2">
        <f t="shared" si="2"/>
        <v>2013</v>
      </c>
    </row>
    <row r="14" spans="1:24" x14ac:dyDescent="0.2">
      <c r="A14" s="4">
        <v>45415</v>
      </c>
      <c r="B14" s="5">
        <v>0.81707999999999981</v>
      </c>
      <c r="F14" s="1"/>
      <c r="L14" s="5"/>
      <c r="O14" s="4"/>
      <c r="U14" s="1">
        <v>41640</v>
      </c>
      <c r="V14" s="2" t="e">
        <f t="shared" si="0"/>
        <v>#DIV/0!</v>
      </c>
      <c r="W14" s="2">
        <f t="shared" si="1"/>
        <v>1</v>
      </c>
      <c r="X14" s="2">
        <f t="shared" si="2"/>
        <v>2014</v>
      </c>
    </row>
    <row r="15" spans="1:24" x14ac:dyDescent="0.2">
      <c r="A15" s="4">
        <v>45418</v>
      </c>
      <c r="B15" s="5">
        <v>0.85794000000000015</v>
      </c>
      <c r="F15" s="1"/>
      <c r="L15" s="5"/>
      <c r="O15" s="4"/>
      <c r="U15" s="1">
        <v>41671</v>
      </c>
      <c r="V15" s="2" t="e">
        <f t="shared" si="0"/>
        <v>#DIV/0!</v>
      </c>
      <c r="W15" s="2">
        <f t="shared" si="1"/>
        <v>2</v>
      </c>
      <c r="X15" s="2">
        <f t="shared" si="2"/>
        <v>2014</v>
      </c>
    </row>
    <row r="16" spans="1:24" x14ac:dyDescent="0.2">
      <c r="A16" s="4">
        <v>45419</v>
      </c>
      <c r="B16" s="5">
        <v>0.90299999999999958</v>
      </c>
      <c r="F16" s="1"/>
      <c r="L16" s="5"/>
      <c r="O16" s="4"/>
      <c r="U16" s="1">
        <v>41699</v>
      </c>
      <c r="V16" s="2" t="e">
        <f t="shared" si="0"/>
        <v>#DIV/0!</v>
      </c>
      <c r="W16" s="2">
        <f t="shared" si="1"/>
        <v>3</v>
      </c>
      <c r="X16" s="2">
        <f t="shared" si="2"/>
        <v>2014</v>
      </c>
    </row>
    <row r="17" spans="1:24" x14ac:dyDescent="0.2">
      <c r="A17" s="4">
        <v>45420</v>
      </c>
      <c r="B17" s="5">
        <v>0.84013999999999989</v>
      </c>
      <c r="F17" s="1"/>
      <c r="L17" s="5"/>
      <c r="O17" s="4"/>
      <c r="U17" s="1">
        <v>41730</v>
      </c>
      <c r="V17" s="2" t="e">
        <f t="shared" si="0"/>
        <v>#DIV/0!</v>
      </c>
      <c r="W17" s="2">
        <f t="shared" si="1"/>
        <v>4</v>
      </c>
      <c r="X17" s="2">
        <f t="shared" si="2"/>
        <v>2014</v>
      </c>
    </row>
    <row r="18" spans="1:24" x14ac:dyDescent="0.2">
      <c r="A18" s="4">
        <v>45421</v>
      </c>
      <c r="B18" s="5">
        <v>0.74993999999999961</v>
      </c>
      <c r="F18" s="1"/>
      <c r="L18" s="5"/>
      <c r="O18" s="4"/>
      <c r="U18" s="1">
        <v>41760</v>
      </c>
      <c r="V18" s="2" t="e">
        <f t="shared" si="0"/>
        <v>#DIV/0!</v>
      </c>
      <c r="W18" s="2">
        <f t="shared" si="1"/>
        <v>5</v>
      </c>
      <c r="X18" s="2">
        <f t="shared" si="2"/>
        <v>2014</v>
      </c>
    </row>
    <row r="19" spans="1:24" x14ac:dyDescent="0.2">
      <c r="A19" s="4">
        <v>45422</v>
      </c>
      <c r="B19" s="5">
        <v>0.92763999999999935</v>
      </c>
      <c r="F19" s="1"/>
      <c r="L19" s="5"/>
      <c r="O19" s="4"/>
      <c r="U19" s="1">
        <v>41791</v>
      </c>
      <c r="V19" s="2" t="e">
        <f t="shared" si="0"/>
        <v>#DIV/0!</v>
      </c>
      <c r="W19" s="2">
        <f t="shared" si="1"/>
        <v>6</v>
      </c>
      <c r="X19" s="2">
        <f t="shared" si="2"/>
        <v>2014</v>
      </c>
    </row>
    <row r="20" spans="1:24" x14ac:dyDescent="0.2">
      <c r="A20" s="4">
        <v>45425</v>
      </c>
      <c r="B20" s="5">
        <v>0.97829999999999995</v>
      </c>
      <c r="F20" s="1"/>
      <c r="L20" s="5"/>
      <c r="O20" s="4"/>
      <c r="U20" s="1">
        <v>41821</v>
      </c>
      <c r="V20" s="2" t="e">
        <f t="shared" si="0"/>
        <v>#DIV/0!</v>
      </c>
      <c r="W20" s="2">
        <f t="shared" si="1"/>
        <v>7</v>
      </c>
      <c r="X20" s="2">
        <f t="shared" si="2"/>
        <v>2014</v>
      </c>
    </row>
    <row r="21" spans="1:24" x14ac:dyDescent="0.2">
      <c r="A21" s="4">
        <v>45426</v>
      </c>
      <c r="B21" s="5">
        <v>0.86389999999999967</v>
      </c>
      <c r="F21" s="1"/>
      <c r="L21" s="5"/>
      <c r="O21" s="4"/>
      <c r="U21" s="1">
        <v>41852</v>
      </c>
      <c r="V21" s="2" t="e">
        <f t="shared" si="0"/>
        <v>#DIV/0!</v>
      </c>
      <c r="W21" s="2">
        <f t="shared" si="1"/>
        <v>8</v>
      </c>
      <c r="X21" s="2">
        <f t="shared" si="2"/>
        <v>2014</v>
      </c>
    </row>
    <row r="22" spans="1:24" x14ac:dyDescent="0.2">
      <c r="A22" s="4">
        <v>45427</v>
      </c>
      <c r="B22" s="5">
        <v>0.89449999999999985</v>
      </c>
      <c r="F22" s="1"/>
      <c r="L22" s="5"/>
      <c r="O22" s="4"/>
      <c r="U22" s="1">
        <v>41883</v>
      </c>
      <c r="V22" s="2" t="e">
        <f t="shared" si="0"/>
        <v>#DIV/0!</v>
      </c>
      <c r="W22" s="2">
        <f t="shared" si="1"/>
        <v>9</v>
      </c>
      <c r="X22" s="2">
        <f t="shared" si="2"/>
        <v>2014</v>
      </c>
    </row>
    <row r="23" spans="1:24" x14ac:dyDescent="0.2">
      <c r="A23" s="4">
        <v>45428</v>
      </c>
      <c r="B23" s="5">
        <v>0.94519999999999982</v>
      </c>
      <c r="F23" s="1"/>
      <c r="L23" s="5"/>
      <c r="O23" s="4"/>
      <c r="U23" s="1">
        <v>41913</v>
      </c>
      <c r="V23" s="2" t="e">
        <f t="shared" si="0"/>
        <v>#DIV/0!</v>
      </c>
      <c r="W23" s="2">
        <f t="shared" si="1"/>
        <v>10</v>
      </c>
      <c r="X23" s="2">
        <f t="shared" si="2"/>
        <v>2014</v>
      </c>
    </row>
    <row r="24" spans="1:24" x14ac:dyDescent="0.2">
      <c r="A24" s="4">
        <v>45429</v>
      </c>
      <c r="B24" s="5">
        <v>0.9598399999999998</v>
      </c>
      <c r="F24" s="1"/>
      <c r="L24" s="5"/>
      <c r="O24" s="4"/>
      <c r="U24" s="1">
        <v>41944</v>
      </c>
      <c r="V24" s="2" t="e">
        <f t="shared" si="0"/>
        <v>#DIV/0!</v>
      </c>
      <c r="W24" s="2">
        <f t="shared" si="1"/>
        <v>11</v>
      </c>
      <c r="X24" s="2">
        <f t="shared" si="2"/>
        <v>2014</v>
      </c>
    </row>
    <row r="25" spans="1:24" x14ac:dyDescent="0.2">
      <c r="A25" s="4">
        <v>45432</v>
      </c>
      <c r="B25" s="5">
        <v>1.03546</v>
      </c>
      <c r="F25" s="1"/>
      <c r="L25" s="5"/>
      <c r="O25" s="4"/>
      <c r="U25" s="1">
        <v>41974</v>
      </c>
      <c r="V25" s="2" t="e">
        <f t="shared" si="0"/>
        <v>#DIV/0!</v>
      </c>
      <c r="W25" s="2">
        <f t="shared" si="1"/>
        <v>12</v>
      </c>
      <c r="X25" s="2">
        <f t="shared" si="2"/>
        <v>2014</v>
      </c>
    </row>
    <row r="26" spans="1:24" x14ac:dyDescent="0.2">
      <c r="A26" s="4">
        <v>45433</v>
      </c>
      <c r="B26" s="5">
        <v>1.02454</v>
      </c>
      <c r="F26" s="1"/>
      <c r="L26" s="5"/>
      <c r="O26" s="4"/>
      <c r="U26" s="1">
        <v>42005</v>
      </c>
      <c r="V26" s="2" t="e">
        <f t="shared" si="0"/>
        <v>#DIV/0!</v>
      </c>
      <c r="W26" s="2">
        <f t="shared" si="1"/>
        <v>1</v>
      </c>
      <c r="X26" s="2">
        <f t="shared" si="2"/>
        <v>2015</v>
      </c>
    </row>
    <row r="27" spans="1:24" x14ac:dyDescent="0.2">
      <c r="A27" s="4">
        <v>45434</v>
      </c>
      <c r="B27" s="5">
        <v>1.0603400000000001</v>
      </c>
      <c r="F27" s="1"/>
      <c r="L27" s="5"/>
      <c r="O27" s="4"/>
      <c r="U27" s="1">
        <v>42036</v>
      </c>
      <c r="V27" s="2" t="e">
        <f t="shared" si="0"/>
        <v>#DIV/0!</v>
      </c>
      <c r="W27" s="2">
        <f t="shared" si="1"/>
        <v>2</v>
      </c>
      <c r="X27" s="2">
        <f t="shared" si="2"/>
        <v>2015</v>
      </c>
    </row>
    <row r="28" spans="1:24" x14ac:dyDescent="0.2">
      <c r="A28" s="4">
        <v>45435</v>
      </c>
      <c r="B28" s="5">
        <v>1.0276799999999997</v>
      </c>
      <c r="F28" s="1"/>
      <c r="L28" s="5"/>
      <c r="O28" s="4"/>
      <c r="U28" s="1">
        <v>42064</v>
      </c>
      <c r="V28" s="2" t="e">
        <f t="shared" si="0"/>
        <v>#DIV/0!</v>
      </c>
      <c r="W28" s="2">
        <f t="shared" si="1"/>
        <v>3</v>
      </c>
      <c r="X28" s="2">
        <f t="shared" si="2"/>
        <v>2015</v>
      </c>
    </row>
    <row r="29" spans="1:24" x14ac:dyDescent="0.2">
      <c r="A29" s="4">
        <v>45436</v>
      </c>
      <c r="B29" s="5">
        <v>1.0059199999999997</v>
      </c>
      <c r="F29" s="1"/>
      <c r="L29" s="5"/>
      <c r="O29" s="4"/>
      <c r="U29" s="1">
        <v>42095</v>
      </c>
      <c r="V29" s="2" t="e">
        <f t="shared" si="0"/>
        <v>#DIV/0!</v>
      </c>
      <c r="W29" s="2">
        <f t="shared" si="1"/>
        <v>4</v>
      </c>
      <c r="X29" s="2">
        <f t="shared" si="2"/>
        <v>2015</v>
      </c>
    </row>
    <row r="30" spans="1:24" x14ac:dyDescent="0.2">
      <c r="A30" s="4">
        <v>45440</v>
      </c>
      <c r="B30" s="5">
        <v>0.99598000000000031</v>
      </c>
      <c r="F30" s="1"/>
      <c r="L30" s="5"/>
      <c r="O30" s="4"/>
      <c r="U30" s="1">
        <v>42125</v>
      </c>
      <c r="V30" s="2" t="e">
        <f t="shared" si="0"/>
        <v>#DIV/0!</v>
      </c>
      <c r="W30" s="2">
        <f t="shared" si="1"/>
        <v>5</v>
      </c>
      <c r="X30" s="2">
        <f t="shared" si="2"/>
        <v>2015</v>
      </c>
    </row>
    <row r="31" spans="1:24" x14ac:dyDescent="0.2">
      <c r="A31" s="4">
        <v>45441</v>
      </c>
      <c r="B31" s="5">
        <v>1.0507399999999998</v>
      </c>
      <c r="F31" s="1"/>
      <c r="L31" s="5"/>
      <c r="O31" s="4"/>
      <c r="U31" s="1">
        <v>42156</v>
      </c>
      <c r="V31" s="2" t="e">
        <f t="shared" si="0"/>
        <v>#DIV/0!</v>
      </c>
      <c r="W31" s="2">
        <f t="shared" si="1"/>
        <v>6</v>
      </c>
      <c r="X31" s="2">
        <f t="shared" si="2"/>
        <v>2015</v>
      </c>
    </row>
    <row r="32" spans="1:24" x14ac:dyDescent="0.2">
      <c r="A32" s="4">
        <v>45442</v>
      </c>
      <c r="B32" s="5">
        <v>1.1027799999999996</v>
      </c>
      <c r="F32" s="1"/>
      <c r="L32" s="5"/>
      <c r="O32" s="4"/>
      <c r="U32" s="1">
        <v>42186</v>
      </c>
      <c r="V32" s="2" t="e">
        <f t="shared" si="0"/>
        <v>#DIV/0!</v>
      </c>
      <c r="W32" s="2">
        <f t="shared" si="1"/>
        <v>7</v>
      </c>
      <c r="X32" s="2">
        <f t="shared" si="2"/>
        <v>2015</v>
      </c>
    </row>
    <row r="33" spans="1:24" x14ac:dyDescent="0.2">
      <c r="A33" s="4">
        <v>45443</v>
      </c>
      <c r="B33" s="5">
        <v>1.0950800000000003</v>
      </c>
      <c r="F33" s="1"/>
      <c r="L33" s="5"/>
      <c r="O33" s="4"/>
      <c r="U33" s="1">
        <v>42217</v>
      </c>
      <c r="V33" s="2" t="e">
        <f t="shared" si="0"/>
        <v>#DIV/0!</v>
      </c>
      <c r="W33" s="2">
        <f t="shared" si="1"/>
        <v>8</v>
      </c>
      <c r="X33" s="2">
        <f t="shared" si="2"/>
        <v>2015</v>
      </c>
    </row>
    <row r="34" spans="1:24" x14ac:dyDescent="0.2">
      <c r="A34" s="4">
        <v>45446</v>
      </c>
      <c r="B34" s="5">
        <v>1.0510800000000002</v>
      </c>
      <c r="F34" s="1"/>
      <c r="G34" s="4"/>
      <c r="L34" s="5"/>
      <c r="O34" s="4"/>
      <c r="U34" s="1">
        <v>42248</v>
      </c>
      <c r="V34" s="2" t="e">
        <f t="shared" si="0"/>
        <v>#DIV/0!</v>
      </c>
      <c r="W34" s="2">
        <f t="shared" si="1"/>
        <v>9</v>
      </c>
      <c r="X34" s="2">
        <f t="shared" si="2"/>
        <v>2015</v>
      </c>
    </row>
    <row r="35" spans="1:24" x14ac:dyDescent="0.2">
      <c r="A35" s="4">
        <v>45447</v>
      </c>
      <c r="B35" s="5">
        <v>1.0271999999999997</v>
      </c>
      <c r="G35" s="4"/>
      <c r="L35" s="5"/>
      <c r="O35" s="4"/>
      <c r="U35" s="1">
        <v>42278</v>
      </c>
      <c r="V35" s="2" t="e">
        <f t="shared" si="0"/>
        <v>#DIV/0!</v>
      </c>
      <c r="W35" s="2">
        <f t="shared" si="1"/>
        <v>10</v>
      </c>
      <c r="X35" s="2">
        <f t="shared" si="2"/>
        <v>2015</v>
      </c>
    </row>
    <row r="36" spans="1:24" x14ac:dyDescent="0.2">
      <c r="A36" s="4">
        <v>45448</v>
      </c>
      <c r="B36" s="5">
        <v>0.97707999999999995</v>
      </c>
      <c r="G36" s="4"/>
      <c r="L36" s="5"/>
      <c r="O36" s="4"/>
      <c r="U36" s="1">
        <v>42309</v>
      </c>
      <c r="V36" s="2" t="e">
        <f t="shared" si="0"/>
        <v>#DIV/0!</v>
      </c>
      <c r="W36" s="2">
        <f t="shared" si="1"/>
        <v>11</v>
      </c>
      <c r="X36" s="2">
        <f t="shared" si="2"/>
        <v>2015</v>
      </c>
    </row>
    <row r="37" spans="1:24" x14ac:dyDescent="0.2">
      <c r="A37" s="4">
        <v>45449</v>
      </c>
      <c r="B37" s="5">
        <v>1.0139800000000001</v>
      </c>
      <c r="G37" s="4"/>
      <c r="L37" s="5"/>
      <c r="O37" s="4"/>
      <c r="U37" s="1">
        <v>42339</v>
      </c>
      <c r="V37" s="2" t="e">
        <f t="shared" si="0"/>
        <v>#DIV/0!</v>
      </c>
      <c r="W37" s="2">
        <f t="shared" si="1"/>
        <v>12</v>
      </c>
      <c r="X37" s="2">
        <f t="shared" si="2"/>
        <v>2015</v>
      </c>
    </row>
    <row r="38" spans="1:24" x14ac:dyDescent="0.2">
      <c r="A38" s="4">
        <v>45450</v>
      </c>
      <c r="B38" s="5">
        <v>0.96572000000000013</v>
      </c>
      <c r="G38" s="4"/>
      <c r="L38" s="5"/>
      <c r="O38" s="4"/>
      <c r="U38" s="1">
        <v>42370</v>
      </c>
      <c r="V38" s="2" t="e">
        <f t="shared" si="0"/>
        <v>#DIV/0!</v>
      </c>
      <c r="W38" s="2">
        <f t="shared" si="1"/>
        <v>1</v>
      </c>
      <c r="X38" s="2">
        <f t="shared" si="2"/>
        <v>2016</v>
      </c>
    </row>
    <row r="39" spans="1:24" x14ac:dyDescent="0.2">
      <c r="A39" s="4">
        <v>45453</v>
      </c>
      <c r="B39" s="5">
        <v>0.9070999999999998</v>
      </c>
      <c r="G39" s="4"/>
      <c r="L39" s="5"/>
      <c r="O39" s="4"/>
      <c r="U39" s="1">
        <v>42401</v>
      </c>
      <c r="V39" s="2" t="e">
        <f t="shared" si="0"/>
        <v>#DIV/0!</v>
      </c>
      <c r="W39" s="2">
        <f t="shared" si="1"/>
        <v>2</v>
      </c>
      <c r="X39" s="2">
        <f t="shared" si="2"/>
        <v>2016</v>
      </c>
    </row>
    <row r="40" spans="1:24" x14ac:dyDescent="0.2">
      <c r="A40" s="4">
        <v>45454</v>
      </c>
      <c r="B40" s="5">
        <v>0.90035999999999961</v>
      </c>
      <c r="G40" s="4"/>
      <c r="L40" s="5"/>
      <c r="O40" s="4"/>
      <c r="U40" s="1">
        <v>42430</v>
      </c>
      <c r="V40" s="2" t="e">
        <f t="shared" si="0"/>
        <v>#DIV/0!</v>
      </c>
      <c r="W40" s="2">
        <f t="shared" si="1"/>
        <v>3</v>
      </c>
      <c r="X40" s="2">
        <f t="shared" si="2"/>
        <v>2016</v>
      </c>
    </row>
    <row r="41" spans="1:24" x14ac:dyDescent="0.2">
      <c r="A41" s="4">
        <v>45455</v>
      </c>
      <c r="B41" s="5">
        <v>0.88870000000000005</v>
      </c>
      <c r="G41" s="4"/>
      <c r="L41" s="5"/>
      <c r="O41" s="4"/>
      <c r="U41" s="1">
        <v>42461</v>
      </c>
      <c r="V41" s="2" t="e">
        <f t="shared" si="0"/>
        <v>#DIV/0!</v>
      </c>
      <c r="W41" s="2">
        <f t="shared" si="1"/>
        <v>4</v>
      </c>
      <c r="X41" s="2">
        <f t="shared" si="2"/>
        <v>2016</v>
      </c>
    </row>
    <row r="42" spans="1:24" x14ac:dyDescent="0.2">
      <c r="A42" s="4">
        <v>45456</v>
      </c>
      <c r="B42" s="5">
        <v>0.85337999999999958</v>
      </c>
      <c r="G42" s="4"/>
      <c r="L42" s="5"/>
      <c r="O42" s="4"/>
      <c r="U42" s="1">
        <v>42491</v>
      </c>
      <c r="V42" s="2" t="e">
        <f t="shared" si="0"/>
        <v>#DIV/0!</v>
      </c>
      <c r="W42" s="2">
        <f t="shared" si="1"/>
        <v>5</v>
      </c>
      <c r="X42" s="2">
        <f t="shared" si="2"/>
        <v>2016</v>
      </c>
    </row>
    <row r="43" spans="1:24" x14ac:dyDescent="0.2">
      <c r="A43" s="4">
        <v>45457</v>
      </c>
      <c r="B43" s="5">
        <v>0.85249999999999959</v>
      </c>
      <c r="G43" s="4"/>
      <c r="L43" s="5"/>
      <c r="O43" s="4"/>
      <c r="U43" s="1">
        <v>42522</v>
      </c>
      <c r="V43" s="2" t="e">
        <f t="shared" si="0"/>
        <v>#DIV/0!</v>
      </c>
      <c r="W43" s="2">
        <f t="shared" si="1"/>
        <v>6</v>
      </c>
      <c r="X43" s="2">
        <f t="shared" si="2"/>
        <v>2016</v>
      </c>
    </row>
    <row r="44" spans="1:24" x14ac:dyDescent="0.2">
      <c r="A44" s="4">
        <v>45460</v>
      </c>
      <c r="B44" s="5">
        <v>0.84113999999999978</v>
      </c>
      <c r="G44" s="4"/>
      <c r="L44" s="5"/>
      <c r="O44" s="4"/>
      <c r="U44" s="1">
        <v>42552</v>
      </c>
      <c r="V44" s="2" t="e">
        <f t="shared" si="0"/>
        <v>#DIV/0!</v>
      </c>
      <c r="W44" s="2">
        <f t="shared" si="1"/>
        <v>7</v>
      </c>
      <c r="X44" s="2">
        <f t="shared" si="2"/>
        <v>2016</v>
      </c>
    </row>
    <row r="45" spans="1:24" x14ac:dyDescent="0.2">
      <c r="A45" s="4">
        <v>45461</v>
      </c>
      <c r="B45" s="5">
        <v>0.84619999999999962</v>
      </c>
      <c r="G45" s="4"/>
      <c r="L45" s="5"/>
      <c r="O45" s="4"/>
      <c r="U45" s="1">
        <v>42583</v>
      </c>
      <c r="V45" s="2" t="e">
        <f t="shared" si="0"/>
        <v>#DIV/0!</v>
      </c>
      <c r="W45" s="2">
        <f t="shared" si="1"/>
        <v>8</v>
      </c>
      <c r="X45" s="2">
        <f t="shared" si="2"/>
        <v>2016</v>
      </c>
    </row>
    <row r="46" spans="1:24" x14ac:dyDescent="0.2">
      <c r="A46" s="4">
        <v>45463</v>
      </c>
      <c r="B46" s="5">
        <v>0.82430000000000003</v>
      </c>
      <c r="G46" s="4"/>
      <c r="L46" s="5"/>
      <c r="O46" s="4"/>
      <c r="U46" s="1">
        <v>42614</v>
      </c>
      <c r="V46" s="2" t="e">
        <f t="shared" si="0"/>
        <v>#DIV/0!</v>
      </c>
      <c r="W46" s="2">
        <f t="shared" si="1"/>
        <v>9</v>
      </c>
      <c r="X46" s="2">
        <f t="shared" si="2"/>
        <v>2016</v>
      </c>
    </row>
    <row r="47" spans="1:24" x14ac:dyDescent="0.2">
      <c r="A47" s="4">
        <v>45464</v>
      </c>
      <c r="B47" s="5">
        <v>0.84909999999999997</v>
      </c>
      <c r="G47" s="4"/>
      <c r="L47" s="5"/>
      <c r="O47" s="4"/>
      <c r="U47" s="1">
        <v>42644</v>
      </c>
      <c r="V47" s="2" t="e">
        <f t="shared" si="0"/>
        <v>#DIV/0!</v>
      </c>
      <c r="W47" s="2">
        <f t="shared" si="1"/>
        <v>10</v>
      </c>
      <c r="X47" s="2">
        <f t="shared" si="2"/>
        <v>2016</v>
      </c>
    </row>
    <row r="48" spans="1:24" x14ac:dyDescent="0.2">
      <c r="A48" s="4">
        <v>45467</v>
      </c>
      <c r="B48" s="5">
        <v>0.78973999999999966</v>
      </c>
      <c r="G48" s="4"/>
      <c r="L48" s="5"/>
      <c r="O48" s="4"/>
      <c r="U48" s="1">
        <v>42675</v>
      </c>
      <c r="V48" s="2" t="e">
        <f t="shared" si="0"/>
        <v>#DIV/0!</v>
      </c>
      <c r="W48" s="2">
        <f t="shared" si="1"/>
        <v>11</v>
      </c>
      <c r="X48" s="2">
        <f t="shared" si="2"/>
        <v>2016</v>
      </c>
    </row>
    <row r="49" spans="1:24" x14ac:dyDescent="0.2">
      <c r="A49" s="4">
        <v>45468</v>
      </c>
      <c r="B49" s="5">
        <v>0.74387999999999987</v>
      </c>
      <c r="G49" s="4"/>
      <c r="L49" s="5"/>
      <c r="O49" s="4"/>
      <c r="U49" s="1">
        <v>42705</v>
      </c>
      <c r="V49" s="2" t="e">
        <f t="shared" si="0"/>
        <v>#DIV/0!</v>
      </c>
      <c r="W49" s="2">
        <f t="shared" si="1"/>
        <v>12</v>
      </c>
      <c r="X49" s="2">
        <f t="shared" si="2"/>
        <v>2016</v>
      </c>
    </row>
    <row r="50" spans="1:24" x14ac:dyDescent="0.2">
      <c r="A50" s="4">
        <v>45469</v>
      </c>
      <c r="B50" s="5">
        <v>0.76971999999999996</v>
      </c>
      <c r="G50" s="4"/>
      <c r="L50" s="5"/>
      <c r="O50" s="4"/>
      <c r="U50" s="1">
        <v>42736</v>
      </c>
      <c r="V50" s="2" t="e">
        <f t="shared" si="0"/>
        <v>#DIV/0!</v>
      </c>
      <c r="W50" s="2">
        <f t="shared" si="1"/>
        <v>1</v>
      </c>
      <c r="X50" s="2">
        <f t="shared" si="2"/>
        <v>2017</v>
      </c>
    </row>
    <row r="51" spans="1:24" x14ac:dyDescent="0.2">
      <c r="A51" s="4">
        <v>45470</v>
      </c>
      <c r="B51" s="5">
        <v>0.76057999999999959</v>
      </c>
      <c r="G51" s="4"/>
      <c r="L51" s="5"/>
      <c r="O51" s="4"/>
      <c r="U51" s="1">
        <v>42767</v>
      </c>
      <c r="V51" s="2" t="e">
        <f t="shared" si="0"/>
        <v>#DIV/0!</v>
      </c>
      <c r="W51" s="2">
        <f t="shared" si="1"/>
        <v>2</v>
      </c>
      <c r="X51" s="2">
        <f t="shared" si="2"/>
        <v>2017</v>
      </c>
    </row>
    <row r="52" spans="1:24" x14ac:dyDescent="0.2">
      <c r="A52" s="4">
        <v>45471</v>
      </c>
      <c r="B52" s="5">
        <v>0.8162199999999995</v>
      </c>
      <c r="G52" s="4"/>
      <c r="L52" s="5"/>
      <c r="O52" s="4"/>
      <c r="U52" s="1">
        <v>42795</v>
      </c>
      <c r="V52" s="2" t="e">
        <f t="shared" si="0"/>
        <v>#DIV/0!</v>
      </c>
      <c r="W52" s="2">
        <f t="shared" si="1"/>
        <v>3</v>
      </c>
      <c r="X52" s="2">
        <f t="shared" si="2"/>
        <v>2017</v>
      </c>
    </row>
    <row r="53" spans="1:24" x14ac:dyDescent="0.2">
      <c r="A53" s="4">
        <v>45474</v>
      </c>
      <c r="B53" s="5">
        <v>0.87247999999999992</v>
      </c>
      <c r="G53" s="4"/>
      <c r="L53" s="5"/>
      <c r="O53" s="4"/>
      <c r="U53" s="1">
        <v>42826</v>
      </c>
      <c r="V53" s="2" t="e">
        <f t="shared" si="0"/>
        <v>#DIV/0!</v>
      </c>
      <c r="W53" s="2">
        <f t="shared" si="1"/>
        <v>4</v>
      </c>
      <c r="X53" s="2">
        <f t="shared" si="2"/>
        <v>2017</v>
      </c>
    </row>
    <row r="54" spans="1:24" x14ac:dyDescent="0.2">
      <c r="A54" s="4">
        <v>45475</v>
      </c>
      <c r="B54" s="5">
        <v>0.93353999999999937</v>
      </c>
      <c r="G54" s="4"/>
      <c r="L54" s="5"/>
      <c r="O54" s="4"/>
      <c r="U54" s="1">
        <v>42856</v>
      </c>
      <c r="V54" s="2" t="e">
        <f t="shared" si="0"/>
        <v>#DIV/0!</v>
      </c>
      <c r="W54" s="2">
        <f t="shared" si="1"/>
        <v>5</v>
      </c>
      <c r="X54" s="2">
        <f t="shared" si="2"/>
        <v>2017</v>
      </c>
    </row>
    <row r="55" spans="1:24" x14ac:dyDescent="0.2">
      <c r="A55" s="4">
        <v>45476</v>
      </c>
      <c r="B55" s="5">
        <v>1.0486399999999998</v>
      </c>
      <c r="G55" s="4"/>
      <c r="L55" s="5"/>
      <c r="O55" s="4"/>
      <c r="U55" s="1">
        <v>42887</v>
      </c>
      <c r="V55" s="2" t="e">
        <f t="shared" si="0"/>
        <v>#DIV/0!</v>
      </c>
      <c r="W55" s="2">
        <f t="shared" si="1"/>
        <v>6</v>
      </c>
      <c r="X55" s="2">
        <f t="shared" si="2"/>
        <v>2017</v>
      </c>
    </row>
    <row r="56" spans="1:24" x14ac:dyDescent="0.2">
      <c r="A56" s="4">
        <v>45478</v>
      </c>
      <c r="B56" s="5">
        <v>1.1492</v>
      </c>
      <c r="G56" s="4"/>
      <c r="L56" s="5"/>
      <c r="O56" s="4"/>
      <c r="U56" s="1">
        <v>42917</v>
      </c>
      <c r="V56" s="2" t="e">
        <f t="shared" si="0"/>
        <v>#DIV/0!</v>
      </c>
      <c r="W56" s="2">
        <f t="shared" si="1"/>
        <v>7</v>
      </c>
      <c r="X56" s="2">
        <f t="shared" si="2"/>
        <v>2017</v>
      </c>
    </row>
    <row r="57" spans="1:24" x14ac:dyDescent="0.2">
      <c r="A57" s="4">
        <v>45481</v>
      </c>
      <c r="B57" s="5">
        <v>1.1380400000000002</v>
      </c>
      <c r="G57" s="4"/>
      <c r="L57" s="5"/>
      <c r="O57" s="4"/>
      <c r="U57" s="1">
        <v>42948</v>
      </c>
      <c r="V57" s="2" t="e">
        <f t="shared" si="0"/>
        <v>#DIV/0!</v>
      </c>
      <c r="W57" s="2">
        <f t="shared" si="1"/>
        <v>8</v>
      </c>
      <c r="X57" s="2">
        <f t="shared" si="2"/>
        <v>2017</v>
      </c>
    </row>
    <row r="58" spans="1:24" x14ac:dyDescent="0.2">
      <c r="A58" s="4">
        <v>45482</v>
      </c>
      <c r="B58" s="5">
        <v>1.0264000000000002</v>
      </c>
      <c r="G58" s="4"/>
      <c r="L58" s="5"/>
      <c r="O58" s="4"/>
      <c r="U58" s="1">
        <v>42979</v>
      </c>
      <c r="V58" s="2" t="e">
        <f t="shared" si="0"/>
        <v>#DIV/0!</v>
      </c>
      <c r="W58" s="2">
        <f t="shared" si="1"/>
        <v>9</v>
      </c>
      <c r="X58" s="2">
        <f t="shared" si="2"/>
        <v>2017</v>
      </c>
    </row>
    <row r="59" spans="1:24" x14ac:dyDescent="0.2">
      <c r="A59" s="4">
        <v>45483</v>
      </c>
      <c r="B59" s="5">
        <v>0.98754000000000008</v>
      </c>
      <c r="G59" s="4"/>
      <c r="L59" s="5"/>
      <c r="O59" s="4"/>
      <c r="U59" s="1">
        <v>43009</v>
      </c>
      <c r="V59" s="2" t="e">
        <f t="shared" si="0"/>
        <v>#DIV/0!</v>
      </c>
      <c r="W59" s="2">
        <f t="shared" si="1"/>
        <v>10</v>
      </c>
      <c r="X59" s="2">
        <f t="shared" si="2"/>
        <v>2017</v>
      </c>
    </row>
    <row r="60" spans="1:24" x14ac:dyDescent="0.2">
      <c r="A60" s="4">
        <v>45484</v>
      </c>
      <c r="B60" s="5">
        <v>1.0453199999999998</v>
      </c>
      <c r="G60" s="4"/>
      <c r="L60" s="5"/>
      <c r="O60" s="4"/>
      <c r="U60" s="1">
        <v>43040</v>
      </c>
      <c r="V60" s="2" t="e">
        <f t="shared" si="0"/>
        <v>#DIV/0!</v>
      </c>
      <c r="W60" s="2">
        <f t="shared" si="1"/>
        <v>11</v>
      </c>
      <c r="X60" s="2">
        <f t="shared" si="2"/>
        <v>2017</v>
      </c>
    </row>
    <row r="61" spans="1:24" x14ac:dyDescent="0.2">
      <c r="A61" s="4">
        <v>45485</v>
      </c>
      <c r="B61" s="5">
        <v>1.0184999999999995</v>
      </c>
      <c r="G61" s="4"/>
      <c r="L61" s="5"/>
      <c r="O61" s="4"/>
      <c r="U61" s="1">
        <v>43070</v>
      </c>
      <c r="V61" s="2" t="e">
        <f t="shared" si="0"/>
        <v>#DIV/0!</v>
      </c>
      <c r="W61" s="2">
        <f t="shared" si="1"/>
        <v>12</v>
      </c>
      <c r="X61" s="2">
        <f t="shared" si="2"/>
        <v>2017</v>
      </c>
    </row>
    <row r="62" spans="1:24" x14ac:dyDescent="0.2">
      <c r="A62" s="4">
        <v>45488</v>
      </c>
      <c r="B62" s="5">
        <v>0.9734200000000004</v>
      </c>
      <c r="G62" s="4"/>
      <c r="L62" s="5"/>
      <c r="O62" s="4"/>
      <c r="U62" s="1">
        <v>43101</v>
      </c>
      <c r="V62" s="2" t="e">
        <f t="shared" si="0"/>
        <v>#DIV/0!</v>
      </c>
      <c r="W62" s="2">
        <f t="shared" si="1"/>
        <v>1</v>
      </c>
      <c r="X62" s="2">
        <f t="shared" si="2"/>
        <v>2018</v>
      </c>
    </row>
    <row r="63" spans="1:24" x14ac:dyDescent="0.2">
      <c r="A63" s="4">
        <v>45489</v>
      </c>
      <c r="B63" s="5">
        <v>1.0292799999999995</v>
      </c>
      <c r="G63" s="4"/>
      <c r="L63" s="5"/>
      <c r="O63" s="4"/>
      <c r="U63" s="1">
        <v>43132</v>
      </c>
      <c r="V63" s="2" t="e">
        <f t="shared" si="0"/>
        <v>#DIV/0!</v>
      </c>
      <c r="W63" s="2">
        <f t="shared" si="1"/>
        <v>2</v>
      </c>
      <c r="X63" s="2">
        <f t="shared" si="2"/>
        <v>2018</v>
      </c>
    </row>
    <row r="64" spans="1:24" x14ac:dyDescent="0.2">
      <c r="A64" s="4">
        <v>45490</v>
      </c>
      <c r="B64" s="5">
        <v>0.94171999999999967</v>
      </c>
      <c r="G64" s="4"/>
      <c r="L64" s="5"/>
      <c r="O64" s="4"/>
      <c r="U64" s="1">
        <v>43160</v>
      </c>
      <c r="V64" s="2" t="e">
        <f t="shared" si="0"/>
        <v>#DIV/0!</v>
      </c>
      <c r="W64" s="2">
        <f t="shared" si="1"/>
        <v>3</v>
      </c>
      <c r="X64" s="2">
        <f t="shared" si="2"/>
        <v>2018</v>
      </c>
    </row>
    <row r="65" spans="1:24" x14ac:dyDescent="0.2">
      <c r="A65" s="4">
        <v>45491</v>
      </c>
      <c r="B65" s="5">
        <v>0.96989999999999998</v>
      </c>
      <c r="G65" s="4"/>
      <c r="L65" s="5"/>
      <c r="O65" s="4"/>
      <c r="U65" s="1">
        <v>43191</v>
      </c>
      <c r="V65" s="2" t="e">
        <f t="shared" si="0"/>
        <v>#DIV/0!</v>
      </c>
      <c r="W65" s="2">
        <f t="shared" si="1"/>
        <v>4</v>
      </c>
      <c r="X65" s="2">
        <f t="shared" si="2"/>
        <v>2018</v>
      </c>
    </row>
    <row r="66" spans="1:24" x14ac:dyDescent="0.2">
      <c r="A66" s="4">
        <v>45492</v>
      </c>
      <c r="B66" s="5">
        <v>1.0324</v>
      </c>
      <c r="G66" s="4"/>
      <c r="L66" s="5"/>
      <c r="O66" s="4"/>
      <c r="U66" s="1">
        <v>43221</v>
      </c>
      <c r="V66" s="2" t="e">
        <f t="shared" ref="V66:V95" si="3">AVERAGEIFS(P66:P1988,Q66:Q1988,W66,R66:R1988,X66)</f>
        <v>#DIV/0!</v>
      </c>
      <c r="W66" s="2">
        <f t="shared" ref="W66:W93" si="4">MONTH(U66)</f>
        <v>5</v>
      </c>
      <c r="X66" s="2">
        <f t="shared" ref="X66:X93" si="5">YEAR(U66)</f>
        <v>2018</v>
      </c>
    </row>
    <row r="67" spans="1:24" x14ac:dyDescent="0.2">
      <c r="A67" s="4">
        <v>45495</v>
      </c>
      <c r="B67" s="5">
        <v>1.0598199999999998</v>
      </c>
      <c r="G67" s="4"/>
      <c r="L67" s="5"/>
      <c r="O67" s="4"/>
      <c r="U67" s="1">
        <v>43252</v>
      </c>
      <c r="V67" s="2" t="e">
        <f t="shared" si="3"/>
        <v>#DIV/0!</v>
      </c>
      <c r="W67" s="2">
        <f t="shared" si="4"/>
        <v>6</v>
      </c>
      <c r="X67" s="2">
        <f t="shared" si="5"/>
        <v>2018</v>
      </c>
    </row>
    <row r="68" spans="1:24" x14ac:dyDescent="0.2">
      <c r="A68" s="4">
        <v>45496</v>
      </c>
      <c r="B68" s="5">
        <v>1.07498</v>
      </c>
      <c r="G68" s="4"/>
      <c r="L68" s="5"/>
      <c r="O68" s="4"/>
      <c r="U68" s="1">
        <v>43282</v>
      </c>
      <c r="V68" s="2" t="e">
        <f t="shared" si="3"/>
        <v>#DIV/0!</v>
      </c>
      <c r="W68" s="2">
        <f t="shared" si="4"/>
        <v>7</v>
      </c>
      <c r="X68" s="2">
        <f t="shared" si="5"/>
        <v>2018</v>
      </c>
    </row>
    <row r="69" spans="1:24" x14ac:dyDescent="0.2">
      <c r="A69" s="4">
        <v>45497</v>
      </c>
      <c r="B69" s="5">
        <v>0.97228000000000003</v>
      </c>
      <c r="G69" s="4"/>
      <c r="L69" s="5"/>
      <c r="O69" s="4"/>
      <c r="U69" s="1">
        <v>43313</v>
      </c>
      <c r="V69" s="2" t="e">
        <f t="shared" si="3"/>
        <v>#DIV/0!</v>
      </c>
      <c r="W69" s="2">
        <f t="shared" si="4"/>
        <v>8</v>
      </c>
      <c r="X69" s="2">
        <f t="shared" si="5"/>
        <v>2018</v>
      </c>
    </row>
    <row r="70" spans="1:24" x14ac:dyDescent="0.2">
      <c r="A70" s="4">
        <v>45498</v>
      </c>
      <c r="B70" s="5">
        <v>0.94633999999999929</v>
      </c>
      <c r="G70" s="4"/>
      <c r="L70" s="5"/>
      <c r="O70" s="4"/>
      <c r="U70" s="1">
        <v>43344</v>
      </c>
      <c r="V70" s="2" t="e">
        <f t="shared" si="3"/>
        <v>#DIV/0!</v>
      </c>
      <c r="W70" s="2">
        <f t="shared" si="4"/>
        <v>9</v>
      </c>
      <c r="X70" s="2">
        <f t="shared" si="5"/>
        <v>2018</v>
      </c>
    </row>
    <row r="71" spans="1:24" x14ac:dyDescent="0.2">
      <c r="A71" s="4">
        <v>45499</v>
      </c>
      <c r="B71" s="5">
        <v>0.83115999999999968</v>
      </c>
      <c r="G71" s="4"/>
      <c r="L71" s="5"/>
      <c r="O71" s="4"/>
      <c r="U71" s="1">
        <v>43374</v>
      </c>
      <c r="V71" s="2" t="e">
        <f t="shared" si="3"/>
        <v>#DIV/0!</v>
      </c>
      <c r="W71" s="2">
        <f t="shared" si="4"/>
        <v>10</v>
      </c>
      <c r="X71" s="2">
        <f t="shared" si="5"/>
        <v>2018</v>
      </c>
    </row>
    <row r="72" spans="1:24" x14ac:dyDescent="0.2">
      <c r="A72" s="4">
        <v>45502</v>
      </c>
      <c r="B72" s="5">
        <v>0.84257999999999944</v>
      </c>
      <c r="G72" s="4"/>
      <c r="L72" s="5"/>
      <c r="O72" s="4"/>
      <c r="U72" s="1">
        <v>43405</v>
      </c>
      <c r="V72" s="2" t="e">
        <f t="shared" si="3"/>
        <v>#DIV/0!</v>
      </c>
      <c r="W72" s="2">
        <f t="shared" si="4"/>
        <v>11</v>
      </c>
      <c r="X72" s="2">
        <f t="shared" si="5"/>
        <v>2018</v>
      </c>
    </row>
    <row r="73" spans="1:24" x14ac:dyDescent="0.2">
      <c r="A73" s="4">
        <v>45503</v>
      </c>
      <c r="B73" s="5">
        <v>0.88726000000000038</v>
      </c>
      <c r="G73" s="4"/>
      <c r="L73" s="5"/>
      <c r="O73" s="4"/>
      <c r="U73" s="1">
        <v>43435</v>
      </c>
      <c r="V73" s="2" t="e">
        <f t="shared" si="3"/>
        <v>#DIV/0!</v>
      </c>
      <c r="W73" s="2">
        <f t="shared" si="4"/>
        <v>12</v>
      </c>
      <c r="X73" s="2">
        <f t="shared" si="5"/>
        <v>2018</v>
      </c>
    </row>
    <row r="74" spans="1:24" x14ac:dyDescent="0.2">
      <c r="A74" s="4">
        <v>45504</v>
      </c>
      <c r="B74" s="5">
        <v>0.84945999999999966</v>
      </c>
      <c r="G74" s="4"/>
      <c r="L74" s="5"/>
      <c r="O74" s="4"/>
      <c r="U74" s="1">
        <v>43466</v>
      </c>
      <c r="V74" s="2" t="e">
        <f t="shared" si="3"/>
        <v>#DIV/0!</v>
      </c>
      <c r="W74" s="2">
        <f t="shared" si="4"/>
        <v>1</v>
      </c>
      <c r="X74" s="2">
        <f t="shared" si="5"/>
        <v>2019</v>
      </c>
    </row>
    <row r="75" spans="1:24" x14ac:dyDescent="0.2">
      <c r="A75" s="4">
        <v>45505</v>
      </c>
      <c r="B75" s="5">
        <v>0.80491999999999964</v>
      </c>
      <c r="G75" s="4"/>
      <c r="L75" s="5"/>
      <c r="O75" s="4"/>
      <c r="U75" s="1">
        <v>43497</v>
      </c>
      <c r="V75" s="2" t="e">
        <f t="shared" si="3"/>
        <v>#DIV/0!</v>
      </c>
      <c r="W75" s="2">
        <f t="shared" si="4"/>
        <v>2</v>
      </c>
      <c r="X75" s="2">
        <f t="shared" si="5"/>
        <v>2019</v>
      </c>
    </row>
    <row r="76" spans="1:24" x14ac:dyDescent="0.2">
      <c r="A76" s="4">
        <v>45506</v>
      </c>
      <c r="B76" s="5">
        <v>0.83148</v>
      </c>
      <c r="G76" s="4"/>
      <c r="L76" s="5"/>
      <c r="O76" s="4"/>
      <c r="U76" s="1">
        <v>43525</v>
      </c>
      <c r="V76" s="2" t="e">
        <f t="shared" si="3"/>
        <v>#DIV/0!</v>
      </c>
      <c r="W76" s="2">
        <f t="shared" si="4"/>
        <v>3</v>
      </c>
      <c r="X76" s="2">
        <f t="shared" si="5"/>
        <v>2019</v>
      </c>
    </row>
    <row r="77" spans="1:24" x14ac:dyDescent="0.2">
      <c r="A77" s="4">
        <v>45509</v>
      </c>
      <c r="B77" s="5">
        <v>0.80674000000000001</v>
      </c>
      <c r="G77" s="4"/>
      <c r="L77" s="5"/>
      <c r="O77" s="4"/>
      <c r="U77" s="1">
        <v>43556</v>
      </c>
      <c r="V77" s="2" t="e">
        <f t="shared" si="3"/>
        <v>#DIV/0!</v>
      </c>
      <c r="W77" s="2">
        <f t="shared" si="4"/>
        <v>4</v>
      </c>
      <c r="X77" s="2">
        <f t="shared" si="5"/>
        <v>2019</v>
      </c>
    </row>
    <row r="78" spans="1:24" x14ac:dyDescent="0.2">
      <c r="A78" s="4">
        <v>45510</v>
      </c>
      <c r="B78" s="5">
        <v>0.79219999999999979</v>
      </c>
      <c r="G78" s="4"/>
      <c r="L78" s="5"/>
      <c r="O78" s="4"/>
      <c r="U78" s="1">
        <v>43586</v>
      </c>
      <c r="V78" s="2" t="e">
        <f t="shared" si="3"/>
        <v>#DIV/0!</v>
      </c>
      <c r="W78" s="2">
        <f t="shared" si="4"/>
        <v>5</v>
      </c>
      <c r="X78" s="2">
        <f t="shared" si="5"/>
        <v>2019</v>
      </c>
    </row>
    <row r="79" spans="1:24" x14ac:dyDescent="0.2">
      <c r="A79" s="4">
        <v>45511</v>
      </c>
      <c r="B79" s="5">
        <v>0.82561999999999935</v>
      </c>
      <c r="G79" s="4"/>
      <c r="L79" s="5"/>
      <c r="O79" s="4"/>
      <c r="U79" s="1">
        <v>43617</v>
      </c>
      <c r="V79" s="2" t="e">
        <f t="shared" si="3"/>
        <v>#DIV/0!</v>
      </c>
      <c r="W79" s="2">
        <f t="shared" si="4"/>
        <v>6</v>
      </c>
      <c r="X79" s="2">
        <f t="shared" si="5"/>
        <v>2019</v>
      </c>
    </row>
    <row r="80" spans="1:24" x14ac:dyDescent="0.2">
      <c r="A80" s="4">
        <v>45512</v>
      </c>
      <c r="B80" s="5">
        <v>0.82731999999999983</v>
      </c>
      <c r="G80" s="4"/>
      <c r="L80" s="5"/>
      <c r="O80" s="4"/>
      <c r="U80" s="1">
        <v>43647</v>
      </c>
      <c r="V80" s="2" t="e">
        <f t="shared" si="3"/>
        <v>#DIV/0!</v>
      </c>
      <c r="W80" s="2">
        <f t="shared" si="4"/>
        <v>7</v>
      </c>
      <c r="X80" s="2">
        <f t="shared" si="5"/>
        <v>2019</v>
      </c>
    </row>
    <row r="81" spans="1:24" x14ac:dyDescent="0.2">
      <c r="A81" s="4">
        <v>45513</v>
      </c>
      <c r="B81" s="5">
        <v>0.86302000000000012</v>
      </c>
      <c r="G81" s="4"/>
      <c r="L81" s="5"/>
      <c r="O81" s="4"/>
      <c r="U81" s="1">
        <v>43678</v>
      </c>
      <c r="V81" s="2" t="e">
        <f t="shared" si="3"/>
        <v>#DIV/0!</v>
      </c>
      <c r="W81" s="2">
        <f t="shared" si="4"/>
        <v>8</v>
      </c>
      <c r="X81" s="2">
        <f t="shared" si="5"/>
        <v>2019</v>
      </c>
    </row>
    <row r="82" spans="1:24" x14ac:dyDescent="0.2">
      <c r="A82" s="4">
        <v>45516</v>
      </c>
      <c r="B82" s="5">
        <v>0.72397999999999918</v>
      </c>
      <c r="G82" s="4"/>
      <c r="L82" s="5"/>
      <c r="O82" s="4"/>
      <c r="U82" s="1">
        <v>43709</v>
      </c>
      <c r="V82" s="2" t="e">
        <f t="shared" si="3"/>
        <v>#DIV/0!</v>
      </c>
      <c r="W82" s="2">
        <f t="shared" si="4"/>
        <v>9</v>
      </c>
      <c r="X82" s="2">
        <f t="shared" si="5"/>
        <v>2019</v>
      </c>
    </row>
    <row r="83" spans="1:24" x14ac:dyDescent="0.2">
      <c r="A83" s="4">
        <v>45517</v>
      </c>
      <c r="B83" s="5">
        <v>0.65103999999999962</v>
      </c>
      <c r="G83" s="4"/>
      <c r="L83" s="5"/>
      <c r="O83" s="4"/>
      <c r="U83" s="1">
        <v>43739</v>
      </c>
      <c r="V83" s="2" t="e">
        <f t="shared" si="3"/>
        <v>#DIV/0!</v>
      </c>
      <c r="W83" s="2">
        <f t="shared" si="4"/>
        <v>10</v>
      </c>
      <c r="X83" s="2">
        <f t="shared" si="5"/>
        <v>2019</v>
      </c>
    </row>
    <row r="84" spans="1:24" x14ac:dyDescent="0.2">
      <c r="A84" s="4">
        <v>45518</v>
      </c>
      <c r="B84" s="5">
        <v>0.65305999999999953</v>
      </c>
      <c r="G84" s="4"/>
      <c r="L84" s="5"/>
      <c r="O84" s="4"/>
      <c r="U84" s="1">
        <v>43770</v>
      </c>
      <c r="V84" s="2" t="e">
        <f t="shared" si="3"/>
        <v>#DIV/0!</v>
      </c>
      <c r="W84" s="2">
        <f t="shared" si="4"/>
        <v>11</v>
      </c>
      <c r="X84" s="2">
        <f t="shared" si="5"/>
        <v>2019</v>
      </c>
    </row>
    <row r="85" spans="1:24" x14ac:dyDescent="0.2">
      <c r="A85" s="4">
        <v>45519</v>
      </c>
      <c r="B85" s="5">
        <v>0.55873999999999979</v>
      </c>
      <c r="G85" s="4"/>
      <c r="L85" s="5"/>
      <c r="O85" s="4"/>
      <c r="U85" s="1">
        <v>43800</v>
      </c>
      <c r="V85" s="2" t="e">
        <f t="shared" si="3"/>
        <v>#DIV/0!</v>
      </c>
      <c r="W85" s="2">
        <f t="shared" si="4"/>
        <v>12</v>
      </c>
      <c r="X85" s="2">
        <f t="shared" si="5"/>
        <v>2019</v>
      </c>
    </row>
    <row r="86" spans="1:24" x14ac:dyDescent="0.2">
      <c r="A86" s="4">
        <v>45520</v>
      </c>
      <c r="B86" s="5">
        <v>0.63107999999999986</v>
      </c>
      <c r="G86" s="4"/>
      <c r="L86" s="5"/>
      <c r="O86" s="4"/>
      <c r="U86" s="1">
        <v>43831</v>
      </c>
      <c r="V86" s="2" t="e">
        <f t="shared" si="3"/>
        <v>#DIV/0!</v>
      </c>
      <c r="W86" s="2">
        <f t="shared" si="4"/>
        <v>1</v>
      </c>
      <c r="X86" s="2">
        <f t="shared" si="5"/>
        <v>2020</v>
      </c>
    </row>
    <row r="87" spans="1:24" x14ac:dyDescent="0.2">
      <c r="A87" s="4">
        <v>45523</v>
      </c>
      <c r="B87" s="5">
        <v>0.73135999999999957</v>
      </c>
      <c r="G87" s="4"/>
      <c r="L87" s="5"/>
      <c r="O87" s="4"/>
      <c r="U87" s="1">
        <v>43862</v>
      </c>
      <c r="V87" s="2" t="e">
        <f t="shared" si="3"/>
        <v>#DIV/0!</v>
      </c>
      <c r="W87" s="2">
        <f t="shared" si="4"/>
        <v>2</v>
      </c>
      <c r="X87" s="2">
        <f t="shared" si="5"/>
        <v>2020</v>
      </c>
    </row>
    <row r="88" spans="1:24" x14ac:dyDescent="0.2">
      <c r="A88" s="4">
        <v>45524</v>
      </c>
      <c r="B88" s="5">
        <v>0.74965999999999955</v>
      </c>
      <c r="G88" s="4"/>
      <c r="L88" s="5"/>
      <c r="O88" s="4"/>
      <c r="U88" s="1">
        <v>43891</v>
      </c>
      <c r="V88" s="2" t="e">
        <f t="shared" si="3"/>
        <v>#DIV/0!</v>
      </c>
      <c r="W88" s="2">
        <f t="shared" si="4"/>
        <v>3</v>
      </c>
      <c r="X88" s="2">
        <f t="shared" si="5"/>
        <v>2020</v>
      </c>
    </row>
    <row r="89" spans="1:24" x14ac:dyDescent="0.2">
      <c r="A89" s="4">
        <v>45525</v>
      </c>
      <c r="B89" s="5">
        <v>0.7911999999999999</v>
      </c>
      <c r="G89" s="4"/>
      <c r="L89" s="5"/>
      <c r="O89" s="4"/>
      <c r="U89" s="1">
        <v>43922</v>
      </c>
      <c r="V89" s="2" t="e">
        <f t="shared" si="3"/>
        <v>#DIV/0!</v>
      </c>
      <c r="W89" s="2">
        <f t="shared" si="4"/>
        <v>4</v>
      </c>
      <c r="X89" s="2">
        <f t="shared" si="5"/>
        <v>2020</v>
      </c>
    </row>
    <row r="90" spans="1:24" x14ac:dyDescent="0.2">
      <c r="A90" s="4">
        <v>45526</v>
      </c>
      <c r="B90" s="5">
        <v>0.72633999999999954</v>
      </c>
      <c r="G90" s="4"/>
      <c r="L90" s="5"/>
      <c r="O90" s="4"/>
      <c r="U90" s="1">
        <v>43952</v>
      </c>
      <c r="V90" s="2" t="e">
        <f t="shared" si="3"/>
        <v>#DIV/0!</v>
      </c>
      <c r="W90" s="2">
        <f t="shared" si="4"/>
        <v>5</v>
      </c>
      <c r="X90" s="2">
        <f t="shared" si="5"/>
        <v>2020</v>
      </c>
    </row>
    <row r="91" spans="1:24" x14ac:dyDescent="0.2">
      <c r="A91" s="4">
        <v>45527</v>
      </c>
      <c r="B91" s="5">
        <v>0.77890000000000015</v>
      </c>
      <c r="G91" s="4"/>
      <c r="L91" s="5"/>
      <c r="O91" s="4"/>
      <c r="U91" s="1">
        <v>43983</v>
      </c>
      <c r="V91" s="2" t="e">
        <f t="shared" si="3"/>
        <v>#DIV/0!</v>
      </c>
      <c r="W91" s="2">
        <f t="shared" si="4"/>
        <v>6</v>
      </c>
      <c r="X91" s="2">
        <f t="shared" si="5"/>
        <v>2020</v>
      </c>
    </row>
    <row r="92" spans="1:24" x14ac:dyDescent="0.2">
      <c r="A92" s="4">
        <v>45530</v>
      </c>
      <c r="B92" s="5">
        <v>0.75390000000000024</v>
      </c>
      <c r="G92" s="4"/>
      <c r="L92" s="5"/>
      <c r="O92" s="4"/>
      <c r="U92" s="1">
        <v>44013</v>
      </c>
      <c r="V92" s="2" t="e">
        <f t="shared" si="3"/>
        <v>#DIV/0!</v>
      </c>
      <c r="W92" s="2">
        <f t="shared" si="4"/>
        <v>7</v>
      </c>
      <c r="X92" s="2">
        <f t="shared" si="5"/>
        <v>2020</v>
      </c>
    </row>
    <row r="93" spans="1:24" x14ac:dyDescent="0.2">
      <c r="A93" s="4">
        <v>45531</v>
      </c>
      <c r="B93" s="5">
        <v>0.78259999999999996</v>
      </c>
      <c r="G93" s="4"/>
      <c r="L93" s="5"/>
      <c r="O93" s="4"/>
      <c r="U93" s="1">
        <v>44044</v>
      </c>
      <c r="V93" s="2" t="e">
        <f t="shared" si="3"/>
        <v>#DIV/0!</v>
      </c>
      <c r="W93" s="2">
        <f t="shared" si="4"/>
        <v>8</v>
      </c>
      <c r="X93" s="2">
        <f t="shared" si="5"/>
        <v>2020</v>
      </c>
    </row>
    <row r="94" spans="1:24" x14ac:dyDescent="0.2">
      <c r="A94" s="4">
        <v>45532</v>
      </c>
      <c r="B94" s="5">
        <v>0.87410000000000032</v>
      </c>
      <c r="G94" s="4"/>
      <c r="L94" s="5"/>
      <c r="O94" s="4"/>
      <c r="U94" s="1">
        <v>44075</v>
      </c>
      <c r="V94" s="2" t="e">
        <f t="shared" si="3"/>
        <v>#DIV/0!</v>
      </c>
      <c r="W94" s="2">
        <f>MONTH(U94)</f>
        <v>9</v>
      </c>
      <c r="X94" s="2">
        <f>YEAR(U94)</f>
        <v>2020</v>
      </c>
    </row>
    <row r="95" spans="1:24" x14ac:dyDescent="0.2">
      <c r="A95" s="4">
        <v>45533</v>
      </c>
      <c r="B95" s="5">
        <v>0.92575999999999947</v>
      </c>
      <c r="G95" s="4"/>
      <c r="L95" s="5"/>
      <c r="O95" s="4"/>
      <c r="U95" s="1">
        <v>44105</v>
      </c>
      <c r="V95" s="2" t="e">
        <f t="shared" si="3"/>
        <v>#DIV/0!</v>
      </c>
      <c r="W95" s="2">
        <f>MONTH(U95)</f>
        <v>10</v>
      </c>
      <c r="X95" s="2">
        <f>YEAR(U95)</f>
        <v>2020</v>
      </c>
    </row>
    <row r="96" spans="1:24" x14ac:dyDescent="0.2">
      <c r="A96" s="4">
        <v>45534</v>
      </c>
      <c r="B96" s="5">
        <v>0.95398000000000005</v>
      </c>
      <c r="G96" s="4"/>
      <c r="L96" s="5"/>
      <c r="O96" s="4"/>
    </row>
    <row r="97" spans="1:15" x14ac:dyDescent="0.2">
      <c r="A97" s="4">
        <v>45538</v>
      </c>
      <c r="B97" s="5">
        <v>0.93047999999999931</v>
      </c>
      <c r="G97" s="4"/>
      <c r="L97" s="5"/>
      <c r="O97" s="4"/>
    </row>
    <row r="98" spans="1:15" x14ac:dyDescent="0.2">
      <c r="A98" s="4">
        <v>45539</v>
      </c>
      <c r="B98" s="5">
        <v>0.91951999999999989</v>
      </c>
      <c r="G98" s="4"/>
      <c r="L98" s="5"/>
      <c r="O98" s="4"/>
    </row>
    <row r="99" spans="1:15" x14ac:dyDescent="0.2">
      <c r="A99" s="4">
        <v>45540</v>
      </c>
      <c r="B99" s="5">
        <v>0.98383999999999983</v>
      </c>
      <c r="G99" s="4"/>
      <c r="L99" s="5"/>
      <c r="O99" s="4"/>
    </row>
    <row r="100" spans="1:15" x14ac:dyDescent="0.2">
      <c r="A100" s="4">
        <v>45541</v>
      </c>
      <c r="B100" s="5">
        <v>0.92356000000000016</v>
      </c>
      <c r="G100" s="4"/>
      <c r="L100" s="5"/>
      <c r="O100" s="4"/>
    </row>
    <row r="101" spans="1:15" x14ac:dyDescent="0.2">
      <c r="A101" s="4">
        <v>45544</v>
      </c>
      <c r="B101" s="5">
        <v>0.96791999999999989</v>
      </c>
      <c r="G101" s="4"/>
      <c r="L101" s="5"/>
      <c r="O101" s="4"/>
    </row>
    <row r="102" spans="1:15" x14ac:dyDescent="0.2">
      <c r="A102" s="4">
        <v>45545</v>
      </c>
      <c r="B102" s="5">
        <v>0.98813999999999957</v>
      </c>
      <c r="G102" s="4"/>
      <c r="L102" s="5"/>
      <c r="O102" s="4"/>
    </row>
    <row r="103" spans="1:15" x14ac:dyDescent="0.2">
      <c r="A103" s="4">
        <v>45546</v>
      </c>
      <c r="B103" s="5">
        <v>0.91797999999999957</v>
      </c>
      <c r="G103" s="4"/>
      <c r="L103" s="5"/>
      <c r="O103" s="4"/>
    </row>
    <row r="104" spans="1:15" x14ac:dyDescent="0.2">
      <c r="A104" s="4">
        <v>45547</v>
      </c>
      <c r="B104" s="5">
        <v>0.93108000000000013</v>
      </c>
      <c r="G104" s="4"/>
      <c r="L104" s="5"/>
      <c r="O104" s="4"/>
    </row>
    <row r="105" spans="1:15" x14ac:dyDescent="0.2">
      <c r="A105" s="4">
        <v>45548</v>
      </c>
      <c r="B105" s="5">
        <v>0.90337999999999985</v>
      </c>
      <c r="G105" s="4"/>
      <c r="L105" s="5"/>
      <c r="O105" s="4"/>
    </row>
    <row r="106" spans="1:15" x14ac:dyDescent="0.2">
      <c r="A106" s="4">
        <v>45551</v>
      </c>
      <c r="B106" s="5">
        <v>0.86086000000000018</v>
      </c>
      <c r="G106" s="4"/>
      <c r="L106" s="5"/>
      <c r="O106" s="4"/>
    </row>
    <row r="107" spans="1:15" x14ac:dyDescent="0.2">
      <c r="A107" s="4">
        <v>45552</v>
      </c>
      <c r="B107" s="5">
        <v>0.88118000000000007</v>
      </c>
      <c r="G107" s="4"/>
      <c r="L107" s="5"/>
      <c r="O107" s="4"/>
    </row>
    <row r="108" spans="1:15" x14ac:dyDescent="0.2">
      <c r="A108" s="4">
        <v>45553</v>
      </c>
      <c r="B108" s="5">
        <v>0.90476000000000001</v>
      </c>
      <c r="G108" s="4"/>
      <c r="L108" s="5"/>
      <c r="O108" s="4"/>
    </row>
    <row r="109" spans="1:15" x14ac:dyDescent="0.2">
      <c r="A109" s="4">
        <v>45554</v>
      </c>
      <c r="B109" s="5">
        <v>0.92827999999999999</v>
      </c>
      <c r="G109" s="4"/>
      <c r="L109" s="5"/>
      <c r="O109" s="4"/>
    </row>
    <row r="110" spans="1:15" x14ac:dyDescent="0.2">
      <c r="A110" s="4">
        <v>45555</v>
      </c>
      <c r="B110" s="5">
        <v>0.96985999999999928</v>
      </c>
      <c r="G110" s="4"/>
      <c r="L110" s="5"/>
      <c r="O110" s="4"/>
    </row>
    <row r="111" spans="1:15" x14ac:dyDescent="0.2">
      <c r="A111" s="4">
        <v>45558</v>
      </c>
      <c r="B111" s="5">
        <v>1.0192400000000004</v>
      </c>
      <c r="G111" s="4"/>
      <c r="L111" s="5"/>
      <c r="O111" s="4"/>
    </row>
    <row r="112" spans="1:15" x14ac:dyDescent="0.2">
      <c r="A112" s="4">
        <v>45559</v>
      </c>
      <c r="B112" s="5">
        <v>1.0947400000000003</v>
      </c>
      <c r="G112" s="4"/>
      <c r="L112" s="5"/>
      <c r="O112" s="4"/>
    </row>
    <row r="113" spans="1:15" x14ac:dyDescent="0.2">
      <c r="A113" s="4">
        <v>45560</v>
      </c>
      <c r="B113" s="5">
        <v>1.1784999999999997</v>
      </c>
      <c r="G113" s="4"/>
      <c r="L113" s="5"/>
      <c r="O113" s="4"/>
    </row>
    <row r="114" spans="1:15" x14ac:dyDescent="0.2">
      <c r="A114" s="4">
        <v>45561</v>
      </c>
      <c r="B114" s="5">
        <v>1.1074999999999999</v>
      </c>
      <c r="G114" s="4"/>
      <c r="L114" s="5"/>
      <c r="O114" s="4"/>
    </row>
    <row r="115" spans="1:15" x14ac:dyDescent="0.2">
      <c r="A115" s="4">
        <v>45562</v>
      </c>
      <c r="B115" s="5">
        <v>1.06806</v>
      </c>
      <c r="G115" s="4"/>
      <c r="L115" s="5"/>
      <c r="O115" s="4"/>
    </row>
    <row r="116" spans="1:15" x14ac:dyDescent="0.2">
      <c r="A116" s="4">
        <v>45565</v>
      </c>
      <c r="B116" s="5">
        <v>1.1371600000000002</v>
      </c>
      <c r="G116" s="4"/>
      <c r="L116" s="5"/>
      <c r="O116" s="4"/>
    </row>
    <row r="117" spans="1:15" x14ac:dyDescent="0.2">
      <c r="A117" s="4">
        <v>45566</v>
      </c>
      <c r="B117" s="5">
        <v>1.0742599999999998</v>
      </c>
      <c r="G117" s="4"/>
      <c r="L117" s="5"/>
      <c r="O117" s="4"/>
    </row>
    <row r="118" spans="1:15" x14ac:dyDescent="0.2">
      <c r="A118" s="4">
        <v>45567</v>
      </c>
      <c r="B118" s="5">
        <v>1.1202399999999999</v>
      </c>
      <c r="G118" s="4"/>
      <c r="L118" s="5"/>
      <c r="O118" s="4"/>
    </row>
    <row r="119" spans="1:15" x14ac:dyDescent="0.2">
      <c r="A119" s="4">
        <v>45568</v>
      </c>
      <c r="B119" s="5">
        <v>1.0792799999999998</v>
      </c>
      <c r="G119" s="4"/>
      <c r="L119" s="5"/>
      <c r="O119" s="4"/>
    </row>
    <row r="120" spans="1:15" x14ac:dyDescent="0.2">
      <c r="A120" s="4">
        <v>45569</v>
      </c>
      <c r="B120" s="5">
        <v>1.0161199999999995</v>
      </c>
      <c r="G120" s="4"/>
      <c r="L120" s="5"/>
      <c r="O120" s="4"/>
    </row>
    <row r="121" spans="1:15" x14ac:dyDescent="0.2">
      <c r="A121" s="4">
        <v>45572</v>
      </c>
      <c r="B121" s="5">
        <v>0.98071999999999981</v>
      </c>
      <c r="G121" s="4"/>
      <c r="L121" s="5"/>
      <c r="O121" s="4"/>
    </row>
    <row r="122" spans="1:15" x14ac:dyDescent="0.2">
      <c r="A122" s="4">
        <v>45573</v>
      </c>
      <c r="B122" s="5">
        <v>0.96474000000000038</v>
      </c>
      <c r="G122" s="4"/>
      <c r="L122" s="5"/>
      <c r="O122" s="4"/>
    </row>
    <row r="123" spans="1:15" x14ac:dyDescent="0.2">
      <c r="A123" s="4">
        <v>45574</v>
      </c>
      <c r="B123" s="5">
        <v>0.98556000000000044</v>
      </c>
      <c r="G123" s="4"/>
      <c r="L123" s="5"/>
      <c r="O123" s="4"/>
    </row>
    <row r="124" spans="1:15" x14ac:dyDescent="0.2">
      <c r="A124" s="4">
        <v>45575</v>
      </c>
      <c r="B124" s="5">
        <v>0.96415999999999968</v>
      </c>
      <c r="G124" s="4"/>
      <c r="L124" s="5"/>
      <c r="O124" s="4"/>
    </row>
    <row r="125" spans="1:15" x14ac:dyDescent="0.2">
      <c r="A125" s="4">
        <v>45576</v>
      </c>
      <c r="B125" s="5">
        <v>0.93787999999999982</v>
      </c>
      <c r="G125" s="4"/>
      <c r="L125" s="5"/>
      <c r="O125" s="4"/>
    </row>
    <row r="126" spans="1:15" x14ac:dyDescent="0.2">
      <c r="A126" s="4">
        <v>45579</v>
      </c>
      <c r="B126" s="5">
        <v>0.89710000000000001</v>
      </c>
      <c r="G126" s="4"/>
      <c r="L126" s="5"/>
      <c r="O126" s="4"/>
    </row>
    <row r="127" spans="1:15" x14ac:dyDescent="0.2">
      <c r="A127" s="4">
        <v>45580</v>
      </c>
      <c r="B127" s="5">
        <v>1.0171799999999998</v>
      </c>
      <c r="G127" s="4"/>
      <c r="L127" s="5"/>
      <c r="O127" s="4"/>
    </row>
    <row r="128" spans="1:15" x14ac:dyDescent="0.2">
      <c r="A128" s="4">
        <v>45581</v>
      </c>
      <c r="B128" s="5">
        <v>0.97571999999999992</v>
      </c>
      <c r="G128" s="4"/>
      <c r="L128" s="5"/>
      <c r="O128" s="4"/>
    </row>
    <row r="129" spans="1:15" x14ac:dyDescent="0.2">
      <c r="A129" s="4">
        <v>45582</v>
      </c>
      <c r="B129" s="5">
        <v>1.0139000000000005</v>
      </c>
      <c r="G129" s="4"/>
      <c r="L129" s="5"/>
      <c r="O129" s="4"/>
    </row>
    <row r="130" spans="1:15" x14ac:dyDescent="0.2">
      <c r="A130" s="4">
        <v>45583</v>
      </c>
      <c r="B130" s="5">
        <v>1.0049200000000003</v>
      </c>
      <c r="G130" s="4"/>
      <c r="L130" s="5"/>
      <c r="O130" s="4"/>
    </row>
    <row r="131" spans="1:15" x14ac:dyDescent="0.2">
      <c r="A131" s="4">
        <v>45586</v>
      </c>
      <c r="B131" s="5">
        <v>1.0146799999999998</v>
      </c>
      <c r="G131" s="4"/>
      <c r="L131" s="5"/>
      <c r="O131" s="4"/>
    </row>
    <row r="132" spans="1:15" x14ac:dyDescent="0.2">
      <c r="A132" s="4">
        <v>45587</v>
      </c>
      <c r="B132" s="5">
        <v>1.0566199999999997</v>
      </c>
      <c r="G132" s="4"/>
      <c r="L132" s="5"/>
      <c r="O132" s="4"/>
    </row>
    <row r="133" spans="1:15" x14ac:dyDescent="0.2">
      <c r="A133" s="4">
        <v>45588</v>
      </c>
      <c r="B133" s="5">
        <v>1.06046</v>
      </c>
      <c r="G133" s="4"/>
      <c r="L133" s="5"/>
      <c r="O133" s="4"/>
    </row>
    <row r="134" spans="1:15" x14ac:dyDescent="0.2">
      <c r="A134" s="4">
        <v>45589</v>
      </c>
      <c r="B134" s="5">
        <v>1.1501000000000001</v>
      </c>
      <c r="G134" s="4"/>
      <c r="L134" s="5"/>
      <c r="O134" s="4"/>
    </row>
    <row r="135" spans="1:15" x14ac:dyDescent="0.2">
      <c r="A135" s="4">
        <v>45590</v>
      </c>
      <c r="B135" s="5">
        <v>1.10554</v>
      </c>
      <c r="G135" s="4"/>
      <c r="L135" s="5"/>
      <c r="O135" s="4"/>
    </row>
    <row r="136" spans="1:15" x14ac:dyDescent="0.2">
      <c r="A136" s="4">
        <v>45593</v>
      </c>
      <c r="B136" s="5">
        <v>1.1069199999999997</v>
      </c>
      <c r="G136" s="4"/>
      <c r="L136" s="5"/>
      <c r="O136" s="4"/>
    </row>
    <row r="137" spans="1:15" x14ac:dyDescent="0.2">
      <c r="A137" s="4">
        <v>45594</v>
      </c>
      <c r="B137" s="5">
        <v>1.1129999999999995</v>
      </c>
      <c r="G137" s="4"/>
      <c r="L137" s="5"/>
      <c r="O137" s="4"/>
    </row>
    <row r="138" spans="1:15" x14ac:dyDescent="0.2">
      <c r="A138" s="4">
        <v>45595</v>
      </c>
      <c r="B138" s="5">
        <v>1.1310600000000002</v>
      </c>
      <c r="G138" s="4"/>
      <c r="L138" s="5"/>
      <c r="O138" s="4"/>
    </row>
    <row r="139" spans="1:15" x14ac:dyDescent="0.2">
      <c r="A139" s="4">
        <v>45596</v>
      </c>
      <c r="B139" s="5">
        <v>1.1906199999999996</v>
      </c>
      <c r="G139" s="4"/>
      <c r="L139" s="5"/>
      <c r="O139" s="4"/>
    </row>
    <row r="140" spans="1:15" x14ac:dyDescent="0.2">
      <c r="A140" s="4">
        <v>45597</v>
      </c>
      <c r="B140" s="5">
        <v>1.2581599999999997</v>
      </c>
      <c r="G140" s="4"/>
      <c r="L140" s="5"/>
      <c r="O140" s="4"/>
    </row>
    <row r="141" spans="1:15" x14ac:dyDescent="0.2">
      <c r="A141" s="4">
        <v>45600</v>
      </c>
      <c r="B141" s="5">
        <v>1.1663599999999996</v>
      </c>
      <c r="G141" s="4"/>
      <c r="L141" s="5"/>
      <c r="O141" s="4"/>
    </row>
    <row r="142" spans="1:15" x14ac:dyDescent="0.2">
      <c r="A142" s="4">
        <v>45601</v>
      </c>
      <c r="B142" s="5">
        <v>1.1069</v>
      </c>
      <c r="G142" s="4"/>
      <c r="L142" s="5"/>
      <c r="O142" s="4"/>
    </row>
    <row r="143" spans="1:15" x14ac:dyDescent="0.2">
      <c r="A143" s="4">
        <v>45602</v>
      </c>
      <c r="B143" s="5">
        <v>1.2367399999999997</v>
      </c>
      <c r="G143" s="4"/>
      <c r="L143" s="5"/>
      <c r="O143" s="4"/>
    </row>
    <row r="144" spans="1:15" x14ac:dyDescent="0.2">
      <c r="A144" s="4">
        <v>45603</v>
      </c>
      <c r="B144" s="5">
        <v>1.3743999999999996</v>
      </c>
      <c r="G144" s="4"/>
      <c r="L144" s="5"/>
      <c r="O144" s="4"/>
    </row>
    <row r="145" spans="1:15" x14ac:dyDescent="0.2">
      <c r="A145" s="4">
        <v>45604</v>
      </c>
      <c r="B145" s="5">
        <v>1.4626000000000001</v>
      </c>
      <c r="G145" s="4"/>
      <c r="L145" s="5"/>
      <c r="O145" s="4"/>
    </row>
    <row r="146" spans="1:15" x14ac:dyDescent="0.2">
      <c r="A146" s="4">
        <v>45607</v>
      </c>
      <c r="B146" s="5">
        <v>1.4592400000000003</v>
      </c>
      <c r="G146" s="4"/>
      <c r="L146" s="5"/>
      <c r="O146" s="4"/>
    </row>
    <row r="147" spans="1:15" x14ac:dyDescent="0.2">
      <c r="A147" s="4">
        <v>45608</v>
      </c>
      <c r="B147" s="5">
        <v>1.3024400000000003</v>
      </c>
      <c r="G147" s="4"/>
      <c r="L147" s="5"/>
      <c r="O147" s="4"/>
    </row>
    <row r="148" spans="1:15" x14ac:dyDescent="0.2">
      <c r="A148" s="4">
        <v>45609</v>
      </c>
      <c r="B148" s="5">
        <v>1.2170399999999999</v>
      </c>
      <c r="G148" s="4"/>
      <c r="L148" s="5"/>
      <c r="O148" s="4"/>
    </row>
    <row r="149" spans="1:15" x14ac:dyDescent="0.2">
      <c r="A149" s="4">
        <v>45610</v>
      </c>
      <c r="B149" s="5">
        <v>1.1645600000000003</v>
      </c>
      <c r="G149" s="4"/>
      <c r="L149" s="5"/>
      <c r="O149" s="4"/>
    </row>
    <row r="150" spans="1:15" x14ac:dyDescent="0.2">
      <c r="A150" s="4">
        <v>45611</v>
      </c>
      <c r="B150" s="5">
        <v>1.2754400000000001</v>
      </c>
      <c r="G150" s="4"/>
      <c r="L150" s="5"/>
      <c r="O150" s="4"/>
    </row>
    <row r="151" spans="1:15" x14ac:dyDescent="0.2">
      <c r="A151" s="4">
        <v>45614</v>
      </c>
      <c r="B151" s="5">
        <v>1.2042599999999997</v>
      </c>
      <c r="G151" s="4"/>
      <c r="L151" s="5"/>
      <c r="O151" s="4"/>
    </row>
    <row r="152" spans="1:15" x14ac:dyDescent="0.2">
      <c r="A152" s="4">
        <v>45615</v>
      </c>
      <c r="B152" s="5">
        <v>1.16222</v>
      </c>
      <c r="G152" s="4"/>
      <c r="L152" s="5"/>
      <c r="O152" s="4"/>
    </row>
    <row r="153" spans="1:15" x14ac:dyDescent="0.2">
      <c r="A153" s="4">
        <v>45616</v>
      </c>
      <c r="B153" s="5">
        <v>1.0588600000000001</v>
      </c>
      <c r="G153" s="4"/>
      <c r="L153" s="5"/>
      <c r="O153" s="4"/>
    </row>
    <row r="154" spans="1:15" x14ac:dyDescent="0.2">
      <c r="A154" s="4">
        <v>45617</v>
      </c>
      <c r="B154" s="5">
        <v>0.92937999999999965</v>
      </c>
      <c r="G154" s="4"/>
      <c r="L154" s="5"/>
      <c r="O154" s="4"/>
    </row>
    <row r="155" spans="1:15" x14ac:dyDescent="0.2">
      <c r="A155" s="4">
        <v>45618</v>
      </c>
      <c r="B155" s="5">
        <v>0.89534000000000047</v>
      </c>
      <c r="G155" s="4"/>
      <c r="L155" s="5"/>
      <c r="O155" s="4"/>
    </row>
    <row r="156" spans="1:15" x14ac:dyDescent="0.2">
      <c r="A156" s="4">
        <v>45621</v>
      </c>
      <c r="B156" s="5">
        <v>0.89697999999999967</v>
      </c>
      <c r="G156" s="4"/>
      <c r="L156" s="5"/>
      <c r="O156" s="4"/>
    </row>
    <row r="157" spans="1:15" x14ac:dyDescent="0.2">
      <c r="A157" s="4">
        <v>45622</v>
      </c>
      <c r="B157" s="5">
        <v>0.99826000000000015</v>
      </c>
      <c r="G157" s="4"/>
      <c r="L157" s="5"/>
      <c r="O157" s="4"/>
    </row>
    <row r="158" spans="1:15" x14ac:dyDescent="0.2">
      <c r="A158" s="4">
        <v>45623</v>
      </c>
      <c r="B158" s="5">
        <v>0.89852000000000043</v>
      </c>
      <c r="G158" s="4"/>
      <c r="L158" s="5"/>
      <c r="O158" s="4"/>
    </row>
    <row r="159" spans="1:15" x14ac:dyDescent="0.2">
      <c r="A159" s="4">
        <v>45625</v>
      </c>
      <c r="B159" s="5">
        <v>0.97983999999999982</v>
      </c>
      <c r="G159" s="4"/>
      <c r="L159" s="5"/>
      <c r="O159" s="4"/>
    </row>
    <row r="160" spans="1:15" x14ac:dyDescent="0.2">
      <c r="A160" s="4">
        <v>45628</v>
      </c>
      <c r="B160" s="5">
        <v>0.96981999999999946</v>
      </c>
      <c r="G160" s="4"/>
      <c r="L160" s="5"/>
      <c r="O160" s="4"/>
    </row>
    <row r="161" spans="1:15" x14ac:dyDescent="0.2">
      <c r="A161" s="4">
        <v>45629</v>
      </c>
      <c r="B161" s="5">
        <v>0.98274000000000017</v>
      </c>
      <c r="G161" s="4"/>
      <c r="L161" s="5"/>
      <c r="O161" s="4"/>
    </row>
    <row r="162" spans="1:15" x14ac:dyDescent="0.2">
      <c r="A162" s="4">
        <v>45630</v>
      </c>
      <c r="B162" s="5">
        <v>0.97401999999999944</v>
      </c>
      <c r="G162" s="4"/>
      <c r="L162" s="5"/>
      <c r="O162" s="4"/>
    </row>
    <row r="163" spans="1:15" x14ac:dyDescent="0.2">
      <c r="A163" s="4">
        <v>45631</v>
      </c>
      <c r="B163" s="5">
        <v>1.0535600000000001</v>
      </c>
      <c r="G163" s="4"/>
      <c r="L163" s="5"/>
      <c r="O163" s="4"/>
    </row>
    <row r="164" spans="1:15" x14ac:dyDescent="0.2">
      <c r="A164" s="4">
        <v>45632</v>
      </c>
      <c r="B164" s="5">
        <v>1.1265199999999997</v>
      </c>
      <c r="G164" s="4"/>
      <c r="L164" s="5"/>
      <c r="O164" s="4"/>
    </row>
    <row r="165" spans="1:15" x14ac:dyDescent="0.2">
      <c r="A165" s="4">
        <v>45635</v>
      </c>
      <c r="B165" s="5">
        <v>1.0647999999999995</v>
      </c>
      <c r="G165" s="4"/>
      <c r="L165" s="5"/>
      <c r="O165" s="4"/>
    </row>
    <row r="166" spans="1:15" x14ac:dyDescent="0.2">
      <c r="A166" s="4">
        <v>45636</v>
      </c>
      <c r="B166" s="5">
        <v>1.0543199999999997</v>
      </c>
      <c r="G166" s="4"/>
      <c r="L166" s="5"/>
      <c r="O166" s="4"/>
    </row>
    <row r="167" spans="1:15" x14ac:dyDescent="0.2">
      <c r="A167" s="4">
        <v>45637</v>
      </c>
      <c r="B167" s="5">
        <v>0.99594000000000005</v>
      </c>
      <c r="G167" s="4"/>
      <c r="L167" s="5"/>
      <c r="O167" s="4"/>
    </row>
    <row r="168" spans="1:15" x14ac:dyDescent="0.2">
      <c r="A168" s="4">
        <v>45638</v>
      </c>
      <c r="B168" s="5">
        <v>1.0005199999999999</v>
      </c>
      <c r="G168" s="4"/>
      <c r="L168" s="5"/>
      <c r="O168" s="4"/>
    </row>
    <row r="169" spans="1:15" x14ac:dyDescent="0.2">
      <c r="A169" s="4">
        <v>45639</v>
      </c>
      <c r="B169" s="5">
        <v>0.96475999999999962</v>
      </c>
      <c r="G169" s="4"/>
      <c r="L169" s="5"/>
      <c r="O169" s="4"/>
    </row>
    <row r="170" spans="1:15" x14ac:dyDescent="0.2">
      <c r="A170" s="4">
        <v>45642</v>
      </c>
      <c r="B170" s="5">
        <v>0.93071999999999955</v>
      </c>
      <c r="G170" s="4"/>
      <c r="L170" s="5"/>
      <c r="O170" s="4"/>
    </row>
    <row r="171" spans="1:15" x14ac:dyDescent="0.2">
      <c r="A171" s="4">
        <v>45643</v>
      </c>
      <c r="B171" s="5">
        <v>0.87979999999999992</v>
      </c>
      <c r="G171" s="4"/>
      <c r="L171" s="5"/>
      <c r="O171" s="4"/>
    </row>
    <row r="172" spans="1:15" x14ac:dyDescent="0.2">
      <c r="A172" s="4">
        <v>45644</v>
      </c>
      <c r="B172" s="5">
        <v>0.77627999999999986</v>
      </c>
      <c r="G172" s="4"/>
      <c r="L172" s="5"/>
      <c r="O172" s="4"/>
    </row>
    <row r="173" spans="1:15" x14ac:dyDescent="0.2">
      <c r="A173" s="4">
        <v>45645</v>
      </c>
      <c r="B173" s="5">
        <v>0.83031999999999995</v>
      </c>
      <c r="G173" s="4"/>
      <c r="L173" s="5"/>
      <c r="O173" s="4"/>
    </row>
    <row r="174" spans="1:15" x14ac:dyDescent="0.2">
      <c r="A174" s="4">
        <v>45646</v>
      </c>
      <c r="B174" s="5">
        <v>0.79448000000000008</v>
      </c>
      <c r="G174" s="4"/>
      <c r="L174" s="5"/>
      <c r="O174" s="4"/>
    </row>
    <row r="175" spans="1:15" x14ac:dyDescent="0.2">
      <c r="A175" s="4">
        <v>45649</v>
      </c>
      <c r="B175" s="5">
        <v>0.8598599999999994</v>
      </c>
      <c r="G175" s="4"/>
      <c r="L175" s="5"/>
      <c r="O175" s="4"/>
    </row>
    <row r="176" spans="1:15" x14ac:dyDescent="0.2">
      <c r="A176" s="4">
        <v>45650</v>
      </c>
      <c r="B176" s="5">
        <v>0.83659999999999979</v>
      </c>
      <c r="G176" s="4"/>
      <c r="L176" s="5"/>
      <c r="O176" s="4"/>
    </row>
    <row r="177" spans="1:15" x14ac:dyDescent="0.2">
      <c r="A177" s="4">
        <v>45652</v>
      </c>
      <c r="B177" s="5">
        <v>0.8206800000000003</v>
      </c>
      <c r="G177" s="4"/>
      <c r="L177" s="5"/>
      <c r="O177" s="4"/>
    </row>
    <row r="178" spans="1:15" x14ac:dyDescent="0.2">
      <c r="A178" s="4">
        <v>45653</v>
      </c>
      <c r="B178" s="5">
        <v>0.79010000000000025</v>
      </c>
      <c r="G178" s="4"/>
      <c r="L178" s="5"/>
      <c r="O178" s="4"/>
    </row>
    <row r="179" spans="1:15" x14ac:dyDescent="0.2">
      <c r="A179" s="4">
        <v>45656</v>
      </c>
      <c r="B179" s="5">
        <v>0.76159999999999961</v>
      </c>
      <c r="G179" s="4"/>
      <c r="L179" s="5"/>
      <c r="O179" s="4"/>
    </row>
    <row r="180" spans="1:15" x14ac:dyDescent="0.2">
      <c r="A180" s="4">
        <v>45657</v>
      </c>
      <c r="B180" s="5">
        <v>0.75096000000000007</v>
      </c>
      <c r="G180" s="4"/>
      <c r="L180" s="5"/>
      <c r="O180" s="4"/>
    </row>
    <row r="181" spans="1:15" x14ac:dyDescent="0.2">
      <c r="A181" s="4">
        <v>45659</v>
      </c>
      <c r="B181" s="5">
        <v>0.7274200000000004</v>
      </c>
      <c r="G181" s="4"/>
      <c r="L181" s="5"/>
      <c r="O181" s="4"/>
    </row>
    <row r="182" spans="1:15" x14ac:dyDescent="0.2">
      <c r="A182" s="4">
        <v>45660</v>
      </c>
      <c r="B182" s="5">
        <v>0.70438000000000001</v>
      </c>
      <c r="G182" s="4"/>
      <c r="L182" s="5"/>
      <c r="O182" s="4"/>
    </row>
    <row r="183" spans="1:15" x14ac:dyDescent="0.2">
      <c r="A183" s="4">
        <v>45663</v>
      </c>
      <c r="B183" s="5">
        <v>0.72977999999999987</v>
      </c>
      <c r="G183" s="4"/>
      <c r="L183" s="5"/>
      <c r="O183" s="4"/>
    </row>
    <row r="184" spans="1:15" x14ac:dyDescent="0.2">
      <c r="A184" s="4">
        <v>45664</v>
      </c>
      <c r="B184" s="5">
        <v>0.78629999999999978</v>
      </c>
      <c r="G184" s="4"/>
      <c r="L184" s="5"/>
      <c r="O184" s="4"/>
    </row>
    <row r="185" spans="1:15" x14ac:dyDescent="0.2">
      <c r="A185" s="4">
        <v>45665</v>
      </c>
      <c r="B185" s="5">
        <v>0.82853999999999983</v>
      </c>
      <c r="G185" s="4"/>
      <c r="L185" s="5"/>
      <c r="O185" s="4"/>
    </row>
    <row r="186" spans="1:15" x14ac:dyDescent="0.2">
      <c r="A186" s="4">
        <v>45666</v>
      </c>
      <c r="B186" s="5">
        <v>0.89175999999999922</v>
      </c>
      <c r="G186" s="4"/>
      <c r="L186" s="5"/>
      <c r="O186" s="4"/>
    </row>
    <row r="187" spans="1:15" x14ac:dyDescent="0.2">
      <c r="A187" s="4">
        <v>45667</v>
      </c>
      <c r="B187" s="5">
        <v>0.98817999999999939</v>
      </c>
      <c r="G187" s="4"/>
      <c r="L187" s="5"/>
      <c r="O187" s="4"/>
    </row>
    <row r="188" spans="1:15" x14ac:dyDescent="0.2">
      <c r="A188" s="4">
        <v>45670</v>
      </c>
      <c r="B188" s="5">
        <v>0.98713999999999968</v>
      </c>
      <c r="G188" s="4"/>
      <c r="L188" s="5"/>
      <c r="O188" s="4"/>
    </row>
    <row r="189" spans="1:15" x14ac:dyDescent="0.2">
      <c r="A189" s="4">
        <v>45671</v>
      </c>
      <c r="B189" s="5">
        <v>1.0140199999999999</v>
      </c>
      <c r="G189" s="4"/>
      <c r="L189" s="5"/>
      <c r="O189" s="4"/>
    </row>
    <row r="190" spans="1:15" x14ac:dyDescent="0.2">
      <c r="A190" s="4">
        <v>45672</v>
      </c>
      <c r="B190" s="5">
        <v>0.97702</v>
      </c>
      <c r="G190" s="4"/>
      <c r="L190" s="5"/>
      <c r="O190" s="4"/>
    </row>
    <row r="191" spans="1:15" x14ac:dyDescent="0.2">
      <c r="A191" s="4">
        <v>45673</v>
      </c>
      <c r="B191" s="5">
        <v>0.88941999999999988</v>
      </c>
      <c r="G191" s="4"/>
      <c r="L191" s="5"/>
      <c r="O191" s="4"/>
    </row>
    <row r="192" spans="1:15" x14ac:dyDescent="0.2">
      <c r="A192" s="4">
        <v>45674</v>
      </c>
      <c r="B192" s="5">
        <v>0.94351999999999947</v>
      </c>
      <c r="G192" s="4"/>
      <c r="L192" s="5"/>
      <c r="O192" s="4"/>
    </row>
    <row r="193" spans="1:15" x14ac:dyDescent="0.2">
      <c r="A193" s="4">
        <v>45678</v>
      </c>
      <c r="B193" s="5">
        <v>1.0249599999999996</v>
      </c>
      <c r="G193" s="4"/>
      <c r="L193" s="5"/>
      <c r="O193" s="4"/>
    </row>
    <row r="194" spans="1:15" x14ac:dyDescent="0.2">
      <c r="A194" s="4">
        <v>45679</v>
      </c>
      <c r="B194" s="5">
        <v>0.9783599999999999</v>
      </c>
      <c r="G194" s="4"/>
      <c r="L194" s="5"/>
      <c r="O194" s="4"/>
    </row>
    <row r="195" spans="1:15" x14ac:dyDescent="0.2">
      <c r="A195" s="4">
        <v>45680</v>
      </c>
      <c r="B195" s="5">
        <v>1.0285199999999999</v>
      </c>
      <c r="G195" s="4"/>
      <c r="L195" s="5"/>
      <c r="O195" s="4"/>
    </row>
    <row r="196" spans="1:15" x14ac:dyDescent="0.2">
      <c r="A196" s="4">
        <v>45681</v>
      </c>
      <c r="B196" s="5">
        <v>1.0183599999999999</v>
      </c>
      <c r="G196" s="4"/>
      <c r="L196" s="5"/>
      <c r="O196" s="4"/>
    </row>
    <row r="197" spans="1:15" x14ac:dyDescent="0.2">
      <c r="A197" s="4">
        <v>45684</v>
      </c>
      <c r="B197" s="5">
        <v>1.05898</v>
      </c>
      <c r="G197" s="4"/>
      <c r="L197" s="5"/>
      <c r="O197" s="4"/>
    </row>
    <row r="198" spans="1:15" x14ac:dyDescent="0.2">
      <c r="A198" s="4">
        <v>45685</v>
      </c>
      <c r="B198" s="5">
        <v>1.0768200000000001</v>
      </c>
      <c r="G198" s="4"/>
      <c r="L198" s="5"/>
      <c r="O198" s="4"/>
    </row>
    <row r="199" spans="1:15" x14ac:dyDescent="0.2">
      <c r="A199" s="4">
        <v>45686</v>
      </c>
      <c r="B199" s="5">
        <v>1.06406</v>
      </c>
      <c r="G199" s="4"/>
      <c r="L199" s="5"/>
      <c r="O199" s="4"/>
    </row>
    <row r="200" spans="1:15" x14ac:dyDescent="0.2">
      <c r="A200" s="4">
        <v>45687</v>
      </c>
      <c r="B200" s="5">
        <v>1.0536000000000003</v>
      </c>
      <c r="G200" s="4"/>
      <c r="L200" s="5"/>
      <c r="O200" s="4"/>
    </row>
    <row r="201" spans="1:15" x14ac:dyDescent="0.2">
      <c r="A201" s="4">
        <v>45688</v>
      </c>
      <c r="B201" s="5">
        <v>1.13822</v>
      </c>
      <c r="G201" s="4"/>
      <c r="L201" s="5"/>
      <c r="O201" s="4"/>
    </row>
    <row r="202" spans="1:15" x14ac:dyDescent="0.2">
      <c r="A202" s="4">
        <v>45691</v>
      </c>
      <c r="B202" s="5">
        <v>1.17272</v>
      </c>
      <c r="G202" s="4"/>
      <c r="L202" s="5"/>
      <c r="O202" s="4"/>
    </row>
    <row r="203" spans="1:15" x14ac:dyDescent="0.2">
      <c r="A203" s="4">
        <v>45692</v>
      </c>
      <c r="B203" s="5">
        <v>1.1371199999999999</v>
      </c>
      <c r="G203" s="4"/>
      <c r="L203" s="5"/>
      <c r="O203" s="4"/>
    </row>
    <row r="204" spans="1:15" x14ac:dyDescent="0.2">
      <c r="A204" s="4">
        <v>45693</v>
      </c>
      <c r="B204" s="5">
        <v>1.1284000000000001</v>
      </c>
      <c r="G204" s="4"/>
      <c r="L204" s="5"/>
      <c r="O204" s="4"/>
    </row>
    <row r="205" spans="1:15" x14ac:dyDescent="0.2">
      <c r="A205" s="4">
        <v>45694</v>
      </c>
      <c r="B205" s="5">
        <v>1.1487799999999999</v>
      </c>
      <c r="G205" s="4"/>
      <c r="L205" s="5"/>
      <c r="O205" s="4"/>
    </row>
    <row r="206" spans="1:15" x14ac:dyDescent="0.2">
      <c r="A206" s="4">
        <v>45695</v>
      </c>
      <c r="B206" s="5">
        <v>1.1648799999999992</v>
      </c>
      <c r="G206" s="4"/>
      <c r="L206" s="5"/>
      <c r="O206" s="4"/>
    </row>
    <row r="207" spans="1:15" x14ac:dyDescent="0.2">
      <c r="A207" s="4">
        <v>45698</v>
      </c>
      <c r="B207" s="5">
        <v>1.1223599999999996</v>
      </c>
      <c r="G207" s="4"/>
      <c r="L207" s="5"/>
      <c r="O207" s="4"/>
    </row>
    <row r="208" spans="1:15" x14ac:dyDescent="0.2">
      <c r="A208" s="4">
        <v>45699</v>
      </c>
      <c r="B208" s="5">
        <v>1.0912600000000001</v>
      </c>
      <c r="F208" s="5">
        <f>AVERAGE(B190:B210)</f>
        <v>1.0708200000000001</v>
      </c>
      <c r="G208" s="4"/>
      <c r="L208" s="5"/>
      <c r="O208" s="4"/>
    </row>
    <row r="209" spans="1:15" x14ac:dyDescent="0.2">
      <c r="A209" s="4">
        <v>45700</v>
      </c>
      <c r="B209" s="5">
        <v>1.1126800000000001</v>
      </c>
      <c r="G209" s="4"/>
      <c r="L209" s="5"/>
      <c r="O209" s="4"/>
    </row>
    <row r="210" spans="1:15" x14ac:dyDescent="0.2">
      <c r="A210" s="4">
        <v>45701</v>
      </c>
      <c r="B210" s="5">
        <v>1.1571799999999999</v>
      </c>
      <c r="G210" s="4"/>
      <c r="L210" s="5"/>
      <c r="O210" s="4"/>
    </row>
    <row r="211" spans="1:15" x14ac:dyDescent="0.2">
      <c r="A211" s="4">
        <v>45702</v>
      </c>
      <c r="B211" s="5">
        <v>1.1372200000000001</v>
      </c>
      <c r="G211" s="4"/>
      <c r="L211" s="5"/>
      <c r="O211" s="4"/>
    </row>
    <row r="212" spans="1:15" x14ac:dyDescent="0.2">
      <c r="A212" s="4">
        <v>45706</v>
      </c>
      <c r="B212" s="5">
        <v>1.2408399999999999</v>
      </c>
      <c r="G212" s="4"/>
      <c r="L212" s="5"/>
      <c r="O212" s="4"/>
    </row>
    <row r="213" spans="1:15" x14ac:dyDescent="0.2">
      <c r="A213" s="4">
        <v>45707</v>
      </c>
      <c r="B213" s="5">
        <v>1.1497999999999995</v>
      </c>
      <c r="G213" s="4"/>
      <c r="L213" s="5"/>
      <c r="O213" s="4"/>
    </row>
    <row r="214" spans="1:15" x14ac:dyDescent="0.2">
      <c r="A214" s="4">
        <v>45708</v>
      </c>
      <c r="B214" s="5">
        <v>1.1854399999999994</v>
      </c>
      <c r="G214" s="4"/>
      <c r="L214" s="5"/>
      <c r="O214" s="4"/>
    </row>
    <row r="215" spans="1:15" x14ac:dyDescent="0.2">
      <c r="A215" s="4">
        <v>45709</v>
      </c>
      <c r="B215" s="5">
        <v>1.2197399999999998</v>
      </c>
      <c r="G215" s="4"/>
      <c r="L215" s="5"/>
      <c r="O215" s="4"/>
    </row>
    <row r="216" spans="1:15" x14ac:dyDescent="0.2">
      <c r="A216" s="4">
        <v>45712</v>
      </c>
      <c r="B216" s="5">
        <v>1.1410999999999993</v>
      </c>
      <c r="G216" s="4"/>
      <c r="L216" s="5"/>
      <c r="O216" s="4"/>
    </row>
    <row r="217" spans="1:15" x14ac:dyDescent="0.2">
      <c r="A217" s="4">
        <v>45713</v>
      </c>
      <c r="B217" s="5">
        <v>1.1655999999999995</v>
      </c>
      <c r="G217" s="4"/>
      <c r="L217" s="5"/>
      <c r="O217" s="4"/>
    </row>
    <row r="218" spans="1:15" x14ac:dyDescent="0.2">
      <c r="A218" s="4">
        <v>45714</v>
      </c>
      <c r="B218" s="5">
        <v>1.1728400000000008</v>
      </c>
      <c r="G218" s="4"/>
      <c r="L218" s="5"/>
      <c r="O218" s="4"/>
    </row>
    <row r="219" spans="1:15" x14ac:dyDescent="0.2">
      <c r="A219" s="4">
        <v>45715</v>
      </c>
      <c r="B219" s="5">
        <v>1.0984999999999996</v>
      </c>
      <c r="G219" s="4"/>
      <c r="L219" s="5"/>
      <c r="O219" s="4"/>
    </row>
    <row r="220" spans="1:15" x14ac:dyDescent="0.2">
      <c r="A220" s="4">
        <v>45716</v>
      </c>
      <c r="B220" s="5">
        <v>1.0381199999999997</v>
      </c>
      <c r="G220" s="4"/>
      <c r="L220" s="5"/>
      <c r="O220" s="4"/>
    </row>
    <row r="221" spans="1:15" x14ac:dyDescent="0.2">
      <c r="A221" s="4">
        <v>45719</v>
      </c>
      <c r="B221" s="5">
        <v>1.0917400000000002</v>
      </c>
      <c r="G221" s="4"/>
      <c r="L221" s="5"/>
      <c r="O221" s="4"/>
    </row>
    <row r="222" spans="1:15" x14ac:dyDescent="0.2">
      <c r="A222" s="4">
        <v>45720</v>
      </c>
      <c r="B222" s="5">
        <v>1.0300400000000001</v>
      </c>
      <c r="G222" s="4"/>
      <c r="L222" s="5"/>
      <c r="O222" s="4"/>
    </row>
    <row r="223" spans="1:15" x14ac:dyDescent="0.2">
      <c r="A223" s="4">
        <v>45721</v>
      </c>
      <c r="B223" s="5">
        <v>1.0828399999999996</v>
      </c>
      <c r="G223" s="4"/>
      <c r="L223" s="5"/>
      <c r="O223" s="4"/>
    </row>
    <row r="224" spans="1:15" x14ac:dyDescent="0.2">
      <c r="A224" s="4">
        <v>45722</v>
      </c>
      <c r="B224" s="5">
        <v>1.1055200000000003</v>
      </c>
      <c r="G224" s="4"/>
      <c r="L224" s="5"/>
      <c r="O224" s="4"/>
    </row>
    <row r="225" spans="1:15" x14ac:dyDescent="0.2">
      <c r="A225" s="4">
        <v>45723</v>
      </c>
      <c r="B225" s="5">
        <v>1.1189200000000001</v>
      </c>
      <c r="G225" s="4"/>
      <c r="L225" s="5"/>
      <c r="O225" s="4"/>
    </row>
    <row r="226" spans="1:15" x14ac:dyDescent="0.2">
      <c r="A226" s="4">
        <v>45726</v>
      </c>
      <c r="B226" s="5">
        <v>1.0637599999999998</v>
      </c>
      <c r="G226" s="4"/>
      <c r="L226" s="5"/>
      <c r="O226" s="4"/>
    </row>
    <row r="227" spans="1:15" x14ac:dyDescent="0.2">
      <c r="A227" s="4">
        <v>45727</v>
      </c>
      <c r="B227" s="5">
        <v>1.0255800000000002</v>
      </c>
      <c r="G227" s="4"/>
      <c r="L227" s="5"/>
      <c r="O227" s="4"/>
    </row>
    <row r="228" spans="1:15" x14ac:dyDescent="0.2">
      <c r="A228" s="4">
        <v>45728</v>
      </c>
      <c r="B228" s="5">
        <v>0.98887999999999998</v>
      </c>
      <c r="G228" s="4"/>
      <c r="L228" s="5"/>
      <c r="O228" s="4"/>
    </row>
    <row r="229" spans="1:15" x14ac:dyDescent="0.2">
      <c r="A229" s="4">
        <v>45729</v>
      </c>
      <c r="B229" s="5">
        <v>1.0028800000000002</v>
      </c>
      <c r="G229" s="4"/>
      <c r="L229" s="5"/>
      <c r="O229" s="4"/>
    </row>
    <row r="230" spans="1:15" x14ac:dyDescent="0.2">
      <c r="A230" s="4">
        <v>45730</v>
      </c>
      <c r="B230" s="5">
        <v>1.0260400000000001</v>
      </c>
      <c r="G230" s="4"/>
      <c r="L230" s="5"/>
      <c r="O230" s="4"/>
    </row>
    <row r="231" spans="1:15" x14ac:dyDescent="0.2">
      <c r="A231" s="4">
        <v>45733</v>
      </c>
      <c r="B231" s="5">
        <v>1.0653199999999998</v>
      </c>
      <c r="G231" s="4"/>
      <c r="L231" s="5"/>
      <c r="O231" s="4"/>
    </row>
    <row r="232" spans="1:15" x14ac:dyDescent="0.2">
      <c r="A232" s="4">
        <v>45734</v>
      </c>
      <c r="B232" s="5">
        <v>1.1093799999999998</v>
      </c>
      <c r="F232" s="5">
        <f>AVERAGE(B211:B230)</f>
        <v>1.1042699999999996</v>
      </c>
      <c r="G232" s="4"/>
      <c r="L232" s="5"/>
      <c r="O232" s="4"/>
    </row>
    <row r="233" spans="1:15" x14ac:dyDescent="0.2">
      <c r="A233" s="4">
        <v>45735</v>
      </c>
      <c r="B233" s="5">
        <v>1.0695999999999999</v>
      </c>
      <c r="G233" s="4"/>
      <c r="L233" s="5"/>
      <c r="O233" s="4"/>
    </row>
    <row r="234" spans="1:15" x14ac:dyDescent="0.2">
      <c r="A234" s="4">
        <v>45736</v>
      </c>
      <c r="B234" s="5">
        <v>1.0749</v>
      </c>
      <c r="G234" s="4"/>
      <c r="L234" s="5"/>
      <c r="O234" s="4"/>
    </row>
    <row r="235" spans="1:15" x14ac:dyDescent="0.2">
      <c r="A235" s="4">
        <v>45737</v>
      </c>
      <c r="B235" s="5">
        <v>1.02258</v>
      </c>
      <c r="G235" s="4"/>
      <c r="L235" s="5"/>
      <c r="O235" s="4"/>
    </row>
    <row r="236" spans="1:15" x14ac:dyDescent="0.2">
      <c r="A236" s="4">
        <v>45740</v>
      </c>
      <c r="B236" s="5">
        <v>1.02332</v>
      </c>
      <c r="G236" s="4"/>
      <c r="L236" s="5"/>
      <c r="O236" s="4"/>
    </row>
    <row r="237" spans="1:15" x14ac:dyDescent="0.2">
      <c r="A237" s="4">
        <v>45741</v>
      </c>
      <c r="B237" s="5">
        <v>1.0132999999999996</v>
      </c>
      <c r="G237" s="4"/>
      <c r="L237" s="5"/>
      <c r="O237" s="4"/>
    </row>
    <row r="238" spans="1:15" x14ac:dyDescent="0.2">
      <c r="A238" s="4">
        <v>45742</v>
      </c>
      <c r="B238" s="5">
        <v>1.0308800000000002</v>
      </c>
      <c r="G238" s="4"/>
      <c r="L238" s="5"/>
      <c r="O238" s="4"/>
    </row>
    <row r="239" spans="1:15" x14ac:dyDescent="0.2">
      <c r="A239" s="4">
        <v>45743</v>
      </c>
      <c r="B239" s="5">
        <v>1.1467999999999998</v>
      </c>
      <c r="G239" s="4"/>
      <c r="L239" s="5"/>
      <c r="O239" s="4"/>
    </row>
    <row r="240" spans="1:15" x14ac:dyDescent="0.2">
      <c r="A240" s="4">
        <v>45744</v>
      </c>
      <c r="B240" s="5">
        <v>1.24288</v>
      </c>
      <c r="G240" s="4"/>
      <c r="L240" s="5"/>
      <c r="O240" s="4"/>
    </row>
    <row r="241" spans="1:15" x14ac:dyDescent="0.2">
      <c r="A241" s="4">
        <v>45747</v>
      </c>
      <c r="B241" s="5">
        <v>1.1702400000000002</v>
      </c>
      <c r="G241" s="4"/>
      <c r="L241" s="5"/>
      <c r="O241" s="4"/>
    </row>
    <row r="242" spans="1:15" x14ac:dyDescent="0.2">
      <c r="A242" s="4">
        <v>45748</v>
      </c>
      <c r="B242" s="5">
        <v>1.3710999999999998</v>
      </c>
      <c r="G242" s="4"/>
      <c r="L242" s="5"/>
      <c r="O242" s="4"/>
    </row>
    <row r="243" spans="1:15" x14ac:dyDescent="0.2">
      <c r="A243" s="4">
        <v>45749</v>
      </c>
      <c r="B243" s="5">
        <v>1.4280599999999999</v>
      </c>
      <c r="G243" s="4"/>
      <c r="L243" s="5"/>
      <c r="O243" s="4"/>
    </row>
    <row r="244" spans="1:15" x14ac:dyDescent="0.2">
      <c r="A244" s="4">
        <v>45750</v>
      </c>
      <c r="B244" s="5">
        <v>1.4573799999999992</v>
      </c>
      <c r="G244" s="4"/>
      <c r="L244" s="5"/>
      <c r="O244" s="4"/>
    </row>
    <row r="245" spans="1:15" x14ac:dyDescent="0.2">
      <c r="A245" s="4">
        <v>45751</v>
      </c>
      <c r="B245" s="5">
        <v>1.4723199999999999</v>
      </c>
      <c r="G245" s="4"/>
      <c r="L245" s="5"/>
      <c r="O245" s="4"/>
    </row>
    <row r="246" spans="1:15" x14ac:dyDescent="0.2">
      <c r="A246" s="4">
        <v>45754</v>
      </c>
      <c r="B246" s="5">
        <v>1.4325600000000001</v>
      </c>
      <c r="G246" s="4"/>
      <c r="L246" s="5"/>
      <c r="O246" s="4"/>
    </row>
    <row r="247" spans="1:15" x14ac:dyDescent="0.2">
      <c r="A247" s="4">
        <v>45755</v>
      </c>
      <c r="B247" s="5">
        <v>1.4423599999999999</v>
      </c>
      <c r="G247" s="4"/>
      <c r="L247" s="5"/>
      <c r="O247" s="4"/>
    </row>
    <row r="248" spans="1:15" x14ac:dyDescent="0.2">
      <c r="A248" s="4">
        <v>45756</v>
      </c>
      <c r="B248" s="5">
        <v>1.4714</v>
      </c>
      <c r="G248" s="4"/>
      <c r="L248" s="5"/>
      <c r="O248" s="4"/>
    </row>
    <row r="249" spans="1:15" x14ac:dyDescent="0.2">
      <c r="A249" s="4">
        <v>45757</v>
      </c>
      <c r="B249" s="5">
        <v>1.54332</v>
      </c>
      <c r="F249" s="5">
        <f>AVERAGE(B231:B252)</f>
        <v>1.2865945454545453</v>
      </c>
      <c r="G249" s="4"/>
      <c r="L249" s="5"/>
      <c r="O249" s="4"/>
    </row>
    <row r="250" spans="1:15" x14ac:dyDescent="0.2">
      <c r="A250" s="4">
        <v>45758</v>
      </c>
      <c r="B250" s="5">
        <v>1.6075399999999997</v>
      </c>
      <c r="G250" s="4"/>
      <c r="L250" s="5"/>
      <c r="O250" s="4"/>
    </row>
    <row r="251" spans="1:15" x14ac:dyDescent="0.2">
      <c r="A251" s="4">
        <v>45761</v>
      </c>
      <c r="B251" s="5">
        <v>1.5125999999999999</v>
      </c>
      <c r="G251" s="4"/>
      <c r="L251" s="5"/>
      <c r="O251" s="4"/>
    </row>
    <row r="252" spans="1:15" x14ac:dyDescent="0.2">
      <c r="A252" s="4">
        <v>45762</v>
      </c>
      <c r="B252" s="5">
        <v>1.5972399999999998</v>
      </c>
      <c r="G252" s="4"/>
      <c r="L252" s="5"/>
      <c r="O252" s="4"/>
    </row>
    <row r="253" spans="1:15" x14ac:dyDescent="0.2">
      <c r="A253" s="4">
        <v>45763</v>
      </c>
      <c r="B253" s="5">
        <v>1.5782999999999996</v>
      </c>
      <c r="G253" s="4"/>
      <c r="L253" s="5"/>
      <c r="O253" s="4"/>
    </row>
    <row r="254" spans="1:15" x14ac:dyDescent="0.2">
      <c r="A254" s="4">
        <v>45764</v>
      </c>
      <c r="B254" s="5">
        <v>1.5615400000000004</v>
      </c>
      <c r="F254" s="2" t="s">
        <v>12</v>
      </c>
      <c r="G254" s="4"/>
      <c r="L254" s="5"/>
      <c r="O254" s="4"/>
    </row>
    <row r="255" spans="1:15" x14ac:dyDescent="0.2">
      <c r="A255" s="4">
        <v>45768</v>
      </c>
      <c r="B255" s="5">
        <v>1.6029599999999999</v>
      </c>
      <c r="F255" s="5">
        <f>AVERAGE(B253:B259)</f>
        <v>1.6081285714285711</v>
      </c>
      <c r="G255" s="4"/>
      <c r="L255" s="5"/>
      <c r="O255" s="4"/>
    </row>
    <row r="256" spans="1:15" x14ac:dyDescent="0.2">
      <c r="A256" s="4">
        <v>45769</v>
      </c>
      <c r="B256" s="5">
        <v>1.5468799999999994</v>
      </c>
      <c r="G256" s="4"/>
      <c r="L256" s="5"/>
      <c r="O256" s="4"/>
    </row>
    <row r="257" spans="1:15" x14ac:dyDescent="0.2">
      <c r="A257" s="4">
        <v>45770</v>
      </c>
      <c r="B257" s="5">
        <v>1.59294</v>
      </c>
      <c r="G257" s="4"/>
      <c r="L257" s="5"/>
      <c r="O257" s="4"/>
    </row>
    <row r="258" spans="1:15" x14ac:dyDescent="0.2">
      <c r="A258" s="4">
        <v>45771</v>
      </c>
      <c r="B258" s="5">
        <v>1.7073200000000002</v>
      </c>
      <c r="G258" s="4"/>
      <c r="L258" s="5"/>
      <c r="O258" s="4"/>
    </row>
    <row r="259" spans="1:15" x14ac:dyDescent="0.2">
      <c r="A259" s="4">
        <v>45772</v>
      </c>
      <c r="B259" s="5">
        <v>1.6669599999999996</v>
      </c>
      <c r="G259" s="4"/>
      <c r="L259" s="5"/>
      <c r="O259" s="4"/>
    </row>
    <row r="260" spans="1:15" x14ac:dyDescent="0.2">
      <c r="A260" s="4">
        <v>45778</v>
      </c>
      <c r="B260" s="5">
        <f>'[2]HOBO Forward Curve'!$D2</f>
        <v>1.1957</v>
      </c>
      <c r="C260" s="5">
        <f t="shared" ref="C260:C264" si="6">B260+STDEV($B$2:$B$259)</f>
        <v>1.3969185812983851</v>
      </c>
      <c r="D260" s="5">
        <f t="shared" ref="D260:D264" si="7">B260-STDEV($B$2:$B$259)</f>
        <v>0.99448141870161499</v>
      </c>
      <c r="G260" s="4"/>
      <c r="K260" s="4"/>
      <c r="L260" s="5"/>
      <c r="O260" s="4"/>
    </row>
    <row r="261" spans="1:15" x14ac:dyDescent="0.2">
      <c r="A261" s="4">
        <v>45839</v>
      </c>
      <c r="B261" s="5">
        <f>'[2]HOBO Forward Curve'!$D3</f>
        <v>1.3163</v>
      </c>
      <c r="C261" s="5">
        <f t="shared" si="6"/>
        <v>1.5175185812983851</v>
      </c>
      <c r="D261" s="5">
        <f t="shared" si="7"/>
        <v>1.1150814187016149</v>
      </c>
      <c r="G261" s="4"/>
      <c r="K261" s="4"/>
      <c r="L261" s="5"/>
      <c r="O261" s="4"/>
    </row>
    <row r="262" spans="1:15" x14ac:dyDescent="0.2">
      <c r="A262" s="4">
        <v>45901</v>
      </c>
      <c r="B262" s="5">
        <f>'[2]HOBO Forward Curve'!$D4</f>
        <v>1.0210999999999997</v>
      </c>
      <c r="C262" s="5">
        <f t="shared" si="6"/>
        <v>1.2223185812983848</v>
      </c>
      <c r="D262" s="5">
        <f t="shared" si="7"/>
        <v>0.81988141870161468</v>
      </c>
      <c r="G262" s="4"/>
      <c r="K262" s="4"/>
      <c r="L262" s="5"/>
      <c r="O262" s="4"/>
    </row>
    <row r="263" spans="1:15" x14ac:dyDescent="0.2">
      <c r="A263" s="4">
        <v>45992</v>
      </c>
      <c r="B263" s="5">
        <f>'[2]HOBO Forward Curve'!$D5</f>
        <v>1.1513</v>
      </c>
      <c r="C263" s="5">
        <f t="shared" si="6"/>
        <v>1.3525185812983851</v>
      </c>
      <c r="D263" s="5">
        <f t="shared" si="7"/>
        <v>0.950081418701615</v>
      </c>
      <c r="G263" s="4"/>
      <c r="K263" s="4"/>
      <c r="L263" s="5"/>
      <c r="O263" s="4"/>
    </row>
    <row r="264" spans="1:15" x14ac:dyDescent="0.2">
      <c r="A264" s="4">
        <v>46082</v>
      </c>
      <c r="B264" s="5">
        <f>'[2]HOBO Forward Curve'!$D6</f>
        <v>1.0729999999999995</v>
      </c>
      <c r="C264" s="5">
        <f t="shared" si="6"/>
        <v>1.2742185812983846</v>
      </c>
      <c r="D264" s="5">
        <f t="shared" si="7"/>
        <v>0.87178141870161452</v>
      </c>
      <c r="G264" s="4"/>
      <c r="K264" s="4"/>
      <c r="L264" s="5"/>
      <c r="O264" s="4"/>
    </row>
    <row r="265" spans="1:15" x14ac:dyDescent="0.2">
      <c r="A265" s="4"/>
      <c r="B265" s="5"/>
      <c r="C265" s="5"/>
      <c r="D265" s="5"/>
      <c r="G265" s="4"/>
      <c r="K265" s="4"/>
      <c r="L265" s="5"/>
      <c r="O265" s="4"/>
    </row>
    <row r="266" spans="1:15" x14ac:dyDescent="0.2">
      <c r="A266" s="4"/>
      <c r="G266" s="4"/>
      <c r="K266" s="4"/>
      <c r="L266" s="5"/>
      <c r="O266" s="4"/>
    </row>
    <row r="267" spans="1:15" x14ac:dyDescent="0.2">
      <c r="A267" s="4"/>
      <c r="G267" s="4"/>
      <c r="K267" s="4"/>
      <c r="L267" s="5"/>
      <c r="O267" s="4"/>
    </row>
    <row r="268" spans="1:15" x14ac:dyDescent="0.2">
      <c r="A268" s="4"/>
      <c r="G268" s="4"/>
      <c r="K268" s="4"/>
      <c r="L268" s="5"/>
      <c r="O268" s="4"/>
    </row>
    <row r="269" spans="1:15" x14ac:dyDescent="0.2">
      <c r="A269" s="4"/>
      <c r="G269" s="4"/>
      <c r="K269" s="4"/>
      <c r="L269" s="5"/>
      <c r="O269" s="4"/>
    </row>
    <row r="270" spans="1:15" x14ac:dyDescent="0.2">
      <c r="A270" s="4"/>
      <c r="G270" s="4"/>
      <c r="K270" s="4"/>
      <c r="L270" s="5"/>
      <c r="O270" s="4"/>
    </row>
    <row r="271" spans="1:15" x14ac:dyDescent="0.2">
      <c r="G271" s="4"/>
      <c r="O271" s="4"/>
    </row>
    <row r="272" spans="1:15" x14ac:dyDescent="0.2">
      <c r="G272" s="4"/>
      <c r="O272" s="4"/>
    </row>
    <row r="273" spans="7:15" x14ac:dyDescent="0.2">
      <c r="G273" s="4"/>
      <c r="O273" s="4"/>
    </row>
    <row r="274" spans="7:15" x14ac:dyDescent="0.2">
      <c r="G274" s="4"/>
      <c r="O274" s="4"/>
    </row>
    <row r="275" spans="7:15" x14ac:dyDescent="0.2">
      <c r="G275" s="4"/>
      <c r="O275" s="4"/>
    </row>
    <row r="276" spans="7:15" x14ac:dyDescent="0.2">
      <c r="G276" s="4"/>
      <c r="O276" s="4"/>
    </row>
    <row r="277" spans="7:15" x14ac:dyDescent="0.2">
      <c r="G277" s="4"/>
      <c r="O277" s="4"/>
    </row>
    <row r="278" spans="7:15" x14ac:dyDescent="0.2">
      <c r="G278" s="4"/>
      <c r="O278" s="4"/>
    </row>
    <row r="279" spans="7:15" x14ac:dyDescent="0.2">
      <c r="O279" s="4"/>
    </row>
    <row r="280" spans="7:15" x14ac:dyDescent="0.2">
      <c r="O280" s="4"/>
    </row>
    <row r="281" spans="7:15" x14ac:dyDescent="0.2">
      <c r="O281" s="4"/>
    </row>
    <row r="282" spans="7:15" x14ac:dyDescent="0.2">
      <c r="O282" s="4"/>
    </row>
    <row r="283" spans="7:15" x14ac:dyDescent="0.2">
      <c r="O283" s="4"/>
    </row>
    <row r="284" spans="7:15" x14ac:dyDescent="0.2">
      <c r="O284" s="4"/>
    </row>
    <row r="285" spans="7:15" x14ac:dyDescent="0.2">
      <c r="O285" s="4"/>
    </row>
    <row r="286" spans="7:15" x14ac:dyDescent="0.2">
      <c r="O286" s="4"/>
    </row>
    <row r="287" spans="7:15" x14ac:dyDescent="0.2">
      <c r="O287" s="4"/>
    </row>
    <row r="288" spans="7:15" x14ac:dyDescent="0.2">
      <c r="O288" s="4"/>
    </row>
    <row r="289" spans="15:15" x14ac:dyDescent="0.2">
      <c r="O289" s="4"/>
    </row>
    <row r="290" spans="15:15" x14ac:dyDescent="0.2">
      <c r="O290" s="4"/>
    </row>
    <row r="291" spans="15:15" x14ac:dyDescent="0.2">
      <c r="O291" s="4"/>
    </row>
    <row r="292" spans="15:15" x14ac:dyDescent="0.2">
      <c r="O292" s="4"/>
    </row>
    <row r="293" spans="15:15" x14ac:dyDescent="0.2">
      <c r="O293" s="4"/>
    </row>
    <row r="294" spans="15:15" x14ac:dyDescent="0.2">
      <c r="O294" s="4"/>
    </row>
    <row r="295" spans="15:15" x14ac:dyDescent="0.2">
      <c r="O295" s="4"/>
    </row>
    <row r="296" spans="15:15" x14ac:dyDescent="0.2">
      <c r="O296" s="4"/>
    </row>
    <row r="297" spans="15:15" x14ac:dyDescent="0.2">
      <c r="O297" s="4"/>
    </row>
    <row r="298" spans="15:15" x14ac:dyDescent="0.2">
      <c r="O298" s="4"/>
    </row>
    <row r="299" spans="15:15" x14ac:dyDescent="0.2">
      <c r="O299" s="4"/>
    </row>
    <row r="300" spans="15:15" x14ac:dyDescent="0.2">
      <c r="O300" s="4"/>
    </row>
    <row r="301" spans="15:15" x14ac:dyDescent="0.2">
      <c r="O301" s="4"/>
    </row>
    <row r="302" spans="15:15" x14ac:dyDescent="0.2">
      <c r="O302" s="4"/>
    </row>
    <row r="303" spans="15:15" x14ac:dyDescent="0.2">
      <c r="O303" s="4"/>
    </row>
    <row r="304" spans="15:15" x14ac:dyDescent="0.2">
      <c r="O304" s="4"/>
    </row>
    <row r="305" spans="15:15" x14ac:dyDescent="0.2">
      <c r="O305" s="4"/>
    </row>
    <row r="306" spans="15:15" x14ac:dyDescent="0.2">
      <c r="O306" s="4"/>
    </row>
    <row r="307" spans="15:15" x14ac:dyDescent="0.2">
      <c r="O307" s="4"/>
    </row>
    <row r="308" spans="15:15" x14ac:dyDescent="0.2">
      <c r="O308" s="4"/>
    </row>
    <row r="309" spans="15:15" x14ac:dyDescent="0.2">
      <c r="O309" s="4"/>
    </row>
    <row r="310" spans="15:15" x14ac:dyDescent="0.2">
      <c r="O310" s="4"/>
    </row>
    <row r="311" spans="15:15" x14ac:dyDescent="0.2">
      <c r="O311" s="4"/>
    </row>
    <row r="312" spans="15:15" x14ac:dyDescent="0.2">
      <c r="O312" s="4"/>
    </row>
    <row r="313" spans="15:15" x14ac:dyDescent="0.2">
      <c r="O313" s="4"/>
    </row>
    <row r="314" spans="15:15" x14ac:dyDescent="0.2">
      <c r="O314" s="4"/>
    </row>
    <row r="315" spans="15:15" x14ac:dyDescent="0.2">
      <c r="O315" s="4"/>
    </row>
    <row r="316" spans="15:15" x14ac:dyDescent="0.2">
      <c r="O316" s="4"/>
    </row>
    <row r="317" spans="15:15" x14ac:dyDescent="0.2">
      <c r="O317" s="4"/>
    </row>
    <row r="318" spans="15:15" x14ac:dyDescent="0.2">
      <c r="O318" s="4"/>
    </row>
    <row r="319" spans="15:15" x14ac:dyDescent="0.2">
      <c r="O319" s="4"/>
    </row>
    <row r="320" spans="15:15" x14ac:dyDescent="0.2">
      <c r="O320" s="4"/>
    </row>
    <row r="321" spans="15:15" x14ac:dyDescent="0.2">
      <c r="O321" s="4"/>
    </row>
    <row r="322" spans="15:15" x14ac:dyDescent="0.2">
      <c r="O322" s="4"/>
    </row>
    <row r="323" spans="15:15" x14ac:dyDescent="0.2">
      <c r="O323" s="4"/>
    </row>
    <row r="324" spans="15:15" x14ac:dyDescent="0.2">
      <c r="O324" s="4"/>
    </row>
    <row r="325" spans="15:15" x14ac:dyDescent="0.2">
      <c r="O325" s="4"/>
    </row>
    <row r="326" spans="15:15" x14ac:dyDescent="0.2">
      <c r="O326" s="4"/>
    </row>
    <row r="327" spans="15:15" x14ac:dyDescent="0.2">
      <c r="O327" s="4"/>
    </row>
    <row r="328" spans="15:15" x14ac:dyDescent="0.2">
      <c r="O328" s="4"/>
    </row>
    <row r="329" spans="15:15" x14ac:dyDescent="0.2">
      <c r="O329" s="4"/>
    </row>
    <row r="330" spans="15:15" x14ac:dyDescent="0.2">
      <c r="O330" s="4"/>
    </row>
    <row r="331" spans="15:15" x14ac:dyDescent="0.2">
      <c r="O331" s="4"/>
    </row>
    <row r="332" spans="15:15" x14ac:dyDescent="0.2">
      <c r="O332" s="4"/>
    </row>
    <row r="333" spans="15:15" x14ac:dyDescent="0.2">
      <c r="O333" s="4"/>
    </row>
    <row r="334" spans="15:15" x14ac:dyDescent="0.2">
      <c r="O334" s="4"/>
    </row>
    <row r="335" spans="15:15" x14ac:dyDescent="0.2">
      <c r="O335" s="4"/>
    </row>
    <row r="336" spans="15:15" x14ac:dyDescent="0.2">
      <c r="O336" s="4"/>
    </row>
    <row r="337" spans="15:15" x14ac:dyDescent="0.2">
      <c r="O337" s="4"/>
    </row>
    <row r="338" spans="15:15" x14ac:dyDescent="0.2">
      <c r="O338" s="4"/>
    </row>
    <row r="339" spans="15:15" x14ac:dyDescent="0.2">
      <c r="O339" s="4"/>
    </row>
    <row r="340" spans="15:15" x14ac:dyDescent="0.2">
      <c r="O340" s="4"/>
    </row>
    <row r="341" spans="15:15" x14ac:dyDescent="0.2">
      <c r="O341" s="4"/>
    </row>
    <row r="342" spans="15:15" x14ac:dyDescent="0.2">
      <c r="O342" s="4"/>
    </row>
    <row r="343" spans="15:15" x14ac:dyDescent="0.2">
      <c r="O343" s="4"/>
    </row>
    <row r="344" spans="15:15" x14ac:dyDescent="0.2">
      <c r="O344" s="4"/>
    </row>
    <row r="345" spans="15:15" x14ac:dyDescent="0.2">
      <c r="O345" s="4"/>
    </row>
    <row r="346" spans="15:15" x14ac:dyDescent="0.2">
      <c r="O346" s="4"/>
    </row>
    <row r="347" spans="15:15" x14ac:dyDescent="0.2">
      <c r="O347" s="4"/>
    </row>
    <row r="348" spans="15:15" x14ac:dyDescent="0.2">
      <c r="O348" s="4"/>
    </row>
    <row r="349" spans="15:15" x14ac:dyDescent="0.2">
      <c r="O349" s="4"/>
    </row>
    <row r="350" spans="15:15" x14ac:dyDescent="0.2">
      <c r="O350" s="4"/>
    </row>
    <row r="351" spans="15:15" x14ac:dyDescent="0.2">
      <c r="O351" s="4"/>
    </row>
    <row r="352" spans="15:15" x14ac:dyDescent="0.2">
      <c r="O352" s="4"/>
    </row>
    <row r="353" spans="15:15" x14ac:dyDescent="0.2">
      <c r="O353" s="4"/>
    </row>
    <row r="354" spans="15:15" x14ac:dyDescent="0.2">
      <c r="O354" s="4"/>
    </row>
    <row r="355" spans="15:15" x14ac:dyDescent="0.2">
      <c r="O355" s="4"/>
    </row>
    <row r="356" spans="15:15" x14ac:dyDescent="0.2">
      <c r="O356" s="4"/>
    </row>
    <row r="357" spans="15:15" x14ac:dyDescent="0.2">
      <c r="O357" s="4"/>
    </row>
    <row r="358" spans="15:15" x14ac:dyDescent="0.2">
      <c r="O358" s="4"/>
    </row>
    <row r="359" spans="15:15" x14ac:dyDescent="0.2">
      <c r="O359" s="4"/>
    </row>
    <row r="360" spans="15:15" x14ac:dyDescent="0.2">
      <c r="O360" s="4"/>
    </row>
    <row r="361" spans="15:15" x14ac:dyDescent="0.2">
      <c r="O361" s="4"/>
    </row>
    <row r="362" spans="15:15" x14ac:dyDescent="0.2">
      <c r="O362" s="4"/>
    </row>
    <row r="363" spans="15:15" x14ac:dyDescent="0.2">
      <c r="O363" s="4"/>
    </row>
    <row r="364" spans="15:15" x14ac:dyDescent="0.2">
      <c r="O364" s="4"/>
    </row>
    <row r="365" spans="15:15" x14ac:dyDescent="0.2">
      <c r="O365" s="4"/>
    </row>
    <row r="366" spans="15:15" x14ac:dyDescent="0.2">
      <c r="O366" s="4"/>
    </row>
    <row r="367" spans="15:15" x14ac:dyDescent="0.2">
      <c r="O367" s="4"/>
    </row>
    <row r="368" spans="15:15" x14ac:dyDescent="0.2">
      <c r="O368" s="4"/>
    </row>
    <row r="369" spans="15:15" x14ac:dyDescent="0.2">
      <c r="O369" s="4"/>
    </row>
    <row r="370" spans="15:15" x14ac:dyDescent="0.2">
      <c r="O370" s="4"/>
    </row>
    <row r="371" spans="15:15" x14ac:dyDescent="0.2">
      <c r="O371" s="4"/>
    </row>
    <row r="372" spans="15:15" x14ac:dyDescent="0.2">
      <c r="O372" s="4"/>
    </row>
    <row r="373" spans="15:15" x14ac:dyDescent="0.2">
      <c r="O373" s="4"/>
    </row>
    <row r="374" spans="15:15" x14ac:dyDescent="0.2">
      <c r="O374" s="4"/>
    </row>
    <row r="375" spans="15:15" x14ac:dyDescent="0.2">
      <c r="O375" s="4"/>
    </row>
    <row r="376" spans="15:15" x14ac:dyDescent="0.2">
      <c r="O376" s="4"/>
    </row>
    <row r="377" spans="15:15" x14ac:dyDescent="0.2">
      <c r="O377" s="4"/>
    </row>
    <row r="378" spans="15:15" x14ac:dyDescent="0.2">
      <c r="O378" s="4"/>
    </row>
    <row r="379" spans="15:15" x14ac:dyDescent="0.2">
      <c r="O379" s="4"/>
    </row>
    <row r="380" spans="15:15" x14ac:dyDescent="0.2">
      <c r="O380" s="4"/>
    </row>
    <row r="381" spans="15:15" x14ac:dyDescent="0.2">
      <c r="O381" s="4"/>
    </row>
    <row r="382" spans="15:15" x14ac:dyDescent="0.2">
      <c r="O382" s="4"/>
    </row>
    <row r="383" spans="15:15" x14ac:dyDescent="0.2">
      <c r="O383" s="4"/>
    </row>
    <row r="384" spans="15:15" x14ac:dyDescent="0.2">
      <c r="O384" s="4"/>
    </row>
    <row r="385" spans="15:15" x14ac:dyDescent="0.2">
      <c r="O385" s="4"/>
    </row>
    <row r="386" spans="15:15" x14ac:dyDescent="0.2">
      <c r="O386" s="4"/>
    </row>
    <row r="387" spans="15:15" x14ac:dyDescent="0.2">
      <c r="O387" s="4"/>
    </row>
    <row r="388" spans="15:15" x14ac:dyDescent="0.2">
      <c r="O388" s="4"/>
    </row>
    <row r="389" spans="15:15" x14ac:dyDescent="0.2">
      <c r="O389" s="4"/>
    </row>
    <row r="390" spans="15:15" x14ac:dyDescent="0.2">
      <c r="O390" s="4"/>
    </row>
    <row r="391" spans="15:15" x14ac:dyDescent="0.2">
      <c r="O391" s="4"/>
    </row>
    <row r="392" spans="15:15" x14ac:dyDescent="0.2">
      <c r="O392" s="4"/>
    </row>
    <row r="393" spans="15:15" x14ac:dyDescent="0.2">
      <c r="O393" s="4"/>
    </row>
    <row r="394" spans="15:15" x14ac:dyDescent="0.2">
      <c r="O394" s="4"/>
    </row>
    <row r="395" spans="15:15" x14ac:dyDescent="0.2">
      <c r="O395" s="4"/>
    </row>
    <row r="396" spans="15:15" x14ac:dyDescent="0.2">
      <c r="O396" s="4"/>
    </row>
    <row r="397" spans="15:15" x14ac:dyDescent="0.2">
      <c r="O397" s="4"/>
    </row>
    <row r="398" spans="15:15" x14ac:dyDescent="0.2">
      <c r="O398" s="4"/>
    </row>
    <row r="399" spans="15:15" x14ac:dyDescent="0.2">
      <c r="O399" s="4"/>
    </row>
    <row r="400" spans="15:15" x14ac:dyDescent="0.2">
      <c r="O400" s="4"/>
    </row>
    <row r="401" spans="15:15" x14ac:dyDescent="0.2">
      <c r="O401" s="4"/>
    </row>
    <row r="402" spans="15:15" x14ac:dyDescent="0.2">
      <c r="O402" s="4"/>
    </row>
    <row r="403" spans="15:15" x14ac:dyDescent="0.2">
      <c r="O403" s="4"/>
    </row>
    <row r="404" spans="15:15" x14ac:dyDescent="0.2">
      <c r="O404" s="4"/>
    </row>
    <row r="405" spans="15:15" x14ac:dyDescent="0.2">
      <c r="O405" s="4"/>
    </row>
    <row r="406" spans="15:15" x14ac:dyDescent="0.2">
      <c r="O406" s="4"/>
    </row>
    <row r="407" spans="15:15" x14ac:dyDescent="0.2">
      <c r="O407" s="4"/>
    </row>
    <row r="408" spans="15:15" x14ac:dyDescent="0.2">
      <c r="O408" s="4"/>
    </row>
    <row r="409" spans="15:15" x14ac:dyDescent="0.2">
      <c r="O409" s="4"/>
    </row>
    <row r="410" spans="15:15" x14ac:dyDescent="0.2">
      <c r="O410" s="4"/>
    </row>
    <row r="411" spans="15:15" x14ac:dyDescent="0.2">
      <c r="O411" s="4"/>
    </row>
    <row r="412" spans="15:15" x14ac:dyDescent="0.2">
      <c r="O412" s="4"/>
    </row>
    <row r="413" spans="15:15" x14ac:dyDescent="0.2">
      <c r="O413" s="4"/>
    </row>
    <row r="414" spans="15:15" x14ac:dyDescent="0.2">
      <c r="O414" s="4"/>
    </row>
    <row r="415" spans="15:15" x14ac:dyDescent="0.2">
      <c r="O415" s="4"/>
    </row>
    <row r="416" spans="15:15" x14ac:dyDescent="0.2">
      <c r="O416" s="4"/>
    </row>
    <row r="417" spans="15:15" x14ac:dyDescent="0.2">
      <c r="O417" s="4"/>
    </row>
    <row r="418" spans="15:15" x14ac:dyDescent="0.2">
      <c r="O418" s="4"/>
    </row>
    <row r="419" spans="15:15" x14ac:dyDescent="0.2">
      <c r="O419" s="4"/>
    </row>
    <row r="420" spans="15:15" x14ac:dyDescent="0.2">
      <c r="O420" s="4"/>
    </row>
    <row r="421" spans="15:15" x14ac:dyDescent="0.2">
      <c r="O421" s="4"/>
    </row>
    <row r="422" spans="15:15" x14ac:dyDescent="0.2">
      <c r="O422" s="4"/>
    </row>
    <row r="423" spans="15:15" x14ac:dyDescent="0.2">
      <c r="O423" s="4"/>
    </row>
    <row r="424" spans="15:15" x14ac:dyDescent="0.2">
      <c r="O424" s="4"/>
    </row>
    <row r="425" spans="15:15" x14ac:dyDescent="0.2">
      <c r="O425" s="4"/>
    </row>
    <row r="426" spans="15:15" x14ac:dyDescent="0.2">
      <c r="O426" s="4"/>
    </row>
    <row r="427" spans="15:15" x14ac:dyDescent="0.2">
      <c r="O427" s="4"/>
    </row>
    <row r="428" spans="15:15" x14ac:dyDescent="0.2">
      <c r="O428" s="4"/>
    </row>
    <row r="429" spans="15:15" x14ac:dyDescent="0.2">
      <c r="O429" s="4"/>
    </row>
    <row r="430" spans="15:15" x14ac:dyDescent="0.2">
      <c r="O430" s="4"/>
    </row>
    <row r="431" spans="15:15" x14ac:dyDescent="0.2">
      <c r="O431" s="4"/>
    </row>
    <row r="432" spans="15:15" x14ac:dyDescent="0.2">
      <c r="O432" s="4"/>
    </row>
    <row r="433" spans="15:15" x14ac:dyDescent="0.2">
      <c r="O433" s="4"/>
    </row>
    <row r="434" spans="15:15" x14ac:dyDescent="0.2">
      <c r="O434" s="4"/>
    </row>
    <row r="435" spans="15:15" x14ac:dyDescent="0.2">
      <c r="O435" s="4"/>
    </row>
    <row r="436" spans="15:15" x14ac:dyDescent="0.2">
      <c r="O436" s="4"/>
    </row>
    <row r="437" spans="15:15" x14ac:dyDescent="0.2">
      <c r="O437" s="4"/>
    </row>
    <row r="438" spans="15:15" x14ac:dyDescent="0.2">
      <c r="O438" s="4"/>
    </row>
    <row r="439" spans="15:15" x14ac:dyDescent="0.2">
      <c r="O439" s="4"/>
    </row>
    <row r="440" spans="15:15" x14ac:dyDescent="0.2">
      <c r="O440" s="4"/>
    </row>
    <row r="441" spans="15:15" x14ac:dyDescent="0.2">
      <c r="O441" s="4"/>
    </row>
    <row r="442" spans="15:15" x14ac:dyDescent="0.2">
      <c r="O442" s="4"/>
    </row>
    <row r="443" spans="15:15" x14ac:dyDescent="0.2">
      <c r="O443" s="4"/>
    </row>
    <row r="444" spans="15:15" x14ac:dyDescent="0.2">
      <c r="O444" s="4"/>
    </row>
    <row r="445" spans="15:15" x14ac:dyDescent="0.2">
      <c r="O445" s="4"/>
    </row>
    <row r="446" spans="15:15" x14ac:dyDescent="0.2">
      <c r="O446" s="4"/>
    </row>
    <row r="447" spans="15:15" x14ac:dyDescent="0.2">
      <c r="O447" s="4"/>
    </row>
    <row r="448" spans="15:15" x14ac:dyDescent="0.2">
      <c r="O448" s="4"/>
    </row>
    <row r="449" spans="15:15" x14ac:dyDescent="0.2">
      <c r="O449" s="4"/>
    </row>
    <row r="450" spans="15:15" x14ac:dyDescent="0.2">
      <c r="O450" s="4"/>
    </row>
    <row r="451" spans="15:15" x14ac:dyDescent="0.2">
      <c r="O451" s="4"/>
    </row>
    <row r="452" spans="15:15" x14ac:dyDescent="0.2">
      <c r="O452" s="4"/>
    </row>
    <row r="453" spans="15:15" x14ac:dyDescent="0.2">
      <c r="O453" s="4"/>
    </row>
    <row r="454" spans="15:15" x14ac:dyDescent="0.2">
      <c r="O454" s="4"/>
    </row>
    <row r="455" spans="15:15" x14ac:dyDescent="0.2">
      <c r="O455" s="4"/>
    </row>
    <row r="456" spans="15:15" x14ac:dyDescent="0.2">
      <c r="O456" s="4"/>
    </row>
    <row r="457" spans="15:15" x14ac:dyDescent="0.2">
      <c r="O457" s="4"/>
    </row>
    <row r="458" spans="15:15" x14ac:dyDescent="0.2">
      <c r="O458" s="4"/>
    </row>
    <row r="459" spans="15:15" x14ac:dyDescent="0.2">
      <c r="O459" s="4"/>
    </row>
    <row r="460" spans="15:15" x14ac:dyDescent="0.2">
      <c r="O460" s="4"/>
    </row>
    <row r="461" spans="15:15" x14ac:dyDescent="0.2">
      <c r="O461" s="4"/>
    </row>
    <row r="462" spans="15:15" x14ac:dyDescent="0.2">
      <c r="O462" s="4"/>
    </row>
    <row r="463" spans="15:15" x14ac:dyDescent="0.2">
      <c r="O463" s="4"/>
    </row>
    <row r="464" spans="15:15" x14ac:dyDescent="0.2">
      <c r="O464" s="4"/>
    </row>
    <row r="465" spans="15:15" x14ac:dyDescent="0.2">
      <c r="O465" s="4"/>
    </row>
    <row r="466" spans="15:15" x14ac:dyDescent="0.2">
      <c r="O466" s="4"/>
    </row>
    <row r="467" spans="15:15" x14ac:dyDescent="0.2">
      <c r="O467" s="4"/>
    </row>
    <row r="468" spans="15:15" x14ac:dyDescent="0.2">
      <c r="O468" s="4"/>
    </row>
    <row r="469" spans="15:15" x14ac:dyDescent="0.2">
      <c r="O469" s="4"/>
    </row>
    <row r="470" spans="15:15" x14ac:dyDescent="0.2">
      <c r="O470" s="4"/>
    </row>
    <row r="471" spans="15:15" x14ac:dyDescent="0.2">
      <c r="O471" s="4"/>
    </row>
    <row r="472" spans="15:15" x14ac:dyDescent="0.2">
      <c r="O472" s="4"/>
    </row>
    <row r="473" spans="15:15" x14ac:dyDescent="0.2">
      <c r="O473" s="4"/>
    </row>
    <row r="474" spans="15:15" x14ac:dyDescent="0.2">
      <c r="O474" s="4"/>
    </row>
    <row r="475" spans="15:15" x14ac:dyDescent="0.2">
      <c r="O475" s="4"/>
    </row>
    <row r="476" spans="15:15" x14ac:dyDescent="0.2">
      <c r="O476" s="4"/>
    </row>
    <row r="477" spans="15:15" x14ac:dyDescent="0.2">
      <c r="O477" s="4"/>
    </row>
    <row r="478" spans="15:15" x14ac:dyDescent="0.2">
      <c r="O478" s="4"/>
    </row>
    <row r="479" spans="15:15" x14ac:dyDescent="0.2">
      <c r="O479" s="4"/>
    </row>
    <row r="480" spans="15:15" x14ac:dyDescent="0.2">
      <c r="O480" s="4"/>
    </row>
    <row r="481" spans="15:15" x14ac:dyDescent="0.2">
      <c r="O481" s="4"/>
    </row>
    <row r="482" spans="15:15" x14ac:dyDescent="0.2">
      <c r="O482" s="4"/>
    </row>
    <row r="483" spans="15:15" x14ac:dyDescent="0.2">
      <c r="O483" s="4"/>
    </row>
    <row r="484" spans="15:15" x14ac:dyDescent="0.2">
      <c r="O484" s="4"/>
    </row>
    <row r="485" spans="15:15" x14ac:dyDescent="0.2">
      <c r="O485" s="4"/>
    </row>
    <row r="486" spans="15:15" x14ac:dyDescent="0.2">
      <c r="O486" s="4"/>
    </row>
    <row r="487" spans="15:15" x14ac:dyDescent="0.2">
      <c r="O487" s="4"/>
    </row>
    <row r="488" spans="15:15" x14ac:dyDescent="0.2">
      <c r="O488" s="4"/>
    </row>
    <row r="489" spans="15:15" x14ac:dyDescent="0.2">
      <c r="O489" s="4"/>
    </row>
    <row r="490" spans="15:15" x14ac:dyDescent="0.2">
      <c r="O490" s="4"/>
    </row>
    <row r="491" spans="15:15" x14ac:dyDescent="0.2">
      <c r="O491" s="4"/>
    </row>
    <row r="492" spans="15:15" x14ac:dyDescent="0.2">
      <c r="O492" s="4"/>
    </row>
    <row r="493" spans="15:15" x14ac:dyDescent="0.2">
      <c r="O493" s="4"/>
    </row>
    <row r="494" spans="15:15" x14ac:dyDescent="0.2">
      <c r="O494" s="4"/>
    </row>
    <row r="495" spans="15:15" x14ac:dyDescent="0.2">
      <c r="O495" s="4"/>
    </row>
    <row r="496" spans="15:15" x14ac:dyDescent="0.2">
      <c r="O496" s="4"/>
    </row>
    <row r="497" spans="15:15" x14ac:dyDescent="0.2">
      <c r="O497" s="4"/>
    </row>
    <row r="498" spans="15:15" x14ac:dyDescent="0.2">
      <c r="O498" s="4"/>
    </row>
    <row r="499" spans="15:15" x14ac:dyDescent="0.2">
      <c r="O499" s="4"/>
    </row>
    <row r="500" spans="15:15" x14ac:dyDescent="0.2">
      <c r="O500" s="4"/>
    </row>
    <row r="501" spans="15:15" x14ac:dyDescent="0.2">
      <c r="O501" s="4"/>
    </row>
    <row r="502" spans="15:15" x14ac:dyDescent="0.2">
      <c r="O502" s="4"/>
    </row>
    <row r="503" spans="15:15" x14ac:dyDescent="0.2">
      <c r="O503" s="4"/>
    </row>
    <row r="504" spans="15:15" x14ac:dyDescent="0.2">
      <c r="O504" s="4"/>
    </row>
    <row r="505" spans="15:15" x14ac:dyDescent="0.2">
      <c r="O505" s="4"/>
    </row>
    <row r="506" spans="15:15" x14ac:dyDescent="0.2">
      <c r="O506" s="4"/>
    </row>
    <row r="507" spans="15:15" x14ac:dyDescent="0.2">
      <c r="O507" s="4"/>
    </row>
    <row r="508" spans="15:15" x14ac:dyDescent="0.2">
      <c r="O508" s="4"/>
    </row>
    <row r="509" spans="15:15" x14ac:dyDescent="0.2">
      <c r="O509" s="4"/>
    </row>
    <row r="510" spans="15:15" x14ac:dyDescent="0.2">
      <c r="O510" s="4"/>
    </row>
    <row r="511" spans="15:15" x14ac:dyDescent="0.2">
      <c r="O511" s="4"/>
    </row>
    <row r="512" spans="15:15" x14ac:dyDescent="0.2">
      <c r="O512" s="4"/>
    </row>
    <row r="513" spans="15:15" x14ac:dyDescent="0.2">
      <c r="O513" s="4"/>
    </row>
    <row r="514" spans="15:15" x14ac:dyDescent="0.2">
      <c r="O514" s="4"/>
    </row>
    <row r="515" spans="15:15" x14ac:dyDescent="0.2">
      <c r="O515" s="4"/>
    </row>
    <row r="516" spans="15:15" x14ac:dyDescent="0.2">
      <c r="O516" s="4"/>
    </row>
    <row r="517" spans="15:15" x14ac:dyDescent="0.2">
      <c r="O517" s="4"/>
    </row>
    <row r="518" spans="15:15" x14ac:dyDescent="0.2">
      <c r="O518" s="4"/>
    </row>
    <row r="519" spans="15:15" x14ac:dyDescent="0.2">
      <c r="O519" s="4"/>
    </row>
    <row r="520" spans="15:15" x14ac:dyDescent="0.2">
      <c r="O520" s="4"/>
    </row>
    <row r="521" spans="15:15" x14ac:dyDescent="0.2">
      <c r="O521" s="4"/>
    </row>
    <row r="522" spans="15:15" x14ac:dyDescent="0.2">
      <c r="O522" s="4"/>
    </row>
    <row r="523" spans="15:15" x14ac:dyDescent="0.2">
      <c r="O523" s="4"/>
    </row>
    <row r="524" spans="15:15" x14ac:dyDescent="0.2">
      <c r="O524" s="4"/>
    </row>
    <row r="525" spans="15:15" x14ac:dyDescent="0.2">
      <c r="O525" s="4"/>
    </row>
    <row r="526" spans="15:15" x14ac:dyDescent="0.2">
      <c r="O526" s="4"/>
    </row>
    <row r="527" spans="15:15" x14ac:dyDescent="0.2">
      <c r="O527" s="4"/>
    </row>
    <row r="528" spans="15:15" x14ac:dyDescent="0.2">
      <c r="O528" s="4"/>
    </row>
    <row r="529" spans="15:15" x14ac:dyDescent="0.2">
      <c r="O529" s="4"/>
    </row>
    <row r="530" spans="15:15" x14ac:dyDescent="0.2">
      <c r="O530" s="4"/>
    </row>
    <row r="531" spans="15:15" x14ac:dyDescent="0.2">
      <c r="O531" s="4"/>
    </row>
    <row r="532" spans="15:15" x14ac:dyDescent="0.2">
      <c r="O532" s="4"/>
    </row>
    <row r="533" spans="15:15" x14ac:dyDescent="0.2">
      <c r="O533" s="4"/>
    </row>
    <row r="534" spans="15:15" x14ac:dyDescent="0.2">
      <c r="O534" s="4"/>
    </row>
    <row r="535" spans="15:15" x14ac:dyDescent="0.2">
      <c r="O535" s="4"/>
    </row>
    <row r="536" spans="15:15" x14ac:dyDescent="0.2">
      <c r="O536" s="4"/>
    </row>
    <row r="537" spans="15:15" x14ac:dyDescent="0.2">
      <c r="O537" s="4"/>
    </row>
    <row r="538" spans="15:15" x14ac:dyDescent="0.2">
      <c r="O538" s="4"/>
    </row>
    <row r="539" spans="15:15" x14ac:dyDescent="0.2">
      <c r="O539" s="4"/>
    </row>
    <row r="540" spans="15:15" x14ac:dyDescent="0.2">
      <c r="O540" s="4"/>
    </row>
    <row r="541" spans="15:15" x14ac:dyDescent="0.2">
      <c r="O541" s="4"/>
    </row>
    <row r="542" spans="15:15" x14ac:dyDescent="0.2">
      <c r="O542" s="4"/>
    </row>
    <row r="543" spans="15:15" x14ac:dyDescent="0.2">
      <c r="O543" s="4"/>
    </row>
    <row r="544" spans="15:15" x14ac:dyDescent="0.2">
      <c r="O544" s="4"/>
    </row>
    <row r="545" spans="15:15" x14ac:dyDescent="0.2">
      <c r="O545" s="4"/>
    </row>
    <row r="546" spans="15:15" x14ac:dyDescent="0.2">
      <c r="O546" s="4"/>
    </row>
    <row r="547" spans="15:15" x14ac:dyDescent="0.2">
      <c r="O547" s="4"/>
    </row>
    <row r="548" spans="15:15" x14ac:dyDescent="0.2">
      <c r="O548" s="4"/>
    </row>
    <row r="549" spans="15:15" x14ac:dyDescent="0.2">
      <c r="O549" s="4"/>
    </row>
    <row r="550" spans="15:15" x14ac:dyDescent="0.2">
      <c r="O550" s="4"/>
    </row>
    <row r="551" spans="15:15" x14ac:dyDescent="0.2">
      <c r="O551" s="4"/>
    </row>
    <row r="552" spans="15:15" x14ac:dyDescent="0.2">
      <c r="O552" s="4"/>
    </row>
    <row r="553" spans="15:15" x14ac:dyDescent="0.2">
      <c r="O553" s="4"/>
    </row>
    <row r="554" spans="15:15" x14ac:dyDescent="0.2">
      <c r="O554" s="4"/>
    </row>
    <row r="555" spans="15:15" x14ac:dyDescent="0.2">
      <c r="O555" s="4"/>
    </row>
    <row r="556" spans="15:15" x14ac:dyDescent="0.2">
      <c r="O556" s="4"/>
    </row>
    <row r="557" spans="15:15" x14ac:dyDescent="0.2">
      <c r="O557" s="4"/>
    </row>
    <row r="558" spans="15:15" x14ac:dyDescent="0.2">
      <c r="O558" s="4"/>
    </row>
    <row r="559" spans="15:15" x14ac:dyDescent="0.2">
      <c r="O559" s="4"/>
    </row>
    <row r="560" spans="15:15" x14ac:dyDescent="0.2">
      <c r="O560" s="4"/>
    </row>
    <row r="561" spans="15:15" x14ac:dyDescent="0.2">
      <c r="O561" s="4"/>
    </row>
    <row r="562" spans="15:15" x14ac:dyDescent="0.2">
      <c r="O562" s="4"/>
    </row>
    <row r="563" spans="15:15" x14ac:dyDescent="0.2">
      <c r="O563" s="4"/>
    </row>
    <row r="564" spans="15:15" x14ac:dyDescent="0.2">
      <c r="O564" s="4"/>
    </row>
    <row r="565" spans="15:15" x14ac:dyDescent="0.2">
      <c r="O565" s="4"/>
    </row>
    <row r="566" spans="15:15" x14ac:dyDescent="0.2">
      <c r="O566" s="4"/>
    </row>
    <row r="567" spans="15:15" x14ac:dyDescent="0.2">
      <c r="O567" s="4"/>
    </row>
    <row r="568" spans="15:15" x14ac:dyDescent="0.2">
      <c r="O568" s="4"/>
    </row>
    <row r="569" spans="15:15" x14ac:dyDescent="0.2">
      <c r="O569" s="4"/>
    </row>
    <row r="570" spans="15:15" x14ac:dyDescent="0.2">
      <c r="O570" s="4"/>
    </row>
    <row r="571" spans="15:15" x14ac:dyDescent="0.2">
      <c r="O571" s="4"/>
    </row>
    <row r="572" spans="15:15" x14ac:dyDescent="0.2">
      <c r="O572" s="4"/>
    </row>
    <row r="573" spans="15:15" x14ac:dyDescent="0.2">
      <c r="O573" s="4"/>
    </row>
    <row r="574" spans="15:15" x14ac:dyDescent="0.2">
      <c r="O574" s="4"/>
    </row>
    <row r="575" spans="15:15" x14ac:dyDescent="0.2">
      <c r="O575" s="4"/>
    </row>
    <row r="576" spans="15:15" x14ac:dyDescent="0.2">
      <c r="O576" s="4"/>
    </row>
    <row r="577" spans="15:15" x14ac:dyDescent="0.2">
      <c r="O577" s="4"/>
    </row>
    <row r="578" spans="15:15" x14ac:dyDescent="0.2">
      <c r="O578" s="4"/>
    </row>
    <row r="579" spans="15:15" x14ac:dyDescent="0.2">
      <c r="O579" s="4"/>
    </row>
    <row r="580" spans="15:15" x14ac:dyDescent="0.2">
      <c r="O580" s="4"/>
    </row>
    <row r="581" spans="15:15" x14ac:dyDescent="0.2">
      <c r="O581" s="4"/>
    </row>
    <row r="582" spans="15:15" x14ac:dyDescent="0.2">
      <c r="O582" s="4"/>
    </row>
    <row r="583" spans="15:15" x14ac:dyDescent="0.2">
      <c r="O583" s="4"/>
    </row>
    <row r="584" spans="15:15" x14ac:dyDescent="0.2">
      <c r="O584" s="4"/>
    </row>
    <row r="585" spans="15:15" x14ac:dyDescent="0.2">
      <c r="O585" s="4"/>
    </row>
    <row r="586" spans="15:15" x14ac:dyDescent="0.2">
      <c r="O586" s="4"/>
    </row>
    <row r="587" spans="15:15" x14ac:dyDescent="0.2">
      <c r="O587" s="4"/>
    </row>
    <row r="588" spans="15:15" x14ac:dyDescent="0.2">
      <c r="O588" s="4"/>
    </row>
    <row r="589" spans="15:15" x14ac:dyDescent="0.2">
      <c r="O589" s="4"/>
    </row>
    <row r="590" spans="15:15" x14ac:dyDescent="0.2">
      <c r="O590" s="4"/>
    </row>
    <row r="591" spans="15:15" x14ac:dyDescent="0.2">
      <c r="O591" s="4"/>
    </row>
    <row r="592" spans="15:15" x14ac:dyDescent="0.2">
      <c r="O592" s="4"/>
    </row>
    <row r="593" spans="15:15" x14ac:dyDescent="0.2">
      <c r="O593" s="4"/>
    </row>
    <row r="594" spans="15:15" x14ac:dyDescent="0.2">
      <c r="O594" s="4"/>
    </row>
    <row r="595" spans="15:15" x14ac:dyDescent="0.2">
      <c r="O595" s="4"/>
    </row>
    <row r="596" spans="15:15" x14ac:dyDescent="0.2">
      <c r="O596" s="4"/>
    </row>
    <row r="597" spans="15:15" x14ac:dyDescent="0.2">
      <c r="O597" s="4"/>
    </row>
    <row r="598" spans="15:15" x14ac:dyDescent="0.2">
      <c r="O598" s="4"/>
    </row>
    <row r="599" spans="15:15" x14ac:dyDescent="0.2">
      <c r="O599" s="4"/>
    </row>
    <row r="600" spans="15:15" x14ac:dyDescent="0.2">
      <c r="O600" s="4"/>
    </row>
    <row r="601" spans="15:15" x14ac:dyDescent="0.2">
      <c r="O601" s="4"/>
    </row>
    <row r="602" spans="15:15" x14ac:dyDescent="0.2">
      <c r="O602" s="4"/>
    </row>
    <row r="603" spans="15:15" x14ac:dyDescent="0.2">
      <c r="O603" s="4"/>
    </row>
    <row r="604" spans="15:15" x14ac:dyDescent="0.2">
      <c r="O604" s="4"/>
    </row>
    <row r="605" spans="15:15" x14ac:dyDescent="0.2">
      <c r="O605" s="4"/>
    </row>
    <row r="606" spans="15:15" x14ac:dyDescent="0.2">
      <c r="O606" s="4"/>
    </row>
    <row r="607" spans="15:15" x14ac:dyDescent="0.2">
      <c r="O607" s="4"/>
    </row>
    <row r="608" spans="15:15" x14ac:dyDescent="0.2">
      <c r="O608" s="4"/>
    </row>
    <row r="609" spans="15:15" x14ac:dyDescent="0.2">
      <c r="O609" s="4"/>
    </row>
    <row r="610" spans="15:15" x14ac:dyDescent="0.2">
      <c r="O610" s="4"/>
    </row>
    <row r="611" spans="15:15" x14ac:dyDescent="0.2">
      <c r="O611" s="4"/>
    </row>
    <row r="612" spans="15:15" x14ac:dyDescent="0.2">
      <c r="O612" s="4"/>
    </row>
    <row r="613" spans="15:15" x14ac:dyDescent="0.2">
      <c r="O613" s="4"/>
    </row>
    <row r="614" spans="15:15" x14ac:dyDescent="0.2">
      <c r="O614" s="4"/>
    </row>
    <row r="615" spans="15:15" x14ac:dyDescent="0.2">
      <c r="O615" s="4"/>
    </row>
    <row r="616" spans="15:15" x14ac:dyDescent="0.2">
      <c r="O616" s="4"/>
    </row>
    <row r="617" spans="15:15" x14ac:dyDescent="0.2">
      <c r="O617" s="4"/>
    </row>
    <row r="618" spans="15:15" x14ac:dyDescent="0.2">
      <c r="O618" s="4"/>
    </row>
    <row r="619" spans="15:15" x14ac:dyDescent="0.2">
      <c r="O619" s="4"/>
    </row>
    <row r="620" spans="15:15" x14ac:dyDescent="0.2">
      <c r="O620" s="4"/>
    </row>
    <row r="621" spans="15:15" x14ac:dyDescent="0.2">
      <c r="O621" s="4"/>
    </row>
    <row r="622" spans="15:15" x14ac:dyDescent="0.2">
      <c r="O622" s="4"/>
    </row>
    <row r="623" spans="15:15" x14ac:dyDescent="0.2">
      <c r="O623" s="4"/>
    </row>
    <row r="624" spans="15:15" x14ac:dyDescent="0.2">
      <c r="O624" s="4"/>
    </row>
    <row r="625" spans="15:15" x14ac:dyDescent="0.2">
      <c r="O625" s="4"/>
    </row>
    <row r="626" spans="15:15" x14ac:dyDescent="0.2">
      <c r="O626" s="4"/>
    </row>
    <row r="627" spans="15:15" x14ac:dyDescent="0.2">
      <c r="O627" s="4"/>
    </row>
    <row r="628" spans="15:15" x14ac:dyDescent="0.2">
      <c r="O628" s="4"/>
    </row>
    <row r="629" spans="15:15" x14ac:dyDescent="0.2">
      <c r="O629" s="4"/>
    </row>
    <row r="630" spans="15:15" x14ac:dyDescent="0.2">
      <c r="O630" s="4"/>
    </row>
    <row r="631" spans="15:15" x14ac:dyDescent="0.2">
      <c r="O631" s="4"/>
    </row>
    <row r="632" spans="15:15" x14ac:dyDescent="0.2">
      <c r="O632" s="4"/>
    </row>
    <row r="633" spans="15:15" x14ac:dyDescent="0.2">
      <c r="O633" s="4"/>
    </row>
    <row r="634" spans="15:15" x14ac:dyDescent="0.2">
      <c r="O634" s="4"/>
    </row>
    <row r="635" spans="15:15" x14ac:dyDescent="0.2">
      <c r="O635" s="4"/>
    </row>
    <row r="636" spans="15:15" x14ac:dyDescent="0.2">
      <c r="O636" s="4"/>
    </row>
    <row r="637" spans="15:15" x14ac:dyDescent="0.2">
      <c r="O637" s="4"/>
    </row>
    <row r="638" spans="15:15" x14ac:dyDescent="0.2">
      <c r="O638" s="4"/>
    </row>
    <row r="639" spans="15:15" x14ac:dyDescent="0.2">
      <c r="O639" s="4"/>
    </row>
    <row r="640" spans="15:15" x14ac:dyDescent="0.2">
      <c r="O640" s="4"/>
    </row>
    <row r="641" spans="15:15" x14ac:dyDescent="0.2">
      <c r="O641" s="4"/>
    </row>
    <row r="642" spans="15:15" x14ac:dyDescent="0.2">
      <c r="O642" s="4"/>
    </row>
    <row r="643" spans="15:15" x14ac:dyDescent="0.2">
      <c r="O643" s="4"/>
    </row>
    <row r="644" spans="15:15" x14ac:dyDescent="0.2">
      <c r="O644" s="4"/>
    </row>
    <row r="645" spans="15:15" x14ac:dyDescent="0.2">
      <c r="O645" s="4"/>
    </row>
    <row r="646" spans="15:15" x14ac:dyDescent="0.2">
      <c r="O646" s="4"/>
    </row>
    <row r="647" spans="15:15" x14ac:dyDescent="0.2">
      <c r="O647" s="4"/>
    </row>
    <row r="648" spans="15:15" x14ac:dyDescent="0.2">
      <c r="O648" s="4"/>
    </row>
    <row r="649" spans="15:15" x14ac:dyDescent="0.2">
      <c r="O649" s="4"/>
    </row>
    <row r="650" spans="15:15" x14ac:dyDescent="0.2">
      <c r="O650" s="4"/>
    </row>
    <row r="651" spans="15:15" x14ac:dyDescent="0.2">
      <c r="O651" s="4"/>
    </row>
    <row r="652" spans="15:15" x14ac:dyDescent="0.2">
      <c r="O652" s="4"/>
    </row>
    <row r="653" spans="15:15" x14ac:dyDescent="0.2">
      <c r="O653" s="4"/>
    </row>
    <row r="654" spans="15:15" x14ac:dyDescent="0.2">
      <c r="O654" s="4"/>
    </row>
    <row r="655" spans="15:15" x14ac:dyDescent="0.2">
      <c r="O655" s="4"/>
    </row>
    <row r="656" spans="15:15" x14ac:dyDescent="0.2">
      <c r="O656" s="4"/>
    </row>
    <row r="657" spans="15:15" x14ac:dyDescent="0.2">
      <c r="O657" s="4"/>
    </row>
    <row r="658" spans="15:15" x14ac:dyDescent="0.2">
      <c r="O658" s="4"/>
    </row>
    <row r="659" spans="15:15" x14ac:dyDescent="0.2">
      <c r="O659" s="4"/>
    </row>
    <row r="660" spans="15:15" x14ac:dyDescent="0.2">
      <c r="O660" s="4"/>
    </row>
    <row r="661" spans="15:15" x14ac:dyDescent="0.2">
      <c r="O661" s="4"/>
    </row>
    <row r="662" spans="15:15" x14ac:dyDescent="0.2">
      <c r="O662" s="4"/>
    </row>
    <row r="663" spans="15:15" x14ac:dyDescent="0.2">
      <c r="O663" s="4"/>
    </row>
    <row r="664" spans="15:15" x14ac:dyDescent="0.2">
      <c r="O664" s="4"/>
    </row>
    <row r="665" spans="15:15" x14ac:dyDescent="0.2">
      <c r="O665" s="4"/>
    </row>
    <row r="666" spans="15:15" x14ac:dyDescent="0.2">
      <c r="O666" s="4"/>
    </row>
    <row r="667" spans="15:15" x14ac:dyDescent="0.2">
      <c r="O667" s="4"/>
    </row>
    <row r="668" spans="15:15" x14ac:dyDescent="0.2">
      <c r="O668" s="4"/>
    </row>
    <row r="669" spans="15:15" x14ac:dyDescent="0.2">
      <c r="O669" s="4"/>
    </row>
    <row r="670" spans="15:15" x14ac:dyDescent="0.2">
      <c r="O670" s="4"/>
    </row>
    <row r="671" spans="15:15" x14ac:dyDescent="0.2">
      <c r="O671" s="4"/>
    </row>
    <row r="672" spans="15:15" x14ac:dyDescent="0.2">
      <c r="O672" s="4"/>
    </row>
    <row r="673" spans="15:15" x14ac:dyDescent="0.2">
      <c r="O673" s="4"/>
    </row>
    <row r="674" spans="15:15" x14ac:dyDescent="0.2">
      <c r="O674" s="4"/>
    </row>
    <row r="675" spans="15:15" x14ac:dyDescent="0.2">
      <c r="O675" s="4"/>
    </row>
    <row r="676" spans="15:15" x14ac:dyDescent="0.2">
      <c r="O676" s="4"/>
    </row>
    <row r="677" spans="15:15" x14ac:dyDescent="0.2">
      <c r="O677" s="4"/>
    </row>
    <row r="678" spans="15:15" x14ac:dyDescent="0.2">
      <c r="O678" s="4"/>
    </row>
    <row r="679" spans="15:15" x14ac:dyDescent="0.2">
      <c r="O679" s="4"/>
    </row>
    <row r="680" spans="15:15" x14ac:dyDescent="0.2">
      <c r="O680" s="4"/>
    </row>
    <row r="681" spans="15:15" x14ac:dyDescent="0.2">
      <c r="O681" s="4"/>
    </row>
    <row r="682" spans="15:15" x14ac:dyDescent="0.2">
      <c r="O682" s="4"/>
    </row>
    <row r="683" spans="15:15" x14ac:dyDescent="0.2">
      <c r="O683" s="4"/>
    </row>
    <row r="684" spans="15:15" x14ac:dyDescent="0.2">
      <c r="O684" s="4"/>
    </row>
    <row r="685" spans="15:15" x14ac:dyDescent="0.2">
      <c r="O685" s="4"/>
    </row>
    <row r="686" spans="15:15" x14ac:dyDescent="0.2">
      <c r="O686" s="4"/>
    </row>
    <row r="687" spans="15:15" x14ac:dyDescent="0.2">
      <c r="O687" s="4"/>
    </row>
    <row r="688" spans="15:15" x14ac:dyDescent="0.2">
      <c r="O688" s="4"/>
    </row>
    <row r="689" spans="15:15" x14ac:dyDescent="0.2">
      <c r="O689" s="4"/>
    </row>
    <row r="690" spans="15:15" x14ac:dyDescent="0.2">
      <c r="O690" s="4"/>
    </row>
    <row r="691" spans="15:15" x14ac:dyDescent="0.2">
      <c r="O691" s="4"/>
    </row>
    <row r="692" spans="15:15" x14ac:dyDescent="0.2">
      <c r="O692" s="4"/>
    </row>
    <row r="693" spans="15:15" x14ac:dyDescent="0.2">
      <c r="O693" s="4"/>
    </row>
    <row r="694" spans="15:15" x14ac:dyDescent="0.2">
      <c r="O694" s="4"/>
    </row>
    <row r="695" spans="15:15" x14ac:dyDescent="0.2">
      <c r="O695" s="4"/>
    </row>
    <row r="696" spans="15:15" x14ac:dyDescent="0.2">
      <c r="O696" s="4"/>
    </row>
    <row r="697" spans="15:15" x14ac:dyDescent="0.2">
      <c r="O697" s="4"/>
    </row>
    <row r="698" spans="15:15" x14ac:dyDescent="0.2">
      <c r="O698" s="4"/>
    </row>
    <row r="699" spans="15:15" x14ac:dyDescent="0.2">
      <c r="O699" s="4"/>
    </row>
    <row r="700" spans="15:15" x14ac:dyDescent="0.2">
      <c r="O700" s="4"/>
    </row>
    <row r="701" spans="15:15" x14ac:dyDescent="0.2">
      <c r="O701" s="4"/>
    </row>
    <row r="702" spans="15:15" x14ac:dyDescent="0.2">
      <c r="O702" s="4"/>
    </row>
    <row r="703" spans="15:15" x14ac:dyDescent="0.2">
      <c r="O703" s="4"/>
    </row>
    <row r="704" spans="15:15" x14ac:dyDescent="0.2">
      <c r="O704" s="4"/>
    </row>
    <row r="705" spans="15:15" x14ac:dyDescent="0.2">
      <c r="O705" s="4"/>
    </row>
    <row r="706" spans="15:15" x14ac:dyDescent="0.2">
      <c r="O706" s="4"/>
    </row>
    <row r="707" spans="15:15" x14ac:dyDescent="0.2">
      <c r="O707" s="4"/>
    </row>
    <row r="708" spans="15:15" x14ac:dyDescent="0.2">
      <c r="O708" s="4"/>
    </row>
    <row r="709" spans="15:15" x14ac:dyDescent="0.2">
      <c r="O709" s="4"/>
    </row>
    <row r="710" spans="15:15" x14ac:dyDescent="0.2">
      <c r="O710" s="4"/>
    </row>
    <row r="711" spans="15:15" x14ac:dyDescent="0.2">
      <c r="O711" s="4"/>
    </row>
    <row r="712" spans="15:15" x14ac:dyDescent="0.2">
      <c r="O712" s="4"/>
    </row>
    <row r="713" spans="15:15" x14ac:dyDescent="0.2">
      <c r="O713" s="4"/>
    </row>
    <row r="714" spans="15:15" x14ac:dyDescent="0.2">
      <c r="O714" s="4"/>
    </row>
    <row r="715" spans="15:15" x14ac:dyDescent="0.2">
      <c r="O715" s="4"/>
    </row>
    <row r="716" spans="15:15" x14ac:dyDescent="0.2">
      <c r="O716" s="4"/>
    </row>
    <row r="717" spans="15:15" x14ac:dyDescent="0.2">
      <c r="O717" s="4"/>
    </row>
    <row r="718" spans="15:15" x14ac:dyDescent="0.2">
      <c r="O718" s="4"/>
    </row>
    <row r="719" spans="15:15" x14ac:dyDescent="0.2">
      <c r="O719" s="4"/>
    </row>
    <row r="720" spans="15:15" x14ac:dyDescent="0.2">
      <c r="O720" s="4"/>
    </row>
    <row r="721" spans="15:15" x14ac:dyDescent="0.2">
      <c r="O721" s="4"/>
    </row>
    <row r="722" spans="15:15" x14ac:dyDescent="0.2">
      <c r="O722" s="4"/>
    </row>
    <row r="723" spans="15:15" x14ac:dyDescent="0.2">
      <c r="O723" s="4"/>
    </row>
    <row r="724" spans="15:15" x14ac:dyDescent="0.2">
      <c r="O724" s="4"/>
    </row>
    <row r="725" spans="15:15" x14ac:dyDescent="0.2">
      <c r="O725" s="4"/>
    </row>
    <row r="726" spans="15:15" x14ac:dyDescent="0.2">
      <c r="O726" s="4"/>
    </row>
    <row r="727" spans="15:15" x14ac:dyDescent="0.2">
      <c r="O727" s="4"/>
    </row>
    <row r="728" spans="15:15" x14ac:dyDescent="0.2">
      <c r="O728" s="4"/>
    </row>
    <row r="729" spans="15:15" x14ac:dyDescent="0.2">
      <c r="O729" s="4"/>
    </row>
    <row r="730" spans="15:15" x14ac:dyDescent="0.2">
      <c r="O730" s="4"/>
    </row>
    <row r="731" spans="15:15" x14ac:dyDescent="0.2">
      <c r="O731" s="4"/>
    </row>
    <row r="732" spans="15:15" x14ac:dyDescent="0.2">
      <c r="O732" s="4"/>
    </row>
    <row r="733" spans="15:15" x14ac:dyDescent="0.2">
      <c r="O733" s="4"/>
    </row>
    <row r="734" spans="15:15" x14ac:dyDescent="0.2">
      <c r="O734" s="4"/>
    </row>
    <row r="735" spans="15:15" x14ac:dyDescent="0.2">
      <c r="O735" s="4"/>
    </row>
    <row r="736" spans="15:15" x14ac:dyDescent="0.2">
      <c r="O736" s="4"/>
    </row>
    <row r="737" spans="15:15" x14ac:dyDescent="0.2">
      <c r="O737" s="4"/>
    </row>
    <row r="738" spans="15:15" x14ac:dyDescent="0.2">
      <c r="O738" s="4"/>
    </row>
    <row r="739" spans="15:15" x14ac:dyDescent="0.2">
      <c r="O739" s="4"/>
    </row>
    <row r="740" spans="15:15" x14ac:dyDescent="0.2">
      <c r="O740" s="4"/>
    </row>
    <row r="741" spans="15:15" x14ac:dyDescent="0.2">
      <c r="O741" s="4"/>
    </row>
    <row r="742" spans="15:15" x14ac:dyDescent="0.2">
      <c r="O742" s="4"/>
    </row>
    <row r="743" spans="15:15" x14ac:dyDescent="0.2">
      <c r="O743" s="4"/>
    </row>
    <row r="744" spans="15:15" x14ac:dyDescent="0.2">
      <c r="O744" s="4"/>
    </row>
    <row r="745" spans="15:15" x14ac:dyDescent="0.2">
      <c r="O745" s="4"/>
    </row>
    <row r="746" spans="15:15" x14ac:dyDescent="0.2">
      <c r="O746" s="4"/>
    </row>
    <row r="747" spans="15:15" x14ac:dyDescent="0.2">
      <c r="O747" s="4"/>
    </row>
    <row r="748" spans="15:15" x14ac:dyDescent="0.2">
      <c r="O748" s="4"/>
    </row>
    <row r="749" spans="15:15" x14ac:dyDescent="0.2">
      <c r="O749" s="4"/>
    </row>
    <row r="750" spans="15:15" x14ac:dyDescent="0.2">
      <c r="O750" s="4"/>
    </row>
    <row r="751" spans="15:15" x14ac:dyDescent="0.2">
      <c r="O751" s="4"/>
    </row>
    <row r="752" spans="15:15" x14ac:dyDescent="0.2">
      <c r="O752" s="4"/>
    </row>
    <row r="753" spans="15:15" x14ac:dyDescent="0.2">
      <c r="O753" s="4"/>
    </row>
    <row r="754" spans="15:15" x14ac:dyDescent="0.2">
      <c r="O754" s="4"/>
    </row>
    <row r="755" spans="15:15" x14ac:dyDescent="0.2">
      <c r="O755" s="4"/>
    </row>
    <row r="756" spans="15:15" x14ac:dyDescent="0.2">
      <c r="O756" s="4"/>
    </row>
    <row r="757" spans="15:15" x14ac:dyDescent="0.2">
      <c r="O757" s="4"/>
    </row>
    <row r="758" spans="15:15" x14ac:dyDescent="0.2">
      <c r="O758" s="4"/>
    </row>
    <row r="759" spans="15:15" x14ac:dyDescent="0.2">
      <c r="O759" s="4"/>
    </row>
    <row r="760" spans="15:15" x14ac:dyDescent="0.2">
      <c r="O760" s="4"/>
    </row>
    <row r="761" spans="15:15" x14ac:dyDescent="0.2">
      <c r="O761" s="4"/>
    </row>
    <row r="762" spans="15:15" x14ac:dyDescent="0.2">
      <c r="O762" s="4"/>
    </row>
    <row r="763" spans="15:15" x14ac:dyDescent="0.2">
      <c r="O763" s="4"/>
    </row>
    <row r="764" spans="15:15" x14ac:dyDescent="0.2">
      <c r="O764" s="4"/>
    </row>
    <row r="765" spans="15:15" x14ac:dyDescent="0.2">
      <c r="O765" s="4"/>
    </row>
    <row r="766" spans="15:15" x14ac:dyDescent="0.2">
      <c r="O766" s="4"/>
    </row>
    <row r="767" spans="15:15" x14ac:dyDescent="0.2">
      <c r="O767" s="4"/>
    </row>
    <row r="768" spans="15:15" x14ac:dyDescent="0.2">
      <c r="O768" s="4"/>
    </row>
    <row r="769" spans="15:15" x14ac:dyDescent="0.2">
      <c r="O769" s="4"/>
    </row>
    <row r="770" spans="15:15" x14ac:dyDescent="0.2">
      <c r="O770" s="4"/>
    </row>
    <row r="771" spans="15:15" x14ac:dyDescent="0.2">
      <c r="O771" s="4"/>
    </row>
    <row r="772" spans="15:15" x14ac:dyDescent="0.2">
      <c r="O772" s="4"/>
    </row>
    <row r="773" spans="15:15" x14ac:dyDescent="0.2">
      <c r="O773" s="4"/>
    </row>
    <row r="774" spans="15:15" x14ac:dyDescent="0.2">
      <c r="O774" s="4"/>
    </row>
    <row r="775" spans="15:15" x14ac:dyDescent="0.2">
      <c r="O775" s="4"/>
    </row>
    <row r="776" spans="15:15" x14ac:dyDescent="0.2">
      <c r="O776" s="4"/>
    </row>
    <row r="777" spans="15:15" x14ac:dyDescent="0.2">
      <c r="O777" s="4"/>
    </row>
    <row r="778" spans="15:15" x14ac:dyDescent="0.2">
      <c r="O778" s="4"/>
    </row>
    <row r="779" spans="15:15" x14ac:dyDescent="0.2">
      <c r="O779" s="4"/>
    </row>
    <row r="780" spans="15:15" x14ac:dyDescent="0.2">
      <c r="O780" s="4"/>
    </row>
    <row r="781" spans="15:15" x14ac:dyDescent="0.2">
      <c r="O781" s="4"/>
    </row>
    <row r="782" spans="15:15" x14ac:dyDescent="0.2">
      <c r="O782" s="4"/>
    </row>
    <row r="783" spans="15:15" x14ac:dyDescent="0.2">
      <c r="O783" s="4"/>
    </row>
    <row r="784" spans="15:15" x14ac:dyDescent="0.2">
      <c r="O784" s="4"/>
    </row>
    <row r="785" spans="15:15" x14ac:dyDescent="0.2">
      <c r="O785" s="4"/>
    </row>
    <row r="786" spans="15:15" x14ac:dyDescent="0.2">
      <c r="O786" s="4"/>
    </row>
    <row r="787" spans="15:15" x14ac:dyDescent="0.2">
      <c r="O787" s="4"/>
    </row>
    <row r="788" spans="15:15" x14ac:dyDescent="0.2">
      <c r="O788" s="4"/>
    </row>
    <row r="789" spans="15:15" x14ac:dyDescent="0.2">
      <c r="O789" s="4"/>
    </row>
    <row r="790" spans="15:15" x14ac:dyDescent="0.2">
      <c r="O790" s="4"/>
    </row>
    <row r="791" spans="15:15" x14ac:dyDescent="0.2">
      <c r="O791" s="4"/>
    </row>
    <row r="792" spans="15:15" x14ac:dyDescent="0.2">
      <c r="O792" s="4"/>
    </row>
    <row r="793" spans="15:15" x14ac:dyDescent="0.2">
      <c r="O793" s="4"/>
    </row>
    <row r="794" spans="15:15" x14ac:dyDescent="0.2">
      <c r="O794" s="4"/>
    </row>
    <row r="795" spans="15:15" x14ac:dyDescent="0.2">
      <c r="O795" s="4"/>
    </row>
    <row r="796" spans="15:15" x14ac:dyDescent="0.2">
      <c r="O796" s="4"/>
    </row>
    <row r="797" spans="15:15" x14ac:dyDescent="0.2">
      <c r="O797" s="4"/>
    </row>
    <row r="798" spans="15:15" x14ac:dyDescent="0.2">
      <c r="O798" s="4"/>
    </row>
    <row r="799" spans="15:15" x14ac:dyDescent="0.2">
      <c r="O799" s="4"/>
    </row>
    <row r="800" spans="15:15" x14ac:dyDescent="0.2">
      <c r="O800" s="4"/>
    </row>
    <row r="801" spans="15:15" x14ac:dyDescent="0.2">
      <c r="O801" s="4"/>
    </row>
    <row r="802" spans="15:15" x14ac:dyDescent="0.2">
      <c r="O802" s="4"/>
    </row>
    <row r="803" spans="15:15" x14ac:dyDescent="0.2">
      <c r="O803" s="4"/>
    </row>
    <row r="804" spans="15:15" x14ac:dyDescent="0.2">
      <c r="O804" s="4"/>
    </row>
    <row r="805" spans="15:15" x14ac:dyDescent="0.2">
      <c r="O805" s="4"/>
    </row>
    <row r="806" spans="15:15" x14ac:dyDescent="0.2">
      <c r="O806" s="4"/>
    </row>
    <row r="807" spans="15:15" x14ac:dyDescent="0.2">
      <c r="O807" s="4"/>
    </row>
    <row r="808" spans="15:15" x14ac:dyDescent="0.2">
      <c r="O808" s="4"/>
    </row>
    <row r="809" spans="15:15" x14ac:dyDescent="0.2">
      <c r="O809" s="4"/>
    </row>
    <row r="810" spans="15:15" x14ac:dyDescent="0.2">
      <c r="O810" s="4"/>
    </row>
    <row r="811" spans="15:15" x14ac:dyDescent="0.2">
      <c r="O811" s="4"/>
    </row>
    <row r="812" spans="15:15" x14ac:dyDescent="0.2">
      <c r="O812" s="4"/>
    </row>
    <row r="813" spans="15:15" x14ac:dyDescent="0.2">
      <c r="O813" s="4"/>
    </row>
    <row r="814" spans="15:15" x14ac:dyDescent="0.2">
      <c r="O814" s="4"/>
    </row>
    <row r="815" spans="15:15" x14ac:dyDescent="0.2">
      <c r="O815" s="4"/>
    </row>
    <row r="816" spans="15:15" x14ac:dyDescent="0.2">
      <c r="O816" s="4"/>
    </row>
    <row r="817" spans="15:15" x14ac:dyDescent="0.2">
      <c r="O817" s="4"/>
    </row>
    <row r="818" spans="15:15" x14ac:dyDescent="0.2">
      <c r="O818" s="4"/>
    </row>
    <row r="819" spans="15:15" x14ac:dyDescent="0.2">
      <c r="O819" s="4"/>
    </row>
    <row r="820" spans="15:15" x14ac:dyDescent="0.2">
      <c r="O820" s="4"/>
    </row>
    <row r="821" spans="15:15" x14ac:dyDescent="0.2">
      <c r="O821" s="4"/>
    </row>
    <row r="822" spans="15:15" x14ac:dyDescent="0.2">
      <c r="O822" s="4"/>
    </row>
    <row r="823" spans="15:15" x14ac:dyDescent="0.2">
      <c r="O823" s="4"/>
    </row>
    <row r="824" spans="15:15" x14ac:dyDescent="0.2">
      <c r="O824" s="4"/>
    </row>
    <row r="825" spans="15:15" x14ac:dyDescent="0.2">
      <c r="O825" s="4"/>
    </row>
    <row r="826" spans="15:15" x14ac:dyDescent="0.2">
      <c r="O826" s="4"/>
    </row>
    <row r="827" spans="15:15" x14ac:dyDescent="0.2">
      <c r="O827" s="4"/>
    </row>
    <row r="828" spans="15:15" x14ac:dyDescent="0.2">
      <c r="O828" s="4"/>
    </row>
    <row r="829" spans="15:15" x14ac:dyDescent="0.2">
      <c r="O829" s="4"/>
    </row>
    <row r="830" spans="15:15" x14ac:dyDescent="0.2">
      <c r="O830" s="4"/>
    </row>
    <row r="831" spans="15:15" x14ac:dyDescent="0.2">
      <c r="O831" s="4"/>
    </row>
    <row r="832" spans="15:15" x14ac:dyDescent="0.2">
      <c r="O832" s="4"/>
    </row>
    <row r="833" spans="15:15" x14ac:dyDescent="0.2">
      <c r="O833" s="4"/>
    </row>
    <row r="834" spans="15:15" x14ac:dyDescent="0.2">
      <c r="O834" s="4"/>
    </row>
    <row r="835" spans="15:15" x14ac:dyDescent="0.2">
      <c r="O835" s="4"/>
    </row>
    <row r="836" spans="15:15" x14ac:dyDescent="0.2">
      <c r="O836" s="4"/>
    </row>
    <row r="837" spans="15:15" x14ac:dyDescent="0.2">
      <c r="O837" s="4"/>
    </row>
    <row r="838" spans="15:15" x14ac:dyDescent="0.2">
      <c r="O838" s="4"/>
    </row>
    <row r="839" spans="15:15" x14ac:dyDescent="0.2">
      <c r="O839" s="4"/>
    </row>
    <row r="840" spans="15:15" x14ac:dyDescent="0.2">
      <c r="O840" s="4"/>
    </row>
    <row r="841" spans="15:15" x14ac:dyDescent="0.2">
      <c r="O841" s="4"/>
    </row>
    <row r="842" spans="15:15" x14ac:dyDescent="0.2">
      <c r="O842" s="4"/>
    </row>
    <row r="843" spans="15:15" x14ac:dyDescent="0.2">
      <c r="O843" s="4"/>
    </row>
    <row r="844" spans="15:15" x14ac:dyDescent="0.2">
      <c r="O844" s="4"/>
    </row>
    <row r="845" spans="15:15" x14ac:dyDescent="0.2">
      <c r="O845" s="4"/>
    </row>
    <row r="846" spans="15:15" x14ac:dyDescent="0.2">
      <c r="O846" s="4"/>
    </row>
    <row r="847" spans="15:15" x14ac:dyDescent="0.2">
      <c r="O847" s="4"/>
    </row>
    <row r="848" spans="15:15" x14ac:dyDescent="0.2">
      <c r="O848" s="4"/>
    </row>
    <row r="849" spans="15:15" x14ac:dyDescent="0.2">
      <c r="O849" s="4"/>
    </row>
    <row r="850" spans="15:15" x14ac:dyDescent="0.2">
      <c r="O850" s="4"/>
    </row>
    <row r="851" spans="15:15" x14ac:dyDescent="0.2">
      <c r="O851" s="4"/>
    </row>
    <row r="852" spans="15:15" x14ac:dyDescent="0.2">
      <c r="O852" s="4"/>
    </row>
    <row r="853" spans="15:15" x14ac:dyDescent="0.2">
      <c r="O853" s="4"/>
    </row>
    <row r="854" spans="15:15" x14ac:dyDescent="0.2">
      <c r="O854" s="4"/>
    </row>
    <row r="855" spans="15:15" x14ac:dyDescent="0.2">
      <c r="O855" s="4"/>
    </row>
    <row r="856" spans="15:15" x14ac:dyDescent="0.2">
      <c r="O856" s="4"/>
    </row>
    <row r="857" spans="15:15" x14ac:dyDescent="0.2">
      <c r="O857" s="4"/>
    </row>
    <row r="858" spans="15:15" x14ac:dyDescent="0.2">
      <c r="O858" s="4"/>
    </row>
    <row r="859" spans="15:15" x14ac:dyDescent="0.2">
      <c r="O859" s="4"/>
    </row>
    <row r="860" spans="15:15" x14ac:dyDescent="0.2">
      <c r="O860" s="4"/>
    </row>
    <row r="861" spans="15:15" x14ac:dyDescent="0.2">
      <c r="O861" s="4"/>
    </row>
    <row r="862" spans="15:15" x14ac:dyDescent="0.2">
      <c r="O862" s="4"/>
    </row>
    <row r="863" spans="15:15" x14ac:dyDescent="0.2">
      <c r="O863" s="4"/>
    </row>
    <row r="864" spans="15:15" x14ac:dyDescent="0.2">
      <c r="O864" s="4"/>
    </row>
    <row r="865" spans="15:15" x14ac:dyDescent="0.2">
      <c r="O865" s="4"/>
    </row>
    <row r="866" spans="15:15" x14ac:dyDescent="0.2">
      <c r="O866" s="4"/>
    </row>
    <row r="867" spans="15:15" x14ac:dyDescent="0.2">
      <c r="O867" s="4"/>
    </row>
    <row r="868" spans="15:15" x14ac:dyDescent="0.2">
      <c r="O868" s="4"/>
    </row>
    <row r="869" spans="15:15" x14ac:dyDescent="0.2">
      <c r="O869" s="4"/>
    </row>
    <row r="870" spans="15:15" x14ac:dyDescent="0.2">
      <c r="O870" s="4"/>
    </row>
    <row r="871" spans="15:15" x14ac:dyDescent="0.2">
      <c r="O871" s="4"/>
    </row>
    <row r="872" spans="15:15" x14ac:dyDescent="0.2">
      <c r="O872" s="4"/>
    </row>
    <row r="873" spans="15:15" x14ac:dyDescent="0.2">
      <c r="O873" s="4"/>
    </row>
    <row r="874" spans="15:15" x14ac:dyDescent="0.2">
      <c r="O874" s="4"/>
    </row>
    <row r="875" spans="15:15" x14ac:dyDescent="0.2">
      <c r="O875" s="4"/>
    </row>
    <row r="876" spans="15:15" x14ac:dyDescent="0.2">
      <c r="O876" s="4"/>
    </row>
    <row r="877" spans="15:15" x14ac:dyDescent="0.2">
      <c r="O877" s="4"/>
    </row>
    <row r="878" spans="15:15" x14ac:dyDescent="0.2">
      <c r="O878" s="4"/>
    </row>
    <row r="879" spans="15:15" x14ac:dyDescent="0.2">
      <c r="O879" s="4"/>
    </row>
    <row r="880" spans="15:15" x14ac:dyDescent="0.2">
      <c r="O880" s="4"/>
    </row>
    <row r="881" spans="15:15" x14ac:dyDescent="0.2">
      <c r="O881" s="4"/>
    </row>
    <row r="882" spans="15:15" x14ac:dyDescent="0.2">
      <c r="O882" s="4"/>
    </row>
    <row r="883" spans="15:15" x14ac:dyDescent="0.2">
      <c r="O883" s="4"/>
    </row>
    <row r="884" spans="15:15" x14ac:dyDescent="0.2">
      <c r="O884" s="4"/>
    </row>
    <row r="885" spans="15:15" x14ac:dyDescent="0.2">
      <c r="O885" s="4"/>
    </row>
    <row r="886" spans="15:15" x14ac:dyDescent="0.2">
      <c r="O886" s="4"/>
    </row>
    <row r="887" spans="15:15" x14ac:dyDescent="0.2">
      <c r="O887" s="4"/>
    </row>
    <row r="888" spans="15:15" x14ac:dyDescent="0.2">
      <c r="O888" s="4"/>
    </row>
    <row r="889" spans="15:15" x14ac:dyDescent="0.2">
      <c r="O889" s="4"/>
    </row>
    <row r="890" spans="15:15" x14ac:dyDescent="0.2">
      <c r="O890" s="4"/>
    </row>
    <row r="891" spans="15:15" x14ac:dyDescent="0.2">
      <c r="O891" s="4"/>
    </row>
    <row r="892" spans="15:15" x14ac:dyDescent="0.2">
      <c r="O892" s="4"/>
    </row>
    <row r="893" spans="15:15" x14ac:dyDescent="0.2">
      <c r="O893" s="4"/>
    </row>
    <row r="894" spans="15:15" x14ac:dyDescent="0.2">
      <c r="O894" s="4"/>
    </row>
    <row r="895" spans="15:15" x14ac:dyDescent="0.2">
      <c r="O895" s="4"/>
    </row>
    <row r="896" spans="15:15" x14ac:dyDescent="0.2">
      <c r="O896" s="4"/>
    </row>
    <row r="897" spans="15:15" x14ac:dyDescent="0.2">
      <c r="O897" s="4"/>
    </row>
    <row r="898" spans="15:15" x14ac:dyDescent="0.2">
      <c r="O898" s="4"/>
    </row>
    <row r="899" spans="15:15" x14ac:dyDescent="0.2">
      <c r="O899" s="4"/>
    </row>
    <row r="900" spans="15:15" x14ac:dyDescent="0.2">
      <c r="O900" s="4"/>
    </row>
    <row r="901" spans="15:15" x14ac:dyDescent="0.2">
      <c r="O901" s="4"/>
    </row>
    <row r="902" spans="15:15" x14ac:dyDescent="0.2">
      <c r="O902" s="4"/>
    </row>
    <row r="903" spans="15:15" x14ac:dyDescent="0.2">
      <c r="O903" s="4"/>
    </row>
    <row r="904" spans="15:15" x14ac:dyDescent="0.2">
      <c r="O904" s="4"/>
    </row>
    <row r="905" spans="15:15" x14ac:dyDescent="0.2">
      <c r="O905" s="4"/>
    </row>
    <row r="906" spans="15:15" x14ac:dyDescent="0.2">
      <c r="O906" s="4"/>
    </row>
    <row r="907" spans="15:15" x14ac:dyDescent="0.2">
      <c r="O907" s="4"/>
    </row>
    <row r="908" spans="15:15" x14ac:dyDescent="0.2">
      <c r="O908" s="4"/>
    </row>
    <row r="909" spans="15:15" x14ac:dyDescent="0.2">
      <c r="O909" s="4"/>
    </row>
    <row r="910" spans="15:15" x14ac:dyDescent="0.2">
      <c r="O910" s="4"/>
    </row>
    <row r="911" spans="15:15" x14ac:dyDescent="0.2">
      <c r="O911" s="4"/>
    </row>
    <row r="912" spans="15:15" x14ac:dyDescent="0.2">
      <c r="O912" s="4"/>
    </row>
    <row r="913" spans="15:15" x14ac:dyDescent="0.2">
      <c r="O913" s="4"/>
    </row>
    <row r="914" spans="15:15" x14ac:dyDescent="0.2">
      <c r="O914" s="4"/>
    </row>
    <row r="915" spans="15:15" x14ac:dyDescent="0.2">
      <c r="O915" s="4"/>
    </row>
    <row r="916" spans="15:15" x14ac:dyDescent="0.2">
      <c r="O916" s="4"/>
    </row>
    <row r="917" spans="15:15" x14ac:dyDescent="0.2">
      <c r="O917" s="4"/>
    </row>
    <row r="918" spans="15:15" x14ac:dyDescent="0.2">
      <c r="O918" s="4"/>
    </row>
    <row r="919" spans="15:15" x14ac:dyDescent="0.2">
      <c r="O919" s="4"/>
    </row>
    <row r="920" spans="15:15" x14ac:dyDescent="0.2">
      <c r="O920" s="4"/>
    </row>
    <row r="921" spans="15:15" x14ac:dyDescent="0.2">
      <c r="O921" s="4"/>
    </row>
    <row r="922" spans="15:15" x14ac:dyDescent="0.2">
      <c r="O922" s="4"/>
    </row>
    <row r="923" spans="15:15" x14ac:dyDescent="0.2">
      <c r="O923" s="4"/>
    </row>
    <row r="924" spans="15:15" x14ac:dyDescent="0.2">
      <c r="O924" s="4"/>
    </row>
    <row r="925" spans="15:15" x14ac:dyDescent="0.2">
      <c r="O925" s="4"/>
    </row>
    <row r="926" spans="15:15" x14ac:dyDescent="0.2">
      <c r="O926" s="4"/>
    </row>
    <row r="927" spans="15:15" x14ac:dyDescent="0.2">
      <c r="O927" s="4"/>
    </row>
    <row r="928" spans="15:15" x14ac:dyDescent="0.2">
      <c r="O928" s="4"/>
    </row>
    <row r="929" spans="15:15" x14ac:dyDescent="0.2">
      <c r="O929" s="4"/>
    </row>
    <row r="930" spans="15:15" x14ac:dyDescent="0.2">
      <c r="O930" s="4"/>
    </row>
    <row r="931" spans="15:15" x14ac:dyDescent="0.2">
      <c r="O931" s="4"/>
    </row>
    <row r="932" spans="15:15" x14ac:dyDescent="0.2">
      <c r="O932" s="4"/>
    </row>
    <row r="933" spans="15:15" x14ac:dyDescent="0.2">
      <c r="O933" s="4"/>
    </row>
    <row r="934" spans="15:15" x14ac:dyDescent="0.2">
      <c r="O934" s="4"/>
    </row>
    <row r="935" spans="15:15" x14ac:dyDescent="0.2">
      <c r="O935" s="4"/>
    </row>
    <row r="936" spans="15:15" x14ac:dyDescent="0.2">
      <c r="O936" s="4"/>
    </row>
    <row r="937" spans="15:15" x14ac:dyDescent="0.2">
      <c r="O937" s="4"/>
    </row>
    <row r="938" spans="15:15" x14ac:dyDescent="0.2">
      <c r="O938" s="4"/>
    </row>
    <row r="939" spans="15:15" x14ac:dyDescent="0.2">
      <c r="O939" s="4"/>
    </row>
    <row r="940" spans="15:15" x14ac:dyDescent="0.2">
      <c r="O940" s="4"/>
    </row>
    <row r="941" spans="15:15" x14ac:dyDescent="0.2">
      <c r="O941" s="4"/>
    </row>
    <row r="942" spans="15:15" x14ac:dyDescent="0.2">
      <c r="O942" s="4"/>
    </row>
    <row r="943" spans="15:15" x14ac:dyDescent="0.2">
      <c r="O943" s="4"/>
    </row>
    <row r="944" spans="15:15" x14ac:dyDescent="0.2">
      <c r="O944" s="4"/>
    </row>
    <row r="945" spans="15:15" x14ac:dyDescent="0.2">
      <c r="O945" s="4"/>
    </row>
    <row r="946" spans="15:15" x14ac:dyDescent="0.2">
      <c r="O946" s="4"/>
    </row>
    <row r="947" spans="15:15" x14ac:dyDescent="0.2">
      <c r="O947" s="4"/>
    </row>
    <row r="948" spans="15:15" x14ac:dyDescent="0.2">
      <c r="O948" s="4"/>
    </row>
    <row r="949" spans="15:15" x14ac:dyDescent="0.2">
      <c r="O949" s="4"/>
    </row>
    <row r="950" spans="15:15" x14ac:dyDescent="0.2">
      <c r="O950" s="4"/>
    </row>
    <row r="951" spans="15:15" x14ac:dyDescent="0.2">
      <c r="O951" s="4"/>
    </row>
    <row r="952" spans="15:15" x14ac:dyDescent="0.2">
      <c r="O952" s="4"/>
    </row>
    <row r="953" spans="15:15" x14ac:dyDescent="0.2">
      <c r="O953" s="4"/>
    </row>
    <row r="954" spans="15:15" x14ac:dyDescent="0.2">
      <c r="O954" s="4"/>
    </row>
    <row r="955" spans="15:15" x14ac:dyDescent="0.2">
      <c r="O955" s="4"/>
    </row>
    <row r="956" spans="15:15" x14ac:dyDescent="0.2">
      <c r="O956" s="4"/>
    </row>
    <row r="957" spans="15:15" x14ac:dyDescent="0.2">
      <c r="O957" s="4"/>
    </row>
    <row r="958" spans="15:15" x14ac:dyDescent="0.2">
      <c r="O958" s="4"/>
    </row>
    <row r="959" spans="15:15" x14ac:dyDescent="0.2">
      <c r="O959" s="4"/>
    </row>
    <row r="960" spans="15:15" x14ac:dyDescent="0.2">
      <c r="O960" s="4"/>
    </row>
    <row r="961" spans="15:15" x14ac:dyDescent="0.2">
      <c r="O961" s="4"/>
    </row>
    <row r="962" spans="15:15" x14ac:dyDescent="0.2">
      <c r="O962" s="4"/>
    </row>
    <row r="963" spans="15:15" x14ac:dyDescent="0.2">
      <c r="O963" s="4"/>
    </row>
    <row r="964" spans="15:15" x14ac:dyDescent="0.2">
      <c r="O964" s="4"/>
    </row>
    <row r="965" spans="15:15" x14ac:dyDescent="0.2">
      <c r="O965" s="4"/>
    </row>
    <row r="966" spans="15:15" x14ac:dyDescent="0.2">
      <c r="O966" s="4"/>
    </row>
    <row r="967" spans="15:15" x14ac:dyDescent="0.2">
      <c r="O967" s="4"/>
    </row>
    <row r="968" spans="15:15" x14ac:dyDescent="0.2">
      <c r="O968" s="4"/>
    </row>
    <row r="969" spans="15:15" x14ac:dyDescent="0.2">
      <c r="O969" s="4"/>
    </row>
    <row r="970" spans="15:15" x14ac:dyDescent="0.2">
      <c r="O970" s="4"/>
    </row>
    <row r="971" spans="15:15" x14ac:dyDescent="0.2">
      <c r="O971" s="4"/>
    </row>
    <row r="972" spans="15:15" x14ac:dyDescent="0.2">
      <c r="O972" s="4"/>
    </row>
    <row r="973" spans="15:15" x14ac:dyDescent="0.2">
      <c r="O973" s="4"/>
    </row>
    <row r="974" spans="15:15" x14ac:dyDescent="0.2">
      <c r="O974" s="4"/>
    </row>
    <row r="975" spans="15:15" x14ac:dyDescent="0.2">
      <c r="O975" s="4"/>
    </row>
    <row r="976" spans="15:15" x14ac:dyDescent="0.2">
      <c r="O976" s="4"/>
    </row>
    <row r="977" spans="15:15" x14ac:dyDescent="0.2">
      <c r="O977" s="4"/>
    </row>
    <row r="978" spans="15:15" x14ac:dyDescent="0.2">
      <c r="O978" s="4"/>
    </row>
    <row r="979" spans="15:15" x14ac:dyDescent="0.2">
      <c r="O979" s="4"/>
    </row>
    <row r="980" spans="15:15" x14ac:dyDescent="0.2">
      <c r="O980" s="4"/>
    </row>
    <row r="981" spans="15:15" x14ac:dyDescent="0.2">
      <c r="O981" s="4"/>
    </row>
    <row r="982" spans="15:15" x14ac:dyDescent="0.2">
      <c r="O982" s="4"/>
    </row>
    <row r="983" spans="15:15" x14ac:dyDescent="0.2">
      <c r="O983" s="4"/>
    </row>
    <row r="984" spans="15:15" x14ac:dyDescent="0.2">
      <c r="O984" s="4"/>
    </row>
    <row r="985" spans="15:15" x14ac:dyDescent="0.2">
      <c r="O985" s="4"/>
    </row>
    <row r="986" spans="15:15" x14ac:dyDescent="0.2">
      <c r="O986" s="4"/>
    </row>
    <row r="987" spans="15:15" x14ac:dyDescent="0.2">
      <c r="O987" s="4"/>
    </row>
    <row r="988" spans="15:15" x14ac:dyDescent="0.2">
      <c r="O988" s="4"/>
    </row>
    <row r="989" spans="15:15" x14ac:dyDescent="0.2">
      <c r="O989" s="4"/>
    </row>
    <row r="990" spans="15:15" x14ac:dyDescent="0.2">
      <c r="O990" s="4"/>
    </row>
    <row r="991" spans="15:15" x14ac:dyDescent="0.2">
      <c r="O991" s="4"/>
    </row>
    <row r="992" spans="15:15" x14ac:dyDescent="0.2">
      <c r="O992" s="4"/>
    </row>
    <row r="993" spans="15:15" x14ac:dyDescent="0.2">
      <c r="O993" s="4"/>
    </row>
    <row r="994" spans="15:15" x14ac:dyDescent="0.2">
      <c r="O994" s="4"/>
    </row>
    <row r="995" spans="15:15" x14ac:dyDescent="0.2">
      <c r="O995" s="4"/>
    </row>
    <row r="996" spans="15:15" x14ac:dyDescent="0.2">
      <c r="O996" s="4"/>
    </row>
    <row r="997" spans="15:15" x14ac:dyDescent="0.2">
      <c r="O997" s="4"/>
    </row>
    <row r="998" spans="15:15" x14ac:dyDescent="0.2">
      <c r="O998" s="4"/>
    </row>
    <row r="999" spans="15:15" x14ac:dyDescent="0.2">
      <c r="O999" s="4"/>
    </row>
    <row r="1000" spans="15:15" x14ac:dyDescent="0.2">
      <c r="O1000" s="4"/>
    </row>
    <row r="1001" spans="15:15" x14ac:dyDescent="0.2">
      <c r="O1001" s="4"/>
    </row>
    <row r="1002" spans="15:15" x14ac:dyDescent="0.2">
      <c r="O1002" s="4"/>
    </row>
    <row r="1003" spans="15:15" x14ac:dyDescent="0.2">
      <c r="O1003" s="4"/>
    </row>
    <row r="1004" spans="15:15" x14ac:dyDescent="0.2">
      <c r="O1004" s="4"/>
    </row>
    <row r="1005" spans="15:15" x14ac:dyDescent="0.2">
      <c r="O1005" s="4"/>
    </row>
    <row r="1006" spans="15:15" x14ac:dyDescent="0.2">
      <c r="O1006" s="4"/>
    </row>
    <row r="1007" spans="15:15" x14ac:dyDescent="0.2">
      <c r="O1007" s="4"/>
    </row>
    <row r="1008" spans="15:15" x14ac:dyDescent="0.2">
      <c r="O1008" s="4"/>
    </row>
    <row r="1009" spans="15:15" x14ac:dyDescent="0.2">
      <c r="O1009" s="4"/>
    </row>
    <row r="1010" spans="15:15" x14ac:dyDescent="0.2">
      <c r="O1010" s="4"/>
    </row>
    <row r="1011" spans="15:15" x14ac:dyDescent="0.2">
      <c r="O1011" s="4"/>
    </row>
    <row r="1012" spans="15:15" x14ac:dyDescent="0.2">
      <c r="O1012" s="4"/>
    </row>
    <row r="1013" spans="15:15" x14ac:dyDescent="0.2">
      <c r="O1013" s="4"/>
    </row>
    <row r="1014" spans="15:15" x14ac:dyDescent="0.2">
      <c r="O1014" s="4"/>
    </row>
    <row r="1015" spans="15:15" x14ac:dyDescent="0.2">
      <c r="O1015" s="4"/>
    </row>
    <row r="1016" spans="15:15" x14ac:dyDescent="0.2">
      <c r="O1016" s="4"/>
    </row>
    <row r="1017" spans="15:15" x14ac:dyDescent="0.2">
      <c r="O1017" s="4"/>
    </row>
    <row r="1018" spans="15:15" x14ac:dyDescent="0.2">
      <c r="O1018" s="4"/>
    </row>
    <row r="1019" spans="15:15" x14ac:dyDescent="0.2">
      <c r="O1019" s="4"/>
    </row>
    <row r="1020" spans="15:15" x14ac:dyDescent="0.2">
      <c r="O1020" s="4"/>
    </row>
    <row r="1021" spans="15:15" x14ac:dyDescent="0.2">
      <c r="O1021" s="4"/>
    </row>
    <row r="1022" spans="15:15" x14ac:dyDescent="0.2">
      <c r="O1022" s="4"/>
    </row>
    <row r="1023" spans="15:15" x14ac:dyDescent="0.2">
      <c r="O1023" s="4"/>
    </row>
    <row r="1024" spans="15:15" x14ac:dyDescent="0.2">
      <c r="O1024" s="4"/>
    </row>
    <row r="1025" spans="15:15" x14ac:dyDescent="0.2">
      <c r="O1025" s="4"/>
    </row>
    <row r="1026" spans="15:15" x14ac:dyDescent="0.2">
      <c r="O1026" s="4"/>
    </row>
    <row r="1027" spans="15:15" x14ac:dyDescent="0.2">
      <c r="O1027" s="4"/>
    </row>
    <row r="1028" spans="15:15" x14ac:dyDescent="0.2">
      <c r="O1028" s="4"/>
    </row>
    <row r="1029" spans="15:15" x14ac:dyDescent="0.2">
      <c r="O1029" s="4"/>
    </row>
    <row r="1030" spans="15:15" x14ac:dyDescent="0.2">
      <c r="O1030" s="4"/>
    </row>
    <row r="1031" spans="15:15" x14ac:dyDescent="0.2">
      <c r="O1031" s="4"/>
    </row>
    <row r="1032" spans="15:15" x14ac:dyDescent="0.2">
      <c r="O1032" s="4"/>
    </row>
    <row r="1033" spans="15:15" x14ac:dyDescent="0.2">
      <c r="O1033" s="4"/>
    </row>
    <row r="1034" spans="15:15" x14ac:dyDescent="0.2">
      <c r="O1034" s="4"/>
    </row>
    <row r="1035" spans="15:15" x14ac:dyDescent="0.2">
      <c r="O1035" s="4"/>
    </row>
    <row r="1036" spans="15:15" x14ac:dyDescent="0.2">
      <c r="O1036" s="4"/>
    </row>
    <row r="1037" spans="15:15" x14ac:dyDescent="0.2">
      <c r="O1037" s="4"/>
    </row>
    <row r="1038" spans="15:15" x14ac:dyDescent="0.2">
      <c r="O1038" s="4"/>
    </row>
    <row r="1039" spans="15:15" x14ac:dyDescent="0.2">
      <c r="O1039" s="4"/>
    </row>
    <row r="1040" spans="15:15" x14ac:dyDescent="0.2">
      <c r="O1040" s="4"/>
    </row>
    <row r="1041" spans="15:15" x14ac:dyDescent="0.2">
      <c r="O1041" s="4"/>
    </row>
    <row r="1042" spans="15:15" x14ac:dyDescent="0.2">
      <c r="O1042" s="4"/>
    </row>
    <row r="1043" spans="15:15" x14ac:dyDescent="0.2">
      <c r="O1043" s="4"/>
    </row>
    <row r="1044" spans="15:15" x14ac:dyDescent="0.2">
      <c r="O1044" s="4"/>
    </row>
    <row r="1045" spans="15:15" x14ac:dyDescent="0.2">
      <c r="O1045" s="4"/>
    </row>
    <row r="1046" spans="15:15" x14ac:dyDescent="0.2">
      <c r="O1046" s="4"/>
    </row>
    <row r="1047" spans="15:15" x14ac:dyDescent="0.2">
      <c r="O1047" s="4"/>
    </row>
    <row r="1048" spans="15:15" x14ac:dyDescent="0.2">
      <c r="O1048" s="4"/>
    </row>
    <row r="1049" spans="15:15" x14ac:dyDescent="0.2">
      <c r="O1049" s="4"/>
    </row>
    <row r="1050" spans="15:15" x14ac:dyDescent="0.2">
      <c r="O1050" s="4"/>
    </row>
    <row r="1051" spans="15:15" x14ac:dyDescent="0.2">
      <c r="O1051" s="4"/>
    </row>
    <row r="1052" spans="15:15" x14ac:dyDescent="0.2">
      <c r="O1052" s="4"/>
    </row>
    <row r="1053" spans="15:15" x14ac:dyDescent="0.2">
      <c r="O1053" s="4"/>
    </row>
    <row r="1054" spans="15:15" x14ac:dyDescent="0.2">
      <c r="O1054" s="4"/>
    </row>
    <row r="1055" spans="15:15" x14ac:dyDescent="0.2">
      <c r="O1055" s="4"/>
    </row>
    <row r="1056" spans="15:15" x14ac:dyDescent="0.2">
      <c r="O1056" s="4"/>
    </row>
    <row r="1057" spans="15:15" x14ac:dyDescent="0.2">
      <c r="O1057" s="4"/>
    </row>
    <row r="1058" spans="15:15" x14ac:dyDescent="0.2">
      <c r="O1058" s="4"/>
    </row>
    <row r="1059" spans="15:15" x14ac:dyDescent="0.2">
      <c r="O1059" s="4"/>
    </row>
    <row r="1060" spans="15:15" x14ac:dyDescent="0.2">
      <c r="O1060" s="4"/>
    </row>
    <row r="1061" spans="15:15" x14ac:dyDescent="0.2">
      <c r="O1061" s="4"/>
    </row>
    <row r="1062" spans="15:15" x14ac:dyDescent="0.2">
      <c r="O1062" s="4"/>
    </row>
    <row r="1063" spans="15:15" x14ac:dyDescent="0.2">
      <c r="O1063" s="4"/>
    </row>
    <row r="1064" spans="15:15" x14ac:dyDescent="0.2">
      <c r="O1064" s="4"/>
    </row>
    <row r="1065" spans="15:15" x14ac:dyDescent="0.2">
      <c r="O1065" s="4"/>
    </row>
    <row r="1066" spans="15:15" x14ac:dyDescent="0.2">
      <c r="O1066" s="4"/>
    </row>
    <row r="1067" spans="15:15" x14ac:dyDescent="0.2">
      <c r="O1067" s="4"/>
    </row>
    <row r="1068" spans="15:15" x14ac:dyDescent="0.2">
      <c r="O1068" s="4"/>
    </row>
    <row r="1069" spans="15:15" x14ac:dyDescent="0.2">
      <c r="O1069" s="4"/>
    </row>
    <row r="1070" spans="15:15" x14ac:dyDescent="0.2">
      <c r="O1070" s="4"/>
    </row>
    <row r="1071" spans="15:15" x14ac:dyDescent="0.2">
      <c r="O1071" s="4"/>
    </row>
    <row r="1072" spans="15:15" x14ac:dyDescent="0.2">
      <c r="O1072" s="4"/>
    </row>
    <row r="1073" spans="15:15" x14ac:dyDescent="0.2">
      <c r="O1073" s="4"/>
    </row>
    <row r="1074" spans="15:15" x14ac:dyDescent="0.2">
      <c r="O1074" s="4"/>
    </row>
    <row r="1075" spans="15:15" x14ac:dyDescent="0.2">
      <c r="O1075" s="4"/>
    </row>
    <row r="1076" spans="15:15" x14ac:dyDescent="0.2">
      <c r="O1076" s="4"/>
    </row>
    <row r="1077" spans="15:15" x14ac:dyDescent="0.2">
      <c r="O1077" s="4"/>
    </row>
    <row r="1078" spans="15:15" x14ac:dyDescent="0.2">
      <c r="O1078" s="4"/>
    </row>
    <row r="1079" spans="15:15" x14ac:dyDescent="0.2">
      <c r="O1079" s="4"/>
    </row>
    <row r="1080" spans="15:15" x14ac:dyDescent="0.2">
      <c r="O1080" s="4"/>
    </row>
    <row r="1081" spans="15:15" x14ac:dyDescent="0.2">
      <c r="O1081" s="4"/>
    </row>
    <row r="1082" spans="15:15" x14ac:dyDescent="0.2">
      <c r="O1082" s="4"/>
    </row>
    <row r="1083" spans="15:15" x14ac:dyDescent="0.2">
      <c r="O1083" s="4"/>
    </row>
    <row r="1084" spans="15:15" x14ac:dyDescent="0.2">
      <c r="O1084" s="4"/>
    </row>
    <row r="1085" spans="15:15" x14ac:dyDescent="0.2">
      <c r="O1085" s="4"/>
    </row>
    <row r="1086" spans="15:15" x14ac:dyDescent="0.2">
      <c r="O1086" s="4"/>
    </row>
    <row r="1087" spans="15:15" x14ac:dyDescent="0.2">
      <c r="O1087" s="4"/>
    </row>
    <row r="1088" spans="15:15" x14ac:dyDescent="0.2">
      <c r="O1088" s="4"/>
    </row>
    <row r="1089" spans="15:15" x14ac:dyDescent="0.2">
      <c r="O1089" s="4"/>
    </row>
    <row r="1090" spans="15:15" x14ac:dyDescent="0.2">
      <c r="O1090" s="4"/>
    </row>
    <row r="1091" spans="15:15" x14ac:dyDescent="0.2">
      <c r="O1091" s="4"/>
    </row>
    <row r="1092" spans="15:15" x14ac:dyDescent="0.2">
      <c r="O1092" s="4"/>
    </row>
    <row r="1093" spans="15:15" x14ac:dyDescent="0.2">
      <c r="O1093" s="4"/>
    </row>
    <row r="1094" spans="15:15" x14ac:dyDescent="0.2">
      <c r="O1094" s="4"/>
    </row>
    <row r="1095" spans="15:15" x14ac:dyDescent="0.2">
      <c r="O1095" s="4"/>
    </row>
    <row r="1096" spans="15:15" x14ac:dyDescent="0.2">
      <c r="O1096" s="4"/>
    </row>
    <row r="1097" spans="15:15" x14ac:dyDescent="0.2">
      <c r="O1097" s="4"/>
    </row>
    <row r="1098" spans="15:15" x14ac:dyDescent="0.2">
      <c r="O1098" s="4"/>
    </row>
    <row r="1099" spans="15:15" x14ac:dyDescent="0.2">
      <c r="O1099" s="4"/>
    </row>
    <row r="1100" spans="15:15" x14ac:dyDescent="0.2">
      <c r="O1100" s="4"/>
    </row>
    <row r="1101" spans="15:15" x14ac:dyDescent="0.2">
      <c r="O1101" s="4"/>
    </row>
    <row r="1102" spans="15:15" x14ac:dyDescent="0.2">
      <c r="O1102" s="4"/>
    </row>
    <row r="1103" spans="15:15" x14ac:dyDescent="0.2">
      <c r="O1103" s="4"/>
    </row>
    <row r="1104" spans="15:15" x14ac:dyDescent="0.2">
      <c r="O1104" s="4"/>
    </row>
    <row r="1105" spans="15:15" x14ac:dyDescent="0.2">
      <c r="O1105" s="4"/>
    </row>
    <row r="1106" spans="15:15" x14ac:dyDescent="0.2">
      <c r="O1106" s="4"/>
    </row>
    <row r="1107" spans="15:15" x14ac:dyDescent="0.2">
      <c r="O1107" s="4"/>
    </row>
    <row r="1108" spans="15:15" x14ac:dyDescent="0.2">
      <c r="O1108" s="4"/>
    </row>
    <row r="1109" spans="15:15" x14ac:dyDescent="0.2">
      <c r="O1109" s="4"/>
    </row>
    <row r="1110" spans="15:15" x14ac:dyDescent="0.2">
      <c r="O1110" s="4"/>
    </row>
    <row r="1111" spans="15:15" x14ac:dyDescent="0.2">
      <c r="O1111" s="4"/>
    </row>
    <row r="1112" spans="15:15" x14ac:dyDescent="0.2">
      <c r="O1112" s="4"/>
    </row>
    <row r="1113" spans="15:15" x14ac:dyDescent="0.2">
      <c r="O1113" s="4"/>
    </row>
    <row r="1114" spans="15:15" x14ac:dyDescent="0.2">
      <c r="O1114" s="4"/>
    </row>
    <row r="1115" spans="15:15" x14ac:dyDescent="0.2">
      <c r="O1115" s="4"/>
    </row>
    <row r="1116" spans="15:15" x14ac:dyDescent="0.2">
      <c r="O1116" s="4"/>
    </row>
    <row r="1117" spans="15:15" x14ac:dyDescent="0.2">
      <c r="O1117" s="4"/>
    </row>
    <row r="1118" spans="15:15" x14ac:dyDescent="0.2">
      <c r="O1118" s="4"/>
    </row>
    <row r="1119" spans="15:15" x14ac:dyDescent="0.2">
      <c r="O1119" s="4"/>
    </row>
    <row r="1120" spans="15:15" x14ac:dyDescent="0.2">
      <c r="O1120" s="4"/>
    </row>
    <row r="1121" spans="15:15" x14ac:dyDescent="0.2">
      <c r="O1121" s="4"/>
    </row>
    <row r="1122" spans="15:15" x14ac:dyDescent="0.2">
      <c r="O1122" s="4"/>
    </row>
    <row r="1123" spans="15:15" x14ac:dyDescent="0.2">
      <c r="O1123" s="4"/>
    </row>
    <row r="1124" spans="15:15" x14ac:dyDescent="0.2">
      <c r="O1124" s="4"/>
    </row>
    <row r="1125" spans="15:15" x14ac:dyDescent="0.2">
      <c r="O1125" s="4"/>
    </row>
    <row r="1126" spans="15:15" x14ac:dyDescent="0.2">
      <c r="O1126" s="4"/>
    </row>
    <row r="1127" spans="15:15" x14ac:dyDescent="0.2">
      <c r="O1127" s="4"/>
    </row>
    <row r="1128" spans="15:15" x14ac:dyDescent="0.2">
      <c r="O1128" s="4"/>
    </row>
    <row r="1129" spans="15:15" x14ac:dyDescent="0.2">
      <c r="O1129" s="4"/>
    </row>
    <row r="1130" spans="15:15" x14ac:dyDescent="0.2">
      <c r="O1130" s="4"/>
    </row>
    <row r="1131" spans="15:15" x14ac:dyDescent="0.2">
      <c r="O1131" s="4"/>
    </row>
    <row r="1132" spans="15:15" x14ac:dyDescent="0.2">
      <c r="O1132" s="4"/>
    </row>
    <row r="1133" spans="15:15" x14ac:dyDescent="0.2">
      <c r="O1133" s="4"/>
    </row>
    <row r="1134" spans="15:15" x14ac:dyDescent="0.2">
      <c r="O1134" s="4"/>
    </row>
    <row r="1135" spans="15:15" x14ac:dyDescent="0.2">
      <c r="O1135" s="4"/>
    </row>
    <row r="1136" spans="15:15" x14ac:dyDescent="0.2">
      <c r="O1136" s="4"/>
    </row>
    <row r="1137" spans="15:15" x14ac:dyDescent="0.2">
      <c r="O1137" s="4"/>
    </row>
    <row r="1138" spans="15:15" x14ac:dyDescent="0.2">
      <c r="O1138" s="4"/>
    </row>
    <row r="1139" spans="15:15" x14ac:dyDescent="0.2">
      <c r="O1139" s="4"/>
    </row>
    <row r="1140" spans="15:15" x14ac:dyDescent="0.2">
      <c r="O1140" s="4"/>
    </row>
    <row r="1141" spans="15:15" x14ac:dyDescent="0.2">
      <c r="O1141" s="4"/>
    </row>
    <row r="1142" spans="15:15" x14ac:dyDescent="0.2">
      <c r="O1142" s="4"/>
    </row>
    <row r="1143" spans="15:15" x14ac:dyDescent="0.2">
      <c r="O1143" s="4"/>
    </row>
    <row r="1144" spans="15:15" x14ac:dyDescent="0.2">
      <c r="O1144" s="4"/>
    </row>
    <row r="1145" spans="15:15" x14ac:dyDescent="0.2">
      <c r="O1145" s="4"/>
    </row>
    <row r="1146" spans="15:15" x14ac:dyDescent="0.2">
      <c r="O1146" s="4"/>
    </row>
    <row r="1147" spans="15:15" x14ac:dyDescent="0.2">
      <c r="O1147" s="4"/>
    </row>
    <row r="1148" spans="15:15" x14ac:dyDescent="0.2">
      <c r="O1148" s="4"/>
    </row>
    <row r="1149" spans="15:15" x14ac:dyDescent="0.2">
      <c r="O1149" s="4"/>
    </row>
    <row r="1150" spans="15:15" x14ac:dyDescent="0.2">
      <c r="O1150" s="4"/>
    </row>
    <row r="1151" spans="15:15" x14ac:dyDescent="0.2">
      <c r="O1151" s="4"/>
    </row>
    <row r="1152" spans="15:15" x14ac:dyDescent="0.2">
      <c r="O1152" s="4"/>
    </row>
    <row r="1153" spans="15:15" x14ac:dyDescent="0.2">
      <c r="O1153" s="4"/>
    </row>
    <row r="1154" spans="15:15" x14ac:dyDescent="0.2">
      <c r="O1154" s="4"/>
    </row>
    <row r="1155" spans="15:15" x14ac:dyDescent="0.2">
      <c r="O1155" s="4"/>
    </row>
    <row r="1156" spans="15:15" x14ac:dyDescent="0.2">
      <c r="O1156" s="4"/>
    </row>
    <row r="1157" spans="15:15" x14ac:dyDescent="0.2">
      <c r="O1157" s="4"/>
    </row>
    <row r="1158" spans="15:15" x14ac:dyDescent="0.2">
      <c r="O1158" s="4"/>
    </row>
    <row r="1159" spans="15:15" x14ac:dyDescent="0.2">
      <c r="O1159" s="4"/>
    </row>
    <row r="1160" spans="15:15" x14ac:dyDescent="0.2">
      <c r="O1160" s="4"/>
    </row>
    <row r="1161" spans="15:15" x14ac:dyDescent="0.2">
      <c r="O1161" s="4"/>
    </row>
    <row r="1162" spans="15:15" x14ac:dyDescent="0.2">
      <c r="O1162" s="4"/>
    </row>
    <row r="1163" spans="15:15" x14ac:dyDescent="0.2">
      <c r="O1163" s="4"/>
    </row>
    <row r="1164" spans="15:15" x14ac:dyDescent="0.2">
      <c r="O1164" s="4"/>
    </row>
    <row r="1165" spans="15:15" x14ac:dyDescent="0.2">
      <c r="O1165" s="4"/>
    </row>
    <row r="1166" spans="15:15" x14ac:dyDescent="0.2">
      <c r="O1166" s="4"/>
    </row>
    <row r="1167" spans="15:15" x14ac:dyDescent="0.2">
      <c r="O1167" s="4"/>
    </row>
    <row r="1168" spans="15:15" x14ac:dyDescent="0.2">
      <c r="O1168" s="4"/>
    </row>
    <row r="1169" spans="15:15" x14ac:dyDescent="0.2">
      <c r="O1169" s="4"/>
    </row>
    <row r="1170" spans="15:15" x14ac:dyDescent="0.2">
      <c r="O1170" s="4"/>
    </row>
    <row r="1171" spans="15:15" x14ac:dyDescent="0.2">
      <c r="O1171" s="4"/>
    </row>
    <row r="1172" spans="15:15" x14ac:dyDescent="0.2">
      <c r="O1172" s="4"/>
    </row>
    <row r="1173" spans="15:15" x14ac:dyDescent="0.2">
      <c r="O1173" s="4"/>
    </row>
    <row r="1174" spans="15:15" x14ac:dyDescent="0.2">
      <c r="O1174" s="4"/>
    </row>
    <row r="1175" spans="15:15" x14ac:dyDescent="0.2">
      <c r="O1175" s="4"/>
    </row>
    <row r="1176" spans="15:15" x14ac:dyDescent="0.2">
      <c r="O1176" s="4"/>
    </row>
    <row r="1177" spans="15:15" x14ac:dyDescent="0.2">
      <c r="O1177" s="4"/>
    </row>
    <row r="1178" spans="15:15" x14ac:dyDescent="0.2">
      <c r="O1178" s="4"/>
    </row>
    <row r="1179" spans="15:15" x14ac:dyDescent="0.2">
      <c r="O1179" s="4"/>
    </row>
    <row r="1180" spans="15:15" x14ac:dyDescent="0.2">
      <c r="O1180" s="4"/>
    </row>
    <row r="1181" spans="15:15" x14ac:dyDescent="0.2">
      <c r="O1181" s="4"/>
    </row>
    <row r="1182" spans="15:15" x14ac:dyDescent="0.2">
      <c r="O1182" s="4"/>
    </row>
    <row r="1183" spans="15:15" x14ac:dyDescent="0.2">
      <c r="O1183" s="4"/>
    </row>
    <row r="1184" spans="15:15" x14ac:dyDescent="0.2">
      <c r="O1184" s="4"/>
    </row>
    <row r="1185" spans="15:15" x14ac:dyDescent="0.2">
      <c r="O1185" s="4"/>
    </row>
    <row r="1186" spans="15:15" x14ac:dyDescent="0.2">
      <c r="O1186" s="4"/>
    </row>
    <row r="1187" spans="15:15" x14ac:dyDescent="0.2">
      <c r="O1187" s="4"/>
    </row>
    <row r="1188" spans="15:15" x14ac:dyDescent="0.2">
      <c r="O1188" s="4"/>
    </row>
    <row r="1189" spans="15:15" x14ac:dyDescent="0.2">
      <c r="O1189" s="4"/>
    </row>
    <row r="1190" spans="15:15" x14ac:dyDescent="0.2">
      <c r="O1190" s="4"/>
    </row>
    <row r="1191" spans="15:15" x14ac:dyDescent="0.2">
      <c r="O1191" s="4"/>
    </row>
    <row r="1192" spans="15:15" x14ac:dyDescent="0.2">
      <c r="O1192" s="4"/>
    </row>
    <row r="1193" spans="15:15" x14ac:dyDescent="0.2">
      <c r="O1193" s="4"/>
    </row>
    <row r="1194" spans="15:15" x14ac:dyDescent="0.2">
      <c r="O1194" s="4"/>
    </row>
    <row r="1195" spans="15:15" x14ac:dyDescent="0.2">
      <c r="O1195" s="4"/>
    </row>
    <row r="1196" spans="15:15" x14ac:dyDescent="0.2">
      <c r="O1196" s="4"/>
    </row>
    <row r="1197" spans="15:15" x14ac:dyDescent="0.2">
      <c r="O1197" s="4"/>
    </row>
    <row r="1198" spans="15:15" x14ac:dyDescent="0.2">
      <c r="O1198" s="4"/>
    </row>
    <row r="1199" spans="15:15" x14ac:dyDescent="0.2">
      <c r="O1199" s="4"/>
    </row>
    <row r="1200" spans="15:15" x14ac:dyDescent="0.2">
      <c r="O1200" s="4"/>
    </row>
    <row r="1201" spans="15:15" x14ac:dyDescent="0.2">
      <c r="O1201" s="4"/>
    </row>
    <row r="1202" spans="15:15" x14ac:dyDescent="0.2">
      <c r="O1202" s="4"/>
    </row>
    <row r="1203" spans="15:15" x14ac:dyDescent="0.2">
      <c r="O1203" s="4"/>
    </row>
    <row r="1204" spans="15:15" x14ac:dyDescent="0.2">
      <c r="O1204" s="4"/>
    </row>
    <row r="1205" spans="15:15" x14ac:dyDescent="0.2">
      <c r="O1205" s="4"/>
    </row>
    <row r="1206" spans="15:15" x14ac:dyDescent="0.2">
      <c r="O1206" s="4"/>
    </row>
    <row r="1207" spans="15:15" x14ac:dyDescent="0.2">
      <c r="O1207" s="4"/>
    </row>
    <row r="1208" spans="15:15" x14ac:dyDescent="0.2">
      <c r="O1208" s="4"/>
    </row>
    <row r="1209" spans="15:15" x14ac:dyDescent="0.2">
      <c r="O1209" s="4"/>
    </row>
    <row r="1210" spans="15:15" x14ac:dyDescent="0.2">
      <c r="O1210" s="4"/>
    </row>
    <row r="1211" spans="15:15" x14ac:dyDescent="0.2">
      <c r="O1211" s="4"/>
    </row>
    <row r="1212" spans="15:15" x14ac:dyDescent="0.2">
      <c r="O1212" s="4"/>
    </row>
    <row r="1213" spans="15:15" x14ac:dyDescent="0.2">
      <c r="O1213" s="4"/>
    </row>
    <row r="1214" spans="15:15" x14ac:dyDescent="0.2">
      <c r="O1214" s="4"/>
    </row>
    <row r="1215" spans="15:15" x14ac:dyDescent="0.2">
      <c r="O1215" s="4"/>
    </row>
    <row r="1216" spans="15:15" x14ac:dyDescent="0.2">
      <c r="O1216" s="4"/>
    </row>
    <row r="1217" spans="15:15" x14ac:dyDescent="0.2">
      <c r="O1217" s="4"/>
    </row>
    <row r="1218" spans="15:15" x14ac:dyDescent="0.2">
      <c r="O1218" s="4"/>
    </row>
    <row r="1219" spans="15:15" x14ac:dyDescent="0.2">
      <c r="O1219" s="4"/>
    </row>
    <row r="1220" spans="15:15" x14ac:dyDescent="0.2">
      <c r="O1220" s="4"/>
    </row>
    <row r="1221" spans="15:15" x14ac:dyDescent="0.2">
      <c r="O1221" s="4"/>
    </row>
    <row r="1222" spans="15:15" x14ac:dyDescent="0.2">
      <c r="O1222" s="4"/>
    </row>
    <row r="1223" spans="15:15" x14ac:dyDescent="0.2">
      <c r="O1223" s="4"/>
    </row>
    <row r="1224" spans="15:15" x14ac:dyDescent="0.2">
      <c r="O1224" s="4"/>
    </row>
    <row r="1225" spans="15:15" x14ac:dyDescent="0.2">
      <c r="O1225" s="4"/>
    </row>
    <row r="1226" spans="15:15" x14ac:dyDescent="0.2">
      <c r="O1226" s="4"/>
    </row>
    <row r="1227" spans="15:15" x14ac:dyDescent="0.2">
      <c r="O1227" s="4"/>
    </row>
    <row r="1228" spans="15:15" x14ac:dyDescent="0.2">
      <c r="O1228" s="4"/>
    </row>
    <row r="1229" spans="15:15" x14ac:dyDescent="0.2">
      <c r="O1229" s="4"/>
    </row>
    <row r="1230" spans="15:15" x14ac:dyDescent="0.2">
      <c r="O1230" s="4"/>
    </row>
    <row r="1231" spans="15:15" x14ac:dyDescent="0.2">
      <c r="O1231" s="4"/>
    </row>
    <row r="1232" spans="15:15" x14ac:dyDescent="0.2">
      <c r="O1232" s="4"/>
    </row>
    <row r="1233" spans="15:15" x14ac:dyDescent="0.2">
      <c r="O1233" s="4"/>
    </row>
    <row r="1234" spans="15:15" x14ac:dyDescent="0.2">
      <c r="O1234" s="4"/>
    </row>
    <row r="1235" spans="15:15" x14ac:dyDescent="0.2">
      <c r="O1235" s="4"/>
    </row>
    <row r="1236" spans="15:15" x14ac:dyDescent="0.2">
      <c r="O1236" s="4"/>
    </row>
    <row r="1237" spans="15:15" x14ac:dyDescent="0.2">
      <c r="O1237" s="4"/>
    </row>
    <row r="1238" spans="15:15" x14ac:dyDescent="0.2">
      <c r="O1238" s="4"/>
    </row>
    <row r="1239" spans="15:15" x14ac:dyDescent="0.2">
      <c r="O1239" s="4"/>
    </row>
    <row r="1240" spans="15:15" x14ac:dyDescent="0.2">
      <c r="O1240" s="4"/>
    </row>
    <row r="1241" spans="15:15" x14ac:dyDescent="0.2">
      <c r="O1241" s="4"/>
    </row>
    <row r="1242" spans="15:15" x14ac:dyDescent="0.2">
      <c r="O1242" s="4"/>
    </row>
    <row r="1243" spans="15:15" x14ac:dyDescent="0.2">
      <c r="O1243" s="4"/>
    </row>
    <row r="1244" spans="15:15" x14ac:dyDescent="0.2">
      <c r="O1244" s="4"/>
    </row>
    <row r="1245" spans="15:15" x14ac:dyDescent="0.2">
      <c r="O1245" s="4"/>
    </row>
    <row r="1246" spans="15:15" x14ac:dyDescent="0.2">
      <c r="O1246" s="4"/>
    </row>
    <row r="1247" spans="15:15" x14ac:dyDescent="0.2">
      <c r="O1247" s="4"/>
    </row>
    <row r="1248" spans="15:15" x14ac:dyDescent="0.2">
      <c r="O1248" s="4"/>
    </row>
    <row r="1249" spans="15:15" x14ac:dyDescent="0.2">
      <c r="O1249" s="4"/>
    </row>
    <row r="1250" spans="15:15" x14ac:dyDescent="0.2">
      <c r="O1250" s="4"/>
    </row>
    <row r="1251" spans="15:15" x14ac:dyDescent="0.2">
      <c r="O1251" s="4"/>
    </row>
    <row r="1252" spans="15:15" x14ac:dyDescent="0.2">
      <c r="O1252" s="4"/>
    </row>
    <row r="1253" spans="15:15" x14ac:dyDescent="0.2">
      <c r="O1253" s="4"/>
    </row>
    <row r="1254" spans="15:15" x14ac:dyDescent="0.2">
      <c r="O1254" s="4"/>
    </row>
    <row r="1255" spans="15:15" x14ac:dyDescent="0.2">
      <c r="O1255" s="4"/>
    </row>
    <row r="1256" spans="15:15" x14ac:dyDescent="0.2">
      <c r="O1256" s="4"/>
    </row>
    <row r="1257" spans="15:15" x14ac:dyDescent="0.2">
      <c r="O1257" s="4"/>
    </row>
    <row r="1258" spans="15:15" x14ac:dyDescent="0.2">
      <c r="O1258" s="4"/>
    </row>
    <row r="1259" spans="15:15" x14ac:dyDescent="0.2">
      <c r="O1259" s="4"/>
    </row>
    <row r="1260" spans="15:15" x14ac:dyDescent="0.2">
      <c r="O1260" s="4"/>
    </row>
    <row r="1261" spans="15:15" x14ac:dyDescent="0.2">
      <c r="O1261" s="4"/>
    </row>
    <row r="1262" spans="15:15" x14ac:dyDescent="0.2">
      <c r="O1262" s="4"/>
    </row>
    <row r="1263" spans="15:15" x14ac:dyDescent="0.2">
      <c r="O1263" s="4"/>
    </row>
    <row r="1264" spans="15:15" x14ac:dyDescent="0.2">
      <c r="O1264" s="4"/>
    </row>
    <row r="1265" spans="15:15" x14ac:dyDescent="0.2">
      <c r="O1265" s="4"/>
    </row>
    <row r="1266" spans="15:15" x14ac:dyDescent="0.2">
      <c r="O1266" s="4"/>
    </row>
    <row r="1267" spans="15:15" x14ac:dyDescent="0.2">
      <c r="O1267" s="4"/>
    </row>
    <row r="1268" spans="15:15" x14ac:dyDescent="0.2">
      <c r="O1268" s="4"/>
    </row>
    <row r="1269" spans="15:15" x14ac:dyDescent="0.2">
      <c r="O1269" s="4"/>
    </row>
    <row r="1270" spans="15:15" x14ac:dyDescent="0.2">
      <c r="O1270" s="4"/>
    </row>
    <row r="1271" spans="15:15" x14ac:dyDescent="0.2">
      <c r="O1271" s="4"/>
    </row>
    <row r="1272" spans="15:15" x14ac:dyDescent="0.2">
      <c r="O1272" s="4"/>
    </row>
    <row r="1273" spans="15:15" x14ac:dyDescent="0.2">
      <c r="O1273" s="4"/>
    </row>
    <row r="1274" spans="15:15" x14ac:dyDescent="0.2">
      <c r="O1274" s="4"/>
    </row>
    <row r="1275" spans="15:15" x14ac:dyDescent="0.2">
      <c r="O1275" s="4"/>
    </row>
    <row r="1276" spans="15:15" x14ac:dyDescent="0.2">
      <c r="O1276" s="4"/>
    </row>
    <row r="1277" spans="15:15" x14ac:dyDescent="0.2">
      <c r="O1277" s="4"/>
    </row>
    <row r="1278" spans="15:15" x14ac:dyDescent="0.2">
      <c r="O1278" s="4"/>
    </row>
    <row r="1279" spans="15:15" x14ac:dyDescent="0.2">
      <c r="O1279" s="4"/>
    </row>
    <row r="1280" spans="15:15" x14ac:dyDescent="0.2">
      <c r="O1280" s="4"/>
    </row>
    <row r="1281" spans="15:15" x14ac:dyDescent="0.2">
      <c r="O1281" s="4"/>
    </row>
    <row r="1282" spans="15:15" x14ac:dyDescent="0.2">
      <c r="O1282" s="4"/>
    </row>
    <row r="1283" spans="15:15" x14ac:dyDescent="0.2">
      <c r="O1283" s="4"/>
    </row>
    <row r="1284" spans="15:15" x14ac:dyDescent="0.2">
      <c r="O1284" s="4"/>
    </row>
    <row r="1285" spans="15:15" x14ac:dyDescent="0.2">
      <c r="O1285" s="4"/>
    </row>
    <row r="1286" spans="15:15" x14ac:dyDescent="0.2">
      <c r="O1286" s="4"/>
    </row>
    <row r="1287" spans="15:15" x14ac:dyDescent="0.2">
      <c r="O1287" s="4"/>
    </row>
    <row r="1288" spans="15:15" x14ac:dyDescent="0.2">
      <c r="O1288" s="4"/>
    </row>
    <row r="1289" spans="15:15" x14ac:dyDescent="0.2">
      <c r="O1289" s="4"/>
    </row>
    <row r="1290" spans="15:15" x14ac:dyDescent="0.2">
      <c r="O1290" s="4"/>
    </row>
    <row r="1291" spans="15:15" x14ac:dyDescent="0.2">
      <c r="O1291" s="4"/>
    </row>
    <row r="1292" spans="15:15" x14ac:dyDescent="0.2">
      <c r="O1292" s="4"/>
    </row>
    <row r="1293" spans="15:15" x14ac:dyDescent="0.2">
      <c r="O1293" s="4"/>
    </row>
    <row r="1294" spans="15:15" x14ac:dyDescent="0.2">
      <c r="O1294" s="4"/>
    </row>
    <row r="1295" spans="15:15" x14ac:dyDescent="0.2">
      <c r="O1295" s="4"/>
    </row>
    <row r="1296" spans="15:15" x14ac:dyDescent="0.2">
      <c r="O1296" s="4"/>
    </row>
    <row r="1297" spans="15:15" x14ac:dyDescent="0.2">
      <c r="O1297" s="4"/>
    </row>
    <row r="1298" spans="15:15" x14ac:dyDescent="0.2">
      <c r="O1298" s="4"/>
    </row>
    <row r="1299" spans="15:15" x14ac:dyDescent="0.2">
      <c r="O1299" s="4"/>
    </row>
    <row r="1300" spans="15:15" x14ac:dyDescent="0.2">
      <c r="O1300" s="4"/>
    </row>
    <row r="1301" spans="15:15" x14ac:dyDescent="0.2">
      <c r="O1301" s="4"/>
    </row>
    <row r="1302" spans="15:15" x14ac:dyDescent="0.2">
      <c r="O1302" s="4"/>
    </row>
    <row r="1303" spans="15:15" x14ac:dyDescent="0.2">
      <c r="O1303" s="4"/>
    </row>
    <row r="1304" spans="15:15" x14ac:dyDescent="0.2">
      <c r="O1304" s="4"/>
    </row>
    <row r="1305" spans="15:15" x14ac:dyDescent="0.2">
      <c r="O1305" s="4"/>
    </row>
    <row r="1306" spans="15:15" x14ac:dyDescent="0.2">
      <c r="O1306" s="4"/>
    </row>
    <row r="1307" spans="15:15" x14ac:dyDescent="0.2">
      <c r="O1307" s="4"/>
    </row>
    <row r="1308" spans="15:15" x14ac:dyDescent="0.2">
      <c r="O1308" s="4"/>
    </row>
    <row r="1309" spans="15:15" x14ac:dyDescent="0.2">
      <c r="O1309" s="4"/>
    </row>
    <row r="1310" spans="15:15" x14ac:dyDescent="0.2">
      <c r="O1310" s="4"/>
    </row>
    <row r="1311" spans="15:15" x14ac:dyDescent="0.2">
      <c r="O1311" s="4"/>
    </row>
    <row r="1312" spans="15:15" x14ac:dyDescent="0.2">
      <c r="O1312" s="4"/>
    </row>
    <row r="1313" spans="15:15" x14ac:dyDescent="0.2">
      <c r="O1313" s="4"/>
    </row>
    <row r="1314" spans="15:15" x14ac:dyDescent="0.2">
      <c r="O1314" s="4"/>
    </row>
    <row r="1315" spans="15:15" x14ac:dyDescent="0.2">
      <c r="O1315" s="4"/>
    </row>
    <row r="1316" spans="15:15" x14ac:dyDescent="0.2">
      <c r="O1316" s="4"/>
    </row>
    <row r="1317" spans="15:15" x14ac:dyDescent="0.2">
      <c r="O1317" s="4"/>
    </row>
    <row r="1318" spans="15:15" x14ac:dyDescent="0.2">
      <c r="O1318" s="4"/>
    </row>
    <row r="1319" spans="15:15" x14ac:dyDescent="0.2">
      <c r="O1319" s="4"/>
    </row>
    <row r="1320" spans="15:15" x14ac:dyDescent="0.2">
      <c r="O1320" s="4"/>
    </row>
    <row r="1321" spans="15:15" x14ac:dyDescent="0.2">
      <c r="O1321" s="4"/>
    </row>
    <row r="1322" spans="15:15" x14ac:dyDescent="0.2">
      <c r="O1322" s="4"/>
    </row>
    <row r="1323" spans="15:15" x14ac:dyDescent="0.2">
      <c r="O1323" s="4"/>
    </row>
    <row r="1324" spans="15:15" x14ac:dyDescent="0.2">
      <c r="O1324" s="4"/>
    </row>
    <row r="1325" spans="15:15" x14ac:dyDescent="0.2">
      <c r="O1325" s="4"/>
    </row>
    <row r="1326" spans="15:15" x14ac:dyDescent="0.2">
      <c r="O1326" s="4"/>
    </row>
    <row r="1327" spans="15:15" x14ac:dyDescent="0.2">
      <c r="O1327" s="4"/>
    </row>
    <row r="1328" spans="15:15" x14ac:dyDescent="0.2">
      <c r="O1328" s="4"/>
    </row>
    <row r="1329" spans="15:15" x14ac:dyDescent="0.2">
      <c r="O1329" s="4"/>
    </row>
    <row r="1330" spans="15:15" x14ac:dyDescent="0.2">
      <c r="O1330" s="4"/>
    </row>
    <row r="1331" spans="15:15" x14ac:dyDescent="0.2">
      <c r="O1331" s="4"/>
    </row>
    <row r="1332" spans="15:15" x14ac:dyDescent="0.2">
      <c r="O1332" s="4"/>
    </row>
    <row r="1333" spans="15:15" x14ac:dyDescent="0.2">
      <c r="O1333" s="4"/>
    </row>
    <row r="1334" spans="15:15" x14ac:dyDescent="0.2">
      <c r="O1334" s="4"/>
    </row>
    <row r="1335" spans="15:15" x14ac:dyDescent="0.2">
      <c r="O1335" s="4"/>
    </row>
    <row r="1336" spans="15:15" x14ac:dyDescent="0.2">
      <c r="O1336" s="4"/>
    </row>
    <row r="1337" spans="15:15" x14ac:dyDescent="0.2">
      <c r="O1337" s="4"/>
    </row>
    <row r="1338" spans="15:15" x14ac:dyDescent="0.2">
      <c r="O1338" s="4"/>
    </row>
    <row r="1339" spans="15:15" x14ac:dyDescent="0.2">
      <c r="O1339" s="4"/>
    </row>
    <row r="1340" spans="15:15" x14ac:dyDescent="0.2">
      <c r="O1340" s="4"/>
    </row>
    <row r="1341" spans="15:15" x14ac:dyDescent="0.2">
      <c r="O1341" s="4"/>
    </row>
    <row r="1342" spans="15:15" x14ac:dyDescent="0.2">
      <c r="O1342" s="4"/>
    </row>
    <row r="1343" spans="15:15" x14ac:dyDescent="0.2">
      <c r="O1343" s="4"/>
    </row>
    <row r="1344" spans="15:15" x14ac:dyDescent="0.2">
      <c r="O1344" s="4"/>
    </row>
    <row r="1345" spans="15:15" x14ac:dyDescent="0.2">
      <c r="O1345" s="4"/>
    </row>
    <row r="1346" spans="15:15" x14ac:dyDescent="0.2">
      <c r="O1346" s="4"/>
    </row>
    <row r="1347" spans="15:15" x14ac:dyDescent="0.2">
      <c r="O1347" s="4"/>
    </row>
    <row r="1348" spans="15:15" x14ac:dyDescent="0.2">
      <c r="O1348" s="4"/>
    </row>
    <row r="1349" spans="15:15" x14ac:dyDescent="0.2">
      <c r="O1349" s="4"/>
    </row>
    <row r="1350" spans="15:15" x14ac:dyDescent="0.2">
      <c r="O1350" s="4"/>
    </row>
    <row r="1351" spans="15:15" x14ac:dyDescent="0.2">
      <c r="O1351" s="4"/>
    </row>
    <row r="1352" spans="15:15" x14ac:dyDescent="0.2">
      <c r="O1352" s="4"/>
    </row>
    <row r="1353" spans="15:15" x14ac:dyDescent="0.2">
      <c r="O1353" s="4"/>
    </row>
    <row r="1354" spans="15:15" x14ac:dyDescent="0.2">
      <c r="O1354" s="4"/>
    </row>
    <row r="1355" spans="15:15" x14ac:dyDescent="0.2">
      <c r="O1355" s="4"/>
    </row>
    <row r="1356" spans="15:15" x14ac:dyDescent="0.2">
      <c r="O1356" s="4"/>
    </row>
    <row r="1357" spans="15:15" x14ac:dyDescent="0.2">
      <c r="O1357" s="4"/>
    </row>
    <row r="1358" spans="15:15" x14ac:dyDescent="0.2">
      <c r="O1358" s="4"/>
    </row>
    <row r="1359" spans="15:15" x14ac:dyDescent="0.2">
      <c r="O1359" s="4"/>
    </row>
    <row r="1360" spans="15:15" x14ac:dyDescent="0.2">
      <c r="O1360" s="4"/>
    </row>
    <row r="1361" spans="15:15" x14ac:dyDescent="0.2">
      <c r="O1361" s="4"/>
    </row>
    <row r="1362" spans="15:15" x14ac:dyDescent="0.2">
      <c r="O1362" s="4"/>
    </row>
    <row r="1363" spans="15:15" x14ac:dyDescent="0.2">
      <c r="O1363" s="4"/>
    </row>
    <row r="1364" spans="15:15" x14ac:dyDescent="0.2">
      <c r="O1364" s="4"/>
    </row>
    <row r="1365" spans="15:15" x14ac:dyDescent="0.2">
      <c r="O1365" s="4"/>
    </row>
    <row r="1366" spans="15:15" x14ac:dyDescent="0.2">
      <c r="O1366" s="4"/>
    </row>
    <row r="1367" spans="15:15" x14ac:dyDescent="0.2">
      <c r="O1367" s="4"/>
    </row>
    <row r="1368" spans="15:15" x14ac:dyDescent="0.2">
      <c r="O1368" s="4"/>
    </row>
    <row r="1369" spans="15:15" x14ac:dyDescent="0.2">
      <c r="O1369" s="4"/>
    </row>
    <row r="1370" spans="15:15" x14ac:dyDescent="0.2">
      <c r="O1370" s="4"/>
    </row>
    <row r="1371" spans="15:15" x14ac:dyDescent="0.2">
      <c r="O1371" s="4"/>
    </row>
    <row r="1372" spans="15:15" x14ac:dyDescent="0.2">
      <c r="O1372" s="4"/>
    </row>
    <row r="1373" spans="15:15" x14ac:dyDescent="0.2">
      <c r="O1373" s="4"/>
    </row>
    <row r="1374" spans="15:15" x14ac:dyDescent="0.2">
      <c r="O1374" s="4"/>
    </row>
    <row r="1375" spans="15:15" x14ac:dyDescent="0.2">
      <c r="O1375" s="4"/>
    </row>
    <row r="1376" spans="15:15" x14ac:dyDescent="0.2">
      <c r="O1376" s="4"/>
    </row>
    <row r="1377" spans="15:15" x14ac:dyDescent="0.2">
      <c r="O1377" s="4"/>
    </row>
    <row r="1378" spans="15:15" x14ac:dyDescent="0.2">
      <c r="O1378" s="4"/>
    </row>
    <row r="1379" spans="15:15" x14ac:dyDescent="0.2">
      <c r="O1379" s="4"/>
    </row>
    <row r="1380" spans="15:15" x14ac:dyDescent="0.2">
      <c r="O1380" s="4"/>
    </row>
    <row r="1381" spans="15:15" x14ac:dyDescent="0.2">
      <c r="O1381" s="4"/>
    </row>
    <row r="1382" spans="15:15" x14ac:dyDescent="0.2">
      <c r="O1382" s="4"/>
    </row>
    <row r="1383" spans="15:15" x14ac:dyDescent="0.2">
      <c r="O1383" s="4"/>
    </row>
    <row r="1384" spans="15:15" x14ac:dyDescent="0.2">
      <c r="O1384" s="4"/>
    </row>
    <row r="1385" spans="15:15" x14ac:dyDescent="0.2">
      <c r="O1385" s="4"/>
    </row>
    <row r="1386" spans="15:15" x14ac:dyDescent="0.2">
      <c r="O1386" s="4"/>
    </row>
    <row r="1387" spans="15:15" x14ac:dyDescent="0.2">
      <c r="O1387" s="4"/>
    </row>
    <row r="1388" spans="15:15" x14ac:dyDescent="0.2">
      <c r="O1388" s="4"/>
    </row>
    <row r="1389" spans="15:15" x14ac:dyDescent="0.2">
      <c r="O1389" s="4"/>
    </row>
    <row r="1390" spans="15:15" x14ac:dyDescent="0.2">
      <c r="O1390" s="4"/>
    </row>
    <row r="1391" spans="15:15" x14ac:dyDescent="0.2">
      <c r="O1391" s="4"/>
    </row>
    <row r="1392" spans="15:15" x14ac:dyDescent="0.2">
      <c r="O1392" s="4"/>
    </row>
    <row r="1393" spans="15:15" x14ac:dyDescent="0.2">
      <c r="O1393" s="4"/>
    </row>
    <row r="1394" spans="15:15" x14ac:dyDescent="0.2">
      <c r="O1394" s="4"/>
    </row>
    <row r="1395" spans="15:15" x14ac:dyDescent="0.2">
      <c r="O1395" s="4"/>
    </row>
    <row r="1396" spans="15:15" x14ac:dyDescent="0.2">
      <c r="O1396" s="4"/>
    </row>
    <row r="1397" spans="15:15" x14ac:dyDescent="0.2">
      <c r="O1397" s="4"/>
    </row>
    <row r="1398" spans="15:15" x14ac:dyDescent="0.2">
      <c r="O1398" s="4"/>
    </row>
    <row r="1399" spans="15:15" x14ac:dyDescent="0.2">
      <c r="O1399" s="4"/>
    </row>
    <row r="1400" spans="15:15" x14ac:dyDescent="0.2">
      <c r="O1400" s="4"/>
    </row>
    <row r="1401" spans="15:15" x14ac:dyDescent="0.2">
      <c r="O1401" s="4"/>
    </row>
    <row r="1402" spans="15:15" x14ac:dyDescent="0.2">
      <c r="O1402" s="4"/>
    </row>
    <row r="1403" spans="15:15" x14ac:dyDescent="0.2">
      <c r="O1403" s="4"/>
    </row>
    <row r="1404" spans="15:15" x14ac:dyDescent="0.2">
      <c r="O1404" s="4"/>
    </row>
    <row r="1405" spans="15:15" x14ac:dyDescent="0.2">
      <c r="O1405" s="4"/>
    </row>
    <row r="1406" spans="15:15" x14ac:dyDescent="0.2">
      <c r="O1406" s="4"/>
    </row>
    <row r="1407" spans="15:15" x14ac:dyDescent="0.2">
      <c r="O1407" s="4"/>
    </row>
    <row r="1408" spans="15:15" x14ac:dyDescent="0.2">
      <c r="O1408" s="4"/>
    </row>
    <row r="1409" spans="15:15" x14ac:dyDescent="0.2">
      <c r="O1409" s="4"/>
    </row>
    <row r="1410" spans="15:15" x14ac:dyDescent="0.2">
      <c r="O1410" s="4"/>
    </row>
    <row r="1411" spans="15:15" x14ac:dyDescent="0.2">
      <c r="O1411" s="4"/>
    </row>
    <row r="1412" spans="15:15" x14ac:dyDescent="0.2">
      <c r="O1412" s="4"/>
    </row>
    <row r="1413" spans="15:15" x14ac:dyDescent="0.2">
      <c r="O1413" s="4"/>
    </row>
    <row r="1414" spans="15:15" x14ac:dyDescent="0.2">
      <c r="O1414" s="4"/>
    </row>
    <row r="1415" spans="15:15" x14ac:dyDescent="0.2">
      <c r="O1415" s="4"/>
    </row>
    <row r="1416" spans="15:15" x14ac:dyDescent="0.2">
      <c r="O1416" s="4"/>
    </row>
    <row r="1417" spans="15:15" x14ac:dyDescent="0.2">
      <c r="O1417" s="4"/>
    </row>
    <row r="1418" spans="15:15" x14ac:dyDescent="0.2">
      <c r="O1418" s="4"/>
    </row>
    <row r="1419" spans="15:15" x14ac:dyDescent="0.2">
      <c r="O1419" s="4"/>
    </row>
    <row r="1420" spans="15:15" x14ac:dyDescent="0.2">
      <c r="O1420" s="4"/>
    </row>
    <row r="1421" spans="15:15" x14ac:dyDescent="0.2">
      <c r="O1421" s="4"/>
    </row>
    <row r="1422" spans="15:15" x14ac:dyDescent="0.2">
      <c r="O1422" s="4"/>
    </row>
    <row r="1423" spans="15:15" x14ac:dyDescent="0.2">
      <c r="O1423" s="4"/>
    </row>
    <row r="1424" spans="15:15" x14ac:dyDescent="0.2">
      <c r="O1424" s="4"/>
    </row>
    <row r="1425" spans="15:15" x14ac:dyDescent="0.2">
      <c r="O1425" s="4"/>
    </row>
    <row r="1426" spans="15:15" x14ac:dyDescent="0.2">
      <c r="O1426" s="4"/>
    </row>
    <row r="1427" spans="15:15" x14ac:dyDescent="0.2">
      <c r="O1427" s="4"/>
    </row>
    <row r="1428" spans="15:15" x14ac:dyDescent="0.2">
      <c r="O1428" s="4"/>
    </row>
    <row r="1429" spans="15:15" x14ac:dyDescent="0.2">
      <c r="O1429" s="4"/>
    </row>
    <row r="1430" spans="15:15" x14ac:dyDescent="0.2">
      <c r="O1430" s="4"/>
    </row>
    <row r="1431" spans="15:15" x14ac:dyDescent="0.2">
      <c r="O1431" s="4"/>
    </row>
    <row r="1432" spans="15:15" x14ac:dyDescent="0.2">
      <c r="O1432" s="4"/>
    </row>
    <row r="1433" spans="15:15" x14ac:dyDescent="0.2">
      <c r="O1433" s="4"/>
    </row>
    <row r="1434" spans="15:15" x14ac:dyDescent="0.2">
      <c r="O1434" s="4"/>
    </row>
    <row r="1435" spans="15:15" x14ac:dyDescent="0.2">
      <c r="O1435" s="4"/>
    </row>
    <row r="1436" spans="15:15" x14ac:dyDescent="0.2">
      <c r="O1436" s="4"/>
    </row>
    <row r="1437" spans="15:15" x14ac:dyDescent="0.2">
      <c r="O1437" s="4"/>
    </row>
    <row r="1438" spans="15:15" x14ac:dyDescent="0.2">
      <c r="O1438" s="4"/>
    </row>
    <row r="1439" spans="15:15" x14ac:dyDescent="0.2">
      <c r="O1439" s="4"/>
    </row>
    <row r="1440" spans="15:15" x14ac:dyDescent="0.2">
      <c r="O1440" s="4"/>
    </row>
    <row r="1441" spans="15:15" x14ac:dyDescent="0.2">
      <c r="O1441" s="4"/>
    </row>
    <row r="1442" spans="15:15" x14ac:dyDescent="0.2">
      <c r="O1442" s="4"/>
    </row>
    <row r="1443" spans="15:15" x14ac:dyDescent="0.2">
      <c r="O1443" s="4"/>
    </row>
    <row r="1444" spans="15:15" x14ac:dyDescent="0.2">
      <c r="O1444" s="4"/>
    </row>
    <row r="1445" spans="15:15" x14ac:dyDescent="0.2">
      <c r="O1445" s="4"/>
    </row>
    <row r="1446" spans="15:15" x14ac:dyDescent="0.2">
      <c r="O1446" s="4"/>
    </row>
    <row r="1447" spans="15:15" x14ac:dyDescent="0.2">
      <c r="O1447" s="4"/>
    </row>
    <row r="1448" spans="15:15" x14ac:dyDescent="0.2">
      <c r="O1448" s="4"/>
    </row>
    <row r="1449" spans="15:15" x14ac:dyDescent="0.2">
      <c r="O1449" s="4"/>
    </row>
    <row r="1450" spans="15:15" x14ac:dyDescent="0.2">
      <c r="O1450" s="4"/>
    </row>
    <row r="1451" spans="15:15" x14ac:dyDescent="0.2">
      <c r="O1451" s="4"/>
    </row>
    <row r="1452" spans="15:15" x14ac:dyDescent="0.2">
      <c r="O1452" s="4"/>
    </row>
    <row r="1453" spans="15:15" x14ac:dyDescent="0.2">
      <c r="O1453" s="4"/>
    </row>
    <row r="1454" spans="15:15" x14ac:dyDescent="0.2">
      <c r="O1454" s="4"/>
    </row>
    <row r="1455" spans="15:15" x14ac:dyDescent="0.2">
      <c r="O1455" s="4"/>
    </row>
    <row r="1456" spans="15:15" x14ac:dyDescent="0.2">
      <c r="O1456" s="4"/>
    </row>
    <row r="1457" spans="15:15" x14ac:dyDescent="0.2">
      <c r="O1457" s="4"/>
    </row>
    <row r="1458" spans="15:15" x14ac:dyDescent="0.2">
      <c r="O1458" s="4"/>
    </row>
    <row r="1459" spans="15:15" x14ac:dyDescent="0.2">
      <c r="O1459" s="4"/>
    </row>
    <row r="1460" spans="15:15" x14ac:dyDescent="0.2">
      <c r="O1460" s="4"/>
    </row>
    <row r="1461" spans="15:15" x14ac:dyDescent="0.2">
      <c r="O1461" s="4"/>
    </row>
    <row r="1462" spans="15:15" x14ac:dyDescent="0.2">
      <c r="O1462" s="4"/>
    </row>
    <row r="1463" spans="15:15" x14ac:dyDescent="0.2">
      <c r="O1463" s="4"/>
    </row>
    <row r="1464" spans="15:15" x14ac:dyDescent="0.2">
      <c r="O1464" s="4"/>
    </row>
    <row r="1465" spans="15:15" x14ac:dyDescent="0.2">
      <c r="O1465" s="4"/>
    </row>
    <row r="1466" spans="15:15" x14ac:dyDescent="0.2">
      <c r="O1466" s="4"/>
    </row>
    <row r="1467" spans="15:15" x14ac:dyDescent="0.2">
      <c r="O1467" s="4"/>
    </row>
    <row r="1468" spans="15:15" x14ac:dyDescent="0.2">
      <c r="O1468" s="4"/>
    </row>
    <row r="1469" spans="15:15" x14ac:dyDescent="0.2">
      <c r="O1469" s="4"/>
    </row>
    <row r="1470" spans="15:15" x14ac:dyDescent="0.2">
      <c r="O1470" s="4"/>
    </row>
    <row r="1471" spans="15:15" x14ac:dyDescent="0.2">
      <c r="O1471" s="4"/>
    </row>
    <row r="1472" spans="15:15" x14ac:dyDescent="0.2">
      <c r="O1472" s="4"/>
    </row>
    <row r="1473" spans="15:15" x14ac:dyDescent="0.2">
      <c r="O1473" s="4"/>
    </row>
    <row r="1474" spans="15:15" x14ac:dyDescent="0.2">
      <c r="O1474" s="4"/>
    </row>
    <row r="1475" spans="15:15" x14ac:dyDescent="0.2">
      <c r="O1475" s="4"/>
    </row>
    <row r="1476" spans="15:15" x14ac:dyDescent="0.2">
      <c r="O1476" s="4"/>
    </row>
    <row r="1477" spans="15:15" x14ac:dyDescent="0.2">
      <c r="O1477" s="4"/>
    </row>
    <row r="1478" spans="15:15" x14ac:dyDescent="0.2">
      <c r="O1478" s="4"/>
    </row>
    <row r="1479" spans="15:15" x14ac:dyDescent="0.2">
      <c r="O1479" s="4"/>
    </row>
    <row r="1480" spans="15:15" x14ac:dyDescent="0.2">
      <c r="O1480" s="4"/>
    </row>
    <row r="1481" spans="15:15" x14ac:dyDescent="0.2">
      <c r="O1481" s="4"/>
    </row>
    <row r="1482" spans="15:15" x14ac:dyDescent="0.2">
      <c r="O1482" s="4"/>
    </row>
    <row r="1483" spans="15:15" x14ac:dyDescent="0.2">
      <c r="O1483" s="4"/>
    </row>
    <row r="1484" spans="15:15" x14ac:dyDescent="0.2">
      <c r="O1484" s="4"/>
    </row>
    <row r="1485" spans="15:15" x14ac:dyDescent="0.2">
      <c r="O1485" s="4"/>
    </row>
    <row r="1486" spans="15:15" x14ac:dyDescent="0.2">
      <c r="O1486" s="4"/>
    </row>
    <row r="1487" spans="15:15" x14ac:dyDescent="0.2">
      <c r="O1487" s="4"/>
    </row>
    <row r="1488" spans="15:15" x14ac:dyDescent="0.2">
      <c r="O1488" s="4"/>
    </row>
    <row r="1489" spans="15:15" x14ac:dyDescent="0.2">
      <c r="O1489" s="4"/>
    </row>
    <row r="1490" spans="15:15" x14ac:dyDescent="0.2">
      <c r="O1490" s="4"/>
    </row>
    <row r="1491" spans="15:15" x14ac:dyDescent="0.2">
      <c r="O1491" s="4"/>
    </row>
    <row r="1492" spans="15:15" x14ac:dyDescent="0.2">
      <c r="O1492" s="4"/>
    </row>
    <row r="1493" spans="15:15" x14ac:dyDescent="0.2">
      <c r="O1493" s="4"/>
    </row>
    <row r="1494" spans="15:15" x14ac:dyDescent="0.2">
      <c r="O1494" s="4"/>
    </row>
    <row r="1495" spans="15:15" x14ac:dyDescent="0.2">
      <c r="O1495" s="4"/>
    </row>
    <row r="1496" spans="15:15" x14ac:dyDescent="0.2">
      <c r="O1496" s="4"/>
    </row>
    <row r="1497" spans="15:15" x14ac:dyDescent="0.2">
      <c r="O1497" s="4"/>
    </row>
    <row r="1498" spans="15:15" x14ac:dyDescent="0.2">
      <c r="O1498" s="4"/>
    </row>
    <row r="1499" spans="15:15" x14ac:dyDescent="0.2">
      <c r="O1499" s="4"/>
    </row>
    <row r="1500" spans="15:15" x14ac:dyDescent="0.2">
      <c r="O1500" s="4"/>
    </row>
    <row r="1501" spans="15:15" x14ac:dyDescent="0.2">
      <c r="O1501" s="4"/>
    </row>
    <row r="1502" spans="15:15" x14ac:dyDescent="0.2">
      <c r="O1502" s="4"/>
    </row>
    <row r="1503" spans="15:15" x14ac:dyDescent="0.2">
      <c r="O1503" s="4"/>
    </row>
    <row r="1504" spans="15:15" x14ac:dyDescent="0.2">
      <c r="O1504" s="4"/>
    </row>
    <row r="1505" spans="15:15" x14ac:dyDescent="0.2">
      <c r="O1505" s="4"/>
    </row>
    <row r="1506" spans="15:15" x14ac:dyDescent="0.2">
      <c r="O1506" s="4"/>
    </row>
    <row r="1507" spans="15:15" x14ac:dyDescent="0.2">
      <c r="O1507" s="4"/>
    </row>
    <row r="1508" spans="15:15" x14ac:dyDescent="0.2">
      <c r="O1508" s="4"/>
    </row>
    <row r="1509" spans="15:15" x14ac:dyDescent="0.2">
      <c r="O1509" s="4"/>
    </row>
    <row r="1510" spans="15:15" x14ac:dyDescent="0.2">
      <c r="O1510" s="4"/>
    </row>
    <row r="1511" spans="15:15" x14ac:dyDescent="0.2">
      <c r="O1511" s="4"/>
    </row>
    <row r="1512" spans="15:15" x14ac:dyDescent="0.2">
      <c r="O1512" s="4"/>
    </row>
    <row r="1513" spans="15:15" x14ac:dyDescent="0.2">
      <c r="O1513" s="4"/>
    </row>
    <row r="1514" spans="15:15" x14ac:dyDescent="0.2">
      <c r="O1514" s="4"/>
    </row>
    <row r="1515" spans="15:15" x14ac:dyDescent="0.2">
      <c r="O1515" s="4"/>
    </row>
    <row r="1516" spans="15:15" x14ac:dyDescent="0.2">
      <c r="O1516" s="4"/>
    </row>
    <row r="1517" spans="15:15" x14ac:dyDescent="0.2">
      <c r="O1517" s="4"/>
    </row>
    <row r="1518" spans="15:15" x14ac:dyDescent="0.2">
      <c r="O1518" s="4"/>
    </row>
    <row r="1519" spans="15:15" x14ac:dyDescent="0.2">
      <c r="O1519" s="4"/>
    </row>
    <row r="1520" spans="15:15" x14ac:dyDescent="0.2">
      <c r="O1520" s="4"/>
    </row>
    <row r="1521" spans="15:15" x14ac:dyDescent="0.2">
      <c r="O1521" s="4"/>
    </row>
    <row r="1522" spans="15:15" x14ac:dyDescent="0.2">
      <c r="O1522" s="4"/>
    </row>
    <row r="1523" spans="15:15" x14ac:dyDescent="0.2">
      <c r="O1523" s="4"/>
    </row>
    <row r="1524" spans="15:15" x14ac:dyDescent="0.2">
      <c r="O1524" s="4"/>
    </row>
    <row r="1525" spans="15:15" x14ac:dyDescent="0.2">
      <c r="O1525" s="4"/>
    </row>
    <row r="1526" spans="15:15" x14ac:dyDescent="0.2">
      <c r="O1526" s="4"/>
    </row>
    <row r="1527" spans="15:15" x14ac:dyDescent="0.2">
      <c r="O1527" s="4"/>
    </row>
    <row r="1528" spans="15:15" x14ac:dyDescent="0.2">
      <c r="O1528" s="4"/>
    </row>
    <row r="1529" spans="15:15" x14ac:dyDescent="0.2">
      <c r="O1529" s="4"/>
    </row>
    <row r="1530" spans="15:15" x14ac:dyDescent="0.2">
      <c r="O1530" s="4"/>
    </row>
    <row r="1531" spans="15:15" x14ac:dyDescent="0.2">
      <c r="O1531" s="4"/>
    </row>
    <row r="1532" spans="15:15" x14ac:dyDescent="0.2">
      <c r="O1532" s="4"/>
    </row>
    <row r="1533" spans="15:15" x14ac:dyDescent="0.2">
      <c r="O1533" s="4"/>
    </row>
    <row r="1534" spans="15:15" x14ac:dyDescent="0.2">
      <c r="O1534" s="4"/>
    </row>
    <row r="1535" spans="15:15" x14ac:dyDescent="0.2">
      <c r="O1535" s="4"/>
    </row>
    <row r="1536" spans="15:15" x14ac:dyDescent="0.2">
      <c r="O1536" s="4"/>
    </row>
    <row r="1537" spans="15:15" x14ac:dyDescent="0.2">
      <c r="O1537" s="4"/>
    </row>
    <row r="1538" spans="15:15" x14ac:dyDescent="0.2">
      <c r="O1538" s="4"/>
    </row>
    <row r="1539" spans="15:15" x14ac:dyDescent="0.2">
      <c r="O1539" s="4"/>
    </row>
    <row r="1540" spans="15:15" x14ac:dyDescent="0.2">
      <c r="O1540" s="4"/>
    </row>
    <row r="1541" spans="15:15" x14ac:dyDescent="0.2">
      <c r="O1541" s="4"/>
    </row>
    <row r="1542" spans="15:15" x14ac:dyDescent="0.2">
      <c r="O1542" s="4"/>
    </row>
    <row r="1543" spans="15:15" x14ac:dyDescent="0.2">
      <c r="O1543" s="4"/>
    </row>
    <row r="1544" spans="15:15" x14ac:dyDescent="0.2">
      <c r="O1544" s="4"/>
    </row>
    <row r="1545" spans="15:15" x14ac:dyDescent="0.2">
      <c r="O1545" s="4"/>
    </row>
    <row r="1546" spans="15:15" x14ac:dyDescent="0.2">
      <c r="O1546" s="4"/>
    </row>
    <row r="1547" spans="15:15" x14ac:dyDescent="0.2">
      <c r="O1547" s="4"/>
    </row>
    <row r="1548" spans="15:15" x14ac:dyDescent="0.2">
      <c r="O1548" s="4"/>
    </row>
    <row r="1549" spans="15:15" x14ac:dyDescent="0.2">
      <c r="O1549" s="4"/>
    </row>
    <row r="1550" spans="15:15" x14ac:dyDescent="0.2">
      <c r="O1550" s="4"/>
    </row>
    <row r="1551" spans="15:15" x14ac:dyDescent="0.2">
      <c r="O1551" s="4"/>
    </row>
    <row r="1552" spans="15:15" x14ac:dyDescent="0.2">
      <c r="O1552" s="4"/>
    </row>
    <row r="1553" spans="15:15" x14ac:dyDescent="0.2">
      <c r="O1553" s="4"/>
    </row>
    <row r="1554" spans="15:15" x14ac:dyDescent="0.2">
      <c r="O1554" s="4"/>
    </row>
    <row r="1555" spans="15:15" x14ac:dyDescent="0.2">
      <c r="O1555" s="4"/>
    </row>
    <row r="1556" spans="15:15" x14ac:dyDescent="0.2">
      <c r="O1556" s="4"/>
    </row>
    <row r="1557" spans="15:15" x14ac:dyDescent="0.2">
      <c r="O1557" s="4"/>
    </row>
    <row r="1558" spans="15:15" x14ac:dyDescent="0.2">
      <c r="O1558" s="4"/>
    </row>
    <row r="1559" spans="15:15" x14ac:dyDescent="0.2">
      <c r="O1559" s="4"/>
    </row>
    <row r="1560" spans="15:15" x14ac:dyDescent="0.2">
      <c r="O1560" s="4"/>
    </row>
    <row r="1561" spans="15:15" x14ac:dyDescent="0.2">
      <c r="O1561" s="4"/>
    </row>
    <row r="1562" spans="15:15" x14ac:dyDescent="0.2">
      <c r="O1562" s="4"/>
    </row>
    <row r="1563" spans="15:15" x14ac:dyDescent="0.2">
      <c r="O1563" s="4"/>
    </row>
    <row r="1564" spans="15:15" x14ac:dyDescent="0.2">
      <c r="O1564" s="4"/>
    </row>
    <row r="1565" spans="15:15" x14ac:dyDescent="0.2">
      <c r="O1565" s="4"/>
    </row>
    <row r="1566" spans="15:15" x14ac:dyDescent="0.2">
      <c r="O1566" s="4"/>
    </row>
    <row r="1567" spans="15:15" x14ac:dyDescent="0.2">
      <c r="O1567" s="4"/>
    </row>
    <row r="1568" spans="15:15" x14ac:dyDescent="0.2">
      <c r="O1568" s="4"/>
    </row>
    <row r="1569" spans="15:15" x14ac:dyDescent="0.2">
      <c r="O1569" s="4"/>
    </row>
    <row r="1570" spans="15:15" x14ac:dyDescent="0.2">
      <c r="O1570" s="4"/>
    </row>
    <row r="1571" spans="15:15" x14ac:dyDescent="0.2">
      <c r="O1571" s="4"/>
    </row>
    <row r="1572" spans="15:15" x14ac:dyDescent="0.2">
      <c r="O1572" s="4"/>
    </row>
    <row r="1573" spans="15:15" x14ac:dyDescent="0.2">
      <c r="O1573" s="4"/>
    </row>
    <row r="1574" spans="15:15" x14ac:dyDescent="0.2">
      <c r="O1574" s="4"/>
    </row>
    <row r="1575" spans="15:15" x14ac:dyDescent="0.2">
      <c r="O1575" s="4"/>
    </row>
    <row r="1576" spans="15:15" x14ac:dyDescent="0.2">
      <c r="O1576" s="4"/>
    </row>
    <row r="1577" spans="15:15" x14ac:dyDescent="0.2">
      <c r="O1577" s="4"/>
    </row>
    <row r="1578" spans="15:15" x14ac:dyDescent="0.2">
      <c r="O1578" s="4"/>
    </row>
    <row r="1579" spans="15:15" x14ac:dyDescent="0.2">
      <c r="O1579" s="4"/>
    </row>
    <row r="1580" spans="15:15" x14ac:dyDescent="0.2">
      <c r="O1580" s="4"/>
    </row>
    <row r="1581" spans="15:15" x14ac:dyDescent="0.2">
      <c r="O1581" s="4"/>
    </row>
    <row r="1582" spans="15:15" x14ac:dyDescent="0.2">
      <c r="O1582" s="4"/>
    </row>
    <row r="1583" spans="15:15" x14ac:dyDescent="0.2">
      <c r="O1583" s="4"/>
    </row>
    <row r="1584" spans="15:15" x14ac:dyDescent="0.2">
      <c r="O1584" s="4"/>
    </row>
    <row r="1585" spans="15:15" x14ac:dyDescent="0.2">
      <c r="O1585" s="4"/>
    </row>
    <row r="1586" spans="15:15" x14ac:dyDescent="0.2">
      <c r="O1586" s="4"/>
    </row>
    <row r="1587" spans="15:15" x14ac:dyDescent="0.2">
      <c r="O1587" s="4"/>
    </row>
    <row r="1588" spans="15:15" x14ac:dyDescent="0.2">
      <c r="O1588" s="4"/>
    </row>
    <row r="1589" spans="15:15" x14ac:dyDescent="0.2">
      <c r="O1589" s="4"/>
    </row>
    <row r="1590" spans="15:15" x14ac:dyDescent="0.2">
      <c r="O1590" s="4"/>
    </row>
    <row r="1591" spans="15:15" x14ac:dyDescent="0.2">
      <c r="O1591" s="4"/>
    </row>
    <row r="1592" spans="15:15" x14ac:dyDescent="0.2">
      <c r="O1592" s="4"/>
    </row>
    <row r="1593" spans="15:15" x14ac:dyDescent="0.2">
      <c r="O1593" s="4"/>
    </row>
    <row r="1594" spans="15:15" x14ac:dyDescent="0.2">
      <c r="O1594" s="4"/>
    </row>
    <row r="1595" spans="15:15" x14ac:dyDescent="0.2">
      <c r="O1595" s="4"/>
    </row>
    <row r="1596" spans="15:15" x14ac:dyDescent="0.2">
      <c r="O1596" s="4"/>
    </row>
    <row r="1597" spans="15:15" x14ac:dyDescent="0.2">
      <c r="O1597" s="4"/>
    </row>
    <row r="1598" spans="15:15" x14ac:dyDescent="0.2">
      <c r="O1598" s="4"/>
    </row>
    <row r="1599" spans="15:15" x14ac:dyDescent="0.2">
      <c r="O1599" s="4"/>
    </row>
    <row r="1600" spans="15:15" x14ac:dyDescent="0.2">
      <c r="O1600" s="4"/>
    </row>
    <row r="1601" spans="15:15" x14ac:dyDescent="0.2">
      <c r="O1601" s="4"/>
    </row>
    <row r="1602" spans="15:15" x14ac:dyDescent="0.2">
      <c r="O1602" s="4"/>
    </row>
    <row r="1603" spans="15:15" x14ac:dyDescent="0.2">
      <c r="O1603" s="4"/>
    </row>
    <row r="1604" spans="15:15" x14ac:dyDescent="0.2">
      <c r="O1604" s="4"/>
    </row>
    <row r="1605" spans="15:15" x14ac:dyDescent="0.2">
      <c r="O1605" s="4"/>
    </row>
    <row r="1606" spans="15:15" x14ac:dyDescent="0.2">
      <c r="O1606" s="4"/>
    </row>
    <row r="1607" spans="15:15" x14ac:dyDescent="0.2">
      <c r="O1607" s="4"/>
    </row>
    <row r="1608" spans="15:15" x14ac:dyDescent="0.2">
      <c r="O1608" s="4"/>
    </row>
    <row r="1609" spans="15:15" x14ac:dyDescent="0.2">
      <c r="O1609" s="4"/>
    </row>
    <row r="1610" spans="15:15" x14ac:dyDescent="0.2">
      <c r="O1610" s="4"/>
    </row>
    <row r="1611" spans="15:15" x14ac:dyDescent="0.2">
      <c r="O1611" s="4"/>
    </row>
    <row r="1612" spans="15:15" x14ac:dyDescent="0.2">
      <c r="O1612" s="4"/>
    </row>
    <row r="1613" spans="15:15" x14ac:dyDescent="0.2">
      <c r="O1613" s="4"/>
    </row>
    <row r="1614" spans="15:15" x14ac:dyDescent="0.2">
      <c r="O1614" s="4"/>
    </row>
    <row r="1615" spans="15:15" x14ac:dyDescent="0.2">
      <c r="O1615" s="4"/>
    </row>
    <row r="1616" spans="15:15" x14ac:dyDescent="0.2">
      <c r="O1616" s="4"/>
    </row>
    <row r="1617" spans="15:15" x14ac:dyDescent="0.2">
      <c r="O1617" s="4"/>
    </row>
    <row r="1618" spans="15:15" x14ac:dyDescent="0.2">
      <c r="O1618" s="4"/>
    </row>
    <row r="1619" spans="15:15" x14ac:dyDescent="0.2">
      <c r="O1619" s="4"/>
    </row>
    <row r="1620" spans="15:15" x14ac:dyDescent="0.2">
      <c r="O1620" s="4"/>
    </row>
    <row r="1621" spans="15:15" x14ac:dyDescent="0.2">
      <c r="O1621" s="4"/>
    </row>
    <row r="1622" spans="15:15" x14ac:dyDescent="0.2">
      <c r="O1622" s="4"/>
    </row>
    <row r="1623" spans="15:15" x14ac:dyDescent="0.2">
      <c r="O1623" s="4"/>
    </row>
    <row r="1624" spans="15:15" x14ac:dyDescent="0.2">
      <c r="O1624" s="4"/>
    </row>
    <row r="1625" spans="15:15" x14ac:dyDescent="0.2">
      <c r="O1625" s="4"/>
    </row>
    <row r="1626" spans="15:15" x14ac:dyDescent="0.2">
      <c r="O1626" s="4"/>
    </row>
    <row r="1627" spans="15:15" x14ac:dyDescent="0.2">
      <c r="O1627" s="4"/>
    </row>
    <row r="1628" spans="15:15" x14ac:dyDescent="0.2">
      <c r="O1628" s="4"/>
    </row>
    <row r="1629" spans="15:15" x14ac:dyDescent="0.2">
      <c r="O1629" s="4"/>
    </row>
    <row r="1630" spans="15:15" x14ac:dyDescent="0.2">
      <c r="O1630" s="4"/>
    </row>
    <row r="1631" spans="15:15" x14ac:dyDescent="0.2">
      <c r="O1631" s="4"/>
    </row>
    <row r="1632" spans="15:15" x14ac:dyDescent="0.2">
      <c r="O1632" s="4"/>
    </row>
    <row r="1633" spans="15:15" x14ac:dyDescent="0.2">
      <c r="O1633" s="4"/>
    </row>
    <row r="1634" spans="15:15" x14ac:dyDescent="0.2">
      <c r="O1634" s="4"/>
    </row>
    <row r="1635" spans="15:15" x14ac:dyDescent="0.2">
      <c r="O1635" s="4"/>
    </row>
    <row r="1636" spans="15:15" x14ac:dyDescent="0.2">
      <c r="O1636" s="4"/>
    </row>
    <row r="1637" spans="15:15" x14ac:dyDescent="0.2">
      <c r="O1637" s="4"/>
    </row>
    <row r="1638" spans="15:15" x14ac:dyDescent="0.2">
      <c r="O1638" s="4"/>
    </row>
    <row r="1639" spans="15:15" x14ac:dyDescent="0.2">
      <c r="O1639" s="4"/>
    </row>
    <row r="1640" spans="15:15" x14ac:dyDescent="0.2">
      <c r="O1640" s="4"/>
    </row>
    <row r="1641" spans="15:15" x14ac:dyDescent="0.2">
      <c r="O1641" s="4"/>
    </row>
    <row r="1642" spans="15:15" x14ac:dyDescent="0.2">
      <c r="O1642" s="4"/>
    </row>
    <row r="1643" spans="15:15" x14ac:dyDescent="0.2">
      <c r="O1643" s="4"/>
    </row>
    <row r="1644" spans="15:15" x14ac:dyDescent="0.2">
      <c r="O1644" s="4"/>
    </row>
    <row r="1645" spans="15:15" x14ac:dyDescent="0.2">
      <c r="O1645" s="4"/>
    </row>
    <row r="1646" spans="15:15" x14ac:dyDescent="0.2">
      <c r="O1646" s="4"/>
    </row>
    <row r="1647" spans="15:15" x14ac:dyDescent="0.2">
      <c r="O1647" s="4"/>
    </row>
    <row r="1648" spans="15:15" x14ac:dyDescent="0.2">
      <c r="O1648" s="4"/>
    </row>
    <row r="1649" spans="15:15" x14ac:dyDescent="0.2">
      <c r="O1649" s="4"/>
    </row>
    <row r="1650" spans="15:15" x14ac:dyDescent="0.2">
      <c r="O1650" s="4"/>
    </row>
    <row r="1651" spans="15:15" x14ac:dyDescent="0.2">
      <c r="O1651" s="4"/>
    </row>
    <row r="1652" spans="15:15" x14ac:dyDescent="0.2">
      <c r="O1652" s="4"/>
    </row>
    <row r="1653" spans="15:15" x14ac:dyDescent="0.2">
      <c r="O1653" s="4"/>
    </row>
    <row r="1654" spans="15:15" x14ac:dyDescent="0.2">
      <c r="O1654" s="4"/>
    </row>
    <row r="1655" spans="15:15" x14ac:dyDescent="0.2">
      <c r="O1655" s="4"/>
    </row>
    <row r="1656" spans="15:15" x14ac:dyDescent="0.2">
      <c r="O1656" s="4"/>
    </row>
    <row r="1657" spans="15:15" x14ac:dyDescent="0.2">
      <c r="O1657" s="4"/>
    </row>
    <row r="1658" spans="15:15" x14ac:dyDescent="0.2">
      <c r="O1658" s="4"/>
    </row>
    <row r="1659" spans="15:15" x14ac:dyDescent="0.2">
      <c r="O1659" s="4"/>
    </row>
    <row r="1660" spans="15:15" x14ac:dyDescent="0.2">
      <c r="O1660" s="4"/>
    </row>
    <row r="1661" spans="15:15" x14ac:dyDescent="0.2">
      <c r="O1661" s="4"/>
    </row>
    <row r="1662" spans="15:15" x14ac:dyDescent="0.2">
      <c r="O1662" s="4"/>
    </row>
    <row r="1663" spans="15:15" x14ac:dyDescent="0.2">
      <c r="O1663" s="4"/>
    </row>
    <row r="1664" spans="15:15" x14ac:dyDescent="0.2">
      <c r="O1664" s="4"/>
    </row>
    <row r="1665" spans="15:15" x14ac:dyDescent="0.2">
      <c r="O1665" s="4"/>
    </row>
    <row r="1666" spans="15:15" x14ac:dyDescent="0.2">
      <c r="O1666" s="4"/>
    </row>
    <row r="1667" spans="15:15" x14ac:dyDescent="0.2">
      <c r="O1667" s="4"/>
    </row>
    <row r="1668" spans="15:15" x14ac:dyDescent="0.2">
      <c r="O1668" s="4"/>
    </row>
    <row r="1669" spans="15:15" x14ac:dyDescent="0.2">
      <c r="O1669" s="4"/>
    </row>
    <row r="1670" spans="15:15" x14ac:dyDescent="0.2">
      <c r="O1670" s="4"/>
    </row>
    <row r="1671" spans="15:15" x14ac:dyDescent="0.2">
      <c r="O1671" s="4"/>
    </row>
    <row r="1672" spans="15:15" x14ac:dyDescent="0.2">
      <c r="O1672" s="4"/>
    </row>
    <row r="1673" spans="15:15" x14ac:dyDescent="0.2">
      <c r="O1673" s="4"/>
    </row>
    <row r="1674" spans="15:15" x14ac:dyDescent="0.2">
      <c r="O1674" s="4"/>
    </row>
    <row r="1675" spans="15:15" x14ac:dyDescent="0.2">
      <c r="O1675" s="4"/>
    </row>
    <row r="1676" spans="15:15" x14ac:dyDescent="0.2">
      <c r="O1676" s="4"/>
    </row>
    <row r="1677" spans="15:15" x14ac:dyDescent="0.2">
      <c r="O1677" s="4"/>
    </row>
    <row r="1678" spans="15:15" x14ac:dyDescent="0.2">
      <c r="O1678" s="4"/>
    </row>
    <row r="1679" spans="15:15" x14ac:dyDescent="0.2">
      <c r="O1679" s="4"/>
    </row>
    <row r="1680" spans="15:15" x14ac:dyDescent="0.2">
      <c r="O1680" s="4"/>
    </row>
    <row r="1681" spans="15:15" x14ac:dyDescent="0.2">
      <c r="O1681" s="4"/>
    </row>
    <row r="1682" spans="15:15" x14ac:dyDescent="0.2">
      <c r="O1682" s="4"/>
    </row>
    <row r="1683" spans="15:15" x14ac:dyDescent="0.2">
      <c r="O1683" s="4"/>
    </row>
    <row r="1684" spans="15:15" x14ac:dyDescent="0.2">
      <c r="O1684" s="4"/>
    </row>
    <row r="1685" spans="15:15" x14ac:dyDescent="0.2">
      <c r="O1685" s="4"/>
    </row>
    <row r="1686" spans="15:15" x14ac:dyDescent="0.2">
      <c r="O1686" s="4"/>
    </row>
    <row r="1687" spans="15:15" x14ac:dyDescent="0.2">
      <c r="O1687" s="4"/>
    </row>
    <row r="1688" spans="15:15" x14ac:dyDescent="0.2">
      <c r="O1688" s="4"/>
    </row>
    <row r="1689" spans="15:15" x14ac:dyDescent="0.2">
      <c r="O1689" s="4"/>
    </row>
    <row r="1690" spans="15:15" x14ac:dyDescent="0.2">
      <c r="O1690" s="4"/>
    </row>
    <row r="1691" spans="15:15" x14ac:dyDescent="0.2">
      <c r="O1691" s="4"/>
    </row>
    <row r="1692" spans="15:15" x14ac:dyDescent="0.2">
      <c r="O1692" s="4"/>
    </row>
    <row r="1693" spans="15:15" x14ac:dyDescent="0.2">
      <c r="O1693" s="4"/>
    </row>
    <row r="1694" spans="15:15" x14ac:dyDescent="0.2">
      <c r="O1694" s="4"/>
    </row>
    <row r="1695" spans="15:15" x14ac:dyDescent="0.2">
      <c r="O1695" s="4"/>
    </row>
    <row r="1696" spans="15:15" x14ac:dyDescent="0.2">
      <c r="O1696" s="4"/>
    </row>
    <row r="1697" spans="15:15" x14ac:dyDescent="0.2">
      <c r="O1697" s="4"/>
    </row>
    <row r="1698" spans="15:15" x14ac:dyDescent="0.2">
      <c r="O1698" s="4"/>
    </row>
    <row r="1699" spans="15:15" x14ac:dyDescent="0.2">
      <c r="O1699" s="4"/>
    </row>
    <row r="1700" spans="15:15" x14ac:dyDescent="0.2">
      <c r="O1700" s="4"/>
    </row>
    <row r="1701" spans="15:15" x14ac:dyDescent="0.2">
      <c r="O1701" s="4"/>
    </row>
    <row r="1702" spans="15:15" x14ac:dyDescent="0.2">
      <c r="O1702" s="4"/>
    </row>
    <row r="1703" spans="15:15" x14ac:dyDescent="0.2">
      <c r="O1703" s="4"/>
    </row>
    <row r="1704" spans="15:15" x14ac:dyDescent="0.2">
      <c r="O1704" s="4"/>
    </row>
    <row r="1705" spans="15:15" x14ac:dyDescent="0.2">
      <c r="O1705" s="4"/>
    </row>
    <row r="1706" spans="15:15" x14ac:dyDescent="0.2">
      <c r="O1706" s="4"/>
    </row>
    <row r="1707" spans="15:15" x14ac:dyDescent="0.2">
      <c r="O1707" s="4"/>
    </row>
    <row r="1708" spans="15:15" x14ac:dyDescent="0.2">
      <c r="O1708" s="4"/>
    </row>
    <row r="1709" spans="15:15" x14ac:dyDescent="0.2">
      <c r="O1709" s="4"/>
    </row>
    <row r="1710" spans="15:15" x14ac:dyDescent="0.2">
      <c r="O1710" s="4"/>
    </row>
    <row r="1711" spans="15:15" x14ac:dyDescent="0.2">
      <c r="O1711" s="4"/>
    </row>
    <row r="1712" spans="15:15" x14ac:dyDescent="0.2">
      <c r="O1712" s="4"/>
    </row>
    <row r="1713" spans="15:15" x14ac:dyDescent="0.2">
      <c r="O1713" s="4"/>
    </row>
    <row r="1714" spans="15:15" x14ac:dyDescent="0.2">
      <c r="O1714" s="4"/>
    </row>
    <row r="1715" spans="15:15" x14ac:dyDescent="0.2">
      <c r="O1715" s="4"/>
    </row>
    <row r="1716" spans="15:15" x14ac:dyDescent="0.2">
      <c r="O1716" s="4"/>
    </row>
    <row r="1717" spans="15:15" x14ac:dyDescent="0.2">
      <c r="O1717" s="4"/>
    </row>
    <row r="1718" spans="15:15" x14ac:dyDescent="0.2">
      <c r="O1718" s="4"/>
    </row>
    <row r="1719" spans="15:15" x14ac:dyDescent="0.2">
      <c r="O1719" s="4"/>
    </row>
    <row r="1720" spans="15:15" x14ac:dyDescent="0.2">
      <c r="O1720" s="4"/>
    </row>
    <row r="1721" spans="15:15" x14ac:dyDescent="0.2">
      <c r="O1721" s="4"/>
    </row>
    <row r="1722" spans="15:15" x14ac:dyDescent="0.2">
      <c r="O1722" s="4"/>
    </row>
    <row r="1723" spans="15:15" x14ac:dyDescent="0.2">
      <c r="O1723" s="4"/>
    </row>
    <row r="1724" spans="15:15" x14ac:dyDescent="0.2">
      <c r="O1724" s="4"/>
    </row>
    <row r="1725" spans="15:15" x14ac:dyDescent="0.2">
      <c r="O1725" s="4"/>
    </row>
    <row r="1726" spans="15:15" x14ac:dyDescent="0.2">
      <c r="O1726" s="4"/>
    </row>
    <row r="1727" spans="15:15" x14ac:dyDescent="0.2">
      <c r="O1727" s="4"/>
    </row>
    <row r="1728" spans="15:15" x14ac:dyDescent="0.2">
      <c r="O1728" s="4"/>
    </row>
    <row r="1729" spans="15:15" x14ac:dyDescent="0.2">
      <c r="O1729" s="4"/>
    </row>
    <row r="1730" spans="15:15" x14ac:dyDescent="0.2">
      <c r="O1730" s="4"/>
    </row>
    <row r="1731" spans="15:15" x14ac:dyDescent="0.2">
      <c r="O1731" s="4"/>
    </row>
    <row r="1732" spans="15:15" x14ac:dyDescent="0.2">
      <c r="O1732" s="4"/>
    </row>
    <row r="1733" spans="15:15" x14ac:dyDescent="0.2">
      <c r="O1733" s="4"/>
    </row>
    <row r="1734" spans="15:15" x14ac:dyDescent="0.2">
      <c r="O1734" s="4"/>
    </row>
    <row r="1735" spans="15:15" x14ac:dyDescent="0.2">
      <c r="O1735" s="4"/>
    </row>
    <row r="1736" spans="15:15" x14ac:dyDescent="0.2">
      <c r="O1736" s="4"/>
    </row>
    <row r="1737" spans="15:15" x14ac:dyDescent="0.2">
      <c r="O1737" s="4"/>
    </row>
    <row r="1738" spans="15:15" x14ac:dyDescent="0.2">
      <c r="O1738" s="4"/>
    </row>
    <row r="1739" spans="15:15" x14ac:dyDescent="0.2">
      <c r="O1739" s="4"/>
    </row>
    <row r="1740" spans="15:15" x14ac:dyDescent="0.2">
      <c r="O1740" s="4"/>
    </row>
    <row r="1741" spans="15:15" x14ac:dyDescent="0.2">
      <c r="O1741" s="4"/>
    </row>
    <row r="1742" spans="15:15" x14ac:dyDescent="0.2">
      <c r="O1742" s="4"/>
    </row>
    <row r="1743" spans="15:15" x14ac:dyDescent="0.2">
      <c r="O1743" s="4"/>
    </row>
    <row r="1744" spans="15:15" x14ac:dyDescent="0.2">
      <c r="O1744" s="4"/>
    </row>
    <row r="1745" spans="15:15" x14ac:dyDescent="0.2">
      <c r="O1745" s="4"/>
    </row>
    <row r="1746" spans="15:15" x14ac:dyDescent="0.2">
      <c r="O1746" s="4"/>
    </row>
    <row r="1747" spans="15:15" x14ac:dyDescent="0.2">
      <c r="O1747" s="4"/>
    </row>
    <row r="1748" spans="15:15" x14ac:dyDescent="0.2">
      <c r="O1748" s="4"/>
    </row>
    <row r="1749" spans="15:15" x14ac:dyDescent="0.2">
      <c r="O1749" s="4"/>
    </row>
    <row r="1750" spans="15:15" x14ac:dyDescent="0.2">
      <c r="O1750" s="4"/>
    </row>
    <row r="1751" spans="15:15" x14ac:dyDescent="0.2">
      <c r="O1751" s="4"/>
    </row>
    <row r="1752" spans="15:15" x14ac:dyDescent="0.2">
      <c r="O1752" s="4"/>
    </row>
    <row r="1753" spans="15:15" x14ac:dyDescent="0.2">
      <c r="O1753" s="4"/>
    </row>
    <row r="1754" spans="15:15" x14ac:dyDescent="0.2">
      <c r="O1754" s="4"/>
    </row>
    <row r="1755" spans="15:15" x14ac:dyDescent="0.2">
      <c r="O1755" s="4"/>
    </row>
    <row r="1756" spans="15:15" x14ac:dyDescent="0.2">
      <c r="O1756" s="4"/>
    </row>
    <row r="1757" spans="15:15" x14ac:dyDescent="0.2">
      <c r="O1757" s="4"/>
    </row>
    <row r="1758" spans="15:15" x14ac:dyDescent="0.2">
      <c r="O1758" s="4"/>
    </row>
    <row r="1759" spans="15:15" x14ac:dyDescent="0.2">
      <c r="O1759" s="4"/>
    </row>
    <row r="1760" spans="15:15" x14ac:dyDescent="0.2">
      <c r="O1760" s="4"/>
    </row>
    <row r="1761" spans="15:15" x14ac:dyDescent="0.2">
      <c r="O1761" s="4"/>
    </row>
    <row r="1762" spans="15:15" x14ac:dyDescent="0.2">
      <c r="O1762" s="4"/>
    </row>
    <row r="1763" spans="15:15" x14ac:dyDescent="0.2">
      <c r="O1763" s="4"/>
    </row>
    <row r="1764" spans="15:15" x14ac:dyDescent="0.2">
      <c r="O1764" s="4"/>
    </row>
    <row r="1765" spans="15:15" x14ac:dyDescent="0.2">
      <c r="O1765" s="4"/>
    </row>
    <row r="1766" spans="15:15" x14ac:dyDescent="0.2">
      <c r="O1766" s="4"/>
    </row>
    <row r="1767" spans="15:15" x14ac:dyDescent="0.2">
      <c r="O1767" s="4"/>
    </row>
    <row r="1768" spans="15:15" x14ac:dyDescent="0.2">
      <c r="O1768" s="4"/>
    </row>
    <row r="1769" spans="15:15" x14ac:dyDescent="0.2">
      <c r="O1769" s="4"/>
    </row>
    <row r="1770" spans="15:15" x14ac:dyDescent="0.2">
      <c r="O1770" s="4"/>
    </row>
    <row r="1771" spans="15:15" x14ac:dyDescent="0.2">
      <c r="O1771" s="4"/>
    </row>
    <row r="1772" spans="15:15" x14ac:dyDescent="0.2">
      <c r="O1772" s="4"/>
    </row>
    <row r="1773" spans="15:15" x14ac:dyDescent="0.2">
      <c r="O1773" s="4"/>
    </row>
    <row r="1774" spans="15:15" x14ac:dyDescent="0.2">
      <c r="O1774" s="4"/>
    </row>
    <row r="1775" spans="15:15" x14ac:dyDescent="0.2">
      <c r="O1775" s="4"/>
    </row>
    <row r="1776" spans="15:15" x14ac:dyDescent="0.2">
      <c r="O1776" s="4"/>
    </row>
    <row r="1777" spans="15:15" x14ac:dyDescent="0.2">
      <c r="O1777" s="4"/>
    </row>
    <row r="1778" spans="15:15" x14ac:dyDescent="0.2">
      <c r="O1778" s="4"/>
    </row>
    <row r="1779" spans="15:15" x14ac:dyDescent="0.2">
      <c r="O1779" s="4"/>
    </row>
    <row r="1780" spans="15:15" x14ac:dyDescent="0.2">
      <c r="O1780" s="4"/>
    </row>
    <row r="1781" spans="15:15" x14ac:dyDescent="0.2">
      <c r="O1781" s="4"/>
    </row>
    <row r="1782" spans="15:15" x14ac:dyDescent="0.2">
      <c r="O1782" s="4"/>
    </row>
    <row r="1783" spans="15:15" x14ac:dyDescent="0.2">
      <c r="O1783" s="4"/>
    </row>
    <row r="1784" spans="15:15" x14ac:dyDescent="0.2">
      <c r="O1784" s="4"/>
    </row>
    <row r="1785" spans="15:15" x14ac:dyDescent="0.2">
      <c r="O1785" s="4"/>
    </row>
    <row r="1786" spans="15:15" x14ac:dyDescent="0.2">
      <c r="O1786" s="4"/>
    </row>
    <row r="1787" spans="15:15" x14ac:dyDescent="0.2">
      <c r="O1787" s="4"/>
    </row>
    <row r="1788" spans="15:15" x14ac:dyDescent="0.2">
      <c r="O1788" s="4"/>
    </row>
    <row r="1789" spans="15:15" x14ac:dyDescent="0.2">
      <c r="O1789" s="4"/>
    </row>
    <row r="1790" spans="15:15" x14ac:dyDescent="0.2">
      <c r="O1790" s="4"/>
    </row>
    <row r="1791" spans="15:15" x14ac:dyDescent="0.2">
      <c r="O1791" s="4"/>
    </row>
    <row r="1792" spans="15:15" x14ac:dyDescent="0.2">
      <c r="O1792" s="4"/>
    </row>
    <row r="1793" spans="15:15" x14ac:dyDescent="0.2">
      <c r="O1793" s="4"/>
    </row>
    <row r="1794" spans="15:15" x14ac:dyDescent="0.2">
      <c r="O1794" s="4"/>
    </row>
    <row r="1795" spans="15:15" x14ac:dyDescent="0.2">
      <c r="O1795" s="4"/>
    </row>
    <row r="1796" spans="15:15" x14ac:dyDescent="0.2">
      <c r="O1796" s="4"/>
    </row>
    <row r="1797" spans="15:15" x14ac:dyDescent="0.2">
      <c r="O1797" s="4"/>
    </row>
    <row r="1798" spans="15:15" x14ac:dyDescent="0.2">
      <c r="O1798" s="4"/>
    </row>
    <row r="1799" spans="15:15" x14ac:dyDescent="0.2">
      <c r="O1799" s="4"/>
    </row>
    <row r="1800" spans="15:15" x14ac:dyDescent="0.2">
      <c r="O1800" s="4"/>
    </row>
    <row r="1801" spans="15:15" x14ac:dyDescent="0.2">
      <c r="O1801" s="4"/>
    </row>
    <row r="1802" spans="15:15" x14ac:dyDescent="0.2">
      <c r="O1802" s="4"/>
    </row>
    <row r="1803" spans="15:15" x14ac:dyDescent="0.2">
      <c r="O1803" s="4"/>
    </row>
    <row r="1804" spans="15:15" x14ac:dyDescent="0.2">
      <c r="O1804" s="4"/>
    </row>
    <row r="1805" spans="15:15" x14ac:dyDescent="0.2">
      <c r="O1805" s="4"/>
    </row>
    <row r="1806" spans="15:15" x14ac:dyDescent="0.2">
      <c r="O1806" s="4"/>
    </row>
    <row r="1807" spans="15:15" x14ac:dyDescent="0.2">
      <c r="O1807" s="4"/>
    </row>
    <row r="1808" spans="15:15" x14ac:dyDescent="0.2">
      <c r="O1808" s="4"/>
    </row>
    <row r="1809" spans="15:15" x14ac:dyDescent="0.2">
      <c r="O1809" s="4"/>
    </row>
    <row r="1810" spans="15:15" x14ac:dyDescent="0.2">
      <c r="O1810" s="4"/>
    </row>
    <row r="1811" spans="15:15" x14ac:dyDescent="0.2">
      <c r="O1811" s="4"/>
    </row>
    <row r="1812" spans="15:15" x14ac:dyDescent="0.2">
      <c r="O1812" s="4"/>
    </row>
    <row r="1813" spans="15:15" x14ac:dyDescent="0.2">
      <c r="O1813" s="4"/>
    </row>
    <row r="1814" spans="15:15" x14ac:dyDescent="0.2">
      <c r="O1814" s="4"/>
    </row>
    <row r="1815" spans="15:15" x14ac:dyDescent="0.2">
      <c r="O1815" s="4"/>
    </row>
    <row r="1816" spans="15:15" x14ac:dyDescent="0.2">
      <c r="O1816" s="4"/>
    </row>
    <row r="1817" spans="15:15" x14ac:dyDescent="0.2">
      <c r="O1817" s="4"/>
    </row>
    <row r="1818" spans="15:15" x14ac:dyDescent="0.2">
      <c r="O1818" s="4"/>
    </row>
    <row r="1819" spans="15:15" x14ac:dyDescent="0.2">
      <c r="O1819" s="4"/>
    </row>
    <row r="1820" spans="15:15" x14ac:dyDescent="0.2">
      <c r="O1820" s="4"/>
    </row>
    <row r="1821" spans="15:15" x14ac:dyDescent="0.2">
      <c r="O1821" s="4"/>
    </row>
    <row r="1822" spans="15:15" x14ac:dyDescent="0.2">
      <c r="O1822" s="4"/>
    </row>
    <row r="1823" spans="15:15" x14ac:dyDescent="0.2">
      <c r="O1823" s="4"/>
    </row>
    <row r="1824" spans="15:15" x14ac:dyDescent="0.2">
      <c r="O1824" s="4"/>
    </row>
    <row r="1825" spans="15:15" x14ac:dyDescent="0.2">
      <c r="O1825" s="4"/>
    </row>
    <row r="1826" spans="15:15" x14ac:dyDescent="0.2">
      <c r="O1826" s="4"/>
    </row>
    <row r="1827" spans="15:15" x14ac:dyDescent="0.2">
      <c r="O1827" s="4"/>
    </row>
    <row r="1828" spans="15:15" x14ac:dyDescent="0.2">
      <c r="O1828" s="4"/>
    </row>
    <row r="1829" spans="15:15" x14ac:dyDescent="0.2">
      <c r="O1829" s="4"/>
    </row>
    <row r="1830" spans="15:15" x14ac:dyDescent="0.2">
      <c r="O1830" s="4"/>
    </row>
    <row r="1831" spans="15:15" x14ac:dyDescent="0.2">
      <c r="O1831" s="4"/>
    </row>
    <row r="1832" spans="15:15" x14ac:dyDescent="0.2">
      <c r="O1832" s="4"/>
    </row>
    <row r="1833" spans="15:15" x14ac:dyDescent="0.2">
      <c r="O1833" s="4"/>
    </row>
    <row r="1834" spans="15:15" x14ac:dyDescent="0.2">
      <c r="O1834" s="4"/>
    </row>
    <row r="1835" spans="15:15" x14ac:dyDescent="0.2">
      <c r="O1835" s="4"/>
    </row>
    <row r="1836" spans="15:15" x14ac:dyDescent="0.2">
      <c r="O1836" s="4"/>
    </row>
    <row r="1837" spans="15:15" x14ac:dyDescent="0.2">
      <c r="O1837" s="4"/>
    </row>
    <row r="1838" spans="15:15" x14ac:dyDescent="0.2">
      <c r="O1838" s="4"/>
    </row>
    <row r="1839" spans="15:15" x14ac:dyDescent="0.2">
      <c r="O1839" s="4"/>
    </row>
    <row r="1840" spans="15:15" x14ac:dyDescent="0.2">
      <c r="O1840" s="4"/>
    </row>
    <row r="1841" spans="15:15" x14ac:dyDescent="0.2">
      <c r="O1841" s="4"/>
    </row>
    <row r="1842" spans="15:15" x14ac:dyDescent="0.2">
      <c r="O1842" s="4"/>
    </row>
    <row r="1843" spans="15:15" x14ac:dyDescent="0.2">
      <c r="O1843" s="4"/>
    </row>
    <row r="1844" spans="15:15" x14ac:dyDescent="0.2">
      <c r="O1844" s="4"/>
    </row>
    <row r="1845" spans="15:15" x14ac:dyDescent="0.2">
      <c r="O1845" s="4"/>
    </row>
    <row r="1846" spans="15:15" x14ac:dyDescent="0.2">
      <c r="O1846" s="4"/>
    </row>
    <row r="1847" spans="15:15" x14ac:dyDescent="0.2">
      <c r="O1847" s="4"/>
    </row>
    <row r="1848" spans="15:15" x14ac:dyDescent="0.2">
      <c r="O1848" s="4"/>
    </row>
    <row r="1849" spans="15:15" x14ac:dyDescent="0.2">
      <c r="O1849" s="4"/>
    </row>
    <row r="1850" spans="15:15" x14ac:dyDescent="0.2">
      <c r="O1850" s="4"/>
    </row>
    <row r="1851" spans="15:15" x14ac:dyDescent="0.2">
      <c r="O1851" s="4"/>
    </row>
    <row r="1852" spans="15:15" x14ac:dyDescent="0.2">
      <c r="O1852" s="4"/>
    </row>
    <row r="1853" spans="15:15" x14ac:dyDescent="0.2">
      <c r="O1853" s="4"/>
    </row>
    <row r="1854" spans="15:15" x14ac:dyDescent="0.2">
      <c r="O1854" s="4"/>
    </row>
    <row r="1855" spans="15:15" x14ac:dyDescent="0.2">
      <c r="O1855" s="4"/>
    </row>
    <row r="1856" spans="15:15" x14ac:dyDescent="0.2">
      <c r="O1856" s="4"/>
    </row>
    <row r="1857" spans="15:15" x14ac:dyDescent="0.2">
      <c r="O1857" s="4"/>
    </row>
    <row r="1858" spans="15:15" x14ac:dyDescent="0.2">
      <c r="O1858" s="4"/>
    </row>
    <row r="1859" spans="15:15" x14ac:dyDescent="0.2">
      <c r="O1859" s="4"/>
    </row>
    <row r="1860" spans="15:15" x14ac:dyDescent="0.2">
      <c r="O1860" s="4"/>
    </row>
    <row r="1861" spans="15:15" x14ac:dyDescent="0.2">
      <c r="O1861" s="4"/>
    </row>
    <row r="1862" spans="15:15" x14ac:dyDescent="0.2">
      <c r="O1862" s="4"/>
    </row>
    <row r="1863" spans="15:15" x14ac:dyDescent="0.2">
      <c r="O1863" s="4"/>
    </row>
    <row r="1864" spans="15:15" x14ac:dyDescent="0.2">
      <c r="O1864" s="4"/>
    </row>
    <row r="1865" spans="15:15" x14ac:dyDescent="0.2">
      <c r="O1865" s="4"/>
    </row>
    <row r="1866" spans="15:15" x14ac:dyDescent="0.2">
      <c r="O1866" s="4"/>
    </row>
    <row r="1867" spans="15:15" x14ac:dyDescent="0.2">
      <c r="O1867" s="4"/>
    </row>
    <row r="1868" spans="15:15" x14ac:dyDescent="0.2">
      <c r="O1868" s="4"/>
    </row>
    <row r="1869" spans="15:15" x14ac:dyDescent="0.2">
      <c r="O1869" s="4"/>
    </row>
    <row r="1870" spans="15:15" x14ac:dyDescent="0.2">
      <c r="O1870" s="4"/>
    </row>
    <row r="1871" spans="15:15" x14ac:dyDescent="0.2">
      <c r="O1871" s="4"/>
    </row>
    <row r="1872" spans="15:15" x14ac:dyDescent="0.2">
      <c r="O1872" s="4"/>
    </row>
    <row r="1873" spans="15:15" x14ac:dyDescent="0.2">
      <c r="O1873" s="4"/>
    </row>
    <row r="1874" spans="15:15" x14ac:dyDescent="0.2">
      <c r="O1874" s="4"/>
    </row>
    <row r="1875" spans="15:15" x14ac:dyDescent="0.2">
      <c r="O1875" s="4"/>
    </row>
    <row r="1876" spans="15:15" x14ac:dyDescent="0.2">
      <c r="O1876" s="4"/>
    </row>
    <row r="1877" spans="15:15" x14ac:dyDescent="0.2">
      <c r="O1877" s="4"/>
    </row>
    <row r="1878" spans="15:15" x14ac:dyDescent="0.2">
      <c r="O1878" s="4"/>
    </row>
    <row r="1879" spans="15:15" x14ac:dyDescent="0.2">
      <c r="O1879" s="4"/>
    </row>
    <row r="1880" spans="15:15" x14ac:dyDescent="0.2">
      <c r="O1880" s="4"/>
    </row>
    <row r="1881" spans="15:15" x14ac:dyDescent="0.2">
      <c r="O1881" s="4"/>
    </row>
    <row r="1882" spans="15:15" x14ac:dyDescent="0.2">
      <c r="O1882" s="4"/>
    </row>
    <row r="1883" spans="15:15" x14ac:dyDescent="0.2">
      <c r="O1883" s="4"/>
    </row>
    <row r="1884" spans="15:15" x14ac:dyDescent="0.2">
      <c r="O1884" s="4"/>
    </row>
    <row r="1885" spans="15:15" x14ac:dyDescent="0.2">
      <c r="O1885" s="4"/>
    </row>
    <row r="1886" spans="15:15" x14ac:dyDescent="0.2">
      <c r="O1886" s="4"/>
    </row>
    <row r="1887" spans="15:15" x14ac:dyDescent="0.2">
      <c r="O1887" s="4"/>
    </row>
    <row r="1888" spans="15:15" x14ac:dyDescent="0.2">
      <c r="O1888" s="4"/>
    </row>
    <row r="1889" spans="15:15" x14ac:dyDescent="0.2">
      <c r="O1889" s="4"/>
    </row>
    <row r="1890" spans="15:15" x14ac:dyDescent="0.2">
      <c r="O1890" s="4"/>
    </row>
    <row r="1891" spans="15:15" x14ac:dyDescent="0.2">
      <c r="O1891" s="4"/>
    </row>
    <row r="1892" spans="15:15" x14ac:dyDescent="0.2">
      <c r="O1892" s="4"/>
    </row>
    <row r="1893" spans="15:15" x14ac:dyDescent="0.2">
      <c r="O1893" s="4"/>
    </row>
    <row r="1894" spans="15:15" x14ac:dyDescent="0.2">
      <c r="O1894" s="4"/>
    </row>
    <row r="1895" spans="15:15" x14ac:dyDescent="0.2">
      <c r="O1895" s="4"/>
    </row>
    <row r="1896" spans="15:15" x14ac:dyDescent="0.2">
      <c r="O1896" s="4"/>
    </row>
    <row r="1897" spans="15:15" x14ac:dyDescent="0.2">
      <c r="O1897" s="4"/>
    </row>
    <row r="1898" spans="15:15" x14ac:dyDescent="0.2">
      <c r="O1898" s="4"/>
    </row>
    <row r="1899" spans="15:15" x14ac:dyDescent="0.2">
      <c r="O1899" s="4"/>
    </row>
    <row r="1900" spans="15:15" x14ac:dyDescent="0.2">
      <c r="O1900" s="4"/>
    </row>
    <row r="1901" spans="15:15" x14ac:dyDescent="0.2">
      <c r="O1901" s="4"/>
    </row>
    <row r="1902" spans="15:15" x14ac:dyDescent="0.2">
      <c r="O1902" s="4"/>
    </row>
    <row r="1903" spans="15:15" x14ac:dyDescent="0.2">
      <c r="O1903" s="4"/>
    </row>
    <row r="1904" spans="15:15" x14ac:dyDescent="0.2">
      <c r="O1904" s="4"/>
    </row>
    <row r="1905" spans="15:15" x14ac:dyDescent="0.2">
      <c r="O1905" s="4"/>
    </row>
    <row r="1906" spans="15:15" x14ac:dyDescent="0.2">
      <c r="O1906" s="4"/>
    </row>
    <row r="1907" spans="15:15" x14ac:dyDescent="0.2">
      <c r="O1907" s="4"/>
    </row>
    <row r="1908" spans="15:15" x14ac:dyDescent="0.2">
      <c r="O1908" s="4"/>
    </row>
    <row r="1909" spans="15:15" x14ac:dyDescent="0.2">
      <c r="O1909" s="4"/>
    </row>
    <row r="1910" spans="15:15" x14ac:dyDescent="0.2">
      <c r="O1910" s="4"/>
    </row>
    <row r="1911" spans="15:15" x14ac:dyDescent="0.2">
      <c r="O1911" s="4"/>
    </row>
    <row r="1912" spans="15:15" x14ac:dyDescent="0.2">
      <c r="O1912" s="4"/>
    </row>
    <row r="1913" spans="15:15" x14ac:dyDescent="0.2">
      <c r="O1913" s="4"/>
    </row>
    <row r="1914" spans="15:15" x14ac:dyDescent="0.2">
      <c r="O1914" s="4"/>
    </row>
    <row r="1915" spans="15:15" x14ac:dyDescent="0.2">
      <c r="O1915" s="4"/>
    </row>
    <row r="1916" spans="15:15" x14ac:dyDescent="0.2">
      <c r="O1916" s="4"/>
    </row>
    <row r="1917" spans="15:15" x14ac:dyDescent="0.2">
      <c r="O1917" s="4"/>
    </row>
    <row r="1918" spans="15:15" x14ac:dyDescent="0.2">
      <c r="O1918" s="4"/>
    </row>
    <row r="1919" spans="15:15" x14ac:dyDescent="0.2">
      <c r="O1919" s="4"/>
    </row>
    <row r="1920" spans="15:15" x14ac:dyDescent="0.2">
      <c r="O1920" s="4"/>
    </row>
    <row r="1921" spans="14:15" x14ac:dyDescent="0.2">
      <c r="O1921" s="4"/>
    </row>
    <row r="1922" spans="14:15" x14ac:dyDescent="0.2">
      <c r="O1922" s="4"/>
    </row>
    <row r="1923" spans="14:15" x14ac:dyDescent="0.2">
      <c r="O1923" s="4"/>
    </row>
    <row r="1924" spans="14:15" x14ac:dyDescent="0.2">
      <c r="O1924" s="4"/>
    </row>
    <row r="1925" spans="14:15" x14ac:dyDescent="0.2">
      <c r="N1925" s="7"/>
      <c r="O1925" s="4"/>
    </row>
    <row r="1926" spans="14:15" x14ac:dyDescent="0.2">
      <c r="N1926" s="7"/>
      <c r="O1926" s="4"/>
    </row>
    <row r="1927" spans="14:15" x14ac:dyDescent="0.2">
      <c r="N1927" s="7"/>
      <c r="O1927" s="4"/>
    </row>
    <row r="1928" spans="14:15" x14ac:dyDescent="0.2">
      <c r="N1928" s="7"/>
      <c r="O1928" s="4"/>
    </row>
    <row r="1929" spans="14:15" x14ac:dyDescent="0.2">
      <c r="N1929" s="7"/>
      <c r="O1929" s="4"/>
    </row>
    <row r="1930" spans="14:15" x14ac:dyDescent="0.2">
      <c r="N1930" s="7"/>
      <c r="O1930" s="4"/>
    </row>
    <row r="1931" spans="14:15" x14ac:dyDescent="0.2">
      <c r="N1931" s="7"/>
      <c r="O1931" s="4"/>
    </row>
    <row r="1932" spans="14:15" x14ac:dyDescent="0.2">
      <c r="N1932" s="7"/>
      <c r="O1932" s="4"/>
    </row>
    <row r="1933" spans="14:15" x14ac:dyDescent="0.2">
      <c r="N1933" s="7"/>
      <c r="O1933" s="4"/>
    </row>
    <row r="1934" spans="14:15" x14ac:dyDescent="0.2">
      <c r="N1934" s="7"/>
      <c r="O1934" s="4"/>
    </row>
    <row r="1935" spans="14:15" x14ac:dyDescent="0.2">
      <c r="N1935" s="7"/>
      <c r="O1935" s="4"/>
    </row>
    <row r="1936" spans="14:15" x14ac:dyDescent="0.2">
      <c r="N1936" s="7"/>
      <c r="O1936" s="4"/>
    </row>
    <row r="1937" spans="14:15" x14ac:dyDescent="0.2">
      <c r="N1937" s="7"/>
      <c r="O1937" s="4"/>
    </row>
    <row r="1938" spans="14:15" x14ac:dyDescent="0.2">
      <c r="N1938" s="7"/>
      <c r="O1938" s="4"/>
    </row>
    <row r="1939" spans="14:15" x14ac:dyDescent="0.2">
      <c r="N1939" s="7"/>
      <c r="O1939" s="4"/>
    </row>
    <row r="1940" spans="14:15" x14ac:dyDescent="0.2">
      <c r="N1940" s="7"/>
      <c r="O1940" s="4"/>
    </row>
    <row r="1941" spans="14:15" x14ac:dyDescent="0.2">
      <c r="N1941" s="7"/>
      <c r="O1941" s="4"/>
    </row>
    <row r="1942" spans="14:15" x14ac:dyDescent="0.2">
      <c r="N1942" s="7"/>
      <c r="O1942" s="4"/>
    </row>
    <row r="1943" spans="14:15" x14ac:dyDescent="0.2">
      <c r="N1943" s="7"/>
      <c r="O1943" s="4"/>
    </row>
    <row r="1944" spans="14:15" x14ac:dyDescent="0.2">
      <c r="N1944" s="7"/>
      <c r="O1944" s="4"/>
    </row>
    <row r="1945" spans="14:15" x14ac:dyDescent="0.2">
      <c r="N1945" s="7"/>
      <c r="O1945" s="4"/>
    </row>
    <row r="1946" spans="14:15" x14ac:dyDescent="0.2">
      <c r="N1946" s="7"/>
      <c r="O1946" s="4"/>
    </row>
    <row r="1947" spans="14:15" x14ac:dyDescent="0.2">
      <c r="N1947" s="7"/>
      <c r="O1947" s="4"/>
    </row>
    <row r="1948" spans="14:15" x14ac:dyDescent="0.2">
      <c r="N1948" s="7"/>
      <c r="O1948" s="4"/>
    </row>
    <row r="1949" spans="14:15" x14ac:dyDescent="0.2">
      <c r="N1949" s="7"/>
      <c r="O1949" s="4"/>
    </row>
    <row r="1950" spans="14:15" x14ac:dyDescent="0.2">
      <c r="N1950" s="7"/>
      <c r="O1950" s="4"/>
    </row>
    <row r="1951" spans="14:15" x14ac:dyDescent="0.2">
      <c r="N1951" s="7"/>
      <c r="O1951" s="4"/>
    </row>
    <row r="1952" spans="14:15" x14ac:dyDescent="0.2">
      <c r="N1952" s="7"/>
      <c r="O1952" s="4"/>
    </row>
    <row r="1953" spans="14:15" x14ac:dyDescent="0.2">
      <c r="N1953" s="7"/>
      <c r="O1953" s="4"/>
    </row>
    <row r="1954" spans="14:15" x14ac:dyDescent="0.2">
      <c r="N1954" s="7"/>
      <c r="O1954" s="4"/>
    </row>
    <row r="1955" spans="14:15" x14ac:dyDescent="0.2">
      <c r="N1955" s="7"/>
      <c r="O1955" s="4"/>
    </row>
    <row r="1956" spans="14:15" x14ac:dyDescent="0.2">
      <c r="N1956" s="7"/>
      <c r="O1956" s="4"/>
    </row>
    <row r="1957" spans="14:15" x14ac:dyDescent="0.2">
      <c r="N1957" s="7"/>
      <c r="O1957" s="4"/>
    </row>
    <row r="1958" spans="14:15" x14ac:dyDescent="0.2">
      <c r="N1958" s="7"/>
      <c r="O1958" s="4"/>
    </row>
    <row r="1959" spans="14:15" x14ac:dyDescent="0.2">
      <c r="N1959" s="7"/>
      <c r="O1959" s="4"/>
    </row>
    <row r="1960" spans="14:15" x14ac:dyDescent="0.2">
      <c r="N1960" s="7"/>
      <c r="O1960" s="4"/>
    </row>
    <row r="1961" spans="14:15" x14ac:dyDescent="0.2">
      <c r="N1961" s="7"/>
      <c r="O1961" s="4"/>
    </row>
    <row r="1962" spans="14:15" x14ac:dyDescent="0.2">
      <c r="N1962" s="7"/>
      <c r="O1962" s="4"/>
    </row>
    <row r="1963" spans="14:15" x14ac:dyDescent="0.2">
      <c r="N1963" s="7"/>
      <c r="O1963" s="4"/>
    </row>
    <row r="1964" spans="14:15" x14ac:dyDescent="0.2">
      <c r="N1964" s="7"/>
      <c r="O1964" s="4"/>
    </row>
    <row r="1965" spans="14:15" x14ac:dyDescent="0.2">
      <c r="N1965" s="7"/>
      <c r="O1965" s="4"/>
    </row>
    <row r="1966" spans="14:15" x14ac:dyDescent="0.2">
      <c r="N1966" s="7"/>
      <c r="O1966" s="4"/>
    </row>
    <row r="1967" spans="14:15" x14ac:dyDescent="0.2">
      <c r="N1967" s="7"/>
      <c r="O1967" s="4"/>
    </row>
    <row r="1968" spans="14:15" x14ac:dyDescent="0.2">
      <c r="N1968" s="7"/>
      <c r="O1968" s="4"/>
    </row>
    <row r="1969" spans="14:14" x14ac:dyDescent="0.2">
      <c r="N1969" s="7"/>
    </row>
    <row r="1970" spans="14:14" x14ac:dyDescent="0.2">
      <c r="N1970" s="7"/>
    </row>
    <row r="1971" spans="14:14" x14ac:dyDescent="0.2">
      <c r="N1971" s="7"/>
    </row>
    <row r="1972" spans="14:14" x14ac:dyDescent="0.2">
      <c r="N1972" s="7"/>
    </row>
    <row r="1973" spans="14:14" x14ac:dyDescent="0.2">
      <c r="N1973" s="7"/>
    </row>
    <row r="1974" spans="14:14" x14ac:dyDescent="0.2">
      <c r="N1974" s="7"/>
    </row>
    <row r="1975" spans="14:14" x14ac:dyDescent="0.2">
      <c r="N1975" s="7"/>
    </row>
    <row r="1976" spans="14:14" x14ac:dyDescent="0.2">
      <c r="N1976" s="7"/>
    </row>
    <row r="1977" spans="14:14" x14ac:dyDescent="0.2">
      <c r="N1977" s="7"/>
    </row>
    <row r="1978" spans="14:14" x14ac:dyDescent="0.2">
      <c r="N1978" s="7"/>
    </row>
    <row r="1979" spans="14:14" x14ac:dyDescent="0.2">
      <c r="N1979" s="7"/>
    </row>
    <row r="1980" spans="14:14" x14ac:dyDescent="0.2">
      <c r="N1980" s="7"/>
    </row>
    <row r="1981" spans="14:14" x14ac:dyDescent="0.2">
      <c r="N1981" s="7"/>
    </row>
    <row r="1982" spans="14:14" x14ac:dyDescent="0.2">
      <c r="N1982" s="7"/>
    </row>
    <row r="1983" spans="14:14" x14ac:dyDescent="0.2">
      <c r="N1983" s="7"/>
    </row>
    <row r="1984" spans="14:14" x14ac:dyDescent="0.2">
      <c r="N1984" s="7"/>
    </row>
    <row r="1985" spans="14:14" x14ac:dyDescent="0.2">
      <c r="N1985" s="7"/>
    </row>
    <row r="1986" spans="14:14" x14ac:dyDescent="0.2">
      <c r="N1986" s="7"/>
    </row>
    <row r="1987" spans="14:14" x14ac:dyDescent="0.2">
      <c r="N1987" s="7"/>
    </row>
    <row r="1988" spans="14:14" x14ac:dyDescent="0.2">
      <c r="N198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CE13-C7EA-4CB1-A207-B77298BC6B71}">
  <dimension ref="A1:AR969"/>
  <sheetViews>
    <sheetView workbookViewId="0">
      <pane xSplit="1" ySplit="1" topLeftCell="B52" activePane="bottomRight" state="frozen"/>
      <selection activeCell="B21" sqref="B21"/>
      <selection pane="topRight" activeCell="B21" sqref="B21"/>
      <selection pane="bottomLeft" activeCell="B21" sqref="B21"/>
      <selection pane="bottomRight" activeCell="B21" sqref="B21"/>
    </sheetView>
  </sheetViews>
  <sheetFormatPr defaultRowHeight="15" x14ac:dyDescent="0.25"/>
  <cols>
    <col min="2" max="16" width="12.85546875" style="18" customWidth="1"/>
    <col min="19" max="20" width="12.85546875" customWidth="1"/>
    <col min="22" max="29" width="12.85546875" customWidth="1"/>
    <col min="31" max="33" width="12.85546875" customWidth="1"/>
    <col min="35" max="40" width="12.85546875" customWidth="1"/>
  </cols>
  <sheetData>
    <row r="1" spans="1:40" ht="105" x14ac:dyDescent="0.25">
      <c r="A1" s="2"/>
      <c r="B1" s="8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16</v>
      </c>
      <c r="I1" s="9" t="s">
        <v>19</v>
      </c>
      <c r="J1" s="9" t="s">
        <v>20</v>
      </c>
      <c r="K1" s="9" t="s">
        <v>21</v>
      </c>
      <c r="L1" s="9" t="s">
        <v>15</v>
      </c>
      <c r="M1" s="9" t="s">
        <v>16</v>
      </c>
      <c r="N1" s="9" t="s">
        <v>22</v>
      </c>
      <c r="O1" s="9" t="s">
        <v>15</v>
      </c>
      <c r="P1" s="9" t="s">
        <v>16</v>
      </c>
      <c r="S1" s="9" t="s">
        <v>23</v>
      </c>
      <c r="T1" s="9" t="s">
        <v>24</v>
      </c>
      <c r="V1" s="9" t="s">
        <v>25</v>
      </c>
      <c r="W1" s="9" t="s">
        <v>26</v>
      </c>
      <c r="X1" s="9"/>
      <c r="Y1" s="9" t="s">
        <v>27</v>
      </c>
      <c r="Z1" s="9" t="s">
        <v>28</v>
      </c>
      <c r="AA1" s="9" t="s">
        <v>29</v>
      </c>
      <c r="AB1" s="9" t="s">
        <v>30</v>
      </c>
      <c r="AC1" s="9" t="s">
        <v>31</v>
      </c>
      <c r="AE1" s="9" t="s">
        <v>32</v>
      </c>
      <c r="AF1" s="9" t="s">
        <v>33</v>
      </c>
      <c r="AG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</row>
    <row r="2" spans="1:40" x14ac:dyDescent="0.25">
      <c r="A2" s="10">
        <v>43586</v>
      </c>
      <c r="B2" s="11">
        <v>0.23691090909090901</v>
      </c>
      <c r="C2" s="12">
        <f>[6]Biodiesel!$K7</f>
        <v>164042436</v>
      </c>
      <c r="D2" s="12">
        <f>AVERAGE([6]Biodiesel!$F7:$J7)</f>
        <v>135994124.40000001</v>
      </c>
      <c r="E2" s="12">
        <f>C2-D2</f>
        <v>28048311.599999994</v>
      </c>
      <c r="F2" s="12">
        <f>'[7]D4 Gallon Forecast'!$K105+'[7]D4 Gallon Forecast'!$K73</f>
        <v>179698181</v>
      </c>
      <c r="G2" s="12">
        <f>SUM('[7]D4 Gallon Forecast'!$F73:$J73,'[7]D4 Gallon Forecast'!$F105:$J105)/5</f>
        <v>157613304.80000001</v>
      </c>
      <c r="H2" s="12">
        <f>F2-G2</f>
        <v>22084876.199999988</v>
      </c>
      <c r="I2" s="11">
        <f>'RINs and HOBO Forecast'!C31/100</f>
        <v>0.43106299999999997</v>
      </c>
      <c r="J2" s="11">
        <f>I2-B2</f>
        <v>0.19415209090909097</v>
      </c>
      <c r="K2" s="12">
        <f>'[6]Renewable Diesel'!$K53</f>
        <v>40382855</v>
      </c>
      <c r="L2" s="12">
        <f>AVERAGE('[6]Renewable Diesel'!$F53:$J53)</f>
        <v>19958900.399999999</v>
      </c>
      <c r="M2" s="12">
        <f>K2-L2</f>
        <v>20423954.600000001</v>
      </c>
      <c r="N2" s="12">
        <f>'[6]Renewable Diesel'!$K7</f>
        <v>82142398</v>
      </c>
      <c r="O2" s="12">
        <f>AVERAGE('[6]Renewable Diesel'!$F7:$J7)</f>
        <v>54874410.799999997</v>
      </c>
      <c r="P2" s="12">
        <f>N2-O2</f>
        <v>27267987.200000003</v>
      </c>
      <c r="S2" s="11">
        <f>'[8]Soy Complex'!$BH601</f>
        <v>30.131399999999999</v>
      </c>
      <c r="T2" s="11">
        <v>271.72730000000001</v>
      </c>
      <c r="U2" s="11"/>
      <c r="V2" s="11">
        <v>327.5</v>
      </c>
      <c r="W2" s="11" t="e">
        <f>#REF!*100</f>
        <v>#REF!</v>
      </c>
      <c r="X2" s="11"/>
      <c r="Y2" s="11">
        <f>V2-T2</f>
        <v>55.772699999999986</v>
      </c>
      <c r="Z2" s="11"/>
    </row>
    <row r="3" spans="1:40" x14ac:dyDescent="0.25">
      <c r="A3" s="10">
        <v>43617</v>
      </c>
      <c r="B3" s="11">
        <v>0.265683</v>
      </c>
      <c r="C3" s="12">
        <f>[6]Biodiesel!$K8</f>
        <v>144102423</v>
      </c>
      <c r="D3" s="12">
        <f>AVERAGE([6]Biodiesel!$F8:$J8)</f>
        <v>138494373.19999999</v>
      </c>
      <c r="E3" s="12">
        <f t="shared" ref="E3:E20" si="0">C3-D3</f>
        <v>5608049.8000000119</v>
      </c>
      <c r="F3" s="12">
        <f>'[7]D4 Gallon Forecast'!$K106+'[7]D4 Gallon Forecast'!$K74</f>
        <v>163491563</v>
      </c>
      <c r="G3" s="12">
        <f>SUM('[7]D4 Gallon Forecast'!$F74:$J74,'[7]D4 Gallon Forecast'!$F106:$J106)/5</f>
        <v>173450761.59999999</v>
      </c>
      <c r="H3" s="12">
        <f t="shared" ref="H3:H57" si="1">F3-G3</f>
        <v>-9959198.599999994</v>
      </c>
      <c r="I3" s="11">
        <f>'RINs and HOBO Forecast'!C32/100</f>
        <v>0.42397699999999999</v>
      </c>
      <c r="J3" s="11">
        <f t="shared" ref="J3:J66" si="2">I3-B3</f>
        <v>0.15829399999999999</v>
      </c>
      <c r="K3" s="12">
        <f>'[6]Renewable Diesel'!$K54</f>
        <v>39760652</v>
      </c>
      <c r="L3" s="12">
        <f>AVERAGE('[6]Renewable Diesel'!$F54:$J54)</f>
        <v>16557098.199999999</v>
      </c>
      <c r="M3" s="12">
        <f t="shared" ref="M3:M66" si="3">K3-L3</f>
        <v>23203553.800000001</v>
      </c>
      <c r="N3" s="12">
        <f>'[6]Renewable Diesel'!$K8</f>
        <v>82162241</v>
      </c>
      <c r="O3" s="12">
        <f>AVERAGE('[6]Renewable Diesel'!$F8:$J8)</f>
        <v>49885498</v>
      </c>
      <c r="P3" s="12">
        <f t="shared" ref="P3:P66" si="4">N3-O3</f>
        <v>32276743</v>
      </c>
      <c r="S3" s="11">
        <f>'[8]Soy Complex'!$BH602</f>
        <v>31.390499999999999</v>
      </c>
      <c r="T3" s="11">
        <v>274.2</v>
      </c>
      <c r="U3" s="11"/>
      <c r="V3" s="11">
        <v>327.2</v>
      </c>
      <c r="W3" s="11" t="e">
        <f>#REF!*100</f>
        <v>#REF!</v>
      </c>
      <c r="X3" s="11"/>
      <c r="Y3" s="11">
        <f t="shared" ref="Y3:Y55" si="5">V3-T3</f>
        <v>53</v>
      </c>
      <c r="Z3" s="11"/>
    </row>
    <row r="4" spans="1:40" x14ac:dyDescent="0.25">
      <c r="A4" s="10">
        <v>43647</v>
      </c>
      <c r="B4" s="11">
        <v>0.20697272727272714</v>
      </c>
      <c r="C4" s="12">
        <f>[6]Biodiesel!$K9</f>
        <v>169452631</v>
      </c>
      <c r="D4" s="12">
        <f>AVERAGE([6]Biodiesel!$F9:$J9)</f>
        <v>143056824.59999999</v>
      </c>
      <c r="E4" s="12">
        <f t="shared" si="0"/>
        <v>26395806.400000006</v>
      </c>
      <c r="F4" s="12">
        <f>'[7]D4 Gallon Forecast'!$K107+'[7]D4 Gallon Forecast'!$K75</f>
        <v>185779056</v>
      </c>
      <c r="G4" s="12">
        <f>SUM('[7]D4 Gallon Forecast'!$F75:$J75,'[7]D4 Gallon Forecast'!$F107:$J107)/5</f>
        <v>171141785.40000001</v>
      </c>
      <c r="H4" s="12">
        <f t="shared" si="1"/>
        <v>14637270.599999994</v>
      </c>
      <c r="I4" s="11">
        <f>'RINs and HOBO Forecast'!C33/100</f>
        <v>0.45590899999999995</v>
      </c>
      <c r="J4" s="11">
        <f t="shared" si="2"/>
        <v>0.24893627272727281</v>
      </c>
      <c r="K4" s="12">
        <f>'[6]Renewable Diesel'!$K55</f>
        <v>46282285</v>
      </c>
      <c r="L4" s="12">
        <f>AVERAGE('[6]Renewable Diesel'!$F55:$J55)</f>
        <v>15848828.6</v>
      </c>
      <c r="M4" s="12">
        <f t="shared" si="3"/>
        <v>30433456.399999999</v>
      </c>
      <c r="N4" s="12">
        <f>'[6]Renewable Diesel'!$K9</f>
        <v>85812918</v>
      </c>
      <c r="O4" s="12">
        <f>AVERAGE('[6]Renewable Diesel'!$F9:$J9)</f>
        <v>49663668.600000001</v>
      </c>
      <c r="P4" s="12">
        <f t="shared" si="4"/>
        <v>36149249.399999999</v>
      </c>
      <c r="S4" s="11">
        <f>'[8]Soy Complex'!$BH603</f>
        <v>31.423200000000001</v>
      </c>
      <c r="T4" s="11">
        <v>277.9545</v>
      </c>
      <c r="U4" s="11"/>
      <c r="V4" s="11">
        <v>332.86360000000002</v>
      </c>
      <c r="W4" s="11" t="e">
        <f>#REF!*100</f>
        <v>#REF!</v>
      </c>
      <c r="X4" s="11"/>
      <c r="Y4" s="11">
        <f t="shared" si="5"/>
        <v>54.909100000000024</v>
      </c>
      <c r="Z4" s="11"/>
    </row>
    <row r="5" spans="1:40" x14ac:dyDescent="0.25">
      <c r="A5" s="10">
        <v>43678</v>
      </c>
      <c r="B5" s="11">
        <v>0.3396336363636363</v>
      </c>
      <c r="C5" s="12">
        <f>[6]Biodiesel!$K10</f>
        <v>153598697</v>
      </c>
      <c r="D5" s="12">
        <f>AVERAGE([6]Biodiesel!$F10:$J10)</f>
        <v>150664742.19999999</v>
      </c>
      <c r="E5" s="12">
        <f t="shared" si="0"/>
        <v>2933954.8000000119</v>
      </c>
      <c r="F5" s="12">
        <f>'[7]D4 Gallon Forecast'!$K108+'[7]D4 Gallon Forecast'!$K76</f>
        <v>162420863</v>
      </c>
      <c r="G5" s="12">
        <f>SUM('[7]D4 Gallon Forecast'!$F76:$J76,'[7]D4 Gallon Forecast'!$F108:$J108)/5</f>
        <v>183557689.59999999</v>
      </c>
      <c r="H5" s="12">
        <f t="shared" si="1"/>
        <v>-21136826.599999994</v>
      </c>
      <c r="I5" s="11">
        <f>'RINs and HOBO Forecast'!C34/100</f>
        <v>0.49060000000000004</v>
      </c>
      <c r="J5" s="11">
        <f t="shared" si="2"/>
        <v>0.15096636363636373</v>
      </c>
      <c r="K5" s="12">
        <f>'[6]Renewable Diesel'!$K56</f>
        <v>30180616</v>
      </c>
      <c r="L5" s="12">
        <f>AVERAGE('[6]Renewable Diesel'!$F56:$J56)</f>
        <v>16528095.800000001</v>
      </c>
      <c r="M5" s="12">
        <f t="shared" si="3"/>
        <v>13652520.199999999</v>
      </c>
      <c r="N5" s="12">
        <f>'[6]Renewable Diesel'!$K10</f>
        <v>62470075</v>
      </c>
      <c r="O5" s="12">
        <f>AVERAGE('[6]Renewable Diesel'!$F10:$J10)</f>
        <v>42429308</v>
      </c>
      <c r="P5" s="12">
        <f t="shared" si="4"/>
        <v>20040767</v>
      </c>
      <c r="S5" s="11">
        <f>'[8]Soy Complex'!$BH604</f>
        <v>31.520900000000001</v>
      </c>
      <c r="T5" s="11">
        <v>276.18180000000001</v>
      </c>
      <c r="U5" s="11"/>
      <c r="V5" s="11">
        <v>338.5</v>
      </c>
      <c r="W5" s="11" t="e">
        <f>#REF!*100</f>
        <v>#REF!</v>
      </c>
      <c r="X5" s="11"/>
      <c r="Y5" s="11">
        <f t="shared" si="5"/>
        <v>62.31819999999999</v>
      </c>
      <c r="Z5" s="11"/>
    </row>
    <row r="6" spans="1:40" x14ac:dyDescent="0.25">
      <c r="A6" s="10">
        <v>43709</v>
      </c>
      <c r="B6" s="11">
        <v>0.26977199999999979</v>
      </c>
      <c r="C6" s="12">
        <f>[6]Biodiesel!$K11</f>
        <v>143659811</v>
      </c>
      <c r="D6" s="12">
        <f>AVERAGE([6]Biodiesel!$F11:$J11)</f>
        <v>138953978</v>
      </c>
      <c r="E6" s="12">
        <f t="shared" si="0"/>
        <v>4705833</v>
      </c>
      <c r="F6" s="12">
        <f>'[7]D4 Gallon Forecast'!$K109+'[7]D4 Gallon Forecast'!$K77</f>
        <v>158518831</v>
      </c>
      <c r="G6" s="12">
        <f>SUM('[7]D4 Gallon Forecast'!$F77:$J77,'[7]D4 Gallon Forecast'!$F109:$J109)/5</f>
        <v>168306844</v>
      </c>
      <c r="H6" s="12">
        <f t="shared" si="1"/>
        <v>-9788013</v>
      </c>
      <c r="I6" s="11">
        <f>'RINs and HOBO Forecast'!C35/100</f>
        <v>0.56760900000000003</v>
      </c>
      <c r="J6" s="11">
        <f t="shared" si="2"/>
        <v>0.29783700000000024</v>
      </c>
      <c r="K6" s="12">
        <f>'[6]Renewable Diesel'!$K57</f>
        <v>40692380</v>
      </c>
      <c r="L6" s="12">
        <f>AVERAGE('[6]Renewable Diesel'!$F57:$J57)</f>
        <v>18645317.199999999</v>
      </c>
      <c r="M6" s="12">
        <f t="shared" si="3"/>
        <v>22047062.800000001</v>
      </c>
      <c r="N6" s="12">
        <f>'[6]Renewable Diesel'!$K11</f>
        <v>70828489</v>
      </c>
      <c r="O6" s="12">
        <f>AVERAGE('[6]Renewable Diesel'!$F11:$J11)</f>
        <v>40940730.799999997</v>
      </c>
      <c r="P6" s="12">
        <f t="shared" si="4"/>
        <v>29887758.200000003</v>
      </c>
      <c r="S6" s="11">
        <f>'[8]Soy Complex'!$BH605</f>
        <v>31.963000000000001</v>
      </c>
      <c r="T6" s="11">
        <v>274.57499999999999</v>
      </c>
      <c r="U6" s="11"/>
      <c r="V6" s="11">
        <v>343.97500000000002</v>
      </c>
      <c r="W6" s="11" t="e">
        <f>#REF!*100</f>
        <v>#REF!</v>
      </c>
      <c r="X6" s="11"/>
      <c r="Y6" s="11">
        <f t="shared" si="5"/>
        <v>69.400000000000034</v>
      </c>
      <c r="Z6" s="11"/>
    </row>
    <row r="7" spans="1:40" x14ac:dyDescent="0.25">
      <c r="A7" s="10">
        <v>43739</v>
      </c>
      <c r="B7" s="11">
        <v>0.37060347826086942</v>
      </c>
      <c r="C7" s="12">
        <f>[6]Biodiesel!$K12</f>
        <v>146618360</v>
      </c>
      <c r="D7" s="12">
        <f>AVERAGE([6]Biodiesel!$F12:$J12)</f>
        <v>137986529.59999999</v>
      </c>
      <c r="E7" s="12">
        <f t="shared" si="0"/>
        <v>8631830.400000006</v>
      </c>
      <c r="F7" s="12">
        <f>'[7]D4 Gallon Forecast'!$K110+'[7]D4 Gallon Forecast'!$K78</f>
        <v>160399806</v>
      </c>
      <c r="G7" s="12">
        <f>SUM('[7]D4 Gallon Forecast'!$F78:$J78,'[7]D4 Gallon Forecast'!$F110:$J110)/5</f>
        <v>170859226.40000001</v>
      </c>
      <c r="H7" s="12">
        <f t="shared" si="1"/>
        <v>-10459420.400000006</v>
      </c>
      <c r="I7" s="11">
        <f>'RINs and HOBO Forecast'!C36/100</f>
        <v>0.61986799999999997</v>
      </c>
      <c r="J7" s="11">
        <f t="shared" si="2"/>
        <v>0.24926452173913055</v>
      </c>
      <c r="K7" s="12">
        <f>'[6]Renewable Diesel'!$K58</f>
        <v>48569223</v>
      </c>
      <c r="L7" s="12">
        <f>AVERAGE('[6]Renewable Diesel'!$F58:$J58)</f>
        <v>22625576.399999999</v>
      </c>
      <c r="M7" s="12">
        <f t="shared" si="3"/>
        <v>25943646.600000001</v>
      </c>
      <c r="N7" s="12">
        <f>'[6]Renewable Diesel'!$K12</f>
        <v>90132484</v>
      </c>
      <c r="O7" s="12">
        <f>AVERAGE('[6]Renewable Diesel'!$F12:$J12)</f>
        <v>42840675.799999997</v>
      </c>
      <c r="P7" s="12">
        <f t="shared" si="4"/>
        <v>47291808.200000003</v>
      </c>
      <c r="S7" s="11">
        <f>'[8]Soy Complex'!$BI594</f>
        <v>33.269100000000002</v>
      </c>
      <c r="T7" s="11">
        <v>280.3261</v>
      </c>
      <c r="U7" s="11"/>
      <c r="V7" s="11">
        <v>338.3261</v>
      </c>
      <c r="W7" s="11" t="e">
        <f>#REF!*100</f>
        <v>#REF!</v>
      </c>
      <c r="X7" s="11"/>
      <c r="Y7" s="11">
        <f t="shared" si="5"/>
        <v>58</v>
      </c>
      <c r="Z7" s="11"/>
    </row>
    <row r="8" spans="1:40" x14ac:dyDescent="0.25">
      <c r="A8" s="10">
        <v>43770</v>
      </c>
      <c r="B8" s="11">
        <v>0.43054800000000004</v>
      </c>
      <c r="C8" s="12">
        <f>[6]Biodiesel!$K13</f>
        <v>119139678</v>
      </c>
      <c r="D8" s="12">
        <f>AVERAGE([6]Biodiesel!$F13:$J13)</f>
        <v>126443884.40000001</v>
      </c>
      <c r="E8" s="12">
        <f t="shared" si="0"/>
        <v>-7304206.400000006</v>
      </c>
      <c r="F8" s="12">
        <f>'[7]D4 Gallon Forecast'!$K111+'[7]D4 Gallon Forecast'!$K79</f>
        <v>134375291</v>
      </c>
      <c r="G8" s="12">
        <f>SUM('[7]D4 Gallon Forecast'!$F79:$J79,'[7]D4 Gallon Forecast'!$F111:$J111)/5</f>
        <v>157507598.19999999</v>
      </c>
      <c r="H8" s="12">
        <f t="shared" si="1"/>
        <v>-23132307.199999988</v>
      </c>
      <c r="I8" s="11">
        <f>'RINs and HOBO Forecast'!C37/100</f>
        <v>0.50631000000000004</v>
      </c>
      <c r="J8" s="11">
        <f t="shared" si="2"/>
        <v>7.5761999999999996E-2</v>
      </c>
      <c r="K8" s="12">
        <f>'[6]Renewable Diesel'!$K59</f>
        <v>42514597</v>
      </c>
      <c r="L8" s="12">
        <f>AVERAGE('[6]Renewable Diesel'!$F59:$J59)</f>
        <v>23996356.199999999</v>
      </c>
      <c r="M8" s="12">
        <f t="shared" si="3"/>
        <v>18518240.800000001</v>
      </c>
      <c r="N8" s="12">
        <f>'[6]Renewable Diesel'!$K13</f>
        <v>73664807</v>
      </c>
      <c r="O8" s="12">
        <f>AVERAGE('[6]Renewable Diesel'!$F13:$J13)</f>
        <v>51091300</v>
      </c>
      <c r="P8" s="12">
        <f t="shared" si="4"/>
        <v>22573507</v>
      </c>
      <c r="S8" s="11">
        <f>'[8]Soy Complex'!$BI595</f>
        <v>33.766500000000001</v>
      </c>
      <c r="T8" s="11">
        <v>285.13159999999999</v>
      </c>
      <c r="U8" s="11"/>
      <c r="V8" s="11">
        <v>342</v>
      </c>
      <c r="W8" s="11" t="e">
        <f>#REF!*100</f>
        <v>#REF!</v>
      </c>
      <c r="X8" s="11"/>
      <c r="Y8" s="11">
        <f t="shared" si="5"/>
        <v>56.868400000000008</v>
      </c>
      <c r="Z8" s="11"/>
      <c r="AE8" s="11">
        <v>1.9216350000000002</v>
      </c>
      <c r="AF8" s="11">
        <f>[3]Prices!$D601*7.5/100</f>
        <v>2.32185</v>
      </c>
      <c r="AG8" s="11">
        <f>(AF8-AE8)*100</f>
        <v>40.021499999999975</v>
      </c>
      <c r="AJ8" s="11">
        <v>3.7518750000000001</v>
      </c>
      <c r="AK8" s="11">
        <v>1.6458199999999998</v>
      </c>
      <c r="AL8" s="11">
        <f>AJ8/2.8-AK8</f>
        <v>-0.30586464285714254</v>
      </c>
      <c r="AM8" s="13">
        <f>'[7]D6 Gallon Forecast'!$K40/1000000</f>
        <v>1251.9929480000001</v>
      </c>
    </row>
    <row r="9" spans="1:40" x14ac:dyDescent="0.25">
      <c r="A9" s="10">
        <v>43800</v>
      </c>
      <c r="B9" s="11">
        <v>0.49128952380952373</v>
      </c>
      <c r="C9" s="12">
        <f>[6]Biodiesel!$K14</f>
        <v>139601581</v>
      </c>
      <c r="D9" s="12">
        <f>AVERAGE([6]Biodiesel!$F14:$J14)</f>
        <v>161347316.80000001</v>
      </c>
      <c r="E9" s="12">
        <f t="shared" si="0"/>
        <v>-21745735.800000012</v>
      </c>
      <c r="F9" s="12">
        <f>'[7]D4 Gallon Forecast'!$K112+'[7]D4 Gallon Forecast'!$K80</f>
        <v>163919996</v>
      </c>
      <c r="G9" s="12">
        <f>SUM('[7]D4 Gallon Forecast'!$F80:$J80,'[7]D4 Gallon Forecast'!$F112:$J112)/5</f>
        <v>208601810.40000001</v>
      </c>
      <c r="H9" s="12">
        <f t="shared" si="1"/>
        <v>-44681814.400000006</v>
      </c>
      <c r="I9" s="11">
        <f>'RINs and HOBO Forecast'!C38/100</f>
        <v>0.40352300000000002</v>
      </c>
      <c r="J9" s="11">
        <f t="shared" si="2"/>
        <v>-8.7766523809523711E-2</v>
      </c>
      <c r="K9" s="12">
        <f>'[6]Renewable Diesel'!$K60</f>
        <v>52796160</v>
      </c>
      <c r="L9" s="12">
        <f>AVERAGE('[6]Renewable Diesel'!$F60:$J60)</f>
        <v>27232680</v>
      </c>
      <c r="M9" s="12">
        <f t="shared" si="3"/>
        <v>25563480</v>
      </c>
      <c r="N9" s="12">
        <f>'[6]Renewable Diesel'!$K14</f>
        <v>88201170</v>
      </c>
      <c r="O9" s="12">
        <f>AVERAGE('[6]Renewable Diesel'!$F14:$J14)</f>
        <v>52515849</v>
      </c>
      <c r="P9" s="12">
        <f t="shared" si="4"/>
        <v>35685321</v>
      </c>
      <c r="S9" s="11">
        <f>'[8]Soy Complex'!$BI596</f>
        <v>35.382399999999997</v>
      </c>
      <c r="T9" s="11">
        <v>292.09519999999998</v>
      </c>
      <c r="U9" s="11"/>
      <c r="V9" s="11">
        <v>344</v>
      </c>
      <c r="W9" s="11" t="e">
        <f>#REF!*100</f>
        <v>#REF!</v>
      </c>
      <c r="X9" s="11"/>
      <c r="Y9" s="11">
        <f t="shared" si="5"/>
        <v>51.904800000000023</v>
      </c>
      <c r="Z9" s="11"/>
      <c r="AE9" s="11">
        <v>1.985166666666667</v>
      </c>
      <c r="AF9" s="11">
        <f>[3]Prices!$D602*7.5/100</f>
        <v>2.451714285714286</v>
      </c>
      <c r="AG9" s="11">
        <f t="shared" ref="AG9:AG60" si="6">(AF9-AE9)*100</f>
        <v>46.654761904761898</v>
      </c>
      <c r="AJ9" s="11">
        <v>3.8323809523809524</v>
      </c>
      <c r="AK9" s="11">
        <v>1.6684666666666668</v>
      </c>
      <c r="AL9" s="11">
        <f t="shared" ref="AL9:AL72" si="7">AJ9/2.8-AK9</f>
        <v>-0.29975918367346943</v>
      </c>
      <c r="AM9" s="13">
        <f>'[7]D6 Gallon Forecast'!$K41/1000000</f>
        <v>1192.0472179999999</v>
      </c>
    </row>
    <row r="10" spans="1:40" x14ac:dyDescent="0.25">
      <c r="A10" s="10">
        <v>43831</v>
      </c>
      <c r="B10" s="11">
        <v>0.65678952380952382</v>
      </c>
      <c r="C10" s="12">
        <f>[6]Biodiesel!$L3</f>
        <v>118403817</v>
      </c>
      <c r="D10" s="12">
        <f>AVERAGE([6]Biodiesel!$G3:$K3)</f>
        <v>85108226.400000006</v>
      </c>
      <c r="E10" s="12">
        <f t="shared" si="0"/>
        <v>33295590.599999994</v>
      </c>
      <c r="F10" s="12">
        <f>'[7]D4 Gallon Forecast'!$K69+'[7]D4 Gallon Forecast'!$K101</f>
        <v>119478211</v>
      </c>
      <c r="G10" s="12">
        <f>SUM('[7]D4 Gallon Forecast'!$G101:$K101,'[7]D4 Gallon Forecast'!$G69:$K69)/5</f>
        <v>99716270.200000003</v>
      </c>
      <c r="H10" s="12">
        <f>F10-G10</f>
        <v>19761940.799999997</v>
      </c>
      <c r="I10" s="11">
        <f>'RINs and HOBO Forecast'!C39/100</f>
        <v>0.48539499999999997</v>
      </c>
      <c r="J10" s="11">
        <f t="shared" si="2"/>
        <v>-0.17139452380952386</v>
      </c>
      <c r="K10" s="12">
        <f>'[6]Renewable Diesel'!$L49</f>
        <v>41857492</v>
      </c>
      <c r="L10" s="12">
        <f>AVERAGE('[6]Renewable Diesel'!$G49:$K49)</f>
        <v>19598206.199999999</v>
      </c>
      <c r="M10" s="12">
        <f t="shared" si="3"/>
        <v>22259285.800000001</v>
      </c>
      <c r="N10" s="12">
        <f>'[6]Renewable Diesel'!$L3</f>
        <v>64113409</v>
      </c>
      <c r="O10" s="12">
        <f>AVERAGE('[6]Renewable Diesel'!$G3:$K3)</f>
        <v>33665292</v>
      </c>
      <c r="P10" s="12">
        <f t="shared" si="4"/>
        <v>30448117</v>
      </c>
      <c r="S10" s="11">
        <f>'[8]Soy Complex'!$BI597</f>
        <v>36.0929</v>
      </c>
      <c r="T10" s="11">
        <v>309.84089999999998</v>
      </c>
      <c r="U10" s="11"/>
      <c r="V10" s="11">
        <v>343.5</v>
      </c>
      <c r="W10" s="11" t="e">
        <f>#REF!*100</f>
        <v>#REF!</v>
      </c>
      <c r="X10" s="11"/>
      <c r="Y10" s="11">
        <f t="shared" si="5"/>
        <v>33.659100000000024</v>
      </c>
      <c r="Z10" s="11"/>
      <c r="AE10" s="11">
        <v>1.8546714285714287</v>
      </c>
      <c r="AF10" s="11">
        <f>[3]Prices!$D603*7.5/100</f>
        <v>2.4863214285714288</v>
      </c>
      <c r="AG10" s="11">
        <f t="shared" si="6"/>
        <v>63.165000000000006</v>
      </c>
      <c r="AJ10" s="11">
        <v>3.8573809523809524</v>
      </c>
      <c r="AK10" s="11">
        <v>1.615547619047619</v>
      </c>
      <c r="AL10" s="11">
        <f t="shared" si="7"/>
        <v>-0.23791156462585028</v>
      </c>
      <c r="AM10" s="13">
        <f>'[7]D6 Gallon Forecast'!$L30/1000000</f>
        <v>9.5198057542983587E-8</v>
      </c>
    </row>
    <row r="11" spans="1:40" x14ac:dyDescent="0.25">
      <c r="A11" s="10">
        <v>43862</v>
      </c>
      <c r="B11" s="11">
        <v>0.6760484210526313</v>
      </c>
      <c r="C11" s="12">
        <f>[6]Biodiesel!$L4</f>
        <v>128033003</v>
      </c>
      <c r="D11" s="12">
        <f>AVERAGE([6]Biodiesel!$G4:$K4)</f>
        <v>94915609</v>
      </c>
      <c r="E11" s="12">
        <f t="shared" si="0"/>
        <v>33117394</v>
      </c>
      <c r="F11" s="12">
        <f>'[7]D4 Gallon Forecast'!$K70+'[7]D4 Gallon Forecast'!$K102</f>
        <v>128298680</v>
      </c>
      <c r="G11" s="12">
        <f>SUM('[7]D4 Gallon Forecast'!$G102:$K102,'[7]D4 Gallon Forecast'!$G70:$K70)/5</f>
        <v>109140714.8</v>
      </c>
      <c r="H11" s="12">
        <f t="shared" si="1"/>
        <v>19157965.200000003</v>
      </c>
      <c r="I11" s="11">
        <f>'RINs and HOBO Forecast'!C40/100</f>
        <v>0.48568199999999995</v>
      </c>
      <c r="J11" s="11">
        <f t="shared" si="2"/>
        <v>-0.19036642105263135</v>
      </c>
      <c r="K11" s="12">
        <f>'[6]Renewable Diesel'!$L50</f>
        <v>37300666</v>
      </c>
      <c r="L11" s="12">
        <f>AVERAGE('[6]Renewable Diesel'!$G50:$K50)</f>
        <v>20731433.800000001</v>
      </c>
      <c r="M11" s="12">
        <f t="shared" si="3"/>
        <v>16569232.199999999</v>
      </c>
      <c r="N11" s="12">
        <f>'[6]Renewable Diesel'!$L4</f>
        <v>65672413</v>
      </c>
      <c r="O11" s="12">
        <f>AVERAGE('[6]Renewable Diesel'!$G4:$K4)</f>
        <v>33572215.799999997</v>
      </c>
      <c r="P11" s="12">
        <f t="shared" si="4"/>
        <v>32100197.200000003</v>
      </c>
      <c r="S11" s="11">
        <f>'[8]Soy Complex'!$BI598</f>
        <v>33.432600000000001</v>
      </c>
      <c r="T11" s="11">
        <v>301.28949999999998</v>
      </c>
      <c r="U11" s="11"/>
      <c r="V11" s="11">
        <v>330.97370000000001</v>
      </c>
      <c r="W11" s="11" t="e">
        <f>#REF!*100</f>
        <v>#REF!</v>
      </c>
      <c r="X11" s="11"/>
      <c r="Y11" s="11">
        <f t="shared" si="5"/>
        <v>29.684200000000033</v>
      </c>
      <c r="Z11" s="11"/>
      <c r="AE11" s="11">
        <v>1.6207894736842108</v>
      </c>
      <c r="AF11" s="11">
        <f>[3]Prices!$D604*7.5/100</f>
        <v>2.2686315789473688</v>
      </c>
      <c r="AG11" s="11">
        <f t="shared" si="6"/>
        <v>64.784210526315803</v>
      </c>
      <c r="AJ11" s="11">
        <v>3.7814473684210528</v>
      </c>
      <c r="AK11" s="11">
        <v>1.5371578947368418</v>
      </c>
      <c r="AL11" s="11">
        <f t="shared" si="7"/>
        <v>-0.18664097744360864</v>
      </c>
      <c r="AM11" s="13">
        <f>'[7]D6 Gallon Forecast'!$L31/1000000</f>
        <v>345.19467000000191</v>
      </c>
    </row>
    <row r="12" spans="1:40" x14ac:dyDescent="0.25">
      <c r="A12" s="10">
        <v>43891</v>
      </c>
      <c r="B12" s="11">
        <v>0.86921999999999988</v>
      </c>
      <c r="C12" s="12">
        <f>[6]Biodiesel!$L5</f>
        <v>150092678</v>
      </c>
      <c r="D12" s="12">
        <f>AVERAGE([6]Biodiesel!$G5:$K5)</f>
        <v>124660901</v>
      </c>
      <c r="E12" s="12">
        <f t="shared" si="0"/>
        <v>25431777</v>
      </c>
      <c r="F12" s="12">
        <f>'[7]D4 Gallon Forecast'!$K71+'[7]D4 Gallon Forecast'!$K103</f>
        <v>159714776</v>
      </c>
      <c r="G12" s="12">
        <f>SUM('[7]D4 Gallon Forecast'!$G103:$K103,'[7]D4 Gallon Forecast'!$G71:$K71)/5</f>
        <v>141753381.80000001</v>
      </c>
      <c r="H12" s="12">
        <f t="shared" si="1"/>
        <v>17961394.199999988</v>
      </c>
      <c r="I12" s="11">
        <f>'RINs and HOBO Forecast'!C41/100</f>
        <v>0.52107100000000006</v>
      </c>
      <c r="J12" s="11">
        <f t="shared" si="2"/>
        <v>-0.34814899999999982</v>
      </c>
      <c r="K12" s="12">
        <f>'[6]Renewable Diesel'!$L51</f>
        <v>45226785</v>
      </c>
      <c r="L12" s="12">
        <f>AVERAGE('[6]Renewable Diesel'!$G51:$K51)</f>
        <v>22139965.800000001</v>
      </c>
      <c r="M12" s="12">
        <f t="shared" si="3"/>
        <v>23086819.199999999</v>
      </c>
      <c r="N12" s="12">
        <f>'[6]Renewable Diesel'!$L5</f>
        <v>73234335</v>
      </c>
      <c r="O12" s="12">
        <f>AVERAGE('[6]Renewable Diesel'!$G5:$K5)</f>
        <v>36873010</v>
      </c>
      <c r="P12" s="12">
        <f t="shared" si="4"/>
        <v>36361325</v>
      </c>
      <c r="S12" s="11">
        <f>'[8]Soy Complex'!$BI599</f>
        <v>30.1768</v>
      </c>
      <c r="T12" s="11">
        <v>289.84089999999998</v>
      </c>
      <c r="U12" s="11"/>
      <c r="V12" s="11">
        <v>334.31819999999999</v>
      </c>
      <c r="W12" s="11" t="e">
        <f>#REF!*100</f>
        <v>#REF!</v>
      </c>
      <c r="X12" s="11"/>
      <c r="Y12" s="11">
        <f t="shared" si="5"/>
        <v>44.477300000000014</v>
      </c>
      <c r="Z12" s="11"/>
      <c r="AE12" s="11">
        <v>1.1753545454545453</v>
      </c>
      <c r="AF12" s="11">
        <f>[3]Prices!$D605*7.5/100</f>
        <v>2.0263295454545456</v>
      </c>
      <c r="AG12" s="11">
        <f t="shared" si="6"/>
        <v>85.097500000000025</v>
      </c>
      <c r="AJ12" s="11">
        <v>3.5886363636363638</v>
      </c>
      <c r="AK12" s="11">
        <v>0.89755000000000007</v>
      </c>
      <c r="AL12" s="11">
        <f t="shared" si="7"/>
        <v>0.38410584415584426</v>
      </c>
      <c r="AM12" s="13">
        <f>'[7]D6 Gallon Forecast'!$L32/1000000</f>
        <v>2.0200000000000001E-3</v>
      </c>
    </row>
    <row r="13" spans="1:40" x14ac:dyDescent="0.25">
      <c r="A13" s="10">
        <v>43922</v>
      </c>
      <c r="B13" s="11">
        <v>1.1245457142857145</v>
      </c>
      <c r="C13" s="12">
        <f>[6]Biodiesel!$L6</f>
        <v>149356126</v>
      </c>
      <c r="D13" s="12">
        <f>AVERAGE([6]Biodiesel!$G6:$K6)</f>
        <v>132524747.8</v>
      </c>
      <c r="E13" s="12">
        <f t="shared" si="0"/>
        <v>16831378.200000003</v>
      </c>
      <c r="F13" s="12">
        <f>'[7]D4 Gallon Forecast'!$K72+'[7]D4 Gallon Forecast'!$K104</f>
        <v>182408698</v>
      </c>
      <c r="G13" s="12">
        <f>SUM('[7]D4 Gallon Forecast'!$G104:$K104,'[7]D4 Gallon Forecast'!$G72:$K72)/5</f>
        <v>152433426.40000001</v>
      </c>
      <c r="H13" s="12">
        <f t="shared" si="1"/>
        <v>29975271.599999994</v>
      </c>
      <c r="I13" s="11">
        <f>'RINs and HOBO Forecast'!C42/100</f>
        <v>0.53625</v>
      </c>
      <c r="J13" s="11">
        <f t="shared" si="2"/>
        <v>-0.58829571428571448</v>
      </c>
      <c r="K13" s="12">
        <f>'[6]Renewable Diesel'!$L52</f>
        <v>38638856</v>
      </c>
      <c r="L13" s="12">
        <f>AVERAGE('[6]Renewable Diesel'!$G52:$K52)</f>
        <v>24339471.399999999</v>
      </c>
      <c r="M13" s="12">
        <f t="shared" si="3"/>
        <v>14299384.600000001</v>
      </c>
      <c r="N13" s="12">
        <f>'[6]Renewable Diesel'!$L6</f>
        <v>72930573</v>
      </c>
      <c r="O13" s="12">
        <f>AVERAGE('[6]Renewable Diesel'!$G6:$K6)</f>
        <v>57435305.600000001</v>
      </c>
      <c r="P13" s="12">
        <f t="shared" si="4"/>
        <v>15495267.399999999</v>
      </c>
      <c r="S13" s="11">
        <f>'[8]Soy Complex'!$BI600</f>
        <v>28.802900000000001</v>
      </c>
      <c r="T13" s="11">
        <v>277</v>
      </c>
      <c r="U13" s="11"/>
      <c r="V13" s="11">
        <v>339.5</v>
      </c>
      <c r="W13" s="11" t="e">
        <f>#REF!*100</f>
        <v>#REF!</v>
      </c>
      <c r="X13" s="11"/>
      <c r="Y13" s="11">
        <f t="shared" si="5"/>
        <v>62.5</v>
      </c>
      <c r="Z13" s="11"/>
      <c r="AE13" s="11">
        <v>0.89634285714285711</v>
      </c>
      <c r="AF13" s="11">
        <f>[3]Prices!$D606*7.5/100</f>
        <v>1.965214285714286</v>
      </c>
      <c r="AG13" s="11">
        <f t="shared" si="6"/>
        <v>106.88714285714289</v>
      </c>
      <c r="AJ13" s="11">
        <v>3.2398809523809522</v>
      </c>
      <c r="AK13" s="11">
        <v>0.66799047619047636</v>
      </c>
      <c r="AL13" s="11">
        <f t="shared" si="7"/>
        <v>0.48910986394557809</v>
      </c>
      <c r="AM13" s="13">
        <f>'[7]D6 Gallon Forecast'!$L33/1000000</f>
        <v>1246.8623110000001</v>
      </c>
    </row>
    <row r="14" spans="1:40" x14ac:dyDescent="0.25">
      <c r="A14" s="10">
        <v>43952</v>
      </c>
      <c r="B14" s="11">
        <v>1.1078229999999998</v>
      </c>
      <c r="C14" s="12">
        <f>[6]Biodiesel!$L7</f>
        <v>143174223</v>
      </c>
      <c r="D14" s="12">
        <f>AVERAGE([6]Biodiesel!$G7:$K7)</f>
        <v>146831486.80000001</v>
      </c>
      <c r="E14" s="12">
        <f t="shared" si="0"/>
        <v>-3657263.8000000119</v>
      </c>
      <c r="F14" s="12">
        <f>'[7]D4 Gallon Forecast'!$K73+'[7]D4 Gallon Forecast'!$K105</f>
        <v>179698181</v>
      </c>
      <c r="G14" s="12">
        <f>SUM('[7]D4 Gallon Forecast'!$G105:$K105,'[7]D4 Gallon Forecast'!$G73:$K73)/5</f>
        <v>170609799.59999999</v>
      </c>
      <c r="H14" s="12">
        <f t="shared" si="1"/>
        <v>9088381.400000006</v>
      </c>
      <c r="I14" s="11">
        <f>'RINs and HOBO Forecast'!C43/100</f>
        <v>0.56509999999999994</v>
      </c>
      <c r="J14" s="11">
        <f t="shared" si="2"/>
        <v>-0.54272299999999984</v>
      </c>
      <c r="K14" s="12">
        <f>'[6]Renewable Diesel'!$L53</f>
        <v>46421171</v>
      </c>
      <c r="L14" s="12">
        <f>AVERAGE('[6]Renewable Diesel'!$G53:$K53)</f>
        <v>24791702.600000001</v>
      </c>
      <c r="M14" s="12">
        <f t="shared" si="3"/>
        <v>21629468.399999999</v>
      </c>
      <c r="N14" s="12">
        <f>'[6]Renewable Diesel'!$L7</f>
        <v>91153009</v>
      </c>
      <c r="O14" s="12">
        <f>AVERAGE('[6]Renewable Diesel'!$G7:$K7)</f>
        <v>60804915.600000001</v>
      </c>
      <c r="P14" s="12">
        <f t="shared" si="4"/>
        <v>30348093.399999999</v>
      </c>
      <c r="S14" s="11">
        <f>'[8]Soy Complex'!$BI601</f>
        <v>28.418500000000002</v>
      </c>
      <c r="T14" s="11">
        <v>268.17500000000001</v>
      </c>
      <c r="U14" s="11"/>
      <c r="V14" s="11">
        <v>339</v>
      </c>
      <c r="W14" s="11" t="e">
        <f>#REF!*100</f>
        <v>#REF!</v>
      </c>
      <c r="X14" s="11"/>
      <c r="Y14" s="11">
        <f t="shared" si="5"/>
        <v>70.824999999999989</v>
      </c>
      <c r="Z14" s="11"/>
      <c r="AE14" s="11">
        <v>0.92829500000000009</v>
      </c>
      <c r="AF14" s="11">
        <f>[3]Prices!$D607*7.5/100</f>
        <v>2.0031749999999997</v>
      </c>
      <c r="AG14" s="11">
        <f t="shared" si="6"/>
        <v>107.48799999999996</v>
      </c>
      <c r="AJ14" s="11">
        <v>3.1941250000000001</v>
      </c>
      <c r="AK14" s="11">
        <v>0.95472000000000024</v>
      </c>
      <c r="AL14" s="11">
        <f t="shared" si="7"/>
        <v>0.18603892857142834</v>
      </c>
      <c r="AM14" s="13">
        <f>'[7]D6 Gallon Forecast'!$L34/1000000</f>
        <v>1155.0415350000001</v>
      </c>
    </row>
    <row r="15" spans="1:40" x14ac:dyDescent="0.25">
      <c r="A15" s="10">
        <v>43983</v>
      </c>
      <c r="B15" s="11">
        <v>0.97575272727272733</v>
      </c>
      <c r="C15" s="12">
        <f>[6]Biodiesel!$L8</f>
        <v>165519330</v>
      </c>
      <c r="D15" s="12">
        <f>AVERAGE([6]Biodiesel!$G8:$K8)</f>
        <v>144664790.19999999</v>
      </c>
      <c r="E15" s="12">
        <f t="shared" si="0"/>
        <v>20854539.800000012</v>
      </c>
      <c r="F15" s="12">
        <f>'[7]D4 Gallon Forecast'!$K74+'[7]D4 Gallon Forecast'!$K106</f>
        <v>163491563</v>
      </c>
      <c r="G15" s="12">
        <f>SUM('[7]D4 Gallon Forecast'!$G106:$K106,'[7]D4 Gallon Forecast'!$G74:$K74)/5</f>
        <v>182391265.40000001</v>
      </c>
      <c r="H15" s="12">
        <f t="shared" si="1"/>
        <v>-18899702.400000006</v>
      </c>
      <c r="I15" s="11">
        <f>'RINs and HOBO Forecast'!C44/100</f>
        <v>0.59840899999999997</v>
      </c>
      <c r="J15" s="11">
        <f t="shared" si="2"/>
        <v>-0.37734372727272736</v>
      </c>
      <c r="K15" s="12">
        <f>'[6]Renewable Diesel'!$L54</f>
        <v>53207936</v>
      </c>
      <c r="L15" s="12">
        <f>AVERAGE('[6]Renewable Diesel'!$G54:$K54)</f>
        <v>21376244</v>
      </c>
      <c r="M15" s="12">
        <f t="shared" si="3"/>
        <v>31831692</v>
      </c>
      <c r="N15" s="12">
        <f>'[6]Renewable Diesel'!$L8</f>
        <v>85911189</v>
      </c>
      <c r="O15" s="12">
        <f>AVERAGE('[6]Renewable Diesel'!$G8:$K8)</f>
        <v>56513955.600000001</v>
      </c>
      <c r="P15" s="12">
        <f t="shared" si="4"/>
        <v>29397233.399999999</v>
      </c>
      <c r="S15" s="11">
        <f>'[8]Soy Complex'!$BI602</f>
        <v>29.764099999999999</v>
      </c>
      <c r="T15" s="11">
        <v>280.47730000000001</v>
      </c>
      <c r="U15" s="11"/>
      <c r="V15" s="11">
        <v>350.5</v>
      </c>
      <c r="W15" s="11" t="e">
        <f>#REF!*100</f>
        <v>#REF!</v>
      </c>
      <c r="X15" s="11"/>
      <c r="Y15" s="11">
        <f t="shared" si="5"/>
        <v>70.022699999999986</v>
      </c>
      <c r="Z15" s="11"/>
      <c r="AE15" s="11">
        <v>1.1484318181818181</v>
      </c>
      <c r="AF15" s="11">
        <f>[3]Prices!$D608*7.5/100</f>
        <v>2.0918522727272735</v>
      </c>
      <c r="AG15" s="11">
        <f t="shared" si="6"/>
        <v>94.342045454545541</v>
      </c>
      <c r="AJ15" s="11">
        <v>3.28125</v>
      </c>
      <c r="AK15" s="11">
        <v>1.1891636363636362</v>
      </c>
      <c r="AL15" s="11">
        <f t="shared" si="7"/>
        <v>-1.7288636363636201E-2</v>
      </c>
      <c r="AM15" s="13">
        <f>'[7]D6 Gallon Forecast'!$L35/1000000</f>
        <v>1128.7234470000001</v>
      </c>
    </row>
    <row r="16" spans="1:40" x14ac:dyDescent="0.25">
      <c r="A16" s="10">
        <v>44013</v>
      </c>
      <c r="B16" s="11">
        <v>0.97904545454545444</v>
      </c>
      <c r="C16" s="12">
        <f>[6]Biodiesel!$L9</f>
        <v>162738265</v>
      </c>
      <c r="D16" s="12">
        <f>AVERAGE([6]Biodiesel!$G9:$K9)</f>
        <v>151335906.59999999</v>
      </c>
      <c r="E16" s="12">
        <f t="shared" si="0"/>
        <v>11402358.400000006</v>
      </c>
      <c r="F16" s="12">
        <f>'[7]D4 Gallon Forecast'!$K75+'[7]D4 Gallon Forecast'!$K107</f>
        <v>185779056</v>
      </c>
      <c r="G16" s="12">
        <f>SUM('[7]D4 Gallon Forecast'!$G107:$K107,'[7]D4 Gallon Forecast'!$G75:$K75)/5</f>
        <v>179329745.40000001</v>
      </c>
      <c r="H16" s="12">
        <f t="shared" si="1"/>
        <v>6449310.599999994</v>
      </c>
      <c r="I16" s="11">
        <f>'RINs and HOBO Forecast'!C45/100</f>
        <v>0.64964299999999997</v>
      </c>
      <c r="J16" s="11">
        <f t="shared" si="2"/>
        <v>-0.32940245454545447</v>
      </c>
      <c r="K16" s="12">
        <f>'[6]Renewable Diesel'!$L55</f>
        <v>46684399</v>
      </c>
      <c r="L16" s="12">
        <f>AVERAGE('[6]Renewable Diesel'!$G55:$K55)</f>
        <v>22305773</v>
      </c>
      <c r="M16" s="12">
        <f t="shared" si="3"/>
        <v>24378626</v>
      </c>
      <c r="N16" s="12">
        <f>'[6]Renewable Diesel'!$L9</f>
        <v>77690256</v>
      </c>
      <c r="O16" s="12">
        <f>AVERAGE('[6]Renewable Diesel'!$G9:$K9)</f>
        <v>55740606</v>
      </c>
      <c r="P16" s="12">
        <f t="shared" si="4"/>
        <v>21949650</v>
      </c>
      <c r="S16" s="11">
        <f>'[8]Soy Complex'!$BI603</f>
        <v>31.8109</v>
      </c>
      <c r="T16" s="11">
        <v>290.13639999999998</v>
      </c>
      <c r="U16" s="11"/>
      <c r="V16" s="11">
        <v>356.68180000000001</v>
      </c>
      <c r="W16" s="11" t="e">
        <f>#REF!*100</f>
        <v>#REF!</v>
      </c>
      <c r="X16" s="11"/>
      <c r="Y16" s="11">
        <f t="shared" si="5"/>
        <v>66.545400000000029</v>
      </c>
      <c r="Z16" s="11"/>
      <c r="AE16" s="11">
        <v>1.2404999999999999</v>
      </c>
      <c r="AF16" s="11">
        <f>[3]Prices!$D609*7.5/100</f>
        <v>2.1905113636363636</v>
      </c>
      <c r="AG16" s="11">
        <f t="shared" si="6"/>
        <v>95.001136363636363</v>
      </c>
      <c r="AJ16" s="11">
        <v>3.3951136363636363</v>
      </c>
      <c r="AK16" s="11">
        <v>1.2538090909090911</v>
      </c>
      <c r="AL16" s="11">
        <f t="shared" si="7"/>
        <v>-4.1268506493506552E-2</v>
      </c>
      <c r="AM16" s="13">
        <f>'[7]D6 Gallon Forecast'!$L36/1000000</f>
        <v>638.19594400000005</v>
      </c>
    </row>
    <row r="17" spans="1:39" x14ac:dyDescent="0.25">
      <c r="A17" s="10">
        <v>44044</v>
      </c>
      <c r="B17" s="11">
        <v>1.1782904761904762</v>
      </c>
      <c r="C17" s="12">
        <f>[6]Biodiesel!$L10</f>
        <v>171493499</v>
      </c>
      <c r="D17" s="12">
        <f>AVERAGE([6]Biodiesel!$G10:$K10)</f>
        <v>155805182.80000001</v>
      </c>
      <c r="E17" s="12">
        <f t="shared" si="0"/>
        <v>15688316.199999988</v>
      </c>
      <c r="F17" s="12">
        <f>'[7]D4 Gallon Forecast'!$K76+'[7]D4 Gallon Forecast'!$K108</f>
        <v>162420863</v>
      </c>
      <c r="G17" s="12">
        <f>SUM('[7]D4 Gallon Forecast'!$G108:$K108,'[7]D4 Gallon Forecast'!$G76:$K76)/5</f>
        <v>189003390.40000001</v>
      </c>
      <c r="H17" s="12">
        <f t="shared" si="1"/>
        <v>-26582527.400000006</v>
      </c>
      <c r="I17" s="11">
        <f>'RINs and HOBO Forecast'!C46/100</f>
        <v>0.76380999999999999</v>
      </c>
      <c r="J17" s="11">
        <f t="shared" si="2"/>
        <v>-0.41448047619047623</v>
      </c>
      <c r="K17" s="12">
        <f>'[6]Renewable Diesel'!$L56</f>
        <v>43952654</v>
      </c>
      <c r="L17" s="12">
        <f>AVERAGE('[6]Renewable Diesel'!$G56:$K56)</f>
        <v>22155596.199999999</v>
      </c>
      <c r="M17" s="12">
        <f t="shared" si="3"/>
        <v>21797057.800000001</v>
      </c>
      <c r="N17" s="12">
        <f>'[6]Renewable Diesel'!$L10</f>
        <v>70843237</v>
      </c>
      <c r="O17" s="12">
        <f>AVERAGE('[6]Renewable Diesel'!$G10:$K10)</f>
        <v>50827386.799999997</v>
      </c>
      <c r="P17" s="12">
        <f t="shared" si="4"/>
        <v>20015850.200000003</v>
      </c>
      <c r="S17" s="11">
        <f>'[8]Soy Complex'!$BI604</f>
        <v>35.142899999999997</v>
      </c>
      <c r="T17" s="11">
        <v>304.02379999999999</v>
      </c>
      <c r="U17" s="11"/>
      <c r="V17" s="11">
        <v>362.52379999999999</v>
      </c>
      <c r="W17" s="11" t="e">
        <f>#REF!*100</f>
        <v>#REF!</v>
      </c>
      <c r="X17" s="11"/>
      <c r="Y17" s="11">
        <f t="shared" si="5"/>
        <v>58.5</v>
      </c>
      <c r="Z17" s="11"/>
      <c r="AE17" s="11">
        <v>1.2461190476190478</v>
      </c>
      <c r="AF17" s="11">
        <f>[3]Prices!$D610*7.5/100</f>
        <v>2.3694285714285721</v>
      </c>
      <c r="AG17" s="11">
        <f t="shared" si="6"/>
        <v>112.33095238095243</v>
      </c>
      <c r="AJ17" s="11">
        <v>3.3820238095238095</v>
      </c>
      <c r="AK17" s="11">
        <v>1.2698428571428573</v>
      </c>
      <c r="AL17" s="11">
        <f t="shared" si="7"/>
        <v>-6.1977210884353706E-2</v>
      </c>
      <c r="AM17" s="13">
        <f>'[7]D6 Gallon Forecast'!$L37/1000000</f>
        <v>839.78390999999999</v>
      </c>
    </row>
    <row r="18" spans="1:39" x14ac:dyDescent="0.25">
      <c r="A18" s="10">
        <v>44075</v>
      </c>
      <c r="B18" s="11">
        <v>1.4271971428571426</v>
      </c>
      <c r="C18" s="12">
        <f>[6]Biodiesel!$L11</f>
        <v>167865219</v>
      </c>
      <c r="D18" s="12">
        <f>AVERAGE([6]Biodiesel!$G11:$K11)</f>
        <v>142694225.19999999</v>
      </c>
      <c r="E18" s="12">
        <f t="shared" si="0"/>
        <v>25170993.800000012</v>
      </c>
      <c r="F18" s="12">
        <f>'[7]D4 Gallon Forecast'!$K77+'[7]D4 Gallon Forecast'!$K109</f>
        <v>158518831</v>
      </c>
      <c r="G18" s="12">
        <f>SUM('[7]D4 Gallon Forecast'!$G109:$K109,'[7]D4 Gallon Forecast'!$G77:$K77)/5</f>
        <v>172622254.19999999</v>
      </c>
      <c r="H18" s="12">
        <f t="shared" si="1"/>
        <v>-14103423.199999988</v>
      </c>
      <c r="I18" s="11">
        <f>'RINs and HOBO Forecast'!C47/100</f>
        <v>0.79693200000000008</v>
      </c>
      <c r="J18" s="11">
        <f t="shared" si="2"/>
        <v>-0.63026514285714252</v>
      </c>
      <c r="K18" s="12">
        <f>'[6]Renewable Diesel'!$L57</f>
        <v>48112771</v>
      </c>
      <c r="L18" s="12">
        <f>AVERAGE('[6]Renewable Diesel'!$G57:$K57)</f>
        <v>25593908</v>
      </c>
      <c r="M18" s="12">
        <f t="shared" si="3"/>
        <v>22518863</v>
      </c>
      <c r="N18" s="12">
        <f>'[6]Renewable Diesel'!$L11</f>
        <v>105402440</v>
      </c>
      <c r="O18" s="12">
        <f>AVERAGE('[6]Renewable Diesel'!$G11:$K11)</f>
        <v>51554741</v>
      </c>
      <c r="P18" s="12">
        <f t="shared" si="4"/>
        <v>53847699</v>
      </c>
      <c r="S18" s="11">
        <f>'[8]Soy Complex'!$BI605</f>
        <v>37.217599999999997</v>
      </c>
      <c r="T18" s="11">
        <v>313.6429</v>
      </c>
      <c r="U18" s="11"/>
      <c r="V18" s="11">
        <v>389.1429</v>
      </c>
      <c r="W18" s="11" t="e">
        <f>#REF!*100</f>
        <v>#REF!</v>
      </c>
      <c r="X18" s="11"/>
      <c r="Y18" s="11">
        <f t="shared" si="5"/>
        <v>75.5</v>
      </c>
      <c r="Z18" s="11"/>
      <c r="AE18" s="11">
        <v>1.130495238095238</v>
      </c>
      <c r="AF18" s="11">
        <f>[3]Prices!$D611*7.5/100</f>
        <v>2.5132857142857143</v>
      </c>
      <c r="AG18" s="11">
        <f t="shared" si="6"/>
        <v>138.27904761904765</v>
      </c>
      <c r="AJ18" s="11">
        <v>3.6627380952380952</v>
      </c>
      <c r="AK18" s="11">
        <v>1.1761904761904762</v>
      </c>
      <c r="AL18" s="11">
        <f t="shared" si="7"/>
        <v>0.13193027210884356</v>
      </c>
      <c r="AM18" s="13">
        <f>'[7]D6 Gallon Forecast'!$L38/1000000</f>
        <v>1071.1060930000001</v>
      </c>
    </row>
    <row r="19" spans="1:39" x14ac:dyDescent="0.25">
      <c r="A19" s="10">
        <v>44105</v>
      </c>
      <c r="B19" s="11">
        <v>1.3838309090909091</v>
      </c>
      <c r="C19" s="12">
        <f>[6]Biodiesel!$L12</f>
        <v>149489760</v>
      </c>
      <c r="D19" s="12">
        <f>AVERAGE([6]Biodiesel!$G12:$K12)</f>
        <v>142999028.80000001</v>
      </c>
      <c r="E19" s="12">
        <f t="shared" si="0"/>
        <v>6490731.1999999881</v>
      </c>
      <c r="F19" s="12">
        <f>'[7]D4 Gallon Forecast'!$K78+'[7]D4 Gallon Forecast'!$K110</f>
        <v>160399806</v>
      </c>
      <c r="G19" s="12">
        <f>SUM('[7]D4 Gallon Forecast'!$G110:$K110,'[7]D4 Gallon Forecast'!$G78:$K78)/5</f>
        <v>175622871.40000001</v>
      </c>
      <c r="H19" s="12">
        <f t="shared" si="1"/>
        <v>-15223065.400000006</v>
      </c>
      <c r="I19" s="11">
        <f>'RINs and HOBO Forecast'!C48/100</f>
        <v>0.87315799999999999</v>
      </c>
      <c r="J19" s="11">
        <f t="shared" si="2"/>
        <v>-0.51067290909090912</v>
      </c>
      <c r="K19" s="12">
        <f>'[6]Renewable Diesel'!$L58</f>
        <v>25237496</v>
      </c>
      <c r="L19" s="12">
        <f>AVERAGE('[6]Renewable Diesel'!$G58:$K58)</f>
        <v>29395056.399999999</v>
      </c>
      <c r="M19" s="12">
        <f t="shared" si="3"/>
        <v>-4157560.3999999985</v>
      </c>
      <c r="N19" s="12">
        <f>'[6]Renewable Diesel'!$L12</f>
        <v>54986787</v>
      </c>
      <c r="O19" s="12">
        <f>AVERAGE('[6]Renewable Diesel'!$G12:$K12)</f>
        <v>55183401.200000003</v>
      </c>
      <c r="P19" s="12">
        <f t="shared" si="4"/>
        <v>-196614.20000000298</v>
      </c>
      <c r="S19" s="11">
        <f>'[8]Soy Complex'!$BJ594</f>
        <v>37.026800000000001</v>
      </c>
      <c r="T19" s="11">
        <v>308.72730000000001</v>
      </c>
      <c r="U19" s="11"/>
      <c r="V19" s="11">
        <v>394.88639999999998</v>
      </c>
      <c r="W19" s="11" t="e">
        <f>#REF!*100</f>
        <v>#REF!</v>
      </c>
      <c r="X19" s="11"/>
      <c r="Y19" s="11">
        <f t="shared" si="5"/>
        <v>86.159099999999967</v>
      </c>
      <c r="Z19" s="11"/>
      <c r="AE19" s="11">
        <v>1.1523045454545455</v>
      </c>
      <c r="AF19" s="11">
        <f>[3]Prices!$D612*7.5/100</f>
        <v>2.495761363636364</v>
      </c>
      <c r="AG19" s="11">
        <f t="shared" si="6"/>
        <v>134.34568181818184</v>
      </c>
      <c r="AJ19" s="11">
        <v>3.9889772727272725</v>
      </c>
      <c r="AK19" s="11">
        <v>1.1577272727272727</v>
      </c>
      <c r="AL19" s="11">
        <f t="shared" si="7"/>
        <v>0.26690746753246763</v>
      </c>
      <c r="AM19" s="13">
        <f>'[7]D6 Gallon Forecast'!$L39/1000000</f>
        <v>1170.6328140000001</v>
      </c>
    </row>
    <row r="20" spans="1:39" x14ac:dyDescent="0.25">
      <c r="A20" s="10">
        <v>44136</v>
      </c>
      <c r="B20" s="11">
        <v>1.5535700000000001</v>
      </c>
      <c r="C20" s="12">
        <f>[6]Biodiesel!$L13</f>
        <v>142828517</v>
      </c>
      <c r="D20" s="12">
        <f>AVERAGE([6]Biodiesel!$G13:$K13)</f>
        <v>130790718</v>
      </c>
      <c r="E20" s="12">
        <f t="shared" si="0"/>
        <v>12037799</v>
      </c>
      <c r="F20" s="12">
        <f>'[7]D4 Gallon Forecast'!$K79+'[7]D4 Gallon Forecast'!$K111</f>
        <v>134375291</v>
      </c>
      <c r="G20" s="12">
        <f>SUM('[7]D4 Gallon Forecast'!$G111:$K111,'[7]D4 Gallon Forecast'!$G79:$K79)/5</f>
        <v>159723712.19999999</v>
      </c>
      <c r="H20" s="12">
        <f t="shared" si="1"/>
        <v>-25348421.199999988</v>
      </c>
      <c r="I20" s="11">
        <f>'RINs and HOBO Forecast'!C49/100</f>
        <v>0.97181799999999996</v>
      </c>
      <c r="J20" s="11">
        <f t="shared" si="2"/>
        <v>-0.58175200000000016</v>
      </c>
      <c r="K20" s="12">
        <f>'[6]Renewable Diesel'!$L59</f>
        <v>49060129</v>
      </c>
      <c r="L20" s="12">
        <f>AVERAGE('[6]Renewable Diesel'!$G59:$K59)</f>
        <v>29206715.199999999</v>
      </c>
      <c r="M20" s="12">
        <f t="shared" si="3"/>
        <v>19853413.800000001</v>
      </c>
      <c r="N20" s="12">
        <f>'[6]Renewable Diesel'!$L13</f>
        <v>90445304</v>
      </c>
      <c r="O20" s="12">
        <f>AVERAGE('[6]Renewable Diesel'!$G13:$K13)</f>
        <v>56658637.799999997</v>
      </c>
      <c r="P20" s="12">
        <f t="shared" si="4"/>
        <v>33786666.200000003</v>
      </c>
      <c r="S20" s="11">
        <f>'[8]Soy Complex'!$BJ595</f>
        <v>41.102499999999999</v>
      </c>
      <c r="T20" s="11">
        <v>319.8947</v>
      </c>
      <c r="U20" s="11"/>
      <c r="V20" s="11">
        <v>407.8947</v>
      </c>
      <c r="W20" s="11" t="e">
        <f>#REF!*100</f>
        <v>#REF!</v>
      </c>
      <c r="X20" s="11"/>
      <c r="Y20" s="11">
        <f t="shared" si="5"/>
        <v>88</v>
      </c>
      <c r="Z20" s="11"/>
      <c r="AE20" s="11">
        <v>1.2505049999999998</v>
      </c>
      <c r="AF20" s="11">
        <f>[3]Prices!$D613*7.5/100</f>
        <v>2.7646875</v>
      </c>
      <c r="AG20" s="11">
        <f t="shared" si="6"/>
        <v>151.41825000000003</v>
      </c>
      <c r="AJ20" s="11">
        <v>4.1785000000000005</v>
      </c>
      <c r="AK20" s="11">
        <v>1.166585</v>
      </c>
      <c r="AL20" s="11">
        <f t="shared" si="7"/>
        <v>0.32573642857142882</v>
      </c>
      <c r="AM20" s="13">
        <f>'[7]D6 Gallon Forecast'!$L40/1000000</f>
        <v>1126.5698219999999</v>
      </c>
    </row>
    <row r="21" spans="1:39" x14ac:dyDescent="0.25">
      <c r="A21" s="10">
        <v>44166</v>
      </c>
      <c r="B21" s="11">
        <v>1.5903154545454543</v>
      </c>
      <c r="C21" s="12">
        <f>[6]Biodiesel!$L14</f>
        <v>175881221</v>
      </c>
      <c r="D21" s="12">
        <f>AVERAGE([6]Biodiesel!$G14:$K14)</f>
        <v>156568677.80000001</v>
      </c>
      <c r="E21" s="12">
        <f>C21-D21</f>
        <v>19312543.199999988</v>
      </c>
      <c r="F21" s="12">
        <f>'[7]D4 Gallon Forecast'!$K80+'[7]D4 Gallon Forecast'!$K112</f>
        <v>163919996</v>
      </c>
      <c r="G21" s="12">
        <f>SUM('[7]D4 Gallon Forecast'!$G112:$K112,'[7]D4 Gallon Forecast'!$G80:$K80)/5</f>
        <v>205414750</v>
      </c>
      <c r="H21" s="12">
        <f t="shared" si="1"/>
        <v>-41494754</v>
      </c>
      <c r="I21" s="11">
        <f>'RINs and HOBO Forecast'!C50/100</f>
        <v>1.026184</v>
      </c>
      <c r="J21" s="11">
        <f t="shared" si="2"/>
        <v>-0.56413145454545433</v>
      </c>
      <c r="K21" s="12">
        <f>'[6]Renewable Diesel'!$L60</f>
        <v>57807992</v>
      </c>
      <c r="L21" s="12">
        <f>AVERAGE('[6]Renewable Diesel'!$G60:$K60)</f>
        <v>33225689.800000001</v>
      </c>
      <c r="M21" s="12">
        <f t="shared" si="3"/>
        <v>24582302.199999999</v>
      </c>
      <c r="N21" s="12">
        <f>'[6]Renewable Diesel'!$L14</f>
        <v>97407333</v>
      </c>
      <c r="O21" s="12">
        <f>AVERAGE('[6]Renewable Diesel'!$G14:$K14)</f>
        <v>63264230</v>
      </c>
      <c r="P21" s="12">
        <f t="shared" si="4"/>
        <v>34143103</v>
      </c>
      <c r="S21" s="11">
        <f>'[8]Soy Complex'!$BJ596</f>
        <v>45.719099999999997</v>
      </c>
      <c r="T21" s="11">
        <v>347.86360000000002</v>
      </c>
      <c r="U21" s="11"/>
      <c r="V21" s="11">
        <v>438.97730000000001</v>
      </c>
      <c r="W21" s="11" t="e">
        <f>#REF!*100</f>
        <v>#REF!</v>
      </c>
      <c r="X21" s="11"/>
      <c r="Y21" s="11">
        <f t="shared" si="5"/>
        <v>91.113699999999994</v>
      </c>
      <c r="Z21" s="11"/>
      <c r="AE21" s="11">
        <v>1.4484000000000004</v>
      </c>
      <c r="AF21" s="11">
        <f>[3]Prices!$D614*7.5/100</f>
        <v>2.9678522727272729</v>
      </c>
      <c r="AG21" s="11">
        <f t="shared" si="6"/>
        <v>151.94522727272727</v>
      </c>
      <c r="AJ21" s="11">
        <v>4.3693181818181817</v>
      </c>
      <c r="AK21" s="11">
        <v>1.3282590909090908</v>
      </c>
      <c r="AL21" s="11">
        <f t="shared" si="7"/>
        <v>0.23221168831168848</v>
      </c>
      <c r="AM21" s="13">
        <f>'[7]D6 Gallon Forecast'!$L41/1000000</f>
        <v>1119.849242</v>
      </c>
    </row>
    <row r="22" spans="1:39" x14ac:dyDescent="0.25">
      <c r="A22" s="10">
        <v>44197</v>
      </c>
      <c r="B22" s="11">
        <v>1.7194252631578943</v>
      </c>
      <c r="C22" s="12">
        <f>[6]Biodiesel!$M3</f>
        <v>107302585</v>
      </c>
      <c r="D22" s="12">
        <f>AVERAGE([6]Biodiesel!$H3:$L3)</f>
        <v>97613019.200000003</v>
      </c>
      <c r="E22" s="12">
        <f>C22-D22</f>
        <v>9689565.799999997</v>
      </c>
      <c r="F22" s="12">
        <f>'[7]D4 Gallon Forecast'!$M69+'[7]D4 Gallon Forecast'!$M101</f>
        <v>115838804</v>
      </c>
      <c r="G22" s="12">
        <f>SUM('[7]D4 Gallon Forecast'!$H69:$L69,'[7]D4 Gallon Forecast'!$H101:$L101)/5</f>
        <v>113243351.59999999</v>
      </c>
      <c r="H22" s="12">
        <f t="shared" si="1"/>
        <v>2595452.400000006</v>
      </c>
      <c r="I22" s="11">
        <f>'RINs and HOBO Forecast'!C51/100</f>
        <v>1.0989469999999999</v>
      </c>
      <c r="J22" s="11">
        <f t="shared" si="2"/>
        <v>-0.62047826315789445</v>
      </c>
      <c r="K22" s="12">
        <f>'[6]Renewable Diesel'!$M49</f>
        <v>50374630</v>
      </c>
      <c r="L22" s="12">
        <f>AVERAGE('[6]Renewable Diesel'!$H49:$L49)</f>
        <v>24468768.800000001</v>
      </c>
      <c r="M22" s="12">
        <f t="shared" si="3"/>
        <v>25905861.199999999</v>
      </c>
      <c r="N22" s="12">
        <f>'[6]Renewable Diesel'!$M3</f>
        <v>83001113</v>
      </c>
      <c r="O22" s="12">
        <f>AVERAGE('[6]Renewable Diesel'!$H3:$L3)</f>
        <v>41007136</v>
      </c>
      <c r="P22" s="12">
        <f t="shared" si="4"/>
        <v>41993977</v>
      </c>
      <c r="S22" s="11">
        <f>'[8]Soy Complex'!$BJ597</f>
        <v>49.417400000000001</v>
      </c>
      <c r="T22" s="11">
        <v>364.18419999999998</v>
      </c>
      <c r="U22" s="11"/>
      <c r="V22" s="11">
        <v>463.47370000000001</v>
      </c>
      <c r="W22" s="11" t="e">
        <f>#REF!*100</f>
        <v>#REF!</v>
      </c>
      <c r="X22" s="11"/>
      <c r="Y22" s="11">
        <f t="shared" si="5"/>
        <v>99.289500000000032</v>
      </c>
      <c r="Z22" s="11"/>
      <c r="AA22" s="11">
        <v>102.61839999999999</v>
      </c>
      <c r="AB22" s="11">
        <v>16</v>
      </c>
      <c r="AC22" s="11">
        <v>100</v>
      </c>
      <c r="AE22" s="11">
        <v>1.5785684210526316</v>
      </c>
      <c r="AF22" s="11">
        <f>[3]Prices!$D615*7.5/100</f>
        <v>3.2365657894736843</v>
      </c>
      <c r="AG22" s="11">
        <f t="shared" si="6"/>
        <v>165.79973684210526</v>
      </c>
      <c r="AI22" s="11">
        <v>90.657899999999998</v>
      </c>
      <c r="AJ22" s="11">
        <v>5.1539473684210533</v>
      </c>
      <c r="AK22" s="11">
        <v>1.5306736842105264</v>
      </c>
      <c r="AL22" s="11">
        <f t="shared" si="7"/>
        <v>0.31002180451127836</v>
      </c>
      <c r="AM22" s="13">
        <f>'[7]D6 Gallon Forecast'!$M30/1000000</f>
        <v>1.0305423778294379E-7</v>
      </c>
    </row>
    <row r="23" spans="1:39" x14ac:dyDescent="0.25">
      <c r="A23" s="10">
        <v>44228</v>
      </c>
      <c r="B23" s="11">
        <v>1.7828094736842108</v>
      </c>
      <c r="C23" s="12">
        <f>[6]Biodiesel!$M4</f>
        <v>109881050</v>
      </c>
      <c r="D23" s="12">
        <f>AVERAGE([6]Biodiesel!$H4:$L4)</f>
        <v>107955119.40000001</v>
      </c>
      <c r="E23" s="12">
        <f>C23-D23</f>
        <v>1925930.599999994</v>
      </c>
      <c r="F23" s="12">
        <f>'[7]D4 Gallon Forecast'!$M70+'[7]D4 Gallon Forecast'!$M102</f>
        <v>117542663</v>
      </c>
      <c r="G23" s="12">
        <f>SUM('[7]D4 Gallon Forecast'!$H70:$L70,'[7]D4 Gallon Forecast'!$H102:$L102)/5</f>
        <v>123468587.40000001</v>
      </c>
      <c r="H23" s="12">
        <f t="shared" si="1"/>
        <v>-5925924.400000006</v>
      </c>
      <c r="I23" s="11">
        <f>'RINs and HOBO Forecast'!C52/100</f>
        <v>1.3840219999999999</v>
      </c>
      <c r="J23" s="11">
        <f t="shared" si="2"/>
        <v>-0.39878747368421097</v>
      </c>
      <c r="K23" s="12">
        <f>'[6]Renewable Diesel'!$M50</f>
        <v>51175710</v>
      </c>
      <c r="L23" s="12">
        <f>AVERAGE('[6]Renewable Diesel'!$H50:$L50)</f>
        <v>25495350.800000001</v>
      </c>
      <c r="M23" s="12">
        <f t="shared" si="3"/>
        <v>25680359.199999999</v>
      </c>
      <c r="N23" s="12">
        <f>'[6]Renewable Diesel'!$M4</f>
        <v>80855373</v>
      </c>
      <c r="O23" s="12">
        <f>AVERAGE('[6]Renewable Diesel'!$H4:$L4)</f>
        <v>42358533.799999997</v>
      </c>
      <c r="P23" s="12">
        <f t="shared" si="4"/>
        <v>38496839.200000003</v>
      </c>
      <c r="S23" s="11">
        <f>'[8]Soy Complex'!$BJ598</f>
        <v>52.604199999999999</v>
      </c>
      <c r="T23" s="11">
        <v>407.1053</v>
      </c>
      <c r="U23" s="11"/>
      <c r="V23" s="11">
        <v>497.57889999999998</v>
      </c>
      <c r="W23" s="11" t="e">
        <f>#REF!*100</f>
        <v>#REF!</v>
      </c>
      <c r="X23" s="11"/>
      <c r="Y23" s="11">
        <f t="shared" si="5"/>
        <v>90.473599999999976</v>
      </c>
      <c r="Z23" s="11"/>
      <c r="AA23" s="11">
        <v>109.8947</v>
      </c>
      <c r="AB23" s="11">
        <v>16</v>
      </c>
      <c r="AC23" s="11">
        <v>100</v>
      </c>
      <c r="AE23" s="11">
        <v>1.7806210526315791</v>
      </c>
      <c r="AF23" s="11">
        <f>[3]Prices!$D616*7.5/100</f>
        <v>3.5209736842105257</v>
      </c>
      <c r="AG23" s="11">
        <f t="shared" si="6"/>
        <v>174.03526315789466</v>
      </c>
      <c r="AI23" s="11">
        <v>101.3553</v>
      </c>
      <c r="AJ23" s="11">
        <v>5.4910526315789472</v>
      </c>
      <c r="AK23" s="11">
        <v>1.7391105263157893</v>
      </c>
      <c r="AL23" s="11">
        <f t="shared" si="7"/>
        <v>0.22197969924812044</v>
      </c>
      <c r="AM23" s="13">
        <f>'[7]D6 Gallon Forecast'!$M31/1000000</f>
        <v>320.17642000000001</v>
      </c>
    </row>
    <row r="24" spans="1:39" x14ac:dyDescent="0.25">
      <c r="A24" s="10">
        <v>44256</v>
      </c>
      <c r="B24" s="11">
        <v>2.254263478260869</v>
      </c>
      <c r="C24" s="12">
        <f>[6]Biodiesel!$M5</f>
        <v>150338931</v>
      </c>
      <c r="D24" s="12">
        <f>AVERAGE([6]Biodiesel!$H5:$L5)</f>
        <v>136204827.80000001</v>
      </c>
      <c r="E24" s="12">
        <f t="shared" ref="E24:E87" si="8">C24-D24</f>
        <v>14134103.199999988</v>
      </c>
      <c r="F24" s="12">
        <f>'[7]D4 Gallon Forecast'!$M71+'[7]D4 Gallon Forecast'!$M103</f>
        <v>165483884</v>
      </c>
      <c r="G24" s="12">
        <f>SUM('[7]D4 Gallon Forecast'!$H71:$L71,'[7]D4 Gallon Forecast'!$H103:$L103)/5</f>
        <v>155304655.40000001</v>
      </c>
      <c r="H24" s="12">
        <f t="shared" si="1"/>
        <v>10179228.599999994</v>
      </c>
      <c r="I24" s="11">
        <f>'RINs and HOBO Forecast'!C53/100</f>
        <v>1.4582140000000001</v>
      </c>
      <c r="J24" s="11">
        <f t="shared" si="2"/>
        <v>-0.79604947826086891</v>
      </c>
      <c r="K24" s="12">
        <f>'[6]Renewable Diesel'!$M51</f>
        <v>59222033</v>
      </c>
      <c r="L24" s="12">
        <f>AVERAGE('[6]Renewable Diesel'!$H51:$L51)</f>
        <v>27963338</v>
      </c>
      <c r="M24" s="12">
        <f t="shared" si="3"/>
        <v>31258695</v>
      </c>
      <c r="N24" s="12">
        <f>'[6]Renewable Diesel'!$M5</f>
        <v>97551061</v>
      </c>
      <c r="O24" s="12">
        <f>AVERAGE('[6]Renewable Diesel'!$H5:$L5)</f>
        <v>46640634.200000003</v>
      </c>
      <c r="P24" s="12">
        <f t="shared" si="4"/>
        <v>50910426.799999997</v>
      </c>
      <c r="S24" s="11">
        <f>'[8]Soy Complex'!$BJ599</f>
        <v>62.609099999999998</v>
      </c>
      <c r="T24" s="11">
        <v>480.65219999999999</v>
      </c>
      <c r="U24" s="11"/>
      <c r="V24" s="11">
        <v>541.52170000000001</v>
      </c>
      <c r="W24" s="11" t="e">
        <f>#REF!*100</f>
        <v>#REF!</v>
      </c>
      <c r="X24" s="11"/>
      <c r="Y24" s="11">
        <f t="shared" si="5"/>
        <v>60.869500000000016</v>
      </c>
      <c r="Z24" s="11"/>
      <c r="AA24" s="11">
        <v>138.40219999999999</v>
      </c>
      <c r="AB24" s="11">
        <v>16</v>
      </c>
      <c r="AC24" s="11">
        <v>100</v>
      </c>
      <c r="AE24" s="11">
        <v>1.8564173913043482</v>
      </c>
      <c r="AF24" s="11">
        <f>[3]Prices!$D617*7.5/100</f>
        <v>4.0027500000000007</v>
      </c>
      <c r="AG24" s="11">
        <f t="shared" si="6"/>
        <v>214.63326086956522</v>
      </c>
      <c r="AI24" s="11">
        <v>129.13589999999999</v>
      </c>
      <c r="AJ24" s="11">
        <v>5.4649999999999999</v>
      </c>
      <c r="AK24" s="11">
        <v>2.0074391304347823</v>
      </c>
      <c r="AL24" s="11">
        <f t="shared" si="7"/>
        <v>-5.5653416149067825E-2</v>
      </c>
      <c r="AM24" s="13">
        <f>'[7]D6 Gallon Forecast'!$M32/1000000</f>
        <v>2.0209999999999998E-3</v>
      </c>
    </row>
    <row r="25" spans="1:39" x14ac:dyDescent="0.25">
      <c r="A25" s="10">
        <v>44287</v>
      </c>
      <c r="B25" s="11">
        <v>2.5641809523809522</v>
      </c>
      <c r="C25" s="12">
        <f>[6]Biodiesel!$M6</f>
        <v>144396494</v>
      </c>
      <c r="D25" s="12">
        <f>AVERAGE([6]Biodiesel!$H6:$L6)</f>
        <v>141097431</v>
      </c>
      <c r="E25" s="12">
        <f t="shared" si="8"/>
        <v>3299063</v>
      </c>
      <c r="F25" s="12">
        <f>'[7]D4 Gallon Forecast'!$M72+'[7]D4 Gallon Forecast'!$M104</f>
        <v>161733115</v>
      </c>
      <c r="G25" s="12">
        <f>SUM('[7]D4 Gallon Forecast'!$H72:$L72,'[7]D4 Gallon Forecast'!$H104:$L104)/5</f>
        <v>162328480.59999999</v>
      </c>
      <c r="H25" s="12">
        <f t="shared" si="1"/>
        <v>-595365.59999999404</v>
      </c>
      <c r="I25" s="11">
        <f>'RINs and HOBO Forecast'!C54/100</f>
        <v>1.8831249999999999</v>
      </c>
      <c r="J25" s="11">
        <f t="shared" si="2"/>
        <v>-0.68105595238095229</v>
      </c>
      <c r="K25" s="12">
        <f>'[6]Renewable Diesel'!$M52</f>
        <v>50634433</v>
      </c>
      <c r="L25" s="12">
        <f>AVERAGE('[6]Renewable Diesel'!$H52:$L52)</f>
        <v>28920711.399999999</v>
      </c>
      <c r="M25" s="12">
        <f t="shared" si="3"/>
        <v>21713721.600000001</v>
      </c>
      <c r="N25" s="12">
        <f>'[6]Renewable Diesel'!$M6</f>
        <v>90864671</v>
      </c>
      <c r="O25" s="12">
        <f>AVERAGE('[6]Renewable Diesel'!$H6:$L6)</f>
        <v>62665384.799999997</v>
      </c>
      <c r="P25" s="12">
        <f t="shared" si="4"/>
        <v>28199286.200000003</v>
      </c>
      <c r="S25" s="11">
        <f>'[8]Soy Complex'!$BJ600</f>
        <v>71.7667</v>
      </c>
      <c r="T25" s="11">
        <v>509.28570000000002</v>
      </c>
      <c r="U25" s="11"/>
      <c r="V25" s="11">
        <v>574.28570000000002</v>
      </c>
      <c r="W25" s="11" t="e">
        <f>#REF!*100</f>
        <v>#REF!</v>
      </c>
      <c r="X25" s="11"/>
      <c r="Y25" s="11">
        <f t="shared" si="5"/>
        <v>65</v>
      </c>
      <c r="Z25" s="11"/>
      <c r="AA25" s="11">
        <v>145.82140000000001</v>
      </c>
      <c r="AB25" s="11">
        <v>16</v>
      </c>
      <c r="AC25" s="11">
        <v>100</v>
      </c>
      <c r="AE25" s="11">
        <v>1.8624571428571433</v>
      </c>
      <c r="AF25" s="11">
        <f>[3]Prices!$D618*7.5/100</f>
        <v>4.3676785714285726</v>
      </c>
      <c r="AG25" s="11">
        <f t="shared" si="6"/>
        <v>250.52214285714297</v>
      </c>
      <c r="AI25" s="11">
        <v>138.08330000000001</v>
      </c>
      <c r="AJ25" s="11">
        <v>6.0327380952380949</v>
      </c>
      <c r="AK25" s="11">
        <v>2.0072571428571431</v>
      </c>
      <c r="AL25" s="11">
        <f t="shared" si="7"/>
        <v>0.14729217687074803</v>
      </c>
      <c r="AM25" s="13">
        <f>'[7]D6 Gallon Forecast'!$M33/1000000</f>
        <v>1076.9403259999999</v>
      </c>
    </row>
    <row r="26" spans="1:39" x14ac:dyDescent="0.25">
      <c r="A26" s="10">
        <v>44317</v>
      </c>
      <c r="B26" s="11">
        <v>3.0686579999999997</v>
      </c>
      <c r="C26" s="12">
        <f>[6]Biodiesel!$M7</f>
        <v>150501950</v>
      </c>
      <c r="D26" s="12">
        <f>AVERAGE([6]Biodiesel!$H7:$L7)</f>
        <v>151157894.40000001</v>
      </c>
      <c r="E26" s="12">
        <f t="shared" si="8"/>
        <v>-655944.40000000596</v>
      </c>
      <c r="F26" s="12">
        <f>'[7]D4 Gallon Forecast'!$M73+'[7]D4 Gallon Forecast'!$M105</f>
        <v>163828393</v>
      </c>
      <c r="G26" s="12">
        <f>SUM('[7]D4 Gallon Forecast'!$H73:$L73,'[7]D4 Gallon Forecast'!$H105:$L105)/5</f>
        <v>175783921.40000001</v>
      </c>
      <c r="H26" s="12">
        <f t="shared" si="1"/>
        <v>-11955528.400000006</v>
      </c>
      <c r="I26" s="11">
        <f>'RINs and HOBO Forecast'!C55/100</f>
        <v>1.7649999999999999</v>
      </c>
      <c r="J26" s="11">
        <f t="shared" si="2"/>
        <v>-1.3036579999999998</v>
      </c>
      <c r="K26" s="12">
        <f>'[6]Renewable Diesel'!$M53</f>
        <v>60051437</v>
      </c>
      <c r="L26" s="12">
        <f>AVERAGE('[6]Renewable Diesel'!$H53:$L53)</f>
        <v>30927704.399999999</v>
      </c>
      <c r="M26" s="12">
        <f t="shared" si="3"/>
        <v>29123732.600000001</v>
      </c>
      <c r="N26" s="12">
        <f>'[6]Renewable Diesel'!$M7</f>
        <v>98371224</v>
      </c>
      <c r="O26" s="12">
        <f>AVERAGE('[6]Renewable Diesel'!$H7:$L7)</f>
        <v>68686067.799999997</v>
      </c>
      <c r="P26" s="12">
        <f t="shared" si="4"/>
        <v>29685156.200000003</v>
      </c>
      <c r="S26" s="11">
        <f>'[8]Soy Complex'!$BJ601</f>
        <v>92.789500000000004</v>
      </c>
      <c r="T26" s="11">
        <v>562.875</v>
      </c>
      <c r="U26" s="11"/>
      <c r="V26" s="11">
        <v>606</v>
      </c>
      <c r="W26" s="11" t="e">
        <f>#REF!*100</f>
        <v>#REF!</v>
      </c>
      <c r="X26" s="11"/>
      <c r="Y26" s="11">
        <f t="shared" si="5"/>
        <v>43.125</v>
      </c>
      <c r="Z26" s="11"/>
      <c r="AA26" s="11">
        <v>188.3125</v>
      </c>
      <c r="AB26" s="11">
        <v>16</v>
      </c>
      <c r="AC26" s="11">
        <v>100</v>
      </c>
      <c r="AE26" s="11">
        <v>2.0201850000000006</v>
      </c>
      <c r="AF26" s="11">
        <f>[3]Prices!$D619*7.5/100</f>
        <v>4.9229625000000006</v>
      </c>
      <c r="AG26" s="11">
        <f t="shared" si="6"/>
        <v>290.27775000000003</v>
      </c>
      <c r="AI26" s="11">
        <v>179.98750000000001</v>
      </c>
      <c r="AJ26" s="11">
        <v>6.7596249999999998</v>
      </c>
      <c r="AK26" s="11">
        <v>2.12574</v>
      </c>
      <c r="AL26" s="11">
        <f t="shared" si="7"/>
        <v>0.28841178571428561</v>
      </c>
      <c r="AM26" s="13">
        <f>'[7]D6 Gallon Forecast'!$M34/1000000</f>
        <v>897.68429800000001</v>
      </c>
    </row>
    <row r="27" spans="1:39" x14ac:dyDescent="0.25">
      <c r="A27" s="10">
        <v>44348</v>
      </c>
      <c r="B27" s="11">
        <v>2.6667336363636363</v>
      </c>
      <c r="C27" s="12">
        <f>[6]Biodiesel!$M8</f>
        <v>154457118</v>
      </c>
      <c r="D27" s="12">
        <f>AVERAGE([6]Biodiesel!$H8:$L8)</f>
        <v>151584746</v>
      </c>
      <c r="E27" s="12">
        <f t="shared" si="8"/>
        <v>2872372</v>
      </c>
      <c r="F27" s="12">
        <f>'[7]D4 Gallon Forecast'!$M74+'[7]D4 Gallon Forecast'!$M106</f>
        <v>172045534</v>
      </c>
      <c r="G27" s="12">
        <f>SUM('[7]D4 Gallon Forecast'!$H74:$L74,'[7]D4 Gallon Forecast'!$H106:$L106)/5</f>
        <v>189334307.19999999</v>
      </c>
      <c r="H27" s="12">
        <f t="shared" si="1"/>
        <v>-17288773.199999988</v>
      </c>
      <c r="I27" s="11">
        <f>'RINs and HOBO Forecast'!C56/100</f>
        <v>1.6560710000000001</v>
      </c>
      <c r="J27" s="11">
        <f t="shared" si="2"/>
        <v>-1.0106626363636362</v>
      </c>
      <c r="K27" s="12">
        <f>'[6]Renewable Diesel'!$M54</f>
        <v>68859545</v>
      </c>
      <c r="L27" s="12">
        <f>AVERAGE('[6]Renewable Diesel'!$H54:$L54)</f>
        <v>29133834.600000001</v>
      </c>
      <c r="M27" s="12">
        <f t="shared" si="3"/>
        <v>39725710.399999999</v>
      </c>
      <c r="N27" s="12">
        <f>'[6]Renewable Diesel'!$M8</f>
        <v>112653761</v>
      </c>
      <c r="O27" s="12">
        <f>AVERAGE('[6]Renewable Diesel'!$H8:$L8)</f>
        <v>64202497</v>
      </c>
      <c r="P27" s="12">
        <f t="shared" si="4"/>
        <v>48451264</v>
      </c>
      <c r="S27" s="11">
        <f>'[8]Soy Complex'!$BJ602</f>
        <v>97.356800000000007</v>
      </c>
      <c r="T27" s="11">
        <v>590</v>
      </c>
      <c r="U27" s="11"/>
      <c r="V27" s="11">
        <v>642.27269999999999</v>
      </c>
      <c r="W27" s="11" t="e">
        <f>#REF!*100</f>
        <v>#REF!</v>
      </c>
      <c r="X27" s="11"/>
      <c r="Y27" s="11">
        <f t="shared" si="5"/>
        <v>52.272699999999986</v>
      </c>
      <c r="Z27" s="11"/>
      <c r="AA27" s="11">
        <v>176.5</v>
      </c>
      <c r="AB27" s="11">
        <v>16</v>
      </c>
      <c r="AC27" s="11">
        <v>100</v>
      </c>
      <c r="AE27" s="11">
        <v>2.1212863636363637</v>
      </c>
      <c r="AF27" s="11">
        <f>[3]Prices!$D620*7.5/100</f>
        <v>4.8932386363636375</v>
      </c>
      <c r="AG27" s="11">
        <f t="shared" si="6"/>
        <v>277.19522727272738</v>
      </c>
      <c r="AI27" s="11">
        <v>167.23859999999999</v>
      </c>
      <c r="AJ27" s="11">
        <v>6.4314772727272729</v>
      </c>
      <c r="AK27" s="11">
        <v>2.2056363636363634</v>
      </c>
      <c r="AL27" s="11">
        <f t="shared" si="7"/>
        <v>9.1319805194805426E-2</v>
      </c>
      <c r="AM27" s="13">
        <f>'[7]D6 Gallon Forecast'!$M35/1000000</f>
        <v>1185.1464430000001</v>
      </c>
    </row>
    <row r="28" spans="1:39" x14ac:dyDescent="0.25">
      <c r="A28" s="10">
        <v>44378</v>
      </c>
      <c r="B28" s="11">
        <v>2.7439638095238092</v>
      </c>
      <c r="C28" s="12">
        <f>[6]Biodiesel!$M9</f>
        <v>146890338</v>
      </c>
      <c r="D28" s="12">
        <f>AVERAGE([6]Biodiesel!$H9:$L9)</f>
        <v>158046675.59999999</v>
      </c>
      <c r="E28" s="12">
        <f t="shared" si="8"/>
        <v>-11156337.599999994</v>
      </c>
      <c r="F28" s="12">
        <f>'[7]D4 Gallon Forecast'!$M75+'[7]D4 Gallon Forecast'!$M107</f>
        <v>162272680</v>
      </c>
      <c r="G28" s="12">
        <f>SUM('[7]D4 Gallon Forecast'!$H75:$L75,'[7]D4 Gallon Forecast'!$H107:$L107)/5</f>
        <v>182629992.59999999</v>
      </c>
      <c r="H28" s="12">
        <f t="shared" si="1"/>
        <v>-20357312.599999994</v>
      </c>
      <c r="I28" s="11">
        <f>'RINs and HOBO Forecast'!C57/100</f>
        <v>1.7184090000000001</v>
      </c>
      <c r="J28" s="11">
        <f t="shared" si="2"/>
        <v>-1.0255548095238092</v>
      </c>
      <c r="K28" s="12">
        <f>'[6]Renewable Diesel'!$M55</f>
        <v>69500573</v>
      </c>
      <c r="L28" s="12">
        <f>AVERAGE('[6]Renewable Diesel'!$H55:$L55)</f>
        <v>28538403</v>
      </c>
      <c r="M28" s="12">
        <f t="shared" si="3"/>
        <v>40962170</v>
      </c>
      <c r="N28" s="12">
        <f>'[6]Renewable Diesel'!$M9</f>
        <v>80428728</v>
      </c>
      <c r="O28" s="12">
        <f>AVERAGE('[6]Renewable Diesel'!$H9:$L9)</f>
        <v>62533092.399999999</v>
      </c>
      <c r="P28" s="12">
        <f t="shared" si="4"/>
        <v>17895635.600000001</v>
      </c>
      <c r="S28" s="11">
        <f>'[8]Soy Complex'!$BJ603</f>
        <v>92.793300000000002</v>
      </c>
      <c r="T28" s="11">
        <v>574.28570000000002</v>
      </c>
      <c r="U28" s="11"/>
      <c r="V28" s="11">
        <v>636.19050000000004</v>
      </c>
      <c r="W28" s="11" t="e">
        <f>#REF!*100</f>
        <v>#REF!</v>
      </c>
      <c r="X28" s="11"/>
      <c r="Y28" s="11">
        <f t="shared" si="5"/>
        <v>61.904800000000023</v>
      </c>
      <c r="Z28" s="11"/>
      <c r="AA28" s="11">
        <v>165.6071</v>
      </c>
      <c r="AB28" s="11">
        <v>16</v>
      </c>
      <c r="AC28" s="11">
        <v>100</v>
      </c>
      <c r="AE28" s="11">
        <v>2.129</v>
      </c>
      <c r="AF28" s="11">
        <f>[3]Prices!$D621*7.5/100</f>
        <v>4.8702142857142858</v>
      </c>
      <c r="AG28" s="11">
        <f t="shared" si="6"/>
        <v>274.12142857142857</v>
      </c>
      <c r="AI28" s="11">
        <v>150.97020000000001</v>
      </c>
      <c r="AJ28" s="11">
        <v>5.5026190476190484</v>
      </c>
      <c r="AK28" s="11">
        <v>2.2672714285714282</v>
      </c>
      <c r="AL28" s="11">
        <f t="shared" si="7"/>
        <v>-0.3020503401360537</v>
      </c>
      <c r="AM28" s="13">
        <f>'[7]D6 Gallon Forecast'!$M36/1000000</f>
        <v>1130.685524</v>
      </c>
    </row>
    <row r="29" spans="1:39" x14ac:dyDescent="0.25">
      <c r="A29" s="10">
        <v>44409</v>
      </c>
      <c r="B29" s="11">
        <v>2.5742027272727266</v>
      </c>
      <c r="C29" s="12">
        <f>[6]Biodiesel!$M10</f>
        <v>154582245</v>
      </c>
      <c r="D29" s="12">
        <f>AVERAGE([6]Biodiesel!$H10:$L10)</f>
        <v>164983704</v>
      </c>
      <c r="E29" s="12">
        <f t="shared" si="8"/>
        <v>-10401459</v>
      </c>
      <c r="F29" s="12">
        <f>'[7]D4 Gallon Forecast'!$M76+'[7]D4 Gallon Forecast'!$M108</f>
        <v>165630384</v>
      </c>
      <c r="G29" s="12">
        <f>SUM('[7]D4 Gallon Forecast'!$H76:$L76,'[7]D4 Gallon Forecast'!$H108:$L108)/5</f>
        <v>195317290.19999999</v>
      </c>
      <c r="H29" s="12">
        <f t="shared" si="1"/>
        <v>-29686906.199999988</v>
      </c>
      <c r="I29" s="11">
        <f>'RINs and HOBO Forecast'!C58/100</f>
        <v>1.4366669999999999</v>
      </c>
      <c r="J29" s="11">
        <f t="shared" si="2"/>
        <v>-1.1375357272727267</v>
      </c>
      <c r="K29" s="12">
        <f>'[6]Renewable Diesel'!$M56</f>
        <v>82392520</v>
      </c>
      <c r="L29" s="12">
        <f>AVERAGE('[6]Renewable Diesel'!$H56:$L56)</f>
        <v>27926045.399999999</v>
      </c>
      <c r="M29" s="12">
        <f t="shared" si="3"/>
        <v>54466474.600000001</v>
      </c>
      <c r="N29" s="12">
        <f>'[6]Renewable Diesel'!$M10</f>
        <v>116750468</v>
      </c>
      <c r="O29" s="12">
        <f>AVERAGE('[6]Renewable Diesel'!$H10:$L10)</f>
        <v>56749171.799999997</v>
      </c>
      <c r="P29" s="12">
        <f t="shared" si="4"/>
        <v>60001296.200000003</v>
      </c>
      <c r="S29" s="11">
        <f>'[8]Soy Complex'!$BJ604</f>
        <v>82.827699999999993</v>
      </c>
      <c r="T29" s="11">
        <v>566.13639999999998</v>
      </c>
      <c r="U29" s="11"/>
      <c r="V29" s="11">
        <v>635</v>
      </c>
      <c r="W29" s="11" t="e">
        <f>#REF!*100</f>
        <v>#REF!</v>
      </c>
      <c r="X29" s="11"/>
      <c r="Y29" s="11">
        <f t="shared" si="5"/>
        <v>68.863600000000019</v>
      </c>
      <c r="Z29" s="11"/>
      <c r="AA29" s="11">
        <v>171.8409</v>
      </c>
      <c r="AB29" s="11">
        <v>16</v>
      </c>
      <c r="AC29" s="11">
        <v>100</v>
      </c>
      <c r="AE29" s="11">
        <v>2.0716136363636362</v>
      </c>
      <c r="AF29" s="11">
        <f>[3]Prices!$D622*7.5/100</f>
        <v>4.6098068181818173</v>
      </c>
      <c r="AG29" s="11">
        <f t="shared" si="6"/>
        <v>253.81931818181812</v>
      </c>
      <c r="AI29" s="11">
        <v>154.97730000000001</v>
      </c>
      <c r="AJ29" s="11">
        <v>5.5357954545454549</v>
      </c>
      <c r="AK29" s="11">
        <v>2.2290136363636366</v>
      </c>
      <c r="AL29" s="11">
        <f t="shared" si="7"/>
        <v>-0.25194383116883112</v>
      </c>
      <c r="AM29" s="13">
        <f>'[7]D6 Gallon Forecast'!$M37/1000000</f>
        <v>1257.888244</v>
      </c>
    </row>
    <row r="30" spans="1:39" x14ac:dyDescent="0.25">
      <c r="A30" s="10">
        <v>44440</v>
      </c>
      <c r="B30" s="11">
        <v>2.1470571428571428</v>
      </c>
      <c r="C30" s="12">
        <f>[6]Biodiesel!$M11</f>
        <v>139934774</v>
      </c>
      <c r="D30" s="12">
        <f>AVERAGE([6]Biodiesel!$H11:$L11)</f>
        <v>152701437.40000001</v>
      </c>
      <c r="E30" s="12">
        <f t="shared" si="8"/>
        <v>-12766663.400000006</v>
      </c>
      <c r="F30" s="12">
        <f>'[7]D4 Gallon Forecast'!$M77+'[7]D4 Gallon Forecast'!$M109</f>
        <v>151727069</v>
      </c>
      <c r="G30" s="12">
        <f>SUM('[7]D4 Gallon Forecast'!$H77:$L77,'[7]D4 Gallon Forecast'!$H109:$L109)/5</f>
        <v>181072640.59999999</v>
      </c>
      <c r="H30" s="12">
        <f>F30-G30</f>
        <v>-29345571.599999994</v>
      </c>
      <c r="I30" s="11">
        <f>'RINs and HOBO Forecast'!C59/100</f>
        <v>1.5352379999999999</v>
      </c>
      <c r="J30" s="11">
        <f t="shared" si="2"/>
        <v>-0.61181914285714289</v>
      </c>
      <c r="K30" s="12">
        <f>'[6]Renewable Diesel'!$M57</f>
        <v>55747506</v>
      </c>
      <c r="L30" s="12">
        <f>AVERAGE('[6]Renewable Diesel'!$H57:$L57)</f>
        <v>32447211.199999999</v>
      </c>
      <c r="M30" s="12">
        <f>K30-L30</f>
        <v>23300294.800000001</v>
      </c>
      <c r="N30" s="12">
        <f>'[6]Renewable Diesel'!$M11</f>
        <v>107635552</v>
      </c>
      <c r="O30" s="12">
        <f>AVERAGE('[6]Renewable Diesel'!$H11:$L11)</f>
        <v>65659315.799999997</v>
      </c>
      <c r="P30" s="12">
        <f>N30-O30</f>
        <v>41976236.200000003</v>
      </c>
      <c r="S30" s="11">
        <f>'[8]Soy Complex'!$BJ605</f>
        <v>75.1571</v>
      </c>
      <c r="T30" s="11">
        <v>517.85709999999995</v>
      </c>
      <c r="U30" s="11"/>
      <c r="V30" s="11">
        <v>599.04759999999999</v>
      </c>
      <c r="W30" s="11" t="e">
        <f>#REF!*100</f>
        <v>#REF!</v>
      </c>
      <c r="X30" s="11"/>
      <c r="Y30" s="11">
        <f t="shared" si="5"/>
        <v>81.190500000000043</v>
      </c>
      <c r="Z30" s="11"/>
      <c r="AA30" s="11">
        <v>143.66669999999999</v>
      </c>
      <c r="AB30" s="11">
        <v>16</v>
      </c>
      <c r="AC30" s="11">
        <v>100</v>
      </c>
      <c r="AE30" s="11">
        <v>2.1994190476190476</v>
      </c>
      <c r="AF30" s="11">
        <f>[3]Prices!$D623*7.5/100</f>
        <v>4.2903571428571432</v>
      </c>
      <c r="AG30" s="11">
        <f t="shared" si="6"/>
        <v>209.09380952380957</v>
      </c>
      <c r="AI30" s="11">
        <v>117.3929</v>
      </c>
      <c r="AJ30" s="11">
        <v>5.2440476190476195</v>
      </c>
      <c r="AK30" s="11">
        <v>2.1642095238095242</v>
      </c>
      <c r="AL30" s="11">
        <f t="shared" si="7"/>
        <v>-0.29133537414966004</v>
      </c>
      <c r="AM30" s="13">
        <f>'[7]D6 Gallon Forecast'!$M38/1000000</f>
        <v>1263.9707060000001</v>
      </c>
    </row>
    <row r="31" spans="1:39" x14ac:dyDescent="0.25">
      <c r="A31" s="10">
        <v>44470</v>
      </c>
      <c r="B31" s="11">
        <v>2.1353857142857144</v>
      </c>
      <c r="C31" s="12">
        <f>[6]Biodiesel!$M12</f>
        <v>139778878</v>
      </c>
      <c r="D31" s="12">
        <f>AVERAGE([6]Biodiesel!$H12:$L12)</f>
        <v>151893080.80000001</v>
      </c>
      <c r="E31" s="12">
        <f t="shared" si="8"/>
        <v>-12114202.800000012</v>
      </c>
      <c r="F31" s="12">
        <f>'[7]D4 Gallon Forecast'!$M78+'[7]D4 Gallon Forecast'!$M110</f>
        <v>157667026</v>
      </c>
      <c r="G31" s="12">
        <f>SUM('[7]D4 Gallon Forecast'!$H78:$L78,'[7]D4 Gallon Forecast'!$H110:$L110)/5</f>
        <v>179214443.40000001</v>
      </c>
      <c r="H31" s="12">
        <f t="shared" si="1"/>
        <v>-21547417.400000006</v>
      </c>
      <c r="I31" s="11">
        <f>'RINs and HOBO Forecast'!C60/100</f>
        <v>1.4295</v>
      </c>
      <c r="J31" s="11">
        <f t="shared" si="2"/>
        <v>-0.70588571428571445</v>
      </c>
      <c r="K31" s="12">
        <f>'[6]Renewable Diesel'!$M58</f>
        <v>77344974</v>
      </c>
      <c r="L31" s="12">
        <f>AVERAGE('[6]Renewable Diesel'!$H58:$L58)</f>
        <v>31759731.399999999</v>
      </c>
      <c r="M31" s="12">
        <f t="shared" si="3"/>
        <v>45585242.600000001</v>
      </c>
      <c r="N31" s="12">
        <f>'[6]Renewable Diesel'!$M12</f>
        <v>119979605</v>
      </c>
      <c r="O31" s="12">
        <f>AVERAGE('[6]Renewable Diesel'!$H12:$L12)</f>
        <v>57964885</v>
      </c>
      <c r="P31" s="12">
        <f t="shared" si="4"/>
        <v>62014720</v>
      </c>
      <c r="S31" s="11">
        <f>'[8]Soy Complex'!$BK594</f>
        <v>79.65095238095239</v>
      </c>
      <c r="T31" s="11">
        <v>530.47619999999995</v>
      </c>
      <c r="U31" s="11"/>
      <c r="V31" s="11">
        <v>608.80949999999996</v>
      </c>
      <c r="W31" s="11" t="e">
        <f>#REF!*100</f>
        <v>#REF!</v>
      </c>
      <c r="X31" s="11"/>
      <c r="Y31" s="11">
        <f t="shared" si="5"/>
        <v>78.333300000000008</v>
      </c>
      <c r="Z31" s="11"/>
      <c r="AA31" s="11">
        <v>153.52379999999999</v>
      </c>
      <c r="AB31" s="11">
        <v>16</v>
      </c>
      <c r="AC31" s="11">
        <v>100</v>
      </c>
      <c r="AE31" s="11">
        <v>2.5105428571428567</v>
      </c>
      <c r="AF31" s="11">
        <f>[3]Prices!$D624*7.5/100</f>
        <v>4.593464285714286</v>
      </c>
      <c r="AG31" s="11">
        <f t="shared" si="6"/>
        <v>208.29214285714292</v>
      </c>
      <c r="AI31" s="11">
        <v>127.9405</v>
      </c>
      <c r="AJ31" s="11">
        <v>5.366190476190476</v>
      </c>
      <c r="AK31" s="11">
        <v>2.4202523809523813</v>
      </c>
      <c r="AL31" s="11">
        <f t="shared" si="7"/>
        <v>-0.5037557823129255</v>
      </c>
      <c r="AM31" s="13">
        <f>'[7]D6 Gallon Forecast'!$M39/1000000</f>
        <v>1274.4802729999999</v>
      </c>
    </row>
    <row r="32" spans="1:39" x14ac:dyDescent="0.25">
      <c r="A32" s="10">
        <v>44501</v>
      </c>
      <c r="B32" s="11">
        <v>2.1266238095238097</v>
      </c>
      <c r="C32" s="12">
        <f>[6]Biodiesel!$M13</f>
        <v>140856752</v>
      </c>
      <c r="D32" s="12">
        <f>AVERAGE([6]Biodiesel!$H13:$L13)</f>
        <v>140059123</v>
      </c>
      <c r="E32" s="12">
        <f t="shared" si="8"/>
        <v>797629</v>
      </c>
      <c r="F32" s="12">
        <f>'[7]D4 Gallon Forecast'!$M79+'[7]D4 Gallon Forecast'!$M111</f>
        <v>162339335</v>
      </c>
      <c r="G32" s="12">
        <f>SUM('[7]D4 Gallon Forecast'!$H79:$L79,'[7]D4 Gallon Forecast'!$H111:$L111)/5</f>
        <v>168099136.80000001</v>
      </c>
      <c r="H32" s="12">
        <f t="shared" si="1"/>
        <v>-5759801.8000000119</v>
      </c>
      <c r="I32" s="11">
        <f>'RINs and HOBO Forecast'!C61/100</f>
        <v>1.5105950000000001</v>
      </c>
      <c r="J32" s="11">
        <f t="shared" si="2"/>
        <v>-0.61602880952380956</v>
      </c>
      <c r="K32" s="12">
        <f>'[6]Renewable Diesel'!$M59</f>
        <v>101861084</v>
      </c>
      <c r="L32" s="12">
        <f>AVERAGE('[6]Renewable Diesel'!$H59:$L59)</f>
        <v>36487627.799999997</v>
      </c>
      <c r="M32" s="12">
        <f t="shared" si="3"/>
        <v>65373456.200000003</v>
      </c>
      <c r="N32" s="12">
        <f>'[6]Renewable Diesel'!$M13</f>
        <v>133156773</v>
      </c>
      <c r="O32" s="12">
        <f>AVERAGE('[6]Renewable Diesel'!$H13:$L13)</f>
        <v>66611078.200000003</v>
      </c>
      <c r="P32" s="12">
        <f t="shared" si="4"/>
        <v>66545694.799999997</v>
      </c>
      <c r="S32" s="11">
        <f>'[8]Soy Complex'!$BK595</f>
        <v>77.377619047619064</v>
      </c>
      <c r="T32" s="11">
        <v>557.375</v>
      </c>
      <c r="U32" s="11"/>
      <c r="V32" s="11">
        <v>637</v>
      </c>
      <c r="W32" s="11" t="e">
        <f>#REF!*100</f>
        <v>#REF!</v>
      </c>
      <c r="X32" s="11"/>
      <c r="Y32" s="11">
        <f t="shared" si="5"/>
        <v>79.625</v>
      </c>
      <c r="Z32" s="11"/>
      <c r="AA32" s="11">
        <v>142.94999999999999</v>
      </c>
      <c r="AB32" s="11">
        <v>16</v>
      </c>
      <c r="AC32" s="11">
        <v>100</v>
      </c>
      <c r="AE32" s="11">
        <v>2.3727952380952382</v>
      </c>
      <c r="AF32" s="11">
        <f>[3]Prices!$D625*7.5/100</f>
        <v>4.4426071428571428</v>
      </c>
      <c r="AG32" s="11">
        <f t="shared" si="6"/>
        <v>206.98119047619045</v>
      </c>
      <c r="AI32" s="11">
        <v>109.4375</v>
      </c>
      <c r="AJ32" s="11">
        <v>5.7091666666666665</v>
      </c>
      <c r="AK32" s="11">
        <v>2.2811380952380951</v>
      </c>
      <c r="AL32" s="11">
        <f t="shared" si="7"/>
        <v>-0.24214999999999964</v>
      </c>
      <c r="AM32" s="13">
        <f>'[7]D6 Gallon Forecast'!$M40/1000000</f>
        <v>1214.931088</v>
      </c>
    </row>
    <row r="33" spans="1:39" x14ac:dyDescent="0.25">
      <c r="A33" s="10">
        <v>44531</v>
      </c>
      <c r="B33" s="11">
        <v>1.9574427272727275</v>
      </c>
      <c r="C33" s="12">
        <f>[6]Biodiesel!$M14</f>
        <v>165708240</v>
      </c>
      <c r="D33" s="12">
        <f>AVERAGE([6]Biodiesel!$H14:$L14)</f>
        <v>169724908.80000001</v>
      </c>
      <c r="E33" s="12">
        <f t="shared" si="8"/>
        <v>-4016668.8000000119</v>
      </c>
      <c r="F33" s="12">
        <f>'[7]D4 Gallon Forecast'!$M80+'[7]D4 Gallon Forecast'!$M112</f>
        <v>216969174</v>
      </c>
      <c r="G33" s="12">
        <f>SUM('[7]D4 Gallon Forecast'!$H80:$L80,'[7]D4 Gallon Forecast'!$H112:$L112)/5</f>
        <v>215741339.19999999</v>
      </c>
      <c r="H33" s="12">
        <f t="shared" si="1"/>
        <v>1227834.8000000119</v>
      </c>
      <c r="I33" s="11">
        <f>'RINs and HOBO Forecast'!C62/100</f>
        <v>1.3571250000000001</v>
      </c>
      <c r="J33" s="11">
        <f t="shared" si="2"/>
        <v>-0.60031772727272736</v>
      </c>
      <c r="K33" s="12">
        <f>'[6]Renewable Diesel'!$M60</f>
        <v>118270462</v>
      </c>
      <c r="L33" s="12">
        <f>AVERAGE('[6]Renewable Diesel'!$H60:$L60)</f>
        <v>42123181.799999997</v>
      </c>
      <c r="M33" s="12">
        <f t="shared" si="3"/>
        <v>76147280.200000003</v>
      </c>
      <c r="N33" s="12">
        <f>'[6]Renewable Diesel'!$M14</f>
        <v>170434708</v>
      </c>
      <c r="O33" s="12">
        <f>AVERAGE('[6]Renewable Diesel'!$H14:$L14)</f>
        <v>74599543</v>
      </c>
      <c r="P33" s="12">
        <f t="shared" si="4"/>
        <v>95835165</v>
      </c>
      <c r="S33" s="11">
        <f>'[8]Soy Complex'!$BK596</f>
        <v>73.03857142857143</v>
      </c>
      <c r="T33" s="11">
        <v>513.21429999999998</v>
      </c>
      <c r="U33" s="11"/>
      <c r="V33" s="11">
        <v>610.95240000000001</v>
      </c>
      <c r="W33" s="11" t="e">
        <f>#REF!*100</f>
        <v>#REF!</v>
      </c>
      <c r="X33" s="11"/>
      <c r="Y33" s="11">
        <f t="shared" si="5"/>
        <v>97.738100000000031</v>
      </c>
      <c r="Z33" s="11"/>
      <c r="AA33" s="11">
        <v>151.05950000000001</v>
      </c>
      <c r="AB33" s="11">
        <v>16</v>
      </c>
      <c r="AC33" s="11">
        <v>100</v>
      </c>
      <c r="AE33" s="11">
        <v>2.2466999999999997</v>
      </c>
      <c r="AF33" s="11">
        <f>[3]Prices!$D626*7.5/100</f>
        <v>4.1407159090909094</v>
      </c>
      <c r="AG33" s="11">
        <f t="shared" si="6"/>
        <v>189.40159090909097</v>
      </c>
      <c r="AI33" s="11">
        <v>100.8095</v>
      </c>
      <c r="AJ33" s="11">
        <v>5.921818181818181</v>
      </c>
      <c r="AK33" s="11">
        <v>2.1353500000000003</v>
      </c>
      <c r="AL33" s="11">
        <f t="shared" si="7"/>
        <v>-2.0414935064935413E-2</v>
      </c>
      <c r="AM33" s="13">
        <f>'[7]D6 Gallon Forecast'!$M41/1000000</f>
        <v>1157.7463359999999</v>
      </c>
    </row>
    <row r="34" spans="1:39" x14ac:dyDescent="0.25">
      <c r="A34" s="10">
        <v>44562</v>
      </c>
      <c r="B34" s="11">
        <v>2.0489189999999997</v>
      </c>
      <c r="C34" s="12">
        <f>[6]Biodiesel!$N3</f>
        <v>90715015</v>
      </c>
      <c r="D34" s="12">
        <f>AVERAGE([6]Biodiesel!$I3:$M3)</f>
        <v>101961522</v>
      </c>
      <c r="E34" s="12">
        <f t="shared" si="8"/>
        <v>-11246507</v>
      </c>
      <c r="F34" s="12">
        <f>'[7]D4 Gallon Forecast'!$N69+'[7]D4 Gallon Forecast'!$N101</f>
        <v>103416061</v>
      </c>
      <c r="G34" s="12">
        <f>SUM('[7]D4 Gallon Forecast'!$I69:$M69,'[7]D4 Gallon Forecast'!$I101:$M101)/5</f>
        <v>115155425.8</v>
      </c>
      <c r="H34" s="12">
        <f t="shared" si="1"/>
        <v>-11739364.799999997</v>
      </c>
      <c r="I34" s="11">
        <f>'RINs and HOBO Forecast'!C63/100</f>
        <v>1.4646049999999999</v>
      </c>
      <c r="J34" s="11">
        <f t="shared" si="2"/>
        <v>-0.58431399999999978</v>
      </c>
      <c r="K34" s="12">
        <f>'[6]Renewable Diesel'!$N49</f>
        <v>87010244</v>
      </c>
      <c r="L34" s="12">
        <f>AVERAGE('[6]Renewable Diesel'!$I49:$M49)</f>
        <v>32192066</v>
      </c>
      <c r="M34" s="12">
        <f t="shared" si="3"/>
        <v>54818178</v>
      </c>
      <c r="N34" s="12">
        <f>'[6]Renewable Diesel'!$N3</f>
        <v>121692397</v>
      </c>
      <c r="O34" s="12">
        <f>AVERAGE('[6]Renewable Diesel'!$I3:$M3)</f>
        <v>53654898.399999999</v>
      </c>
      <c r="P34" s="12">
        <f t="shared" si="4"/>
        <v>68037498.599999994</v>
      </c>
      <c r="S34" s="11">
        <f>'[8]Soy Complex'!$BK597</f>
        <v>75.567499999999995</v>
      </c>
      <c r="T34" s="11">
        <v>514.5</v>
      </c>
      <c r="U34" s="11"/>
      <c r="V34" s="11">
        <v>614.5</v>
      </c>
      <c r="W34" s="11" t="e">
        <f>#REF!*100</f>
        <v>#REF!</v>
      </c>
      <c r="X34" s="11"/>
      <c r="Y34" s="11">
        <f t="shared" si="5"/>
        <v>100</v>
      </c>
      <c r="Z34" s="11"/>
      <c r="AA34" s="11">
        <v>135.71250000000001</v>
      </c>
      <c r="AB34" s="11">
        <v>16</v>
      </c>
      <c r="AC34" s="11">
        <v>100</v>
      </c>
      <c r="AE34" s="11">
        <v>2.5844449999999997</v>
      </c>
      <c r="AF34" s="11">
        <f>[3]Prices!$D627*7.5/100</f>
        <v>4.5509999999999993</v>
      </c>
      <c r="AG34" s="11">
        <f t="shared" si="6"/>
        <v>196.65549999999996</v>
      </c>
      <c r="AI34" s="11">
        <v>113.02630000000001</v>
      </c>
      <c r="AJ34" s="11">
        <v>6.09375</v>
      </c>
      <c r="AK34" s="11">
        <v>2.4023099999999995</v>
      </c>
      <c r="AL34" s="11">
        <f t="shared" si="7"/>
        <v>-0.22597071428571347</v>
      </c>
      <c r="AM34" s="13">
        <f>'[7]D6 Gallon Forecast'!$N30/1000000</f>
        <v>1.0559683835528582E-7</v>
      </c>
    </row>
    <row r="35" spans="1:39" x14ac:dyDescent="0.25">
      <c r="A35" s="10">
        <v>44593</v>
      </c>
      <c r="B35" s="11">
        <v>2.3252063157894738</v>
      </c>
      <c r="C35" s="12">
        <f>[6]Biodiesel!$N4</f>
        <v>110442650</v>
      </c>
      <c r="D35" s="12">
        <f>AVERAGE([6]Biodiesel!$I4:$M4)</f>
        <v>109851406.8</v>
      </c>
      <c r="E35" s="12">
        <f t="shared" si="8"/>
        <v>591243.20000000298</v>
      </c>
      <c r="F35" s="12">
        <f>'[7]D4 Gallon Forecast'!$N70+'[7]D4 Gallon Forecast'!$N102</f>
        <v>117186475</v>
      </c>
      <c r="G35" s="12">
        <f>SUM('[7]D4 Gallon Forecast'!$I70:$M70,'[7]D4 Gallon Forecast'!$I102:$M102)/5</f>
        <v>124142116.8</v>
      </c>
      <c r="H35" s="12">
        <f t="shared" si="1"/>
        <v>-6955641.799999997</v>
      </c>
      <c r="I35" s="11">
        <f>'RINs and HOBO Forecast'!C64/100</f>
        <v>1.4836959999999999</v>
      </c>
      <c r="J35" s="11">
        <f t="shared" si="2"/>
        <v>-0.84151031578947388</v>
      </c>
      <c r="K35" s="12">
        <f>'[6]Renewable Diesel'!$N50</f>
        <v>101396491</v>
      </c>
      <c r="L35" s="12">
        <f>AVERAGE('[6]Renewable Diesel'!$I50:$M50)</f>
        <v>34259502.799999997</v>
      </c>
      <c r="M35" s="12">
        <f t="shared" si="3"/>
        <v>67136988.200000003</v>
      </c>
      <c r="N35" s="12">
        <f>'[6]Renewable Diesel'!$N4</f>
        <v>131671445</v>
      </c>
      <c r="O35" s="12">
        <f>AVERAGE('[6]Renewable Diesel'!$I4:$M4)</f>
        <v>54551389</v>
      </c>
      <c r="P35" s="12">
        <f t="shared" si="4"/>
        <v>77120056</v>
      </c>
      <c r="S35" s="11">
        <f>'[8]Soy Complex'!$BK598</f>
        <v>79.657368421052638</v>
      </c>
      <c r="T35" s="11">
        <v>572.23680000000002</v>
      </c>
      <c r="U35" s="11"/>
      <c r="V35" s="11">
        <v>660.78949999999998</v>
      </c>
      <c r="W35" s="11" t="e">
        <f>#REF!*100</f>
        <v>#REF!</v>
      </c>
      <c r="X35" s="11"/>
      <c r="Y35" s="11">
        <f t="shared" si="5"/>
        <v>88.552699999999959</v>
      </c>
      <c r="Z35" s="11"/>
      <c r="AA35" s="11">
        <v>146.4605</v>
      </c>
      <c r="AB35" s="11">
        <v>16</v>
      </c>
      <c r="AC35" s="11">
        <v>100</v>
      </c>
      <c r="AE35" s="11">
        <v>2.8219157894736839</v>
      </c>
      <c r="AF35" s="11">
        <f>[3]Prices!$D628*7.5/100</f>
        <v>5.0259473684210523</v>
      </c>
      <c r="AG35" s="11">
        <f t="shared" si="6"/>
        <v>220.40315789473684</v>
      </c>
      <c r="AI35" s="11">
        <v>115.6118</v>
      </c>
      <c r="AJ35" s="11">
        <v>6.4943421052631587</v>
      </c>
      <c r="AK35" s="11">
        <v>2.686652631578947</v>
      </c>
      <c r="AL35" s="11">
        <f t="shared" si="7"/>
        <v>-0.36724473684210457</v>
      </c>
      <c r="AM35" s="13">
        <f>'[7]D6 Gallon Forecast'!$N31/1000000</f>
        <v>-840.59901899999807</v>
      </c>
    </row>
    <row r="36" spans="1:39" x14ac:dyDescent="0.25">
      <c r="A36" s="10">
        <v>44621</v>
      </c>
      <c r="B36" s="11">
        <v>2.0870565217391306</v>
      </c>
      <c r="C36" s="12">
        <f>[6]Biodiesel!$N5</f>
        <v>135869438</v>
      </c>
      <c r="D36" s="12">
        <f>AVERAGE([6]Biodiesel!$I5:$M5)</f>
        <v>140957180.59999999</v>
      </c>
      <c r="E36" s="12">
        <f t="shared" si="8"/>
        <v>-5087742.599999994</v>
      </c>
      <c r="F36" s="12">
        <f>'[7]D4 Gallon Forecast'!$N71+'[7]D4 Gallon Forecast'!$N103</f>
        <v>158548093</v>
      </c>
      <c r="G36" s="12">
        <f>SUM('[7]D4 Gallon Forecast'!$I71:$M71,'[7]D4 Gallon Forecast'!$I103:$M103)/5</f>
        <v>161349890.59999999</v>
      </c>
      <c r="H36" s="12">
        <f t="shared" si="1"/>
        <v>-2801797.599999994</v>
      </c>
      <c r="I36" s="11">
        <f>'RINs and HOBO Forecast'!C65/100</f>
        <v>1.641688</v>
      </c>
      <c r="J36" s="11">
        <f t="shared" si="2"/>
        <v>-0.44536852173913055</v>
      </c>
      <c r="K36" s="12">
        <f>'[6]Renewable Diesel'!$N51</f>
        <v>110055959</v>
      </c>
      <c r="L36" s="12">
        <f>AVERAGE('[6]Renewable Diesel'!$I51:$M51)</f>
        <v>36222728.399999999</v>
      </c>
      <c r="M36" s="12">
        <f t="shared" si="3"/>
        <v>73833230.599999994</v>
      </c>
      <c r="N36" s="12">
        <f>'[6]Renewable Diesel'!$N5</f>
        <v>150541927</v>
      </c>
      <c r="O36" s="12">
        <f>AVERAGE('[6]Renewable Diesel'!$I5:$M5)</f>
        <v>60135468.399999999</v>
      </c>
      <c r="P36" s="12">
        <f t="shared" si="4"/>
        <v>90406458.599999994</v>
      </c>
      <c r="S36" s="11">
        <f>'[8]Soy Complex'!$BK599</f>
        <v>91.289130434782606</v>
      </c>
      <c r="T36" s="11">
        <v>668.7174</v>
      </c>
      <c r="U36" s="11"/>
      <c r="V36" s="11">
        <v>724.7826</v>
      </c>
      <c r="W36" s="11" t="e">
        <f>#REF!*100</f>
        <v>#REF!</v>
      </c>
      <c r="X36" s="11"/>
      <c r="Y36" s="11">
        <f t="shared" si="5"/>
        <v>56.065200000000004</v>
      </c>
      <c r="Z36" s="11"/>
      <c r="AA36" s="11">
        <v>148.36959999999999</v>
      </c>
      <c r="AB36" s="11">
        <v>16</v>
      </c>
      <c r="AC36" s="11">
        <v>100</v>
      </c>
      <c r="AE36" s="11">
        <v>3.538369565217391</v>
      </c>
      <c r="AF36" s="11">
        <f>[3]Prices!$D629*7.5/100</f>
        <v>5.5504891304347836</v>
      </c>
      <c r="AG36" s="11">
        <f t="shared" si="6"/>
        <v>201.21195652173927</v>
      </c>
      <c r="AI36" s="11">
        <v>114.587</v>
      </c>
      <c r="AJ36" s="11">
        <v>7.4656521739130435</v>
      </c>
      <c r="AK36" s="11">
        <v>3.2952173913043477</v>
      </c>
      <c r="AL36" s="11">
        <f t="shared" si="7"/>
        <v>-0.62891304347826038</v>
      </c>
      <c r="AM36" s="13">
        <f>'[7]D6 Gallon Forecast'!$N32/1000000</f>
        <v>2.0219999999999999E-3</v>
      </c>
    </row>
    <row r="37" spans="1:39" x14ac:dyDescent="0.25">
      <c r="A37" s="10">
        <v>44652</v>
      </c>
      <c r="B37" s="11">
        <v>2.3215059999999998</v>
      </c>
      <c r="C37" s="12">
        <f>[6]Biodiesel!$N6</f>
        <v>144286382</v>
      </c>
      <c r="D37" s="12">
        <f>AVERAGE([6]Biodiesel!$I6:$M6)</f>
        <v>144722838.19999999</v>
      </c>
      <c r="E37" s="12">
        <f t="shared" si="8"/>
        <v>-436456.19999998808</v>
      </c>
      <c r="F37" s="12">
        <f>'[7]D4 Gallon Forecast'!$N72+'[7]D4 Gallon Forecast'!$N104</f>
        <v>174159602</v>
      </c>
      <c r="G37" s="12">
        <f>SUM('[7]D4 Gallon Forecast'!$I72:$M72,'[7]D4 Gallon Forecast'!$I104:$M104)/5</f>
        <v>163586671.19999999</v>
      </c>
      <c r="H37" s="12">
        <f t="shared" si="1"/>
        <v>10572930.800000012</v>
      </c>
      <c r="I37" s="11">
        <f>'RINs and HOBO Forecast'!C66/100</f>
        <v>1.7838099999999999</v>
      </c>
      <c r="J37" s="11">
        <f t="shared" si="2"/>
        <v>-0.53769599999999995</v>
      </c>
      <c r="K37" s="12">
        <f>'[6]Renewable Diesel'!$N52</f>
        <v>106480662</v>
      </c>
      <c r="L37" s="12">
        <f>AVERAGE('[6]Renewable Diesel'!$I52:$M52)</f>
        <v>34796981.799999997</v>
      </c>
      <c r="M37" s="12">
        <f t="shared" si="3"/>
        <v>71683680.200000003</v>
      </c>
      <c r="N37" s="12">
        <f>'[6]Renewable Diesel'!$N6</f>
        <v>147920550</v>
      </c>
      <c r="O37" s="12">
        <f>AVERAGE('[6]Renewable Diesel'!$I6:$M6)</f>
        <v>69306797</v>
      </c>
      <c r="P37" s="12">
        <f t="shared" si="4"/>
        <v>78613753</v>
      </c>
      <c r="S37" s="11">
        <f>'[8]Soy Complex'!$BK600</f>
        <v>96.501999999999995</v>
      </c>
      <c r="T37" s="11">
        <v>692.375</v>
      </c>
      <c r="U37" s="11"/>
      <c r="V37" s="11">
        <v>787.75</v>
      </c>
      <c r="W37" s="11" t="e">
        <f>#REF!*100</f>
        <v>#REF!</v>
      </c>
      <c r="X37" s="11"/>
      <c r="Y37" s="11">
        <f t="shared" si="5"/>
        <v>95.375</v>
      </c>
      <c r="Z37" s="11"/>
      <c r="AA37" s="11">
        <v>164.1688</v>
      </c>
      <c r="AB37" s="11">
        <v>16</v>
      </c>
      <c r="AC37" s="11">
        <v>100</v>
      </c>
      <c r="AE37" s="11">
        <v>3.62541</v>
      </c>
      <c r="AF37" s="11">
        <f>[3]Prices!$D630*7.5/100</f>
        <v>5.94015</v>
      </c>
      <c r="AG37" s="11">
        <f t="shared" si="6"/>
        <v>231.47399999999999</v>
      </c>
      <c r="AI37" s="11">
        <v>128.7063</v>
      </c>
      <c r="AJ37" s="11">
        <v>7.8379999999999992</v>
      </c>
      <c r="AK37" s="11">
        <v>3.2563850000000003</v>
      </c>
      <c r="AL37" s="11">
        <f t="shared" si="7"/>
        <v>-0.45709928571428593</v>
      </c>
      <c r="AM37" s="13">
        <f>'[7]D6 Gallon Forecast'!$N33/1000000</f>
        <v>1210.5704699999999</v>
      </c>
    </row>
    <row r="38" spans="1:39" x14ac:dyDescent="0.25">
      <c r="A38" s="10">
        <v>44682</v>
      </c>
      <c r="B38" s="11">
        <v>2.3091104761904759</v>
      </c>
      <c r="C38" s="12">
        <f>[6]Biodiesel!$N7</f>
        <v>139875243</v>
      </c>
      <c r="D38" s="12">
        <f>AVERAGE([6]Biodiesel!$I7:$M7)</f>
        <v>154205622.59999999</v>
      </c>
      <c r="E38" s="12">
        <f t="shared" si="8"/>
        <v>-14330379.599999994</v>
      </c>
      <c r="F38" s="12">
        <f>'[7]D4 Gallon Forecast'!$N73+'[7]D4 Gallon Forecast'!$N105</f>
        <v>151651903</v>
      </c>
      <c r="G38" s="12">
        <f>SUM('[7]D4 Gallon Forecast'!$I73:$M73,'[7]D4 Gallon Forecast'!$I105:$M105)/5</f>
        <v>174749081.19999999</v>
      </c>
      <c r="H38" s="12">
        <f t="shared" si="1"/>
        <v>-23097178.199999988</v>
      </c>
      <c r="I38" s="11">
        <f>'RINs and HOBO Forecast'!C67/100</f>
        <v>1.6325000000000001</v>
      </c>
      <c r="J38" s="11">
        <f t="shared" si="2"/>
        <v>-0.67661047619047587</v>
      </c>
      <c r="K38" s="12">
        <f>'[6]Renewable Diesel'!$N53</f>
        <v>136075722</v>
      </c>
      <c r="L38" s="12">
        <f>AVERAGE('[6]Renewable Diesel'!$I53:$M53)</f>
        <v>38551292.399999999</v>
      </c>
      <c r="M38" s="12">
        <f t="shared" si="3"/>
        <v>97524429.599999994</v>
      </c>
      <c r="N38" s="12">
        <f>'[6]Renewable Diesel'!$N7</f>
        <v>180869468</v>
      </c>
      <c r="O38" s="12">
        <f>AVERAGE('[6]Renewable Diesel'!$I7:$M7)</f>
        <v>78570699.799999997</v>
      </c>
      <c r="P38" s="12">
        <f t="shared" si="4"/>
        <v>102298768.2</v>
      </c>
      <c r="S38" s="11">
        <f>'[8]Soy Complex'!$BK601</f>
        <v>104.02857142857144</v>
      </c>
      <c r="T38" s="11">
        <v>758.21429999999998</v>
      </c>
      <c r="U38" s="11"/>
      <c r="V38" s="11">
        <v>798.09519999999998</v>
      </c>
      <c r="W38" s="11" t="e">
        <f>#REF!*100</f>
        <v>#REF!</v>
      </c>
      <c r="X38" s="11"/>
      <c r="Y38" s="11">
        <f t="shared" si="5"/>
        <v>39.880899999999997</v>
      </c>
      <c r="Z38" s="11"/>
      <c r="AA38" s="11">
        <v>178.381</v>
      </c>
      <c r="AB38" s="11">
        <v>16</v>
      </c>
      <c r="AC38" s="11">
        <v>100</v>
      </c>
      <c r="AE38" s="11">
        <v>3.8681857142857141</v>
      </c>
      <c r="AF38" s="11">
        <f>[3]Prices!$D631*7.5/100</f>
        <v>6.0753571428571433</v>
      </c>
      <c r="AG38" s="11">
        <f t="shared" si="6"/>
        <v>220.71714285714293</v>
      </c>
      <c r="AI38" s="11">
        <v>153.20240000000001</v>
      </c>
      <c r="AJ38" s="11">
        <v>7.8386904761904761</v>
      </c>
      <c r="AK38" s="11">
        <v>3.7841714285714283</v>
      </c>
      <c r="AL38" s="11">
        <f t="shared" si="7"/>
        <v>-0.98463911564625795</v>
      </c>
      <c r="AM38" s="13">
        <f>'[7]D6 Gallon Forecast'!$N34/1000000</f>
        <v>1070.334623</v>
      </c>
    </row>
    <row r="39" spans="1:39" x14ac:dyDescent="0.25">
      <c r="A39" s="10">
        <v>44713</v>
      </c>
      <c r="B39" s="11">
        <v>1.4467923809523813</v>
      </c>
      <c r="C39" s="12">
        <f>[6]Biodiesel!$N8</f>
        <v>142855221</v>
      </c>
      <c r="D39" s="12">
        <f>AVERAGE([6]Biodiesel!$I8:$M8)</f>
        <v>153927634</v>
      </c>
      <c r="E39" s="12">
        <f t="shared" si="8"/>
        <v>-11072413</v>
      </c>
      <c r="F39" s="12">
        <f>'[7]D4 Gallon Forecast'!$N74+'[7]D4 Gallon Forecast'!$N106</f>
        <v>162170057</v>
      </c>
      <c r="G39" s="12">
        <f>SUM('[7]D4 Gallon Forecast'!$I74:$M74,'[7]D4 Gallon Forecast'!$I106:$M106)/5</f>
        <v>183872398.59999999</v>
      </c>
      <c r="H39" s="12">
        <f t="shared" si="1"/>
        <v>-21702341.599999994</v>
      </c>
      <c r="I39" s="11">
        <f>'RINs and HOBO Forecast'!C68/100</f>
        <v>1.6142500000000002</v>
      </c>
      <c r="J39" s="11">
        <f t="shared" si="2"/>
        <v>0.16745761904761891</v>
      </c>
      <c r="K39" s="12">
        <f>'[6]Renewable Diesel'!$N54</f>
        <v>116253275</v>
      </c>
      <c r="L39" s="12">
        <f>AVERAGE('[6]Renewable Diesel'!$I54:$M54)</f>
        <v>38391879.200000003</v>
      </c>
      <c r="M39" s="12">
        <f t="shared" si="3"/>
        <v>77861395.799999997</v>
      </c>
      <c r="N39" s="12">
        <f>'[6]Renewable Diesel'!$N8</f>
        <v>154126522</v>
      </c>
      <c r="O39" s="12">
        <f>AVERAGE('[6]Renewable Diesel'!$I8:$M8)</f>
        <v>75187376.400000006</v>
      </c>
      <c r="P39" s="12">
        <f t="shared" si="4"/>
        <v>78939145.599999994</v>
      </c>
      <c r="S39" s="11">
        <f>'[8]Soy Complex'!$BK602</f>
        <v>98.782380952380947</v>
      </c>
      <c r="T39" s="11">
        <v>753.33330000000001</v>
      </c>
      <c r="U39" s="11"/>
      <c r="V39" s="11">
        <v>791.90480000000002</v>
      </c>
      <c r="W39" s="11" t="e">
        <f>#REF!*100</f>
        <v>#REF!</v>
      </c>
      <c r="X39" s="11"/>
      <c r="Y39" s="11">
        <f t="shared" si="5"/>
        <v>38.571500000000015</v>
      </c>
      <c r="Z39" s="11"/>
      <c r="AA39" s="11">
        <v>163.25</v>
      </c>
      <c r="AB39" s="11">
        <v>16</v>
      </c>
      <c r="AC39" s="11">
        <v>100</v>
      </c>
      <c r="AE39" s="11">
        <v>4.2427333333333337</v>
      </c>
      <c r="AF39" s="11">
        <f>[3]Prices!$D632*7.5/100</f>
        <v>5.7247500000000002</v>
      </c>
      <c r="AG39" s="11">
        <f t="shared" si="6"/>
        <v>148.20166666666665</v>
      </c>
      <c r="AI39" s="11">
        <v>152.19049999999999</v>
      </c>
      <c r="AJ39" s="11">
        <v>7.3897619047619045</v>
      </c>
      <c r="AK39" s="11">
        <v>3.9874238095238095</v>
      </c>
      <c r="AL39" s="11">
        <f t="shared" si="7"/>
        <v>-1.3482231292517004</v>
      </c>
      <c r="AM39" s="13">
        <f>'[7]D6 Gallon Forecast'!$N35/1000000</f>
        <v>1266.829142</v>
      </c>
    </row>
    <row r="40" spans="1:39" x14ac:dyDescent="0.25">
      <c r="A40" s="10">
        <v>44743</v>
      </c>
      <c r="B40" s="11">
        <v>1.0371319999999999</v>
      </c>
      <c r="C40" s="12">
        <f>[6]Biodiesel!$N9</f>
        <v>137545866</v>
      </c>
      <c r="D40" s="12">
        <f>AVERAGE([6]Biodiesel!$I9:$M9)</f>
        <v>159830293.59999999</v>
      </c>
      <c r="E40" s="12">
        <f t="shared" si="8"/>
        <v>-22284427.599999994</v>
      </c>
      <c r="F40" s="12">
        <f>'[7]D4 Gallon Forecast'!$N75+'[7]D4 Gallon Forecast'!$N107</f>
        <v>146261573</v>
      </c>
      <c r="G40" s="12">
        <f>SUM('[7]D4 Gallon Forecast'!$I75:$M75,'[7]D4 Gallon Forecast'!$I107:$M107)/5</f>
        <v>182159499.80000001</v>
      </c>
      <c r="H40" s="12">
        <f t="shared" si="1"/>
        <v>-35897926.800000012</v>
      </c>
      <c r="I40" s="11">
        <f>'RINs and HOBO Forecast'!C69/100</f>
        <v>1.7658699999999998</v>
      </c>
      <c r="J40" s="11">
        <f t="shared" si="2"/>
        <v>0.72873799999999989</v>
      </c>
      <c r="K40" s="12">
        <f>'[6]Renewable Diesel'!$N55</f>
        <v>108975538</v>
      </c>
      <c r="L40" s="12">
        <f>AVERAGE('[6]Renewable Diesel'!$I55:$M55)</f>
        <v>38534516</v>
      </c>
      <c r="M40" s="12">
        <f t="shared" si="3"/>
        <v>70441022</v>
      </c>
      <c r="N40" s="12">
        <f>'[6]Renewable Diesel'!$N9</f>
        <v>128058899</v>
      </c>
      <c r="O40" s="12">
        <f>AVERAGE('[6]Renewable Diesel'!$I9:$M9)</f>
        <v>67452940.400000006</v>
      </c>
      <c r="P40" s="12">
        <f t="shared" si="4"/>
        <v>60605958.599999994</v>
      </c>
      <c r="S40" s="11">
        <f>'[8]Soy Complex'!$BK603</f>
        <v>81.498000000000005</v>
      </c>
      <c r="T40" s="11">
        <v>683.875</v>
      </c>
      <c r="U40" s="11"/>
      <c r="V40" s="11">
        <v>757.55</v>
      </c>
      <c r="W40" s="11" t="e">
        <f>#REF!*100</f>
        <v>#REF!</v>
      </c>
      <c r="X40" s="11"/>
      <c r="Y40" s="11">
        <f t="shared" si="5"/>
        <v>73.674999999999955</v>
      </c>
      <c r="Z40" s="11"/>
      <c r="AA40" s="11">
        <v>161.42500000000001</v>
      </c>
      <c r="AB40" s="11">
        <v>16</v>
      </c>
      <c r="AC40" s="11">
        <v>100</v>
      </c>
      <c r="AE40" s="11">
        <v>3.608285</v>
      </c>
      <c r="AF40" s="11">
        <f>[3]Prices!$D633*7.5/100</f>
        <v>4.6048499999999999</v>
      </c>
      <c r="AG40" s="11">
        <f t="shared" si="6"/>
        <v>99.656499999999994</v>
      </c>
      <c r="AI40" s="11">
        <v>149.8125</v>
      </c>
      <c r="AJ40" s="11">
        <v>5.9832500000000008</v>
      </c>
      <c r="AK40" s="11">
        <v>3.3409699999999996</v>
      </c>
      <c r="AL40" s="11">
        <f t="shared" si="7"/>
        <v>-1.2040949999999992</v>
      </c>
      <c r="AM40" s="13">
        <f>'[7]D6 Gallon Forecast'!$N36/1000000</f>
        <v>1132.8846430000001</v>
      </c>
    </row>
    <row r="41" spans="1:39" x14ac:dyDescent="0.25">
      <c r="A41" s="10">
        <v>44774</v>
      </c>
      <c r="B41" s="11">
        <v>1.4865573913043477</v>
      </c>
      <c r="C41" s="12">
        <f>[6]Biodiesel!$N10</f>
        <v>151833118</v>
      </c>
      <c r="D41" s="12">
        <f>AVERAGE([6]Biodiesel!$I10:$M10)</f>
        <v>163568486.80000001</v>
      </c>
      <c r="E41" s="12">
        <f t="shared" si="8"/>
        <v>-11735368.800000012</v>
      </c>
      <c r="F41" s="12">
        <f>'[7]D4 Gallon Forecast'!$N76+'[7]D4 Gallon Forecast'!$N108</f>
        <v>167103111</v>
      </c>
      <c r="G41" s="12">
        <f>SUM('[7]D4 Gallon Forecast'!$I76:$M76,'[7]D4 Gallon Forecast'!$I108:$M108)/5</f>
        <v>183825286.80000001</v>
      </c>
      <c r="H41" s="12">
        <f t="shared" si="1"/>
        <v>-16722175.800000012</v>
      </c>
      <c r="I41" s="11">
        <f>'RINs and HOBO Forecast'!C70/100</f>
        <v>1.7481549999999999</v>
      </c>
      <c r="J41" s="11">
        <f t="shared" si="2"/>
        <v>0.26159760869565218</v>
      </c>
      <c r="K41" s="12">
        <f>'[6]Renewable Diesel'!$N56</f>
        <v>122248954</v>
      </c>
      <c r="L41" s="12">
        <f>AVERAGE('[6]Renewable Diesel'!$I56:$M56)</f>
        <v>39444556.600000001</v>
      </c>
      <c r="M41" s="12">
        <f t="shared" si="3"/>
        <v>82804397.400000006</v>
      </c>
      <c r="N41" s="12">
        <f>'[6]Renewable Diesel'!$N10</f>
        <v>143340284</v>
      </c>
      <c r="O41" s="12">
        <f>AVERAGE('[6]Renewable Diesel'!$I10:$M10)</f>
        <v>68857180</v>
      </c>
      <c r="P41" s="12">
        <f t="shared" si="4"/>
        <v>74483104</v>
      </c>
      <c r="S41" s="11">
        <f>'[8]Soy Complex'!$BK604</f>
        <v>85.409130434782597</v>
      </c>
      <c r="T41" s="11">
        <v>692.2826</v>
      </c>
      <c r="U41" s="11"/>
      <c r="V41" s="11">
        <v>749.95650000000001</v>
      </c>
      <c r="W41" s="11" t="e">
        <f>#REF!*100</f>
        <v>#REF!</v>
      </c>
      <c r="X41" s="11"/>
      <c r="Y41" s="11">
        <f t="shared" si="5"/>
        <v>57.673900000000003</v>
      </c>
      <c r="Z41" s="11"/>
      <c r="AA41" s="11">
        <v>176.58699999999999</v>
      </c>
      <c r="AB41" s="11">
        <v>16</v>
      </c>
      <c r="AC41" s="11">
        <v>100</v>
      </c>
      <c r="AE41" s="11">
        <v>3.5711956521739125</v>
      </c>
      <c r="AF41" s="11">
        <f>[3]Prices!$D634*7.5/100</f>
        <v>5.0615217391304341</v>
      </c>
      <c r="AG41" s="11">
        <f t="shared" si="6"/>
        <v>149.03260869565216</v>
      </c>
      <c r="AI41" s="11">
        <v>162.25</v>
      </c>
      <c r="AJ41" s="11">
        <v>6.3053260869565211</v>
      </c>
      <c r="AK41" s="11">
        <v>2.9107391304347829</v>
      </c>
      <c r="AL41" s="11">
        <f t="shared" si="7"/>
        <v>-0.65883695652173957</v>
      </c>
      <c r="AM41" s="13">
        <f>'[7]D6 Gallon Forecast'!$N37/1000000</f>
        <v>1229.187862</v>
      </c>
    </row>
    <row r="42" spans="1:39" x14ac:dyDescent="0.25">
      <c r="A42" s="10">
        <v>44805</v>
      </c>
      <c r="B42" s="11">
        <v>1.6098457142857141</v>
      </c>
      <c r="C42" s="12">
        <f>[6]Biodiesel!$N11</f>
        <v>141860945</v>
      </c>
      <c r="D42" s="12">
        <f>AVERAGE([6]Biodiesel!$I11:$M11)</f>
        <v>151359875</v>
      </c>
      <c r="E42" s="12">
        <f t="shared" si="8"/>
        <v>-9498930</v>
      </c>
      <c r="F42" s="12">
        <f>'[7]D4 Gallon Forecast'!$N77+'[7]D4 Gallon Forecast'!$N109</f>
        <v>160952336</v>
      </c>
      <c r="G42" s="12">
        <f>SUM('[7]D4 Gallon Forecast'!$I77:$M77,'[7]D4 Gallon Forecast'!$I109:$M109)/5</f>
        <v>167443375.19999999</v>
      </c>
      <c r="H42" s="12">
        <f t="shared" si="1"/>
        <v>-6491039.1999999881</v>
      </c>
      <c r="I42" s="11">
        <f>'RINs and HOBO Forecast'!C71/100</f>
        <v>1.8130952380952379</v>
      </c>
      <c r="J42" s="11">
        <f t="shared" si="2"/>
        <v>0.20324952380952377</v>
      </c>
      <c r="K42" s="12">
        <f>'[6]Renewable Diesel'!$N57</f>
        <v>127613378</v>
      </c>
      <c r="L42" s="12">
        <f>AVERAGE('[6]Renewable Diesel'!$I57:$M57)</f>
        <v>39753630.200000003</v>
      </c>
      <c r="M42" s="12">
        <f t="shared" si="3"/>
        <v>87859747.799999997</v>
      </c>
      <c r="N42" s="12">
        <f>'[6]Renewable Diesel'!$N11</f>
        <v>165201806</v>
      </c>
      <c r="O42" s="12">
        <f>AVERAGE('[6]Renewable Diesel'!$I11:$M11)</f>
        <v>77811426.599999994</v>
      </c>
      <c r="P42" s="12">
        <f t="shared" si="4"/>
        <v>87390379.400000006</v>
      </c>
      <c r="S42" s="11">
        <f>'[8]Soy Complex'!$BK605</f>
        <v>83.801904761904751</v>
      </c>
      <c r="T42" s="11">
        <v>698.33330000000001</v>
      </c>
      <c r="U42" s="11"/>
      <c r="V42" s="11">
        <v>770</v>
      </c>
      <c r="W42" s="11" t="e">
        <f>#REF!*100</f>
        <v>#REF!</v>
      </c>
      <c r="X42" s="11"/>
      <c r="Y42" s="11">
        <f t="shared" si="5"/>
        <v>71.666699999999992</v>
      </c>
      <c r="Z42" s="11"/>
      <c r="AA42" s="11">
        <v>174.81549999999999</v>
      </c>
      <c r="AB42" s="11">
        <v>16</v>
      </c>
      <c r="AC42" s="11">
        <v>100</v>
      </c>
      <c r="AE42" s="11">
        <v>3.365933333333333</v>
      </c>
      <c r="AF42" s="11">
        <f>[3]Prices!$D635*7.5/100</f>
        <v>5.0155000000000003</v>
      </c>
      <c r="AG42" s="11">
        <f t="shared" si="6"/>
        <v>164.95666666666673</v>
      </c>
      <c r="AI42" s="11">
        <v>161.81549999999999</v>
      </c>
      <c r="AJ42" s="11">
        <v>6.7723809523809519</v>
      </c>
      <c r="AK42" s="11">
        <v>2.4465857142857148</v>
      </c>
      <c r="AL42" s="11">
        <f t="shared" si="7"/>
        <v>-2.787823129251743E-2</v>
      </c>
      <c r="AM42" s="13">
        <f>'[7]D6 Gallon Forecast'!$N38/1000000</f>
        <v>1289.620439</v>
      </c>
    </row>
    <row r="43" spans="1:39" x14ac:dyDescent="0.25">
      <c r="A43" s="10">
        <v>44835</v>
      </c>
      <c r="B43" s="11">
        <v>1.495452380952381</v>
      </c>
      <c r="C43" s="12">
        <f>[6]Biodiesel!$N12</f>
        <v>138040230</v>
      </c>
      <c r="D43" s="12">
        <f>AVERAGE([6]Biodiesel!$I12:$M12)</f>
        <v>151235979</v>
      </c>
      <c r="E43" s="12">
        <f t="shared" si="8"/>
        <v>-13195749</v>
      </c>
      <c r="F43" s="12">
        <f>'[7]D4 Gallon Forecast'!$N78+'[7]D4 Gallon Forecast'!$N110</f>
        <v>155371189</v>
      </c>
      <c r="G43" s="12">
        <f>SUM('[7]D4 Gallon Forecast'!$I78:$M78,'[7]D4 Gallon Forecast'!$I110:$M110)/5</f>
        <v>172027810</v>
      </c>
      <c r="H43" s="12">
        <f t="shared" si="1"/>
        <v>-16656621</v>
      </c>
      <c r="I43" s="11">
        <f>'RINs and HOBO Forecast'!C72/100</f>
        <v>1.91475</v>
      </c>
      <c r="J43" s="11">
        <f t="shared" si="2"/>
        <v>0.41929761904761897</v>
      </c>
      <c r="K43" s="12">
        <f>'[6]Renewable Diesel'!$N58</f>
        <v>113679693</v>
      </c>
      <c r="L43" s="12">
        <f>AVERAGE('[6]Renewable Diesel'!$I58:$M58)</f>
        <v>43100773.200000003</v>
      </c>
      <c r="M43" s="12">
        <f t="shared" si="3"/>
        <v>70578919.799999997</v>
      </c>
      <c r="N43" s="12">
        <f>'[6]Renewable Diesel'!$N12</f>
        <v>151498690</v>
      </c>
      <c r="O43" s="12">
        <f>AVERAGE('[6]Renewable Diesel'!$I12:$M12)</f>
        <v>73523384.799999997</v>
      </c>
      <c r="P43" s="12">
        <f t="shared" si="4"/>
        <v>77975305.200000003</v>
      </c>
      <c r="S43" s="11">
        <f>'[8]Soy Complex'!$BL594</f>
        <v>84.172857142857154</v>
      </c>
      <c r="T43" s="11">
        <v>704.04759999999999</v>
      </c>
      <c r="U43" s="11"/>
      <c r="V43" s="11">
        <v>796.54759999999999</v>
      </c>
      <c r="W43" s="11" t="e">
        <f>#REF!*100</f>
        <v>#REF!</v>
      </c>
      <c r="X43" s="11"/>
      <c r="Y43" s="11">
        <f t="shared" si="5"/>
        <v>92.5</v>
      </c>
      <c r="Z43" s="11"/>
      <c r="AA43" s="11">
        <v>181.30950000000001</v>
      </c>
      <c r="AB43" s="11">
        <v>16</v>
      </c>
      <c r="AC43" s="11">
        <v>100</v>
      </c>
      <c r="AE43" s="11">
        <v>3.7092666666666658</v>
      </c>
      <c r="AF43" s="11">
        <f>[3]Prices!$D636*7.5/100</f>
        <v>5.1370714285714278</v>
      </c>
      <c r="AG43" s="11">
        <f t="shared" si="6"/>
        <v>142.78047619047621</v>
      </c>
      <c r="AI43" s="11">
        <v>162.43450000000001</v>
      </c>
      <c r="AJ43" s="11">
        <v>6.8554761904761907</v>
      </c>
      <c r="AK43" s="11">
        <v>2.7083476190476188</v>
      </c>
      <c r="AL43" s="11">
        <f t="shared" si="7"/>
        <v>-0.2599632653061219</v>
      </c>
      <c r="AM43" s="13">
        <f>'[7]D6 Gallon Forecast'!$N39/1000000</f>
        <v>1209.337395</v>
      </c>
    </row>
    <row r="44" spans="1:39" x14ac:dyDescent="0.25">
      <c r="A44" s="10">
        <v>44866</v>
      </c>
      <c r="B44" s="11">
        <v>2.0885828571428569</v>
      </c>
      <c r="C44" s="12">
        <f>[6]Biodiesel!$N13</f>
        <v>141295576</v>
      </c>
      <c r="D44" s="12">
        <f>AVERAGE([6]Biodiesel!$I13:$M13)</f>
        <v>140287086.40000001</v>
      </c>
      <c r="E44" s="12">
        <f t="shared" si="8"/>
        <v>1008489.599999994</v>
      </c>
      <c r="F44" s="12">
        <f>'[7]D4 Gallon Forecast'!$N79+'[7]D4 Gallon Forecast'!$N111</f>
        <v>175112972</v>
      </c>
      <c r="G44" s="12">
        <f>SUM('[7]D4 Gallon Forecast'!$I79:$M79,'[7]D4 Gallon Forecast'!$I111:$M111)/5</f>
        <v>159480140.59999999</v>
      </c>
      <c r="H44" s="12">
        <f t="shared" si="1"/>
        <v>15632831.400000006</v>
      </c>
      <c r="I44" s="11">
        <f>'RINs and HOBO Forecast'!C73/100</f>
        <v>1.7302379999999999</v>
      </c>
      <c r="J44" s="11">
        <f t="shared" si="2"/>
        <v>-0.35834485714285691</v>
      </c>
      <c r="K44" s="12">
        <f>'[6]Renewable Diesel'!$N59</f>
        <v>171787630</v>
      </c>
      <c r="L44" s="12">
        <f>AVERAGE('[6]Renewable Diesel'!$I59:$M59)</f>
        <v>51387597.600000001</v>
      </c>
      <c r="M44" s="12">
        <f t="shared" si="3"/>
        <v>120400032.40000001</v>
      </c>
      <c r="N44" s="12">
        <f>'[6]Renewable Diesel'!$N13</f>
        <v>198800014</v>
      </c>
      <c r="O44" s="12">
        <f>AVERAGE('[6]Renewable Diesel'!$I13:$M13)</f>
        <v>81658813.200000003</v>
      </c>
      <c r="P44" s="12">
        <f t="shared" si="4"/>
        <v>117141200.8</v>
      </c>
      <c r="S44" s="11">
        <f>'[8]Soy Complex'!$BL595</f>
        <v>91.439047619047614</v>
      </c>
      <c r="T44" s="11">
        <v>730.25</v>
      </c>
      <c r="U44" s="11"/>
      <c r="V44" s="11">
        <v>804.6</v>
      </c>
      <c r="W44" s="11" t="e">
        <f>#REF!*100</f>
        <v>#REF!</v>
      </c>
      <c r="X44" s="11"/>
      <c r="Y44" s="11">
        <f t="shared" si="5"/>
        <v>74.350000000000023</v>
      </c>
      <c r="Z44" s="11"/>
      <c r="AA44" s="11">
        <v>191.47499999999999</v>
      </c>
      <c r="AB44" s="11">
        <v>16</v>
      </c>
      <c r="AC44" s="11">
        <v>100</v>
      </c>
      <c r="AE44" s="11">
        <v>3.52157619047619</v>
      </c>
      <c r="AF44" s="11">
        <f>[3]Prices!$D637*7.5/100</f>
        <v>5.6226071428571434</v>
      </c>
      <c r="AG44" s="11">
        <f t="shared" si="6"/>
        <v>210.10309523809534</v>
      </c>
      <c r="AI44" s="11">
        <v>177.98750000000001</v>
      </c>
      <c r="AJ44" s="11">
        <v>6.6907142857142858</v>
      </c>
      <c r="AK44" s="11">
        <v>2.5247714285714289</v>
      </c>
      <c r="AL44" s="11">
        <f t="shared" si="7"/>
        <v>-0.1352306122448983</v>
      </c>
      <c r="AM44" s="13">
        <f>'[7]D6 Gallon Forecast'!$N40/1000000</f>
        <v>1268.92896</v>
      </c>
    </row>
    <row r="45" spans="1:39" x14ac:dyDescent="0.25">
      <c r="A45" s="10">
        <v>44896</v>
      </c>
      <c r="B45" s="11">
        <v>1.7587895238095237</v>
      </c>
      <c r="C45" s="12">
        <f>[6]Biodiesel!$N14</f>
        <v>145591401</v>
      </c>
      <c r="D45" s="12">
        <f>AVERAGE([6]Biodiesel!$I14:$M14)</f>
        <v>165423116.40000001</v>
      </c>
      <c r="E45" s="12">
        <f t="shared" si="8"/>
        <v>-19831715.400000006</v>
      </c>
      <c r="F45" s="12">
        <f>'[7]D4 Gallon Forecast'!$N80+'[7]D4 Gallon Forecast'!$N112</f>
        <v>188600282</v>
      </c>
      <c r="G45" s="12">
        <f>SUM('[7]D4 Gallon Forecast'!$I80:$M80,'[7]D4 Gallon Forecast'!$I112:$M112)/5</f>
        <v>197483474</v>
      </c>
      <c r="H45" s="12">
        <f t="shared" si="1"/>
        <v>-8883192</v>
      </c>
      <c r="I45" s="11">
        <f>'RINs and HOBO Forecast'!C74/100</f>
        <v>1.6912499999999999</v>
      </c>
      <c r="J45" s="11">
        <f t="shared" si="2"/>
        <v>-6.7539523809523772E-2</v>
      </c>
      <c r="K45" s="12">
        <f>'[6]Renewable Diesel'!$N60</f>
        <v>153759160</v>
      </c>
      <c r="L45" s="12">
        <f>AVERAGE('[6]Renewable Diesel'!$I60:$M60)</f>
        <v>60345878.799999997</v>
      </c>
      <c r="M45" s="12">
        <f t="shared" si="3"/>
        <v>93413281.200000003</v>
      </c>
      <c r="N45" s="12">
        <f>'[6]Renewable Diesel'!$N14</f>
        <v>194157620</v>
      </c>
      <c r="O45" s="12">
        <f>AVERAGE('[6]Renewable Diesel'!$I14:$M14)</f>
        <v>97976048</v>
      </c>
      <c r="P45" s="12">
        <f t="shared" si="4"/>
        <v>96181572</v>
      </c>
      <c r="S45" s="11">
        <f>'[8]Soy Complex'!$BL596</f>
        <v>78.703809523809525</v>
      </c>
      <c r="T45" s="11">
        <v>659.40480000000002</v>
      </c>
      <c r="U45" s="11"/>
      <c r="V45" s="11">
        <v>770</v>
      </c>
      <c r="W45" s="11" t="e">
        <f>#REF!*100</f>
        <v>#REF!</v>
      </c>
      <c r="X45" s="11"/>
      <c r="Y45" s="11">
        <f t="shared" si="5"/>
        <v>110.59519999999998</v>
      </c>
      <c r="Z45" s="11"/>
      <c r="AA45" s="11">
        <v>173.02379999999999</v>
      </c>
      <c r="AB45" s="11">
        <v>16</v>
      </c>
      <c r="AC45" s="11">
        <v>100</v>
      </c>
      <c r="AE45" s="11">
        <v>3.1015714285714284</v>
      </c>
      <c r="AF45" s="11">
        <f>[3]Prices!$D638*7.5/100</f>
        <v>4.8152857142857144</v>
      </c>
      <c r="AG45" s="11">
        <f t="shared" si="6"/>
        <v>171.37142857142859</v>
      </c>
      <c r="AI45" s="11">
        <v>160.625</v>
      </c>
      <c r="AJ45" s="11">
        <v>6.5621428571428568</v>
      </c>
      <c r="AK45" s="11">
        <v>2.2277666666666667</v>
      </c>
      <c r="AL45" s="11">
        <f t="shared" si="7"/>
        <v>0.11585578231292537</v>
      </c>
      <c r="AM45" s="13">
        <f>'[7]D6 Gallon Forecast'!$N41/1000000</f>
        <v>1125.059424</v>
      </c>
    </row>
    <row r="46" spans="1:39" x14ac:dyDescent="0.25">
      <c r="A46" s="10">
        <v>44927</v>
      </c>
      <c r="B46" s="11">
        <v>1.9314810000000002</v>
      </c>
      <c r="C46" s="12">
        <f>[6]Biodiesel!$O3</f>
        <v>119548309</v>
      </c>
      <c r="D46" s="12">
        <f>AVERAGE([6]Biodiesel!$J3:$N3)</f>
        <v>106917290</v>
      </c>
      <c r="E46" s="12">
        <f t="shared" si="8"/>
        <v>12631019</v>
      </c>
      <c r="F46" s="12">
        <f>'[7]D4 Gallon Forecast'!$O69+'[7]D4 Gallon Forecast'!$O101</f>
        <v>144130783</v>
      </c>
      <c r="G46" s="12">
        <f>SUM('[7]D4 Gallon Forecast'!$J69:$N69,'[7]D4 Gallon Forecast'!$J101:$N101)/5</f>
        <v>118413385.2</v>
      </c>
      <c r="H46" s="12">
        <f t="shared" si="1"/>
        <v>25717397.799999997</v>
      </c>
      <c r="I46" s="11">
        <f>'RINs and HOBO Forecast'!C75/100</f>
        <v>1.6197368421052634</v>
      </c>
      <c r="J46" s="11">
        <f t="shared" si="2"/>
        <v>-0.31174415789473686</v>
      </c>
      <c r="K46" s="12">
        <f>'[6]Renewable Diesel'!$O49</f>
        <v>148278375</v>
      </c>
      <c r="L46" s="12">
        <f>AVERAGE('[6]Renewable Diesel'!$J49:$N49)</f>
        <v>45882007.799999997</v>
      </c>
      <c r="M46" s="12">
        <f t="shared" si="3"/>
        <v>102396367.2</v>
      </c>
      <c r="N46" s="12">
        <f>'[6]Renewable Diesel'!$O3</f>
        <v>186177512</v>
      </c>
      <c r="O46" s="12">
        <f>AVERAGE('[6]Renewable Diesel'!$J3:$N3)</f>
        <v>70193138.200000003</v>
      </c>
      <c r="P46" s="12">
        <f t="shared" si="4"/>
        <v>115984373.8</v>
      </c>
      <c r="S46" s="11">
        <f>'[8]Soy Complex'!$BL597</f>
        <v>74.771500000000003</v>
      </c>
      <c r="T46" s="11">
        <v>605.375</v>
      </c>
      <c r="U46" s="11"/>
      <c r="V46" s="11">
        <v>745.25</v>
      </c>
      <c r="W46" s="11" t="e">
        <f>#REF!*100</f>
        <v>#REF!</v>
      </c>
      <c r="X46" s="11"/>
      <c r="Y46" s="11">
        <f t="shared" si="5"/>
        <v>139.875</v>
      </c>
      <c r="Z46" s="11"/>
      <c r="AA46" s="11">
        <v>169.125</v>
      </c>
      <c r="AB46" s="11">
        <v>16</v>
      </c>
      <c r="AC46" s="11">
        <v>100</v>
      </c>
      <c r="AE46" s="11">
        <v>3.1840700000000006</v>
      </c>
      <c r="AF46" s="11">
        <f>[3]Prices!$D639*7.5/100</f>
        <v>4.678799999999999</v>
      </c>
      <c r="AG46" s="11">
        <f t="shared" si="6"/>
        <v>149.47299999999984</v>
      </c>
      <c r="AI46" s="11">
        <v>166.33750000000001</v>
      </c>
      <c r="AJ46" s="11">
        <v>6.703875</v>
      </c>
      <c r="AK46" s="11">
        <v>2.4843899999999999</v>
      </c>
      <c r="AL46" s="11">
        <f t="shared" si="7"/>
        <v>-9.0148928571428311E-2</v>
      </c>
      <c r="AM46" s="13">
        <f>'[7]D6 Gallon Forecast'!$O30/1000000</f>
        <v>1.0710500934695367E-7</v>
      </c>
    </row>
    <row r="47" spans="1:39" x14ac:dyDescent="0.25">
      <c r="A47" s="10">
        <v>44958</v>
      </c>
      <c r="B47" s="11">
        <v>2.2958694736842102</v>
      </c>
      <c r="C47" s="12">
        <f>[6]Biodiesel!$O4</f>
        <v>114742607</v>
      </c>
      <c r="D47" s="12">
        <f>AVERAGE([6]Biodiesel!$J4:$N4)</f>
        <v>116244685.40000001</v>
      </c>
      <c r="E47" s="12">
        <f t="shared" si="8"/>
        <v>-1502078.400000006</v>
      </c>
      <c r="F47" s="12">
        <f>'[7]D4 Gallon Forecast'!$O70+'[7]D4 Gallon Forecast'!$O102</f>
        <v>155538920</v>
      </c>
      <c r="G47" s="12">
        <f>SUM('[7]D4 Gallon Forecast'!$J70:$N70,'[7]D4 Gallon Forecast'!$J102:$N102)/5</f>
        <v>125929735.2</v>
      </c>
      <c r="H47" s="12">
        <f t="shared" si="1"/>
        <v>29609184.799999997</v>
      </c>
      <c r="I47" s="11">
        <f>'RINs and HOBO Forecast'!C76/100</f>
        <v>1.5740217391304347</v>
      </c>
      <c r="J47" s="11">
        <f t="shared" si="2"/>
        <v>-0.72184773455377549</v>
      </c>
      <c r="K47" s="12">
        <f>'[6]Renewable Diesel'!$O50</f>
        <v>141070359</v>
      </c>
      <c r="L47" s="12">
        <f>AVERAGE('[6]Renewable Diesel'!$J50:$N50)</f>
        <v>50330276</v>
      </c>
      <c r="M47" s="12">
        <f t="shared" si="3"/>
        <v>90740083</v>
      </c>
      <c r="N47" s="12">
        <f>'[6]Renewable Diesel'!$O4</f>
        <v>168557943</v>
      </c>
      <c r="O47" s="12">
        <f>AVERAGE('[6]Renewable Diesel'!$J4:$N4)</f>
        <v>74696204.799999997</v>
      </c>
      <c r="P47" s="12">
        <f t="shared" si="4"/>
        <v>93861738.200000003</v>
      </c>
      <c r="S47" s="11">
        <f>'[8]Soy Complex'!$BL598</f>
        <v>71.927894736842092</v>
      </c>
      <c r="T47" s="11">
        <v>585.78949999999998</v>
      </c>
      <c r="U47" s="11"/>
      <c r="V47" s="11">
        <v>707.63160000000005</v>
      </c>
      <c r="W47" s="11" t="e">
        <f>#REF!*100</f>
        <v>#REF!</v>
      </c>
      <c r="X47" s="11"/>
      <c r="Y47" s="11">
        <f t="shared" si="5"/>
        <v>121.84210000000007</v>
      </c>
      <c r="Z47" s="11"/>
      <c r="AA47" s="11">
        <v>161.97370000000001</v>
      </c>
      <c r="AB47" s="11">
        <v>16</v>
      </c>
      <c r="AC47" s="11">
        <v>100</v>
      </c>
      <c r="AE47" s="11">
        <v>2.8160263157894732</v>
      </c>
      <c r="AF47" s="11">
        <f>[3]Prices!$D640*7.5/100</f>
        <v>4.5587368421052625</v>
      </c>
      <c r="AG47" s="11">
        <f t="shared" si="6"/>
        <v>174.27105263157893</v>
      </c>
      <c r="AI47" s="11">
        <v>158.5658</v>
      </c>
      <c r="AJ47" s="11">
        <v>6.710921052631579</v>
      </c>
      <c r="AK47" s="11">
        <v>2.4277052631578946</v>
      </c>
      <c r="AL47" s="11">
        <f t="shared" si="7"/>
        <v>-3.0947744360902085E-2</v>
      </c>
      <c r="AM47" s="13">
        <f>'[7]D6 Gallon Forecast'!$O31/1000000</f>
        <v>-583.70822299999998</v>
      </c>
    </row>
    <row r="48" spans="1:39" x14ac:dyDescent="0.25">
      <c r="A48" s="10">
        <v>44986</v>
      </c>
      <c r="B48" s="11">
        <v>2.1410860869565216</v>
      </c>
      <c r="C48" s="12">
        <f>[6]Biodiesel!$O5</f>
        <v>130889308</v>
      </c>
      <c r="D48" s="12">
        <f>AVERAGE([6]Biodiesel!$J5:$N5)</f>
        <v>145831723</v>
      </c>
      <c r="E48" s="12">
        <f t="shared" si="8"/>
        <v>-14942415</v>
      </c>
      <c r="F48" s="12">
        <f>'[7]D4 Gallon Forecast'!$O71+'[7]D4 Gallon Forecast'!$O103</f>
        <v>175675686</v>
      </c>
      <c r="G48" s="12">
        <f>SUM('[7]D4 Gallon Forecast'!$J71:$N71,'[7]D4 Gallon Forecast'!$J103:$N103)/5</f>
        <v>162650584.40000001</v>
      </c>
      <c r="H48" s="12">
        <f t="shared" si="1"/>
        <v>13025101.599999994</v>
      </c>
      <c r="I48" s="11">
        <f>'RINs and HOBO Forecast'!C77/100</f>
        <v>1.5670526315789473</v>
      </c>
      <c r="J48" s="11">
        <f t="shared" si="2"/>
        <v>-0.57403345537757433</v>
      </c>
      <c r="K48" s="12">
        <f>'[6]Renewable Diesel'!$O51</f>
        <v>184175802</v>
      </c>
      <c r="L48" s="12">
        <f>AVERAGE('[6]Renewable Diesel'!$J51:$N51)</f>
        <v>55062604.200000003</v>
      </c>
      <c r="M48" s="12">
        <f t="shared" si="3"/>
        <v>129113197.8</v>
      </c>
      <c r="N48" s="12">
        <f>'[6]Renewable Diesel'!$O5</f>
        <v>219843657</v>
      </c>
      <c r="O48" s="12">
        <f>AVERAGE('[6]Renewable Diesel'!$J5:$N5)</f>
        <v>83747955.799999997</v>
      </c>
      <c r="P48" s="12">
        <f t="shared" si="4"/>
        <v>136095701.19999999</v>
      </c>
      <c r="S48" s="11">
        <f>'[8]Soy Complex'!$BL599</f>
        <v>68.043478260869549</v>
      </c>
      <c r="T48" s="11">
        <v>567.13040000000001</v>
      </c>
      <c r="U48" s="11"/>
      <c r="V48" s="11">
        <v>636.52170000000001</v>
      </c>
      <c r="W48" s="11" t="e">
        <f>#REF!*100</f>
        <v>#REF!</v>
      </c>
      <c r="X48" s="11"/>
      <c r="Y48" s="11">
        <f t="shared" si="5"/>
        <v>69.391300000000001</v>
      </c>
      <c r="Z48" s="11"/>
      <c r="AA48" s="11">
        <v>157.40219999999999</v>
      </c>
      <c r="AB48" s="11">
        <v>16</v>
      </c>
      <c r="AC48" s="11">
        <v>100</v>
      </c>
      <c r="AE48" s="11">
        <v>2.689352173913043</v>
      </c>
      <c r="AF48" s="11">
        <f>[3]Prices!$D641*7.5/100</f>
        <v>4.2668478260869565</v>
      </c>
      <c r="AG48" s="11">
        <f t="shared" si="6"/>
        <v>157.74956521739134</v>
      </c>
      <c r="AI48" s="11">
        <v>153.58699999999999</v>
      </c>
      <c r="AJ48" s="11">
        <v>6.3433695652173911</v>
      </c>
      <c r="AK48" s="11">
        <v>2.6277869565217391</v>
      </c>
      <c r="AL48" s="11">
        <f t="shared" si="7"/>
        <v>-0.36229782608695649</v>
      </c>
      <c r="AM48" s="13">
        <f>'[7]D6 Gallon Forecast'!$O32/1000000</f>
        <v>2.0230000000000001E-3</v>
      </c>
    </row>
    <row r="49" spans="1:44" x14ac:dyDescent="0.25">
      <c r="A49" s="10">
        <v>45017</v>
      </c>
      <c r="B49" s="11">
        <v>2.2498547368421047</v>
      </c>
      <c r="C49" s="12">
        <f>[6]Biodiesel!$O6</f>
        <v>133835520</v>
      </c>
      <c r="D49" s="12">
        <f>AVERAGE([6]Biodiesel!$J6:$N6)</f>
        <v>148715281.80000001</v>
      </c>
      <c r="E49" s="12">
        <f t="shared" si="8"/>
        <v>-14879761.800000012</v>
      </c>
      <c r="F49" s="12">
        <f>'[7]D4 Gallon Forecast'!$O72+'[7]D4 Gallon Forecast'!$O104</f>
        <v>168799978</v>
      </c>
      <c r="G49" s="12">
        <f>SUM('[7]D4 Gallon Forecast'!$J72:$N72,'[7]D4 Gallon Forecast'!$J104:$N104)/5</f>
        <v>169382908.40000001</v>
      </c>
      <c r="H49" s="12">
        <f t="shared" si="1"/>
        <v>-582930.40000000596</v>
      </c>
      <c r="I49" s="11">
        <f>'RINs and HOBO Forecast'!C78/100</f>
        <v>1.5339772727272729</v>
      </c>
      <c r="J49" s="11">
        <f t="shared" si="2"/>
        <v>-0.71587746411483177</v>
      </c>
      <c r="K49" s="12">
        <f>'[6]Renewable Diesel'!$O52</f>
        <v>174407540</v>
      </c>
      <c r="L49" s="12">
        <f>AVERAGE('[6]Renewable Diesel'!$J52:$N52)</f>
        <v>52012473.799999997</v>
      </c>
      <c r="M49" s="12">
        <f t="shared" si="3"/>
        <v>122395066.2</v>
      </c>
      <c r="N49" s="12">
        <f>'[6]Renewable Diesel'!$O6</f>
        <v>219470818</v>
      </c>
      <c r="O49" s="12">
        <f>AVERAGE('[6]Renewable Diesel'!$J6:$N6)</f>
        <v>89268066.400000006</v>
      </c>
      <c r="P49" s="12">
        <f t="shared" si="4"/>
        <v>130202751.59999999</v>
      </c>
      <c r="S49" s="11">
        <f>'[8]Soy Complex'!$BL600</f>
        <v>66.049473684210511</v>
      </c>
      <c r="T49" s="11">
        <v>545.13160000000005</v>
      </c>
      <c r="U49" s="11"/>
      <c r="V49" s="11">
        <v>605</v>
      </c>
      <c r="W49" s="11" t="e">
        <f>#REF!*100</f>
        <v>#REF!</v>
      </c>
      <c r="X49" s="11"/>
      <c r="Y49" s="11">
        <f t="shared" si="5"/>
        <v>59.868399999999951</v>
      </c>
      <c r="Z49" s="11"/>
      <c r="AA49" s="11">
        <v>156.70529999999999</v>
      </c>
      <c r="AB49" s="11">
        <v>16</v>
      </c>
      <c r="AC49" s="11">
        <v>100</v>
      </c>
      <c r="AE49" s="11">
        <v>2.5710999999999991</v>
      </c>
      <c r="AF49" s="11">
        <f>[3]Prices!$D642*7.5/100</f>
        <v>4.0438421052631579</v>
      </c>
      <c r="AG49" s="11">
        <f t="shared" si="6"/>
        <v>147.2742105263159</v>
      </c>
      <c r="AI49" s="11">
        <v>153.875</v>
      </c>
      <c r="AJ49" s="11">
        <v>6.3693421052631587</v>
      </c>
      <c r="AK49" s="11">
        <v>2.714757894736842</v>
      </c>
      <c r="AL49" s="11">
        <f t="shared" si="7"/>
        <v>-0.43999285714285685</v>
      </c>
      <c r="AM49" s="13">
        <f>'[7]D6 Gallon Forecast'!$O33/1000000</f>
        <v>1209.6800619999999</v>
      </c>
    </row>
    <row r="50" spans="1:44" x14ac:dyDescent="0.25">
      <c r="A50" s="10">
        <v>45047</v>
      </c>
      <c r="B50" s="11">
        <v>2.3677636363636365</v>
      </c>
      <c r="C50" s="12">
        <f>[6]Biodiesel!$O7</f>
        <v>163593533</v>
      </c>
      <c r="D50" s="12">
        <f>AVERAGE([6]Biodiesel!$J7:$N7)</f>
        <v>152765859.59999999</v>
      </c>
      <c r="E50" s="12">
        <f t="shared" si="8"/>
        <v>10827673.400000006</v>
      </c>
      <c r="F50" s="12">
        <f>'[7]D4 Gallon Forecast'!$O73+'[7]D4 Gallon Forecast'!$O105</f>
        <v>203013371</v>
      </c>
      <c r="G50" s="12">
        <f>SUM('[7]D4 Gallon Forecast'!$J73:$N73,'[7]D4 Gallon Forecast'!$J105:$N105)/5</f>
        <v>167858327.80000001</v>
      </c>
      <c r="H50" s="12">
        <f t="shared" si="1"/>
        <v>35155043.199999988</v>
      </c>
      <c r="I50" s="11">
        <f>'RINs and HOBO Forecast'!C79/100</f>
        <v>1.4447023809523811</v>
      </c>
      <c r="J50" s="11">
        <f t="shared" si="2"/>
        <v>-0.92306125541125539</v>
      </c>
      <c r="K50" s="12">
        <f>'[6]Renewable Diesel'!$O53</f>
        <v>229265334</v>
      </c>
      <c r="L50" s="12">
        <f>AVERAGE('[6]Renewable Diesel'!$J53:$N53)</f>
        <v>60887886.399999999</v>
      </c>
      <c r="M50" s="12">
        <f t="shared" si="3"/>
        <v>168377447.59999999</v>
      </c>
      <c r="N50" s="12">
        <f>'[6]Renewable Diesel'!$O7</f>
        <v>277943732</v>
      </c>
      <c r="O50" s="12">
        <f>AVERAGE('[6]Renewable Diesel'!$J7:$N7)</f>
        <v>102828116.8</v>
      </c>
      <c r="P50" s="12">
        <f t="shared" si="4"/>
        <v>175115615.19999999</v>
      </c>
      <c r="S50" s="11">
        <f>'[8]Soy Complex'!$BL601</f>
        <v>63.015454545454553</v>
      </c>
      <c r="T50" s="11">
        <v>529.70450000000005</v>
      </c>
      <c r="U50" s="11"/>
      <c r="V50" s="11">
        <v>594.5</v>
      </c>
      <c r="W50" s="11" t="e">
        <f>#REF!*100</f>
        <v>#REF!</v>
      </c>
      <c r="X50" s="11"/>
      <c r="Y50" s="11">
        <f t="shared" si="5"/>
        <v>64.795499999999947</v>
      </c>
      <c r="Z50" s="11"/>
      <c r="AA50" s="11">
        <v>153.39769999999999</v>
      </c>
      <c r="AB50" s="11">
        <v>16</v>
      </c>
      <c r="AC50" s="11">
        <v>100</v>
      </c>
      <c r="AE50" s="11">
        <v>2.3408136363636363</v>
      </c>
      <c r="AF50" s="11">
        <f>[3]Prices!$D643*7.5/100</f>
        <v>3.7324090909090915</v>
      </c>
      <c r="AG50" s="11">
        <f t="shared" si="6"/>
        <v>139.15954545454551</v>
      </c>
      <c r="AI50" s="11">
        <v>150.5625</v>
      </c>
      <c r="AJ50" s="11">
        <v>5.8389772727272726</v>
      </c>
      <c r="AK50" s="11">
        <v>2.525777272727272</v>
      </c>
      <c r="AL50" s="11">
        <f t="shared" si="7"/>
        <v>-0.4404282467532461</v>
      </c>
      <c r="AM50" s="13">
        <f>'[7]D6 Gallon Forecast'!$O34/1000000</f>
        <v>1125.6473590000001</v>
      </c>
    </row>
    <row r="51" spans="1:44" x14ac:dyDescent="0.25">
      <c r="A51" s="10">
        <v>45078</v>
      </c>
      <c r="B51" s="11">
        <v>2.4054542857142853</v>
      </c>
      <c r="C51" s="12">
        <f>[6]Biodiesel!$O8</f>
        <v>153006295</v>
      </c>
      <c r="D51" s="12">
        <f>AVERAGE([6]Biodiesel!$J8:$N8)</f>
        <v>153496463</v>
      </c>
      <c r="E51" s="12">
        <f t="shared" si="8"/>
        <v>-490168</v>
      </c>
      <c r="F51" s="12">
        <f>'[7]D4 Gallon Forecast'!$O74+'[7]D4 Gallon Forecast'!$O106</f>
        <v>194186168</v>
      </c>
      <c r="G51" s="12">
        <f>SUM('[7]D4 Gallon Forecast'!$J74:$N74,'[7]D4 Gallon Forecast'!$J106:$N106)/5</f>
        <v>170551640.59999999</v>
      </c>
      <c r="H51" s="12">
        <f t="shared" si="1"/>
        <v>23634527.400000006</v>
      </c>
      <c r="I51" s="11">
        <f>'RINs and HOBO Forecast'!C80/100</f>
        <v>1.5563749999999998</v>
      </c>
      <c r="J51" s="11">
        <f t="shared" si="2"/>
        <v>-0.84907928571428548</v>
      </c>
      <c r="K51" s="12">
        <f>'[6]Renewable Diesel'!$O54</f>
        <v>202490999</v>
      </c>
      <c r="L51" s="12">
        <f>AVERAGE('[6]Renewable Diesel'!$J54:$N54)</f>
        <v>58093086.600000001</v>
      </c>
      <c r="M51" s="12">
        <f t="shared" si="3"/>
        <v>144397912.40000001</v>
      </c>
      <c r="N51" s="12">
        <f>'[6]Renewable Diesel'!$O8</f>
        <v>246714258</v>
      </c>
      <c r="O51" s="12">
        <f>AVERAGE('[6]Renewable Diesel'!$J8:$N8)</f>
        <v>96291191.799999997</v>
      </c>
      <c r="P51" s="12">
        <f t="shared" si="4"/>
        <v>150423066.19999999</v>
      </c>
      <c r="S51" s="11">
        <f>'[8]Soy Complex'!$BL602</f>
        <v>71.920476190476194</v>
      </c>
      <c r="T51" s="11">
        <v>523.69050000000004</v>
      </c>
      <c r="U51" s="11"/>
      <c r="V51" s="11">
        <v>580.23810000000003</v>
      </c>
      <c r="W51" s="11" t="e">
        <f>#REF!*100</f>
        <v>#REF!</v>
      </c>
      <c r="X51" s="11"/>
      <c r="Y51" s="11">
        <f t="shared" si="5"/>
        <v>56.547599999999989</v>
      </c>
      <c r="Z51" s="11"/>
      <c r="AA51" s="11">
        <v>144.47020000000001</v>
      </c>
      <c r="AB51" s="11">
        <v>16</v>
      </c>
      <c r="AC51" s="11">
        <v>100</v>
      </c>
      <c r="AE51" s="11">
        <v>2.4007238095238099</v>
      </c>
      <c r="AF51" s="11">
        <f>[3]Prices!$D644*7.5/100</f>
        <v>4.1895714285714281</v>
      </c>
      <c r="AG51" s="11">
        <f t="shared" si="6"/>
        <v>178.8847619047618</v>
      </c>
      <c r="AI51" s="11">
        <v>142.381</v>
      </c>
      <c r="AJ51" s="11">
        <v>5.9182142857142859</v>
      </c>
      <c r="AK51" s="11">
        <v>2.5714285714285716</v>
      </c>
      <c r="AL51" s="11">
        <f t="shared" si="7"/>
        <v>-0.45778061224489797</v>
      </c>
      <c r="AM51" s="13">
        <f>'[7]D6 Gallon Forecast'!$O35/1000000</f>
        <v>1215.0021240000001</v>
      </c>
    </row>
    <row r="52" spans="1:44" x14ac:dyDescent="0.25">
      <c r="A52" s="10">
        <v>45108</v>
      </c>
      <c r="B52" s="11">
        <v>1.0249949999999999</v>
      </c>
      <c r="C52" s="12">
        <f>[6]Biodiesel!$O9</f>
        <v>142593233</v>
      </c>
      <c r="D52" s="12">
        <f>AVERAGE([6]Biodiesel!$J9:$N9)</f>
        <v>157281394</v>
      </c>
      <c r="E52" s="12">
        <f t="shared" si="8"/>
        <v>-14688161</v>
      </c>
      <c r="F52" s="12">
        <f>'[7]D4 Gallon Forecast'!$O75+'[7]D4 Gallon Forecast'!$O107</f>
        <v>172912484</v>
      </c>
      <c r="G52" s="12">
        <f>SUM('[7]D4 Gallon Forecast'!$J75:$N75,'[7]D4 Gallon Forecast'!$J107:$N107)/5</f>
        <v>170427574</v>
      </c>
      <c r="H52" s="12">
        <f t="shared" si="1"/>
        <v>2484910</v>
      </c>
      <c r="I52" s="11">
        <f>'RINs and HOBO Forecast'!C81/100</f>
        <v>1.4503260869565218</v>
      </c>
      <c r="J52" s="11">
        <f t="shared" si="2"/>
        <v>0.42533108695652189</v>
      </c>
      <c r="K52" s="12">
        <f>'[6]Renewable Diesel'!$O55</f>
        <v>182796774</v>
      </c>
      <c r="L52" s="12">
        <f>AVERAGE('[6]Renewable Diesel'!$J55:$N55)</f>
        <v>56399261.799999997</v>
      </c>
      <c r="M52" s="12">
        <f t="shared" si="3"/>
        <v>126397512.2</v>
      </c>
      <c r="N52" s="12">
        <f>'[6]Renewable Diesel'!$O9</f>
        <v>236554662</v>
      </c>
      <c r="O52" s="12">
        <f>AVERAGE('[6]Renewable Diesel'!$J9:$N9)</f>
        <v>83173673</v>
      </c>
      <c r="P52" s="12">
        <f t="shared" si="4"/>
        <v>153380989</v>
      </c>
      <c r="S52" s="11">
        <f>'[8]Soy Complex'!$BL603</f>
        <v>83.214999999999989</v>
      </c>
      <c r="T52" s="11">
        <v>564.25</v>
      </c>
      <c r="U52" s="11"/>
      <c r="V52" s="11">
        <v>595</v>
      </c>
      <c r="W52" s="11" t="e">
        <f>#REF!*100</f>
        <v>#REF!</v>
      </c>
      <c r="X52" s="11"/>
      <c r="Y52" s="11">
        <f t="shared" si="5"/>
        <v>30.75</v>
      </c>
      <c r="Z52" s="11"/>
      <c r="AA52" s="11">
        <v>155.63749999999999</v>
      </c>
      <c r="AB52" s="11">
        <v>16</v>
      </c>
      <c r="AC52" s="11">
        <v>100</v>
      </c>
      <c r="AE52" s="11">
        <v>2.6630650000000005</v>
      </c>
      <c r="AF52" s="11">
        <f>[3]Prices!$D645*7.5/100</f>
        <v>4.9792499999999977</v>
      </c>
      <c r="AG52" s="11">
        <f t="shared" si="6"/>
        <v>231.61849999999973</v>
      </c>
      <c r="AI52" s="11">
        <v>155.02500000000001</v>
      </c>
      <c r="AJ52" s="11">
        <v>5.2151250000000005</v>
      </c>
      <c r="AK52" s="11">
        <v>2.7188949999999998</v>
      </c>
      <c r="AL52" s="11">
        <f t="shared" si="7"/>
        <v>-0.85635035714285679</v>
      </c>
      <c r="AM52" s="13">
        <f>'[7]D6 Gallon Forecast'!$O36/1000000</f>
        <v>1149.481362</v>
      </c>
    </row>
    <row r="53" spans="1:44" x14ac:dyDescent="0.25">
      <c r="A53" s="10">
        <v>45139</v>
      </c>
      <c r="B53" s="11">
        <v>1.4837747826086951</v>
      </c>
      <c r="C53" s="12">
        <f>[6]Biodiesel!$O10</f>
        <v>152345476</v>
      </c>
      <c r="D53" s="12">
        <f>AVERAGE([6]Biodiesel!$J10:$N10)</f>
        <v>162427771.19999999</v>
      </c>
      <c r="E53" s="12">
        <f t="shared" si="8"/>
        <v>-10082295.199999988</v>
      </c>
      <c r="F53" s="12">
        <f>'[7]D4 Gallon Forecast'!$O76+'[7]D4 Gallon Forecast'!$O108</f>
        <v>196585405</v>
      </c>
      <c r="G53" s="12">
        <f>SUM('[7]D4 Gallon Forecast'!$J76:$N76,'[7]D4 Gallon Forecast'!$J108:$N108)/5</f>
        <v>175330353.80000001</v>
      </c>
      <c r="H53" s="12">
        <f t="shared" si="1"/>
        <v>21255051.199999988</v>
      </c>
      <c r="I53" s="11">
        <f>'RINs and HOBO Forecast'!C82/100</f>
        <v>1.194</v>
      </c>
      <c r="J53" s="11">
        <f t="shared" si="2"/>
        <v>-0.28977478260869516</v>
      </c>
      <c r="K53" s="12">
        <f>'[6]Renewable Diesel'!$O56</f>
        <v>236476280</v>
      </c>
      <c r="L53" s="12">
        <f>AVERAGE('[6]Renewable Diesel'!$J56:$N56)</f>
        <v>58959869</v>
      </c>
      <c r="M53" s="12">
        <f t="shared" si="3"/>
        <v>177516411</v>
      </c>
      <c r="N53" s="12">
        <f>'[6]Renewable Diesel'!$O10</f>
        <v>261948806</v>
      </c>
      <c r="O53" s="12">
        <f>AVERAGE('[6]Renewable Diesel'!$J10:$N10)</f>
        <v>87676713</v>
      </c>
      <c r="P53" s="12">
        <f t="shared" si="4"/>
        <v>174272093</v>
      </c>
      <c r="S53" s="11">
        <f>'[8]Soy Complex'!$BL604</f>
        <v>79.824782608695656</v>
      </c>
      <c r="T53" s="11">
        <v>621.19569999999999</v>
      </c>
      <c r="U53" s="11"/>
      <c r="V53" s="11">
        <v>658.04349999999999</v>
      </c>
      <c r="W53" s="11" t="e">
        <f>#REF!*100</f>
        <v>#REF!</v>
      </c>
      <c r="X53" s="11"/>
      <c r="Y53" s="11">
        <f t="shared" si="5"/>
        <v>36.847800000000007</v>
      </c>
      <c r="Z53" s="11"/>
      <c r="AA53" s="11">
        <v>145.0326</v>
      </c>
      <c r="AB53" s="11">
        <v>16</v>
      </c>
      <c r="AC53" s="11">
        <v>100</v>
      </c>
      <c r="AE53" s="11">
        <v>3.099408695652174</v>
      </c>
      <c r="AF53" s="11">
        <f>[3]Prices!$D646*7.5/100</f>
        <v>4.9205543478260871</v>
      </c>
      <c r="AG53" s="11">
        <f t="shared" si="6"/>
        <v>182.11456521739132</v>
      </c>
      <c r="AI53" s="11">
        <v>144.52170000000001</v>
      </c>
      <c r="AJ53" s="11">
        <v>4.8978260869565222</v>
      </c>
      <c r="AK53" s="11">
        <v>2.8286347826086957</v>
      </c>
      <c r="AL53" s="11">
        <f t="shared" si="7"/>
        <v>-1.0794111801242234</v>
      </c>
      <c r="AM53" s="13">
        <f>'[7]D6 Gallon Forecast'!$O37/1000000</f>
        <v>1269.1495910000001</v>
      </c>
    </row>
    <row r="54" spans="1:44" x14ac:dyDescent="0.25">
      <c r="A54" s="10">
        <v>45170</v>
      </c>
      <c r="B54" s="11">
        <v>1.6180319999999999</v>
      </c>
      <c r="C54" s="12">
        <f>[6]Biodiesel!$O11</f>
        <v>143870897</v>
      </c>
      <c r="D54" s="12">
        <f>AVERAGE([6]Biodiesel!$J11:$N11)</f>
        <v>150065421</v>
      </c>
      <c r="E54" s="12">
        <f t="shared" si="8"/>
        <v>-6194524</v>
      </c>
      <c r="F54" s="12">
        <f>'[7]D4 Gallon Forecast'!$O77+'[7]D4 Gallon Forecast'!$O109</f>
        <v>184335390</v>
      </c>
      <c r="G54" s="12">
        <f>SUM('[7]D4 Gallon Forecast'!$J77:$N77,'[7]D4 Gallon Forecast'!$J109:$N109)/5</f>
        <v>164387740.80000001</v>
      </c>
      <c r="H54" s="12">
        <f t="shared" si="1"/>
        <v>19947649.199999988</v>
      </c>
      <c r="I54" s="11">
        <f>'RINs and HOBO Forecast'!C83/100</f>
        <v>0.88602272727272735</v>
      </c>
      <c r="J54" s="11">
        <f t="shared" si="2"/>
        <v>-0.73200927272727256</v>
      </c>
      <c r="K54" s="12">
        <f>'[6]Renewable Diesel'!$O57</f>
        <v>234008508</v>
      </c>
      <c r="L54" s="12">
        <f>AVERAGE('[6]Renewable Diesel'!$J57:$N57)</f>
        <v>60882898.200000003</v>
      </c>
      <c r="M54" s="12">
        <f t="shared" si="3"/>
        <v>173125609.80000001</v>
      </c>
      <c r="N54" s="12">
        <f>'[6]Renewable Diesel'!$O11</f>
        <v>248926184</v>
      </c>
      <c r="O54" s="12">
        <f>AVERAGE('[6]Renewable Diesel'!$J11:$N11)</f>
        <v>100709608.2</v>
      </c>
      <c r="P54" s="12">
        <f t="shared" si="4"/>
        <v>148216575.80000001</v>
      </c>
      <c r="S54" s="11">
        <f>'[8]Soy Complex'!$BL605</f>
        <v>74.341499999999982</v>
      </c>
      <c r="T54" s="11">
        <v>586.75</v>
      </c>
      <c r="U54" s="11"/>
      <c r="V54" s="11">
        <v>641</v>
      </c>
      <c r="W54" s="11" t="e">
        <f>#REF!*100</f>
        <v>#REF!</v>
      </c>
      <c r="X54" s="11"/>
      <c r="Y54" s="11">
        <f t="shared" si="5"/>
        <v>54.25</v>
      </c>
      <c r="Z54" s="11"/>
      <c r="AA54" s="11">
        <v>119.4</v>
      </c>
      <c r="AB54" s="11">
        <v>16</v>
      </c>
      <c r="AC54" s="11">
        <v>100</v>
      </c>
      <c r="AE54" s="11">
        <v>3.2677550000000002</v>
      </c>
      <c r="AF54" s="11">
        <f>[3]Prices!$D647*7.5/100</f>
        <v>4.5987374999999986</v>
      </c>
      <c r="AG54" s="11">
        <f t="shared" si="6"/>
        <v>133.09824999999984</v>
      </c>
      <c r="AI54" s="11">
        <v>118.425</v>
      </c>
      <c r="AJ54" s="11">
        <v>4.8082500000000001</v>
      </c>
      <c r="AK54" s="11">
        <v>2.6246449999999997</v>
      </c>
      <c r="AL54" s="11">
        <f t="shared" si="7"/>
        <v>-0.90741285714285658</v>
      </c>
      <c r="AM54" s="13">
        <f>'[7]D6 Gallon Forecast'!$O38/1000000</f>
        <v>1281.223297</v>
      </c>
    </row>
    <row r="55" spans="1:44" x14ac:dyDescent="0.25">
      <c r="A55" s="10">
        <v>45200</v>
      </c>
      <c r="B55" s="11">
        <v>1.4876072727272722</v>
      </c>
      <c r="C55" s="12">
        <f>[6]Biodiesel!$O12</f>
        <v>144087366</v>
      </c>
      <c r="D55" s="12">
        <f>AVERAGE([6]Biodiesel!$J12:$N12)</f>
        <v>148974441.40000001</v>
      </c>
      <c r="E55" s="12">
        <f t="shared" si="8"/>
        <v>-4887075.400000006</v>
      </c>
      <c r="F55" s="12">
        <f>'[7]D4 Gallon Forecast'!$O78+'[7]D4 Gallon Forecast'!$O110</f>
        <v>201131379</v>
      </c>
      <c r="G55" s="12">
        <f>SUM('[7]D4 Gallon Forecast'!$J78:$N78,'[7]D4 Gallon Forecast'!$J110:$N110)/5</f>
        <v>165895338.80000001</v>
      </c>
      <c r="H55" s="12">
        <f t="shared" si="1"/>
        <v>35236040.199999988</v>
      </c>
      <c r="I55" s="11">
        <f>'RINs and HOBO Forecast'!C84/100</f>
        <v>0.82912499999999989</v>
      </c>
      <c r="J55" s="11">
        <f t="shared" si="2"/>
        <v>-0.65848227272727233</v>
      </c>
      <c r="K55" s="12">
        <f>'[6]Renewable Diesel'!$O58</f>
        <v>214031283</v>
      </c>
      <c r="L55" s="12">
        <f>AVERAGE('[6]Renewable Diesel'!$J58:$N58)</f>
        <v>60767346.399999999</v>
      </c>
      <c r="M55" s="12">
        <f t="shared" si="3"/>
        <v>153263936.59999999</v>
      </c>
      <c r="N55" s="12">
        <f>'[6]Renewable Diesel'!$O12</f>
        <v>267606156</v>
      </c>
      <c r="O55" s="12">
        <f>AVERAGE('[6]Renewable Diesel'!$J12:$N12)</f>
        <v>93053296.400000006</v>
      </c>
      <c r="P55" s="12">
        <f t="shared" si="4"/>
        <v>174552859.59999999</v>
      </c>
      <c r="S55" s="11">
        <f>'[8]Soy Complex'!$BM594</f>
        <v>65.822727272727278</v>
      </c>
      <c r="T55" s="11">
        <v>512.25</v>
      </c>
      <c r="U55" s="11"/>
      <c r="V55" s="11">
        <v>592.27269999999999</v>
      </c>
      <c r="W55" s="11" t="e">
        <f>#REF!*100</f>
        <v>#REF!</v>
      </c>
      <c r="X55" s="11"/>
      <c r="Y55" s="11">
        <f t="shared" si="5"/>
        <v>80.022699999999986</v>
      </c>
      <c r="Z55" s="11"/>
      <c r="AA55" s="11">
        <v>88.6023</v>
      </c>
      <c r="AB55" s="11">
        <v>16</v>
      </c>
      <c r="AC55" s="11">
        <v>100</v>
      </c>
      <c r="AE55" s="11">
        <v>3.0330409090909085</v>
      </c>
      <c r="AF55" s="11">
        <f>[3]Prices!$D648*7.5/100</f>
        <v>4.0401136363636372</v>
      </c>
      <c r="AG55" s="11">
        <f t="shared" si="6"/>
        <v>100.70727272727287</v>
      </c>
      <c r="AI55" s="11">
        <v>88.068200000000004</v>
      </c>
      <c r="AJ55" s="11">
        <v>4.8843181818181822</v>
      </c>
      <c r="AK55" s="11">
        <v>2.2739227272727276</v>
      </c>
      <c r="AL55" s="11">
        <f t="shared" si="7"/>
        <v>-0.52952337662337667</v>
      </c>
      <c r="AM55" s="13">
        <f>'[7]D6 Gallon Forecast'!$O39/1000000</f>
        <v>1276.548415</v>
      </c>
    </row>
    <row r="56" spans="1:44" x14ac:dyDescent="0.25">
      <c r="A56" s="10">
        <v>45231</v>
      </c>
      <c r="B56" s="11">
        <v>2.0575269999999999</v>
      </c>
      <c r="C56" s="12">
        <f>[6]Biodiesel!$O13</f>
        <v>135076229</v>
      </c>
      <c r="D56" s="12">
        <f>AVERAGE([6]Biodiesel!$J13:$N13)</f>
        <v>138980212.59999999</v>
      </c>
      <c r="E56" s="12">
        <f t="shared" si="8"/>
        <v>-3903983.599999994</v>
      </c>
      <c r="F56" s="12">
        <f>'[7]D4 Gallon Forecast'!$O79+'[7]D4 Gallon Forecast'!$O111</f>
        <v>177563508</v>
      </c>
      <c r="G56" s="12">
        <f>SUM('[7]D4 Gallon Forecast'!$J79:$N79,'[7]D4 Gallon Forecast'!$J111:$N111)/5</f>
        <v>160060301</v>
      </c>
      <c r="H56" s="12">
        <f t="shared" si="1"/>
        <v>17503207</v>
      </c>
      <c r="I56" s="11">
        <f>'RINs and HOBO Forecast'!C85/100</f>
        <v>0.81231249999999999</v>
      </c>
      <c r="J56" s="11">
        <f t="shared" si="2"/>
        <v>-1.2452144999999999</v>
      </c>
      <c r="K56" s="12">
        <f>'[6]Renewable Diesel'!$O59</f>
        <v>205619514</v>
      </c>
      <c r="L56" s="12">
        <f>AVERAGE('[6]Renewable Diesel'!$J59:$N59)</f>
        <v>81109767.799999997</v>
      </c>
      <c r="M56" s="12">
        <f t="shared" si="3"/>
        <v>124509746.2</v>
      </c>
      <c r="N56" s="12">
        <f>'[6]Renewable Diesel'!$O13</f>
        <v>251009802</v>
      </c>
      <c r="O56" s="12">
        <f>AVERAGE('[6]Renewable Diesel'!$J13:$N13)</f>
        <v>111101438.59999999</v>
      </c>
      <c r="P56" s="12">
        <f t="shared" si="4"/>
        <v>139908363.40000001</v>
      </c>
      <c r="S56" s="11">
        <f>'[8]Soy Complex'!$BM595</f>
        <v>63.272857142857141</v>
      </c>
      <c r="T56" s="11"/>
      <c r="U56" s="11"/>
      <c r="V56" s="11">
        <f>[9]Forecasts!$B48</f>
        <v>560.75</v>
      </c>
      <c r="W56" s="11" t="e">
        <f>#REF!*100</f>
        <v>#REF!</v>
      </c>
      <c r="X56" s="11"/>
      <c r="AA56" s="14">
        <f>(-0.6408065713*(I56*100))+(-0.0000008777*P56)+296.8717213184</f>
        <v>122.02063196730685</v>
      </c>
      <c r="AB56" s="14">
        <v>16</v>
      </c>
      <c r="AC56" s="14">
        <v>100</v>
      </c>
      <c r="AE56" s="14" t="str">
        <f t="array" ref="AE56">[10]!Qhoz3?Last</f>
        <v>Invalid</v>
      </c>
      <c r="AF56" s="14">
        <f>[3]Prices!$D649*7.5/100</f>
        <v>3.8753571428571423</v>
      </c>
      <c r="AG56" s="14" t="e">
        <f t="shared" si="6"/>
        <v>#VALUE!</v>
      </c>
      <c r="AJ56" s="11">
        <f>[11]Prices!$D641</f>
        <v>4.8584523809523805</v>
      </c>
      <c r="AK56" s="14">
        <f>AK55+AVERAGE(AK44-AK43,AK20-AK19,AK8-AK7)</f>
        <v>2.7642899062049064</v>
      </c>
      <c r="AL56" s="11">
        <f t="shared" si="7"/>
        <v>-1.0291283415790562</v>
      </c>
      <c r="AM56" s="13">
        <f>'[7]D6 Gallon Forecast'!$O40/1000000</f>
        <v>1273.3706569999999</v>
      </c>
    </row>
    <row r="57" spans="1:44" x14ac:dyDescent="0.25">
      <c r="A57" s="10">
        <v>45261</v>
      </c>
      <c r="B57" s="11">
        <v>1.2018329999999995</v>
      </c>
      <c r="C57" s="12">
        <f>[6]Biodiesel!$O14</f>
        <v>136732063</v>
      </c>
      <c r="D57" s="12">
        <f>AVERAGE([6]Biodiesel!$J14:$N14)</f>
        <v>162022364</v>
      </c>
      <c r="E57" s="12">
        <f t="shared" si="8"/>
        <v>-25290301</v>
      </c>
      <c r="F57" s="12">
        <f>'[7]D4 Gallon Forecast'!$O80+'[7]D4 Gallon Forecast'!$O112</f>
        <v>200310108</v>
      </c>
      <c r="G57" s="12">
        <f>SUM('[7]D4 Gallon Forecast'!$J80:$N80,'[7]D4 Gallon Forecast'!$J112:$N112)/5</f>
        <v>196461134.59999999</v>
      </c>
      <c r="H57" s="12">
        <f t="shared" si="1"/>
        <v>3848973.400000006</v>
      </c>
      <c r="I57" s="11">
        <f>'RINs and HOBO Forecast'!C86/100</f>
        <v>0.72583333333333333</v>
      </c>
      <c r="J57" s="11">
        <f t="shared" si="2"/>
        <v>-0.47599966666666615</v>
      </c>
      <c r="K57" s="12">
        <f>'[6]Renewable Diesel'!$O60</f>
        <v>274816428</v>
      </c>
      <c r="L57" s="12">
        <f>AVERAGE('[6]Renewable Diesel'!$J60:$N60)</f>
        <v>85992841.200000003</v>
      </c>
      <c r="M57" s="12">
        <f t="shared" si="3"/>
        <v>188823586.80000001</v>
      </c>
      <c r="N57" s="12">
        <f>'[6]Renewable Diesel'!$O14</f>
        <v>323439638</v>
      </c>
      <c r="O57" s="12">
        <f>AVERAGE('[6]Renewable Diesel'!$J14:$N14)</f>
        <v>125413974</v>
      </c>
      <c r="P57" s="12">
        <f t="shared" si="4"/>
        <v>198025664</v>
      </c>
      <c r="S57" s="11">
        <f>'[8]Soy Complex'!$BM596</f>
        <v>60.323</v>
      </c>
      <c r="T57" s="11"/>
      <c r="U57" s="11"/>
      <c r="V57" s="11">
        <f>[9]Forecasts!$B49</f>
        <v>546.125</v>
      </c>
      <c r="W57" s="11" t="e">
        <f>#REF!*100</f>
        <v>#REF!</v>
      </c>
      <c r="X57" s="11"/>
      <c r="AA57" s="14">
        <f t="shared" ref="AA57:AA120" si="9">(-0.6408065713*(I57*100))+(-0.0000008777*P57)+296.8717213184</f>
        <v>76.552719058741644</v>
      </c>
      <c r="AB57" s="14">
        <v>16</v>
      </c>
      <c r="AC57" s="14">
        <v>100</v>
      </c>
      <c r="AE57" s="14" t="str">
        <f t="array" ref="AE57">[10]!Qhof4?Last</f>
        <v>Invalid</v>
      </c>
      <c r="AF57" s="14">
        <f>[3]Prices!$D650*7.5/100</f>
        <v>3.7329750000000002</v>
      </c>
      <c r="AG57" s="14" t="e">
        <f t="shared" si="6"/>
        <v>#VALUE!</v>
      </c>
      <c r="AJ57" s="11">
        <f>[11]Prices!$D642</f>
        <v>4.7971249999999994</v>
      </c>
      <c r="AK57" s="14">
        <f t="shared" ref="AK57:AK120" si="10">AK56+AVERAGE(AK45-AK44,AK21-AK20,AK9-AK8)</f>
        <v>2.7267285714285716</v>
      </c>
      <c r="AL57" s="11">
        <f t="shared" si="7"/>
        <v>-1.0134696428571432</v>
      </c>
      <c r="AM57" s="13">
        <f>'[7]D6 Gallon Forecast'!$O41/1000000</f>
        <v>1178.003954</v>
      </c>
    </row>
    <row r="58" spans="1:44" x14ac:dyDescent="0.25">
      <c r="A58" s="10">
        <v>45292</v>
      </c>
      <c r="B58" s="11">
        <v>0.99081809523809472</v>
      </c>
      <c r="C58" s="12">
        <f>[6]Biodiesel!$P3</f>
        <v>120715672</v>
      </c>
      <c r="D58" s="12">
        <f>AVERAGE([6]Biodiesel!$K3:$O3)</f>
        <v>108727740.59999999</v>
      </c>
      <c r="E58" s="12">
        <f t="shared" si="8"/>
        <v>11987931.400000006</v>
      </c>
      <c r="F58" s="12">
        <f>[6]Biodiesel!$P35</f>
        <v>161030405</v>
      </c>
      <c r="G58" s="12">
        <f>AVERAGE([6]Biodiesel!$K35:$O35)</f>
        <v>123001112.8</v>
      </c>
      <c r="H58" s="12">
        <f>F58-G58</f>
        <v>38029292.200000003</v>
      </c>
      <c r="I58" s="11">
        <f>'RINs and HOBO Forecast'!C87/100</f>
        <v>0.479875</v>
      </c>
      <c r="J58" s="11">
        <f t="shared" si="2"/>
        <v>-0.51094309523809467</v>
      </c>
      <c r="K58" s="12">
        <f>'[6]Renewable Diesel'!$P49</f>
        <v>230210264</v>
      </c>
      <c r="L58" s="12">
        <f>AVERAGE('[6]Renewable Diesel'!$K49:$O49)</f>
        <v>72801552.400000006</v>
      </c>
      <c r="M58" s="12">
        <f t="shared" si="3"/>
        <v>157408711.59999999</v>
      </c>
      <c r="N58" s="12">
        <f>'[6]Renewable Diesel'!$P3</f>
        <v>254443224</v>
      </c>
      <c r="O58" s="12">
        <f>AVERAGE('[6]Renewable Diesel'!$K3:$O3)</f>
        <v>101553051.40000001</v>
      </c>
      <c r="P58" s="12">
        <f t="shared" si="4"/>
        <v>152890172.59999999</v>
      </c>
      <c r="S58" s="11">
        <f>'[8]Soy Complex'!$BM597</f>
        <v>56.159523809523805</v>
      </c>
      <c r="T58" s="11"/>
      <c r="U58" s="11"/>
      <c r="V58" s="11">
        <f>[9]Forecasts!$B50</f>
        <v>521.42859999999996</v>
      </c>
      <c r="W58" s="11" t="e">
        <f>#REF!*100</f>
        <v>#REF!</v>
      </c>
      <c r="X58" s="11"/>
      <c r="AA58" s="14">
        <f t="shared" si="9"/>
        <v>131.92931148712123</v>
      </c>
      <c r="AB58" s="14">
        <v>16</v>
      </c>
      <c r="AC58" s="14">
        <v>100</v>
      </c>
      <c r="AE58" s="14" t="str" cm="1">
        <f t="array" ref="AE58">[10]!Qhog4?Last</f>
        <v>Invalid</v>
      </c>
      <c r="AF58" s="14">
        <f>[3]Prices!$D651*7.5/100</f>
        <v>3.5655357142857138</v>
      </c>
      <c r="AG58" s="14" t="e">
        <f t="shared" si="6"/>
        <v>#VALUE!</v>
      </c>
      <c r="AJ58" s="11">
        <f>[11]Prices!$D643</f>
        <v>4.5184523809523807</v>
      </c>
      <c r="AK58" s="14">
        <f t="shared" si="10"/>
        <v>2.8621015311004787</v>
      </c>
      <c r="AL58" s="11">
        <f t="shared" si="7"/>
        <v>-1.2483685379031999</v>
      </c>
      <c r="AM58" s="13">
        <f>'[7]D6 Gallon Forecast'!$P30/1000000</f>
        <v>1.0755237957113294E-7</v>
      </c>
    </row>
    <row r="59" spans="1:44" x14ac:dyDescent="0.25">
      <c r="A59" s="10">
        <v>45323</v>
      </c>
      <c r="B59" s="11">
        <v>0.79148599999999969</v>
      </c>
      <c r="C59" s="12">
        <f>[6]Biodiesel!$P4</f>
        <v>125799224</v>
      </c>
      <c r="D59" s="12">
        <f>AVERAGE([6]Biodiesel!$K4:$O4)</f>
        <v>116085952.40000001</v>
      </c>
      <c r="E59" s="12">
        <f t="shared" si="8"/>
        <v>9713271.599999994</v>
      </c>
      <c r="F59" s="12">
        <f>[6]Biodiesel!$P36</f>
        <v>177754856</v>
      </c>
      <c r="G59" s="12">
        <f>AVERAGE([6]Biodiesel!$K36:$O36)</f>
        <v>131613328.59999999</v>
      </c>
      <c r="H59" s="12">
        <f t="shared" ref="H59:H122" si="11">F59-G59</f>
        <v>46141527.400000006</v>
      </c>
      <c r="I59" s="11">
        <f>'RINs and HOBO Forecast'!C88/100</f>
        <v>0.52475000000000005</v>
      </c>
      <c r="J59" s="11">
        <f t="shared" si="2"/>
        <v>-0.26673599999999964</v>
      </c>
      <c r="K59" s="12">
        <f>'[6]Renewable Diesel'!$P50</f>
        <v>230073636</v>
      </c>
      <c r="L59" s="12">
        <f>AVERAGE('[6]Renewable Diesel'!$K50:$O50)</f>
        <v>74223385.400000006</v>
      </c>
      <c r="M59" s="12">
        <f t="shared" si="3"/>
        <v>155850250.59999999</v>
      </c>
      <c r="N59" s="12">
        <f>'[6]Renewable Diesel'!$P4</f>
        <v>286287459</v>
      </c>
      <c r="O59" s="12">
        <f>AVERAGE('[6]Renewable Diesel'!$K4:$O4)</f>
        <v>101620822.2</v>
      </c>
      <c r="P59" s="12">
        <f t="shared" si="4"/>
        <v>184666636.80000001</v>
      </c>
      <c r="S59" s="11">
        <f>'[8]Soy Complex'!$BM598</f>
        <v>53.214999999999996</v>
      </c>
      <c r="T59" s="11"/>
      <c r="U59" s="11"/>
      <c r="V59" s="11">
        <f>[9]Forecasts!$B51</f>
        <v>493.875</v>
      </c>
      <c r="W59" s="11" t="e">
        <f>#REF!*100</f>
        <v>#REF!</v>
      </c>
      <c r="X59" s="11"/>
      <c r="AA59" s="14">
        <f t="shared" si="9"/>
        <v>101.16348937007245</v>
      </c>
      <c r="AB59" s="14">
        <v>16</v>
      </c>
      <c r="AC59" s="14">
        <v>100</v>
      </c>
      <c r="AE59" s="14" t="str" cm="1">
        <f t="array" ref="AE59">[10]!Qhoh4?Last</f>
        <v>Invalid</v>
      </c>
      <c r="AF59" s="14">
        <f>[3]Prices!$D652*7.5/100</f>
        <v>3.4229999999999996</v>
      </c>
      <c r="AG59" s="14" t="e">
        <f t="shared" si="6"/>
        <v>#VALUE!</v>
      </c>
      <c r="AJ59" s="11">
        <f>[11]Prices!$D644</f>
        <v>4.2337499999999997</v>
      </c>
      <c r="AK59" s="14">
        <f t="shared" si="10"/>
        <v>2.8865556580846055</v>
      </c>
      <c r="AL59" s="11">
        <f t="shared" si="7"/>
        <v>-1.374502086656034</v>
      </c>
      <c r="AM59" s="13">
        <f>'[7]D6 Gallon Forecast'!$P31/1000000</f>
        <v>-146.91820000000001</v>
      </c>
    </row>
    <row r="60" spans="1:44" x14ac:dyDescent="0.25">
      <c r="A60" s="10">
        <v>45352</v>
      </c>
      <c r="B60" s="11">
        <v>0.79561199999999965</v>
      </c>
      <c r="C60" s="12">
        <f>[6]Biodiesel!$P5</f>
        <v>133487105</v>
      </c>
      <c r="D60" s="12">
        <f>AVERAGE([6]Biodiesel!$K5:$O5)</f>
        <v>142970234.19999999</v>
      </c>
      <c r="E60" s="12">
        <f t="shared" si="8"/>
        <v>-9483129.1999999881</v>
      </c>
      <c r="F60" s="12">
        <f>[6]Biodiesel!$P37</f>
        <v>163379961</v>
      </c>
      <c r="G60" s="12">
        <f>AVERAGE([6]Biodiesel!$K37:$O37)</f>
        <v>165622112.19999999</v>
      </c>
      <c r="H60" s="12">
        <f t="shared" si="11"/>
        <v>-2242151.1999999881</v>
      </c>
      <c r="I60" s="11">
        <f>'RINs and HOBO Forecast'!C89/100</f>
        <v>0.48477272727272724</v>
      </c>
      <c r="J60" s="11">
        <f t="shared" si="2"/>
        <v>-0.31083927272727241</v>
      </c>
      <c r="K60" s="12">
        <f>'[6]Renewable Diesel'!$P51</f>
        <v>215239327</v>
      </c>
      <c r="L60" s="12">
        <f>AVERAGE('[6]Renewable Diesel'!$K51:$O51)</f>
        <v>86884168.799999997</v>
      </c>
      <c r="M60" s="12">
        <f t="shared" si="3"/>
        <v>128355158.2</v>
      </c>
      <c r="N60" s="12">
        <f>'[6]Renewable Diesel'!$P5</f>
        <v>241876889</v>
      </c>
      <c r="O60" s="12">
        <f>AVERAGE('[6]Renewable Diesel'!$K5:$O5)</f>
        <v>119233446.2</v>
      </c>
      <c r="P60" s="12">
        <f t="shared" si="4"/>
        <v>122643442.8</v>
      </c>
      <c r="S60" s="11">
        <f>'[8]Soy Complex'!$BM599</f>
        <v>53.306499999999993</v>
      </c>
      <c r="T60" s="11"/>
      <c r="U60" s="11"/>
      <c r="V60" s="11">
        <f>[9]Forecasts!$B52</f>
        <v>466.5</v>
      </c>
      <c r="W60" s="11" t="e">
        <f>#REF!*100</f>
        <v>#REF!</v>
      </c>
      <c r="X60" s="11"/>
      <c r="AA60" s="14">
        <f t="shared" si="9"/>
        <v>158.16301665050133</v>
      </c>
      <c r="AB60" s="14">
        <v>16</v>
      </c>
      <c r="AC60" s="14">
        <v>100</v>
      </c>
      <c r="AE60" s="14" t="str" cm="1">
        <f t="array" ref="AE60">[10]!Qhoj4?Last</f>
        <v>Invalid</v>
      </c>
      <c r="AF60" s="14">
        <f>[3]Prices!$D653*7.5/100</f>
        <v>3.5601749999999992</v>
      </c>
      <c r="AG60" s="14" t="e">
        <f t="shared" si="6"/>
        <v>#VALUE!</v>
      </c>
      <c r="AJ60" s="11">
        <f>[11]Prices!$D645</f>
        <v>4.3581250000000002</v>
      </c>
      <c r="AK60" s="14">
        <f t="shared" si="10"/>
        <v>2.8294897923332707</v>
      </c>
      <c r="AL60" s="11">
        <f t="shared" si="7"/>
        <v>-1.2730165780475562</v>
      </c>
      <c r="AM60" s="13">
        <f>'[7]D6 Gallon Forecast'!$P32/1000000</f>
        <v>2.0240000000000002E-3</v>
      </c>
    </row>
    <row r="61" spans="1:44" x14ac:dyDescent="0.25">
      <c r="A61" s="10">
        <v>45383</v>
      </c>
      <c r="B61" s="11">
        <v>1.0267763636363634</v>
      </c>
      <c r="C61" s="12">
        <f>[6]Biodiesel!$P6</f>
        <v>136121554</v>
      </c>
      <c r="D61" s="12">
        <f>AVERAGE([6]Biodiesel!$K6:$O6)</f>
        <v>146554851.19999999</v>
      </c>
      <c r="E61" s="12">
        <f t="shared" si="8"/>
        <v>-10433297.199999988</v>
      </c>
      <c r="F61" s="12">
        <f>[6]Biodiesel!$P38</f>
        <v>184411893</v>
      </c>
      <c r="G61" s="12">
        <f>AVERAGE([6]Biodiesel!$K38:$O38)</f>
        <v>171030367.40000001</v>
      </c>
      <c r="H61" s="12">
        <f t="shared" si="11"/>
        <v>13381525.599999994</v>
      </c>
      <c r="I61" s="14">
        <f>'RINs and HOBO Forecast'!C$90/100</f>
        <v>0.49738636363636368</v>
      </c>
      <c r="J61" s="11">
        <f t="shared" si="2"/>
        <v>-0.52938999999999969</v>
      </c>
      <c r="K61" s="12">
        <f>'[6]Renewable Diesel'!$P52</f>
        <v>283042186</v>
      </c>
      <c r="L61" s="12">
        <f>AVERAGE('[6]Renewable Diesel'!$K52:$O52)</f>
        <v>81743785</v>
      </c>
      <c r="M61" s="12">
        <f t="shared" si="3"/>
        <v>201298401</v>
      </c>
      <c r="N61" s="12">
        <f>'[6]Renewable Diesel'!$P6</f>
        <v>310669850</v>
      </c>
      <c r="O61" s="12">
        <f>AVERAGE('[6]Renewable Diesel'!$K6:$O6)</f>
        <v>121102690.59999999</v>
      </c>
      <c r="P61" s="12">
        <f t="shared" si="4"/>
        <v>189567159.40000001</v>
      </c>
      <c r="S61" s="11">
        <f>'[8]Soy Complex'!$BM600</f>
        <v>50.796818181818168</v>
      </c>
      <c r="T61" s="11"/>
      <c r="U61" s="11"/>
      <c r="V61" s="11">
        <f>[9]Forecasts!$B53</f>
        <v>466.7045</v>
      </c>
      <c r="W61" s="11" t="e">
        <f>#REF!*100</f>
        <v>#REF!</v>
      </c>
      <c r="X61" s="11"/>
      <c r="AA61" s="14">
        <f t="shared" si="9"/>
        <v>98.615780483700661</v>
      </c>
      <c r="AB61" s="14">
        <v>16</v>
      </c>
      <c r="AC61" s="14">
        <v>100</v>
      </c>
      <c r="AE61" s="14" t="str">
        <f>AR62</f>
        <v>Invalid</v>
      </c>
      <c r="AF61" s="14">
        <f>[3]Prices!$D654*7.5/100</f>
        <v>3.4642499999999994</v>
      </c>
      <c r="AG61" s="14" t="e">
        <f t="shared" ref="AG61:AG124" si="12">(AF61-AR61)*100</f>
        <v>#VALUE!</v>
      </c>
      <c r="AJ61" s="11">
        <f>[11]Prices!$D646</f>
        <v>4.3462500000000004</v>
      </c>
      <c r="AK61" s="14">
        <f t="shared" si="10"/>
        <v>2.7818996012759172</v>
      </c>
      <c r="AL61" s="11">
        <f t="shared" si="7"/>
        <v>-1.2296674584187741</v>
      </c>
      <c r="AM61" s="13">
        <f>'[7]D6 Gallon Forecast'!$P33/1000000</f>
        <v>1205.7015839999999</v>
      </c>
      <c r="AR61" s="11" t="str" cm="1">
        <f t="array" ref="AR61">[10]!Qhoj4?Last</f>
        <v>Invalid</v>
      </c>
    </row>
    <row r="62" spans="1:44" x14ac:dyDescent="0.25">
      <c r="A62" s="10">
        <v>45413</v>
      </c>
      <c r="B62" s="11">
        <v>0.94487727272727251</v>
      </c>
      <c r="C62" s="12">
        <f>[6]Biodiesel!$P7</f>
        <v>142728755</v>
      </c>
      <c r="D62" s="12">
        <f>AVERAGE([6]Biodiesel!$K7:$O7)</f>
        <v>152237477</v>
      </c>
      <c r="E62" s="12">
        <f t="shared" si="8"/>
        <v>-9508722</v>
      </c>
      <c r="F62" s="12">
        <f>[6]Biodiesel!$P39</f>
        <v>179709360</v>
      </c>
      <c r="G62" s="12">
        <f>AVERAGE([6]Biodiesel!$K39:$O39)</f>
        <v>172002547.40000001</v>
      </c>
      <c r="H62" s="12">
        <f t="shared" si="11"/>
        <v>7706812.599999994</v>
      </c>
      <c r="I62" s="14">
        <f>'RINs and HOBO Forecast'!C$92/100</f>
        <v>0.64045909090909103</v>
      </c>
      <c r="J62" s="11">
        <f t="shared" si="2"/>
        <v>-0.30441818181818148</v>
      </c>
      <c r="K62" s="12">
        <f>'[6]Renewable Diesel'!$P53</f>
        <v>220402735</v>
      </c>
      <c r="L62" s="12">
        <f>AVERAGE('[6]Renewable Diesel'!$K53:$O53)</f>
        <v>102439303.8</v>
      </c>
      <c r="M62" s="12">
        <f t="shared" si="3"/>
        <v>117963431.2</v>
      </c>
      <c r="N62" s="12">
        <f>'[6]Renewable Diesel'!$P7</f>
        <v>250083449</v>
      </c>
      <c r="O62" s="12">
        <f>AVERAGE('[6]Renewable Diesel'!$K7:$O7)</f>
        <v>146095966.19999999</v>
      </c>
      <c r="P62" s="12">
        <f t="shared" si="4"/>
        <v>103987482.80000001</v>
      </c>
      <c r="S62" s="11">
        <f>'[8]Soy Complex'!$BM601</f>
        <v>50.794090909090897</v>
      </c>
      <c r="T62" s="11"/>
      <c r="U62" s="11"/>
      <c r="V62" s="11">
        <f>[9]Forecasts!$B54</f>
        <v>440.34</v>
      </c>
      <c r="W62" s="11" t="e">
        <f>#REF!*100</f>
        <v>#REF!</v>
      </c>
      <c r="X62" s="11"/>
      <c r="AA62" s="14">
        <f t="shared" si="9"/>
        <v>164.56086825450302</v>
      </c>
      <c r="AB62" s="14">
        <v>16</v>
      </c>
      <c r="AC62" s="14">
        <v>100</v>
      </c>
      <c r="AE62" s="14" t="str">
        <f t="shared" ref="AE62:AE125" si="13">AR63</f>
        <v>Invalid</v>
      </c>
      <c r="AF62" s="14">
        <f>[3]Prices!$D655*7.5/100</f>
        <v>3.3459204545454542</v>
      </c>
      <c r="AG62" s="14" t="e">
        <f t="shared" si="12"/>
        <v>#VALUE!</v>
      </c>
      <c r="AJ62" s="11">
        <f>[11]Prices!$D647</f>
        <v>4.6021590909090904</v>
      </c>
      <c r="AK62" s="14">
        <f t="shared" si="10"/>
        <v>2.853976854256854</v>
      </c>
      <c r="AL62" s="11">
        <f t="shared" si="7"/>
        <v>-1.2103486075036074</v>
      </c>
      <c r="AM62" s="13">
        <f>'[7]D6 Gallon Forecast'!$P34/1000000</f>
        <v>1209.6107360000001</v>
      </c>
      <c r="AR62" s="11" t="str" cm="1">
        <f t="array" ref="AR62">[10]!Qhok4?Last</f>
        <v>Invalid</v>
      </c>
    </row>
    <row r="63" spans="1:44" x14ac:dyDescent="0.25">
      <c r="A63" s="10">
        <v>45444</v>
      </c>
      <c r="B63" s="11">
        <v>0.87778842105263133</v>
      </c>
      <c r="C63" s="15">
        <f>[6]Biodiesel!$P8</f>
        <v>133806992</v>
      </c>
      <c r="D63" s="15">
        <f>AVERAGE([6]Biodiesel!$K8:$O8)</f>
        <v>151988077.40000001</v>
      </c>
      <c r="E63" s="15">
        <f t="shared" si="8"/>
        <v>-18181085.400000006</v>
      </c>
      <c r="F63" s="15">
        <f>[6]Biodiesel!$P40</f>
        <v>171320567</v>
      </c>
      <c r="G63" s="15">
        <f>AVERAGE([6]Biodiesel!$K40:$O40)</f>
        <v>174832370.59999999</v>
      </c>
      <c r="H63" s="15">
        <f t="shared" si="11"/>
        <v>-3511803.599999994</v>
      </c>
      <c r="I63" s="14">
        <f>'RINs and HOBO Forecast'!C$92/100</f>
        <v>0.64045909090909103</v>
      </c>
      <c r="J63" s="11">
        <f t="shared" si="2"/>
        <v>-0.2373293301435403</v>
      </c>
      <c r="K63" s="15">
        <f>'[6]Renewable Diesel'!$P54</f>
        <v>282589564</v>
      </c>
      <c r="L63" s="15">
        <f>AVERAGE('[6]Renewable Diesel'!$K54:$O54)</f>
        <v>96114481.400000006</v>
      </c>
      <c r="M63" s="15">
        <f t="shared" si="3"/>
        <v>186475082.59999999</v>
      </c>
      <c r="N63" s="15">
        <f>'[6]Renewable Diesel'!$P8</f>
        <v>339060733</v>
      </c>
      <c r="O63" s="15">
        <f>AVERAGE('[6]Renewable Diesel'!$K8:$O8)</f>
        <v>136313594.19999999</v>
      </c>
      <c r="P63" s="15">
        <f t="shared" si="4"/>
        <v>202747138.80000001</v>
      </c>
      <c r="S63" s="11">
        <f>'[8]Soy Complex'!$BM602</f>
        <v>49.845263157894742</v>
      </c>
      <c r="T63" s="11"/>
      <c r="U63" s="11"/>
      <c r="V63" s="11">
        <f>[9]Forecasts!$B55</f>
        <v>441.58</v>
      </c>
      <c r="W63" s="11" t="e">
        <f>#REF!*100</f>
        <v>#REF!</v>
      </c>
      <c r="X63" s="11"/>
      <c r="AA63" s="14">
        <f t="shared" si="9"/>
        <v>77.87951818330302</v>
      </c>
      <c r="AB63" s="14">
        <v>16</v>
      </c>
      <c r="AC63" s="14">
        <v>100</v>
      </c>
      <c r="AE63" s="14" t="str">
        <f t="shared" si="13"/>
        <v>Invalid</v>
      </c>
      <c r="AF63" s="14">
        <f>[3]Prices!$D656*7.5/100</f>
        <v>3.2780131578947374</v>
      </c>
      <c r="AG63" s="14" t="e">
        <f t="shared" si="12"/>
        <v>#VALUE!</v>
      </c>
      <c r="AJ63" s="11">
        <f>[11]Prices!$D648</f>
        <v>4.3939473684210526</v>
      </c>
      <c r="AK63" s="14">
        <f t="shared" si="10"/>
        <v>2.9739739538239536</v>
      </c>
      <c r="AL63" s="11">
        <f t="shared" si="7"/>
        <v>-1.4047070365307204</v>
      </c>
      <c r="AM63" s="13">
        <f>'[7]D6 Gallon Forecast'!$P35/1000000</f>
        <v>1187.4288750000001</v>
      </c>
      <c r="AR63" s="11" t="str" cm="1">
        <f t="array" ref="AR63">[10]!Qhom4?Last</f>
        <v>Invalid</v>
      </c>
    </row>
    <row r="64" spans="1:44" x14ac:dyDescent="0.25">
      <c r="A64" s="10">
        <v>45474</v>
      </c>
      <c r="B64" s="14" t="e">
        <f>'HOBO History'!#REF!</f>
        <v>#REF!</v>
      </c>
      <c r="C64" s="15">
        <f>[6]Biodiesel!$P9</f>
        <v>145953904</v>
      </c>
      <c r="D64" s="15">
        <f>AVERAGE([6]Biodiesel!$K9:$O9)</f>
        <v>151844066.59999999</v>
      </c>
      <c r="E64" s="15">
        <f t="shared" si="8"/>
        <v>-5890162.599999994</v>
      </c>
      <c r="F64" s="15">
        <f>[6]Biodiesel!$P41</f>
        <v>170840660</v>
      </c>
      <c r="G64" s="15">
        <f>AVERAGE([6]Biodiesel!$K41:$O41)</f>
        <v>169991830.19999999</v>
      </c>
      <c r="H64" s="15">
        <f t="shared" si="11"/>
        <v>848829.80000001192</v>
      </c>
      <c r="I64" s="14">
        <f>'RINs and HOBO Forecast'!C$94/100</f>
        <v>0.60412500000000002</v>
      </c>
      <c r="J64" s="11" t="e">
        <f t="shared" si="2"/>
        <v>#REF!</v>
      </c>
      <c r="K64" s="15">
        <f>'[6]Renewable Diesel'!$P55</f>
        <v>292633360</v>
      </c>
      <c r="L64" s="15">
        <f>AVERAGE('[6]Renewable Diesel'!$K55:$O55)</f>
        <v>90847913.799999997</v>
      </c>
      <c r="M64" s="15">
        <f t="shared" si="3"/>
        <v>201785446.19999999</v>
      </c>
      <c r="N64" s="15">
        <f>'[6]Renewable Diesel'!$P9</f>
        <v>339856960</v>
      </c>
      <c r="O64" s="15">
        <f>AVERAGE('[6]Renewable Diesel'!$K9:$O9)</f>
        <v>121709092.59999999</v>
      </c>
      <c r="P64" s="15">
        <f t="shared" si="4"/>
        <v>218147867.40000001</v>
      </c>
      <c r="S64" s="11">
        <f>'[8]Soy Complex'!$BM603</f>
        <v>53.649545454545454</v>
      </c>
      <c r="T64" s="11"/>
      <c r="U64" s="11"/>
      <c r="V64" s="11">
        <f>[9]Forecasts!$B56</f>
        <v>471.82</v>
      </c>
      <c r="W64" s="11" t="e">
        <f>#REF!*100</f>
        <v>#REF!</v>
      </c>
      <c r="X64" s="11"/>
      <c r="AA64" s="14">
        <f t="shared" si="9"/>
        <v>66.690611112758745</v>
      </c>
      <c r="AB64" s="14">
        <v>16</v>
      </c>
      <c r="AC64" s="14">
        <v>100</v>
      </c>
      <c r="AE64" s="14" t="str">
        <f t="shared" si="13"/>
        <v>Invalid</v>
      </c>
      <c r="AF64" s="14">
        <f>[3]Prices!$D657*7.5/100</f>
        <v>3.469738636363636</v>
      </c>
      <c r="AG64" s="14" t="e">
        <f t="shared" si="12"/>
        <v>#VALUE!</v>
      </c>
      <c r="AJ64" s="11">
        <f>[11]Prices!$D649</f>
        <v>3.9970833333333333</v>
      </c>
      <c r="AK64" s="14">
        <f t="shared" si="10"/>
        <v>3.0652229365079364</v>
      </c>
      <c r="AL64" s="11">
        <f t="shared" si="7"/>
        <v>-1.6376931746031744</v>
      </c>
      <c r="AM64" s="13">
        <f>'[7]D6 Gallon Forecast'!$P36/1000000</f>
        <v>1192.043647</v>
      </c>
      <c r="AR64" s="11" t="str" cm="1">
        <f t="array" ref="AR64">[10]!Qhon4?Last</f>
        <v>Invalid</v>
      </c>
    </row>
    <row r="65" spans="1:44" x14ac:dyDescent="0.25">
      <c r="A65" s="10">
        <v>45505</v>
      </c>
      <c r="B65" s="14" t="e">
        <f>'HOBO History'!#REF!</f>
        <v>#REF!</v>
      </c>
      <c r="C65" s="15">
        <f>[6]Biodiesel!$P10</f>
        <v>139724190</v>
      </c>
      <c r="D65" s="15">
        <f>AVERAGE([6]Biodiesel!$K10:$O10)</f>
        <v>156770607</v>
      </c>
      <c r="E65" s="15">
        <f t="shared" si="8"/>
        <v>-17046417</v>
      </c>
      <c r="F65" s="15">
        <f>[6]Biodiesel!$P42</f>
        <v>164221312</v>
      </c>
      <c r="G65" s="15">
        <f>AVERAGE([6]Biodiesel!$K42:$O42)</f>
        <v>175916976.80000001</v>
      </c>
      <c r="H65" s="15">
        <f t="shared" si="11"/>
        <v>-11695664.800000012</v>
      </c>
      <c r="I65" s="14">
        <f>'RINs and HOBO Forecast'!C$94/100</f>
        <v>0.60412500000000002</v>
      </c>
      <c r="J65" s="11" t="e">
        <f t="shared" si="2"/>
        <v>#REF!</v>
      </c>
      <c r="K65" s="15">
        <f>'[6]Renewable Diesel'!$P56</f>
        <v>260490373</v>
      </c>
      <c r="L65" s="15">
        <f>AVERAGE('[6]Renewable Diesel'!$K56:$O56)</f>
        <v>103050204.8</v>
      </c>
      <c r="M65" s="15">
        <f t="shared" si="3"/>
        <v>157440168.19999999</v>
      </c>
      <c r="N65" s="15">
        <f>'[6]Renewable Diesel'!$P10</f>
        <v>283467210</v>
      </c>
      <c r="O65" s="15">
        <f>AVERAGE('[6]Renewable Diesel'!$K10:$O10)</f>
        <v>131070574</v>
      </c>
      <c r="P65" s="15">
        <f t="shared" si="4"/>
        <v>152396636</v>
      </c>
      <c r="S65" s="11">
        <f>'[8]Soy Complex'!$BM604</f>
        <v>48.193181818181827</v>
      </c>
      <c r="T65" s="11"/>
      <c r="U65" s="11"/>
      <c r="V65" s="11">
        <f>[9]Forecasts!$B57</f>
        <v>445.43</v>
      </c>
      <c r="W65" s="11" t="e">
        <f>#REF!*100</f>
        <v>#REF!</v>
      </c>
      <c r="X65" s="11"/>
      <c r="AA65" s="14">
        <f t="shared" si="9"/>
        <v>124.40046691253875</v>
      </c>
      <c r="AB65" s="14">
        <v>16</v>
      </c>
      <c r="AC65" s="14">
        <v>100</v>
      </c>
      <c r="AE65" s="14" t="str">
        <f t="shared" si="13"/>
        <v>Invalid</v>
      </c>
      <c r="AF65" s="14">
        <f>[3]Prices!$D658*7.5/100</f>
        <v>3.0988636363636362</v>
      </c>
      <c r="AG65" s="14" t="e">
        <f t="shared" si="12"/>
        <v>#VALUE!</v>
      </c>
      <c r="AJ65" s="11">
        <f>[11]Prices!$D650</f>
        <v>3.7802777777777776</v>
      </c>
      <c r="AK65" s="14">
        <f t="shared" si="10"/>
        <v>3.09439485538616</v>
      </c>
      <c r="AL65" s="11">
        <f t="shared" si="7"/>
        <v>-1.7442956490369537</v>
      </c>
      <c r="AM65" s="13">
        <f>'[7]D6 Gallon Forecast'!$P37/1000000</f>
        <v>1265.6202699999999</v>
      </c>
      <c r="AR65" s="11" t="str" cm="1">
        <f t="array" ref="AR65">[10]!Qhoq4?Last</f>
        <v>Invalid</v>
      </c>
    </row>
    <row r="66" spans="1:44" x14ac:dyDescent="0.25">
      <c r="A66" s="10">
        <v>45536</v>
      </c>
      <c r="B66" s="14" t="e">
        <f>'HOBO History'!#REF!</f>
        <v>#REF!</v>
      </c>
      <c r="C66" s="15">
        <f>[6]Biodiesel!$P11</f>
        <v>134537885</v>
      </c>
      <c r="D66" s="15">
        <f>AVERAGE([6]Biodiesel!$K11:$O11)</f>
        <v>147438329.19999999</v>
      </c>
      <c r="E66" s="15">
        <f t="shared" si="8"/>
        <v>-12900444.199999988</v>
      </c>
      <c r="F66" s="15">
        <f>[6]Biodiesel!$P43</f>
        <v>163462307</v>
      </c>
      <c r="G66" s="15">
        <f>AVERAGE([6]Biodiesel!$K43:$O43)</f>
        <v>167490611.80000001</v>
      </c>
      <c r="H66" s="15">
        <f t="shared" si="11"/>
        <v>-4028304.8000000119</v>
      </c>
      <c r="I66" s="14" t="e">
        <f>'RINs and HOBO Forecast'!#REF!/100</f>
        <v>#REF!</v>
      </c>
      <c r="J66" s="11" t="e">
        <f t="shared" si="2"/>
        <v>#REF!</v>
      </c>
      <c r="K66" s="15">
        <f>'[6]Renewable Diesel'!$P57</f>
        <v>257927937</v>
      </c>
      <c r="L66" s="15">
        <f>AVERAGE('[6]Renewable Diesel'!$K57:$O57)</f>
        <v>101234908.59999999</v>
      </c>
      <c r="M66" s="15">
        <f t="shared" si="3"/>
        <v>156693028.40000001</v>
      </c>
      <c r="N66" s="15">
        <f>'[6]Renewable Diesel'!$P11</f>
        <v>300733550</v>
      </c>
      <c r="O66" s="15">
        <f>AVERAGE('[6]Renewable Diesel'!$K11:$O11)</f>
        <v>139598894.19999999</v>
      </c>
      <c r="P66" s="15">
        <f t="shared" si="4"/>
        <v>161134655.80000001</v>
      </c>
      <c r="S66" s="11">
        <f>'[8]Soy Complex'!$BM605</f>
        <v>47.349499999999992</v>
      </c>
      <c r="T66" s="11"/>
      <c r="U66" s="11"/>
      <c r="V66" s="11">
        <f>[9]Forecasts!$B58</f>
        <v>434.63</v>
      </c>
      <c r="W66" s="11" t="e">
        <f>#REF!*100</f>
        <v>#REF!</v>
      </c>
      <c r="X66" s="11"/>
      <c r="AA66" s="14" t="e">
        <f t="shared" si="9"/>
        <v>#REF!</v>
      </c>
      <c r="AB66" s="14">
        <v>16</v>
      </c>
      <c r="AC66" s="14">
        <v>100</v>
      </c>
      <c r="AE66" s="14" t="str">
        <f t="shared" si="13"/>
        <v>Invalid</v>
      </c>
      <c r="AF66" s="14">
        <f>[3]Prices!$D659*7.5/100</f>
        <v>3.1119749999999997</v>
      </c>
      <c r="AG66" s="14" t="e">
        <f t="shared" si="12"/>
        <v>#VALUE!</v>
      </c>
      <c r="AJ66" s="11">
        <f>[11]Prices!$D651</f>
        <v>4.1072500000000005</v>
      </c>
      <c r="AK66" s="14">
        <f t="shared" si="10"/>
        <v>2.9735794300144303</v>
      </c>
      <c r="AL66" s="11">
        <f t="shared" si="7"/>
        <v>-1.5067044300144299</v>
      </c>
      <c r="AM66" s="13">
        <f>'[7]D6 Gallon Forecast'!$P38/1000000</f>
        <v>1210.9645350000001</v>
      </c>
      <c r="AR66" s="11" t="str" cm="1">
        <f t="array" ref="AR66">[10]!Qhou4?Last</f>
        <v>Invalid</v>
      </c>
    </row>
    <row r="67" spans="1:44" x14ac:dyDescent="0.25">
      <c r="A67" s="10">
        <v>45566</v>
      </c>
      <c r="B67" s="14" t="e">
        <f>'HOBO History'!#REF!</f>
        <v>#REF!</v>
      </c>
      <c r="C67" s="15">
        <f>[6]Biodiesel!$P12</f>
        <v>148097836</v>
      </c>
      <c r="D67" s="15">
        <f>AVERAGE([6]Biodiesel!$K12:$O12)</f>
        <v>143602918.80000001</v>
      </c>
      <c r="E67" s="15">
        <f t="shared" si="8"/>
        <v>4494917.1999999881</v>
      </c>
      <c r="F67" s="15">
        <f>[6]Biodiesel!$P44</f>
        <v>174761632</v>
      </c>
      <c r="G67" s="15">
        <f>AVERAGE([6]Biodiesel!$K44:$O44)</f>
        <v>167868332.40000001</v>
      </c>
      <c r="H67" s="15">
        <f t="shared" si="11"/>
        <v>6893299.599999994</v>
      </c>
      <c r="I67" s="14" t="e">
        <f>'RINs and HOBO Forecast'!#REF!/100</f>
        <v>#REF!</v>
      </c>
      <c r="J67" s="11" t="e">
        <f t="shared" ref="J67:J101" si="14">I67-B67</f>
        <v>#REF!</v>
      </c>
      <c r="K67" s="15">
        <f>'[6]Renewable Diesel'!$P58</f>
        <v>289557293</v>
      </c>
      <c r="L67" s="15">
        <f>AVERAGE('[6]Renewable Diesel'!$K58:$O58)</f>
        <v>95772533.799999997</v>
      </c>
      <c r="M67" s="15">
        <f t="shared" ref="M67:M130" si="15">K67-L67</f>
        <v>193784759.19999999</v>
      </c>
      <c r="N67" s="15">
        <f>'[6]Renewable Diesel'!$P12</f>
        <v>307086568</v>
      </c>
      <c r="O67" s="15">
        <f>AVERAGE('[6]Renewable Diesel'!$K12:$O12)</f>
        <v>136840744.40000001</v>
      </c>
      <c r="P67" s="15">
        <f t="shared" ref="P67:P130" si="16">N67-O67</f>
        <v>170245823.59999999</v>
      </c>
      <c r="S67" s="11">
        <f>'[8]Soy Complex'!$BN594</f>
        <v>47.606086956521729</v>
      </c>
      <c r="T67" s="11"/>
      <c r="U67" s="11"/>
      <c r="V67" s="11">
        <f>[9]Forecasts!$B59</f>
        <v>470.17</v>
      </c>
      <c r="W67" s="11" t="e">
        <f>#REF!*100</f>
        <v>#REF!</v>
      </c>
      <c r="X67" s="11"/>
      <c r="AA67" s="14" t="e">
        <f t="shared" si="9"/>
        <v>#REF!</v>
      </c>
      <c r="AB67" s="14">
        <v>16</v>
      </c>
      <c r="AC67" s="14">
        <v>100</v>
      </c>
      <c r="AE67" s="14" t="str">
        <f t="shared" si="13"/>
        <v>Invalid</v>
      </c>
      <c r="AF67" s="14">
        <f>[3]Prices!$D660*7.5/100</f>
        <v>3.2468152173913034</v>
      </c>
      <c r="AG67" s="14" t="e">
        <f t="shared" si="12"/>
        <v>#VALUE!</v>
      </c>
      <c r="AJ67" s="11">
        <f>[11]Prices!$D652</f>
        <v>4.1611956521739133</v>
      </c>
      <c r="AK67" s="14">
        <f t="shared" si="10"/>
        <v>2.9358652236652238</v>
      </c>
      <c r="AL67" s="11">
        <f t="shared" si="7"/>
        <v>-1.4497239193173976</v>
      </c>
      <c r="AM67" s="13">
        <f>'[7]D6 Gallon Forecast'!$P39/1000000</f>
        <v>1325.929257</v>
      </c>
      <c r="AR67" s="11" t="str" cm="1">
        <f t="array" ref="AR67">[10]!Qhov4?Last</f>
        <v>Invalid</v>
      </c>
    </row>
    <row r="68" spans="1:44" x14ac:dyDescent="0.25">
      <c r="A68" s="10">
        <v>45597</v>
      </c>
      <c r="B68" s="14" t="e">
        <f>'HOBO History'!#REF!</f>
        <v>#REF!</v>
      </c>
      <c r="C68" s="15">
        <f>[6]Biodiesel!$P13</f>
        <v>133353588</v>
      </c>
      <c r="D68" s="15">
        <f>AVERAGE([6]Biodiesel!$K13:$O13)</f>
        <v>135839350.40000001</v>
      </c>
      <c r="E68" s="15">
        <f t="shared" si="8"/>
        <v>-2485762.400000006</v>
      </c>
      <c r="F68" s="15">
        <f>[6]Biodiesel!$P45</f>
        <v>156329288</v>
      </c>
      <c r="G68" s="15">
        <f>AVERAGE([6]Biodiesel!$K45:$O45)</f>
        <v>162843662.19999999</v>
      </c>
      <c r="H68" s="15">
        <f t="shared" si="11"/>
        <v>-6514374.1999999881</v>
      </c>
      <c r="I68" s="14" t="e">
        <f>'RINs and HOBO Forecast'!#REF!/100</f>
        <v>#REF!</v>
      </c>
      <c r="J68" s="11" t="e">
        <f t="shared" si="14"/>
        <v>#REF!</v>
      </c>
      <c r="K68" s="15">
        <f>'[6]Renewable Diesel'!$P59</f>
        <v>261189424</v>
      </c>
      <c r="L68" s="15">
        <f>AVERAGE('[6]Renewable Diesel'!$K59:$O59)</f>
        <v>114168590.8</v>
      </c>
      <c r="M68" s="15">
        <f t="shared" si="15"/>
        <v>147020833.19999999</v>
      </c>
      <c r="N68" s="15">
        <f>'[6]Renewable Diesel'!$P13</f>
        <v>299113899</v>
      </c>
      <c r="O68" s="15">
        <f>AVERAGE('[6]Renewable Diesel'!$K13:$O13)</f>
        <v>149415340</v>
      </c>
      <c r="P68" s="15">
        <f t="shared" si="16"/>
        <v>149698559</v>
      </c>
      <c r="S68" s="11">
        <f>'[8]Soy Complex'!$BN595</f>
        <v>49.0685</v>
      </c>
      <c r="T68" s="11"/>
      <c r="U68" s="11"/>
      <c r="V68" s="11">
        <f>[9]Forecasts!$B60</f>
        <v>483.9</v>
      </c>
      <c r="W68" s="11" t="e">
        <f>#REF!*100</f>
        <v>#REF!</v>
      </c>
      <c r="X68" s="11"/>
      <c r="AA68" s="14" t="e">
        <f t="shared" si="9"/>
        <v>#REF!</v>
      </c>
      <c r="AB68" s="14">
        <v>16</v>
      </c>
      <c r="AC68" s="14">
        <v>100</v>
      </c>
      <c r="AE68" s="14" t="str">
        <f t="shared" si="13"/>
        <v>Invalid</v>
      </c>
      <c r="AF68" s="14">
        <f>[3]Prices!$D661*7.5/100</f>
        <v>3.3501375000000002</v>
      </c>
      <c r="AG68" s="14" t="e">
        <f t="shared" si="12"/>
        <v>#VALUE!</v>
      </c>
      <c r="AJ68" s="11">
        <f>[11]Prices!$D653</f>
        <v>4.242375</v>
      </c>
      <c r="AK68" s="14">
        <f t="shared" si="10"/>
        <v>3.0559020971620972</v>
      </c>
      <c r="AL68" s="11">
        <f t="shared" si="7"/>
        <v>-1.5407681685906685</v>
      </c>
      <c r="AM68" s="13">
        <f>'[7]D6 Gallon Forecast'!$P40/1000000</f>
        <v>1317.843752</v>
      </c>
      <c r="AR68" s="11" t="str" cm="1">
        <f t="array" ref="AR68">[10]!Qhox4?Last</f>
        <v>Invalid</v>
      </c>
    </row>
    <row r="69" spans="1:44" x14ac:dyDescent="0.25">
      <c r="A69" s="10">
        <v>45627</v>
      </c>
      <c r="B69" s="16" t="e">
        <f>'HOBO History'!#REF!</f>
        <v>#REF!</v>
      </c>
      <c r="C69" s="15">
        <f>[6]Biodiesel!$P14</f>
        <v>174921835</v>
      </c>
      <c r="D69" s="15">
        <f>AVERAGE([6]Biodiesel!$K14:$O14)</f>
        <v>152702901.19999999</v>
      </c>
      <c r="E69" s="15">
        <f t="shared" si="8"/>
        <v>22218933.800000012</v>
      </c>
      <c r="F69" s="15">
        <f>[6]Biodiesel!$P46</f>
        <v>206312055</v>
      </c>
      <c r="G69" s="15">
        <f>AVERAGE([6]Biodiesel!$K46:$O46)</f>
        <v>194570242.80000001</v>
      </c>
      <c r="H69" s="15">
        <f t="shared" si="11"/>
        <v>11741812.199999988</v>
      </c>
      <c r="I69" s="17" t="e">
        <f>'RINs and HOBO Forecast'!#REF!/100</f>
        <v>#REF!</v>
      </c>
      <c r="J69" s="11" t="e">
        <f t="shared" si="14"/>
        <v>#REF!</v>
      </c>
      <c r="K69" s="15">
        <f>'[6]Renewable Diesel'!$P60</f>
        <v>314111589</v>
      </c>
      <c r="L69" s="15">
        <f>AVERAGE('[6]Renewable Diesel'!$K60:$O60)</f>
        <v>131490040.40000001</v>
      </c>
      <c r="M69" s="15">
        <f t="shared" si="15"/>
        <v>182621548.59999999</v>
      </c>
      <c r="N69" s="15">
        <f>'[6]Renewable Diesel'!$P14</f>
        <v>351250772</v>
      </c>
      <c r="O69" s="15">
        <f>AVERAGE('[6]Renewable Diesel'!$K14:$O14)</f>
        <v>174728093.80000001</v>
      </c>
      <c r="P69" s="15">
        <f t="shared" si="16"/>
        <v>176522678.19999999</v>
      </c>
      <c r="S69" s="11">
        <f>'[8]Soy Complex'!$BN596</f>
        <v>43.401904761904767</v>
      </c>
      <c r="T69" s="11"/>
      <c r="U69" s="11"/>
      <c r="V69" s="11">
        <f>[9]Forecasts!$B61</f>
        <v>483.64</v>
      </c>
      <c r="W69" s="11" t="e">
        <f>#REF!*100</f>
        <v>#REF!</v>
      </c>
      <c r="X69" s="11"/>
      <c r="AA69" s="14" t="e">
        <f t="shared" si="9"/>
        <v>#REF!</v>
      </c>
      <c r="AB69" s="14">
        <v>16</v>
      </c>
      <c r="AC69" s="14">
        <v>100</v>
      </c>
      <c r="AE69" s="14" t="str">
        <f t="shared" si="13"/>
        <v>Invalid</v>
      </c>
      <c r="AF69" s="14">
        <f>[3]Prices!$D662*7.5/100</f>
        <v>3.0837142857142861</v>
      </c>
      <c r="AG69" s="14" t="e">
        <f t="shared" si="12"/>
        <v>#VALUE!</v>
      </c>
      <c r="AJ69" s="11">
        <f>[11]Prices!$D654</f>
        <v>4.3899999999999997</v>
      </c>
      <c r="AK69" s="14">
        <f t="shared" si="10"/>
        <v>3.0486769841269843</v>
      </c>
      <c r="AL69" s="11">
        <f t="shared" si="7"/>
        <v>-1.4808198412698415</v>
      </c>
      <c r="AM69" s="13">
        <f>'[7]D6 Gallon Forecast'!$P41/1000000</f>
        <v>1213.706725</v>
      </c>
      <c r="AR69" s="11" t="str" cm="1">
        <f t="array" ref="AR69">[10]!Qhoz4?Last</f>
        <v>Invalid</v>
      </c>
    </row>
    <row r="70" spans="1:44" x14ac:dyDescent="0.25">
      <c r="A70" s="10">
        <v>45658</v>
      </c>
      <c r="B70" s="16" t="e">
        <f>'HOBO History'!#REF!</f>
        <v>#REF!</v>
      </c>
      <c r="C70" s="15">
        <f>[6]Biodiesel!$Q3</f>
        <v>65635810</v>
      </c>
      <c r="D70" s="15">
        <f>AVERAGE([6]Biodiesel!$L3:$P3)</f>
        <v>111337079.59999999</v>
      </c>
      <c r="E70" s="15">
        <f t="shared" si="8"/>
        <v>-45701269.599999994</v>
      </c>
      <c r="F70" s="15">
        <f>[6]Biodiesel!$Q35</f>
        <v>68771165</v>
      </c>
      <c r="G70" s="15">
        <f>AVERAGE([6]Biodiesel!$L35:$P35)</f>
        <v>131311551.59999999</v>
      </c>
      <c r="H70" s="15">
        <f t="shared" si="11"/>
        <v>-62540386.599999994</v>
      </c>
      <c r="K70" s="15">
        <f>'[6]Renewable Diesel'!$Q49</f>
        <v>217367275</v>
      </c>
      <c r="L70" s="15">
        <f>AVERAGE('[6]Renewable Diesel'!$L49:$P49)</f>
        <v>111546201</v>
      </c>
      <c r="M70" s="15">
        <f t="shared" si="15"/>
        <v>105821074</v>
      </c>
      <c r="N70" s="15">
        <f>'[6]Renewable Diesel'!$Q3</f>
        <v>217367275</v>
      </c>
      <c r="O70" s="15">
        <f>AVERAGE('[6]Renewable Diesel'!$L3:$P3)</f>
        <v>141885531</v>
      </c>
      <c r="P70" s="15">
        <f t="shared" si="16"/>
        <v>75481744</v>
      </c>
      <c r="S70" s="11">
        <f>'[8]Soy Complex'!$BN597</f>
        <v>46.1095238095238</v>
      </c>
      <c r="T70" s="11"/>
      <c r="U70" s="11"/>
      <c r="V70" s="11">
        <f>[9]Forecasts!$B62</f>
        <v>433.45</v>
      </c>
      <c r="W70" s="11" t="e">
        <f>#REF!*100</f>
        <v>#REF!</v>
      </c>
      <c r="X70" s="11"/>
      <c r="AA70" s="14">
        <f t="shared" si="9"/>
        <v>230.62139460959997</v>
      </c>
      <c r="AB70" s="14">
        <v>16</v>
      </c>
      <c r="AC70" s="14">
        <v>100</v>
      </c>
      <c r="AE70" s="14" t="str">
        <f t="shared" si="13"/>
        <v>Invalid</v>
      </c>
      <c r="AF70" s="14">
        <f>[3]Prices!$D663*7.5/100</f>
        <v>3.45825</v>
      </c>
      <c r="AG70" s="14" t="e">
        <f t="shared" si="12"/>
        <v>#VALUE!</v>
      </c>
      <c r="AJ70" s="14">
        <f>AJ69+AVERAGE(AJ58-AJ57,AJ34-AJ33,AJ22-AJ21,AJ10-AJ9)</f>
        <v>4.5657220964342677</v>
      </c>
      <c r="AK70" s="14">
        <f t="shared" si="10"/>
        <v>3.2502595017847651</v>
      </c>
      <c r="AL70" s="11">
        <f t="shared" si="7"/>
        <v>-1.6196444673439552</v>
      </c>
      <c r="AM70" s="13">
        <f>'[7]D6 Gallon Forecast'!$Q30/1000000</f>
        <v>1.0524621284526419E-7</v>
      </c>
      <c r="AR70" s="11" t="str">
        <f t="array" ref="AR70">[10]!Qhof5?Last</f>
        <v>Invalid</v>
      </c>
    </row>
    <row r="71" spans="1:44" x14ac:dyDescent="0.25">
      <c r="A71" s="10">
        <v>45689</v>
      </c>
      <c r="B71" s="16" t="e">
        <f>'HOBO History'!#REF!</f>
        <v>#REF!</v>
      </c>
      <c r="C71" s="15">
        <f>[6]Biodiesel!$Q4</f>
        <v>73721896</v>
      </c>
      <c r="D71" s="15">
        <f>AVERAGE([6]Biodiesel!$L4:$P4)</f>
        <v>117779706.8</v>
      </c>
      <c r="E71" s="15">
        <f t="shared" si="8"/>
        <v>-44057810.799999997</v>
      </c>
      <c r="F71" s="15">
        <f>[6]Biodiesel!$Q36</f>
        <v>80131009</v>
      </c>
      <c r="G71" s="15">
        <f>AVERAGE([6]Biodiesel!$L36:$P36)</f>
        <v>141504563.80000001</v>
      </c>
      <c r="H71" s="15">
        <f t="shared" si="11"/>
        <v>-61373554.800000012</v>
      </c>
      <c r="K71" s="15">
        <f>'[6]Renewable Diesel'!$Q50</f>
        <v>186102792</v>
      </c>
      <c r="L71" s="15">
        <f>AVERAGE('[6]Renewable Diesel'!$L50:$P50)</f>
        <v>112203372.40000001</v>
      </c>
      <c r="M71" s="15">
        <f t="shared" si="15"/>
        <v>73899419.599999994</v>
      </c>
      <c r="N71" s="15">
        <f>'[6]Renewable Diesel'!$Q4</f>
        <v>186102792</v>
      </c>
      <c r="O71" s="15">
        <f>AVERAGE('[6]Renewable Diesel'!$L4:$P4)</f>
        <v>146608926.59999999</v>
      </c>
      <c r="P71" s="15">
        <f t="shared" si="16"/>
        <v>39493865.400000006</v>
      </c>
      <c r="S71" s="11">
        <f>'[8]Soy Complex'!$BN598</f>
        <v>47.9021052631579</v>
      </c>
      <c r="T71" s="11"/>
      <c r="U71" s="11"/>
      <c r="V71" s="11">
        <f>[9]Forecasts!$B63</f>
        <v>429.14</v>
      </c>
      <c r="W71" s="11" t="e">
        <f>#REF!*100</f>
        <v>#REF!</v>
      </c>
      <c r="X71" s="11"/>
      <c r="AA71" s="14">
        <f t="shared" si="9"/>
        <v>262.20795565681999</v>
      </c>
      <c r="AB71" s="14">
        <v>16</v>
      </c>
      <c r="AC71" s="14">
        <v>100</v>
      </c>
      <c r="AE71" s="14" t="str">
        <f t="shared" si="13"/>
        <v>Invalid</v>
      </c>
      <c r="AF71" s="14">
        <f>[3]Prices!$D664*7.5/100</f>
        <v>3.4367368421052635</v>
      </c>
      <c r="AG71" s="14" t="e">
        <f t="shared" si="12"/>
        <v>#VALUE!</v>
      </c>
      <c r="AJ71" s="14">
        <f t="shared" ref="AJ71:AJ134" si="17">AJ70+AVERAGE(AJ59-AJ58,AJ35-AJ34,AJ23-AJ22,AJ11-AJ10)</f>
        <v>4.6599874473114609</v>
      </c>
      <c r="AK71" s="14">
        <f t="shared" si="10"/>
        <v>3.4226707020075442</v>
      </c>
      <c r="AL71" s="11">
        <f t="shared" si="7"/>
        <v>-1.7583894708248795</v>
      </c>
      <c r="AM71" s="13">
        <f>'[7]D6 Gallon Forecast'!$Q31/1000000</f>
        <v>-73.690845469572068</v>
      </c>
      <c r="AR71" s="11" t="str" cm="1">
        <f t="array" ref="AR71">[10]!Qhog5?Last</f>
        <v>Invalid</v>
      </c>
    </row>
    <row r="72" spans="1:44" x14ac:dyDescent="0.25">
      <c r="A72" s="10">
        <v>45717</v>
      </c>
      <c r="B72" s="16" t="e">
        <f>'HOBO History'!#REF!</f>
        <v>#REF!</v>
      </c>
      <c r="C72" s="15">
        <f>[6]Biodiesel!$Q5</f>
        <v>95835418</v>
      </c>
      <c r="D72" s="15">
        <f>AVERAGE([6]Biodiesel!$L5:$P5)</f>
        <v>140135492</v>
      </c>
      <c r="E72" s="15">
        <f t="shared" si="8"/>
        <v>-44300074</v>
      </c>
      <c r="F72" s="15">
        <f>[6]Biodiesel!$Q37</f>
        <v>99739018</v>
      </c>
      <c r="G72" s="15">
        <f>AVERAGE([6]Biodiesel!$L37:$P37)</f>
        <v>166354341.59999999</v>
      </c>
      <c r="H72" s="15">
        <f t="shared" si="11"/>
        <v>-66615323.599999994</v>
      </c>
      <c r="K72" s="15">
        <f>'[6]Renewable Diesel'!$Q51</f>
        <v>229400517</v>
      </c>
      <c r="L72" s="15">
        <f>AVERAGE('[6]Renewable Diesel'!$L51:$P51)</f>
        <v>122783981.2</v>
      </c>
      <c r="M72" s="15">
        <f t="shared" si="15"/>
        <v>106616535.8</v>
      </c>
      <c r="N72" s="15">
        <f>'[6]Renewable Diesel'!$Q5</f>
        <v>249516587</v>
      </c>
      <c r="O72" s="15">
        <f>AVERAGE('[6]Renewable Diesel'!$L5:$P5)</f>
        <v>156609573.80000001</v>
      </c>
      <c r="P72" s="15">
        <f t="shared" si="16"/>
        <v>92907013.199999988</v>
      </c>
      <c r="S72" s="11">
        <f>'[8]Soy Complex'!$BN599</f>
        <v>45.5</v>
      </c>
      <c r="T72" s="11"/>
      <c r="U72" s="11"/>
      <c r="V72" s="11">
        <f>[9]Forecasts!$B64</f>
        <v>394.3</v>
      </c>
      <c r="W72" s="11" t="e">
        <f>#REF!*100</f>
        <v>#REF!</v>
      </c>
      <c r="X72" s="11"/>
      <c r="AA72" s="14">
        <f t="shared" si="9"/>
        <v>215.32723583275998</v>
      </c>
      <c r="AB72" s="14">
        <v>16</v>
      </c>
      <c r="AC72" s="14">
        <v>100</v>
      </c>
      <c r="AE72" s="14" t="str">
        <f t="shared" si="13"/>
        <v>Invalid</v>
      </c>
      <c r="AF72" s="14">
        <f>[3]Prices!$D665*7.5/100</f>
        <v>3.1575000000000002</v>
      </c>
      <c r="AG72" s="14" t="e">
        <f t="shared" si="12"/>
        <v>#VALUE!</v>
      </c>
      <c r="AJ72" s="14">
        <f t="shared" si="17"/>
        <v>4.8791928053830231</v>
      </c>
      <c r="AK72" s="14">
        <f t="shared" si="10"/>
        <v>3.6959465347052305</v>
      </c>
      <c r="AL72" s="11">
        <f t="shared" si="7"/>
        <v>-1.9533776756398651</v>
      </c>
      <c r="AM72" s="13">
        <f>'[7]D6 Gallon Forecast'!$Q32/1000000</f>
        <v>2.0249999999999999E-3</v>
      </c>
      <c r="AR72" s="11" t="str" cm="1">
        <f t="array" ref="AR72">[10]!Qhoh5?Last</f>
        <v>Invalid</v>
      </c>
    </row>
    <row r="73" spans="1:44" x14ac:dyDescent="0.25">
      <c r="A73" s="10">
        <v>45748</v>
      </c>
      <c r="B73" s="16">
        <f>'HOBO History'!B$260</f>
        <v>1.1957</v>
      </c>
      <c r="C73" s="15">
        <f>[6]Biodiesel!$Q6</f>
        <v>85792559.080304191</v>
      </c>
      <c r="D73" s="15">
        <f>AVERAGE([6]Biodiesel!$L6:$P6)</f>
        <v>141599215.19999999</v>
      </c>
      <c r="E73" s="15">
        <f t="shared" si="8"/>
        <v>-55806656.119695798</v>
      </c>
      <c r="F73" s="15">
        <f>[6]Biodiesel!$Q38</f>
        <v>92002055.910146385</v>
      </c>
      <c r="G73" s="15">
        <f>AVERAGE([6]Biodiesel!$L38:$P38)</f>
        <v>171428770.80000001</v>
      </c>
      <c r="H73" s="15">
        <f t="shared" si="11"/>
        <v>-79426714.889853626</v>
      </c>
      <c r="K73" s="15">
        <f>'[6]Renewable Diesel'!$Q52</f>
        <v>177544344.84850821</v>
      </c>
      <c r="L73" s="15">
        <f>AVERAGE('[6]Renewable Diesel'!$L52:$P52)</f>
        <v>130640735.40000001</v>
      </c>
      <c r="M73" s="15">
        <f t="shared" si="15"/>
        <v>46903609.448508203</v>
      </c>
      <c r="N73" s="15">
        <f>'[6]Renewable Diesel'!$Q6</f>
        <v>181301124.21453577</v>
      </c>
      <c r="O73" s="15">
        <f>AVERAGE('[6]Renewable Diesel'!$L6:$P6)</f>
        <v>168371292.40000001</v>
      </c>
      <c r="P73" s="15">
        <f t="shared" si="16"/>
        <v>12929831.814535767</v>
      </c>
      <c r="S73" s="11">
        <f>'[8]Soy Complex'!$BN600</f>
        <v>47.75</v>
      </c>
      <c r="T73" s="11"/>
      <c r="U73" s="11"/>
      <c r="V73" s="11">
        <f>[9]Forecasts!$B65</f>
        <v>440</v>
      </c>
      <c r="W73" s="11" t="e">
        <f>#REF!*100</f>
        <v>#REF!</v>
      </c>
      <c r="X73" s="11"/>
      <c r="AA73" s="14">
        <f t="shared" si="9"/>
        <v>285.52320793478191</v>
      </c>
      <c r="AB73" s="14">
        <v>16</v>
      </c>
      <c r="AC73" s="14">
        <v>100</v>
      </c>
      <c r="AE73" s="14">
        <f t="shared" si="13"/>
        <v>2.1757</v>
      </c>
      <c r="AF73" s="14">
        <f>[3]Prices!$D666*7.5/100</f>
        <v>3.19875</v>
      </c>
      <c r="AG73" s="14" t="e">
        <f t="shared" si="12"/>
        <v>#VALUE!</v>
      </c>
      <c r="AJ73" s="14">
        <f t="shared" si="17"/>
        <v>5.0240566829004329</v>
      </c>
      <c r="AK73" s="14">
        <f t="shared" si="10"/>
        <v>3.6670783447254505</v>
      </c>
      <c r="AL73" s="11">
        <f t="shared" ref="AL73:AL136" si="18">AJ73/2.8-AK73</f>
        <v>-1.8727723865467243</v>
      </c>
      <c r="AM73" s="13">
        <f>'[7]D6 Gallon Forecast'!$Q33/1000000</f>
        <v>1245.242512</v>
      </c>
      <c r="AR73" s="11" t="str" cm="1">
        <f t="array" ref="AR73">[10]!Qhoj5?Last</f>
        <v>Invalid</v>
      </c>
    </row>
    <row r="74" spans="1:44" x14ac:dyDescent="0.25">
      <c r="A74" s="10">
        <v>45778</v>
      </c>
      <c r="B74" s="16">
        <f>'HOBO History'!B$260</f>
        <v>1.1957</v>
      </c>
      <c r="C74" s="15">
        <f>[6]Biodiesel!$Q7</f>
        <v>89817675.762297302</v>
      </c>
      <c r="D74" s="15">
        <f>AVERAGE([6]Biodiesel!$L7:$P7)</f>
        <v>147974740.80000001</v>
      </c>
      <c r="E74" s="15">
        <f t="shared" si="8"/>
        <v>-58157065.037702709</v>
      </c>
      <c r="F74" s="15">
        <f>[6]Biodiesel!$Q39</f>
        <v>94756246.428989708</v>
      </c>
      <c r="G74" s="15">
        <f>AVERAGE([6]Biodiesel!$L39:$P39)</f>
        <v>172004783.19999999</v>
      </c>
      <c r="H74" s="15">
        <f t="shared" si="11"/>
        <v>-77248536.77101028</v>
      </c>
      <c r="K74" s="15">
        <f>'[6]Renewable Diesel'!$Q53</f>
        <v>175230598.43460765</v>
      </c>
      <c r="L74" s="15">
        <f>AVERAGE('[6]Renewable Diesel'!$L53:$P53)</f>
        <v>138443279.80000001</v>
      </c>
      <c r="M74" s="15">
        <f t="shared" si="15"/>
        <v>36787318.634607643</v>
      </c>
      <c r="N74" s="15">
        <f>'[6]Renewable Diesel'!$Q7</f>
        <v>179332674.8834216</v>
      </c>
      <c r="O74" s="15">
        <f>AVERAGE('[6]Renewable Diesel'!$L7:$P7)</f>
        <v>179684176.40000001</v>
      </c>
      <c r="P74" s="15">
        <f t="shared" si="16"/>
        <v>-351501.5165784061</v>
      </c>
      <c r="S74" s="11">
        <f>'[8]Soy Complex'!$BN601</f>
        <v>49.5</v>
      </c>
      <c r="T74" s="11"/>
      <c r="U74" s="11"/>
      <c r="V74" s="11">
        <f>[9]Forecasts!$B66</f>
        <v>443.32000000000016</v>
      </c>
      <c r="W74" s="11" t="e">
        <f>#REF!*100</f>
        <v>#REF!</v>
      </c>
      <c r="X74" s="11"/>
      <c r="AA74" s="14">
        <f t="shared" si="9"/>
        <v>297.18023419950083</v>
      </c>
      <c r="AB74" s="14">
        <v>16</v>
      </c>
      <c r="AC74" s="14">
        <v>100</v>
      </c>
      <c r="AE74" s="14">
        <f t="shared" si="13"/>
        <v>2.1182000000000003</v>
      </c>
      <c r="AF74" s="14">
        <f>[3]Prices!$D667*7.5/100</f>
        <v>3.3187500000000001</v>
      </c>
      <c r="AG74" s="14">
        <f t="shared" si="12"/>
        <v>114.30500000000001</v>
      </c>
      <c r="AJ74" s="14">
        <f t="shared" si="17"/>
        <v>5.2584893127705632</v>
      </c>
      <c r="AK74" s="14">
        <f t="shared" si="10"/>
        <v>3.906527190957191</v>
      </c>
      <c r="AL74" s="11">
        <f t="shared" si="18"/>
        <v>-2.0284952935391329</v>
      </c>
      <c r="AM74" s="13">
        <f>'[7]D6 Gallon Forecast'!$Q34/1000000</f>
        <v>1120.3066779999999</v>
      </c>
      <c r="AR74" s="11" cm="1">
        <f t="array" ref="AR74">[10]!Qhok5?Last</f>
        <v>2.1757</v>
      </c>
    </row>
    <row r="75" spans="1:44" x14ac:dyDescent="0.25">
      <c r="A75" s="10">
        <v>45809</v>
      </c>
      <c r="C75" s="15">
        <f>[6]Biodiesel!$Q8</f>
        <v>90872942.843258873</v>
      </c>
      <c r="D75" s="15">
        <f>AVERAGE([6]Biodiesel!$L8:$P8)</f>
        <v>149928991.19999999</v>
      </c>
      <c r="E75" s="15">
        <f t="shared" si="8"/>
        <v>-59056048.356741115</v>
      </c>
      <c r="F75" s="15">
        <f>[6]Biodiesel!$Q40</f>
        <v>96382924.042590648</v>
      </c>
      <c r="G75" s="15">
        <f>AVERAGE([6]Biodiesel!$L40:$P40)</f>
        <v>176398171.40000001</v>
      </c>
      <c r="H75" s="15">
        <f t="shared" si="11"/>
        <v>-80015247.357409358</v>
      </c>
      <c r="K75" s="15">
        <f>'[6]Renewable Diesel'!$Q54</f>
        <v>172677390.54541308</v>
      </c>
      <c r="L75" s="15">
        <f>AVERAGE('[6]Renewable Diesel'!$L54:$P54)</f>
        <v>144680263.80000001</v>
      </c>
      <c r="M75" s="15">
        <f t="shared" si="15"/>
        <v>27997126.745413065</v>
      </c>
      <c r="N75" s="15">
        <f>'[6]Renewable Diesel'!$Q8</f>
        <v>176736118.69496799</v>
      </c>
      <c r="O75" s="15">
        <f>AVERAGE('[6]Renewable Diesel'!$L8:$P8)</f>
        <v>187693292.59999999</v>
      </c>
      <c r="P75" s="15">
        <f t="shared" si="16"/>
        <v>-10957173.905032009</v>
      </c>
      <c r="S75" s="11">
        <f>'[8]Soy Complex'!$BN602</f>
        <v>51.5</v>
      </c>
      <c r="T75" s="11"/>
      <c r="U75" s="11"/>
      <c r="V75" s="11">
        <f>[9]Forecasts!$B67</f>
        <v>451.23000000000013</v>
      </c>
      <c r="W75" s="11" t="e">
        <f>#REF!*100</f>
        <v>#REF!</v>
      </c>
      <c r="X75" s="11"/>
      <c r="AA75" s="14">
        <f t="shared" si="9"/>
        <v>306.48883285484658</v>
      </c>
      <c r="AB75" s="14">
        <v>16</v>
      </c>
      <c r="AC75" s="14">
        <v>100</v>
      </c>
      <c r="AE75" s="14">
        <f t="shared" si="13"/>
        <v>2.0973000000000002</v>
      </c>
      <c r="AF75" s="14">
        <f>[3]Prices!$D668*7.5/100</f>
        <v>3.3562500000000002</v>
      </c>
      <c r="AG75" s="14">
        <f t="shared" si="12"/>
        <v>123.80499999999999</v>
      </c>
      <c r="AJ75" s="14">
        <f t="shared" si="17"/>
        <v>5.033948557473229</v>
      </c>
      <c r="AK75" s="14">
        <f t="shared" si="10"/>
        <v>4.0409091390091394</v>
      </c>
      <c r="AL75" s="11">
        <f t="shared" si="18"/>
        <v>-2.2430703684829858</v>
      </c>
      <c r="AM75" s="13">
        <f>'[7]D6 Gallon Forecast'!$Q35/1000000</f>
        <v>1214.311837</v>
      </c>
      <c r="AR75" s="11" cm="1">
        <f t="array" ref="AR75">[10]!Qhom5?Last</f>
        <v>2.1182000000000003</v>
      </c>
    </row>
    <row r="76" spans="1:44" x14ac:dyDescent="0.25">
      <c r="A76" s="10">
        <v>45839</v>
      </c>
      <c r="C76" s="15">
        <f>[6]Biodiesel!$Q9</f>
        <v>89294274.630435944</v>
      </c>
      <c r="D76" s="15">
        <f>AVERAGE([6]Biodiesel!$L9:$P9)</f>
        <v>147144321.19999999</v>
      </c>
      <c r="E76" s="15">
        <f t="shared" si="8"/>
        <v>-57850046.569564044</v>
      </c>
      <c r="F76" s="15">
        <f>[6]Biodiesel!$Q41</f>
        <v>95827376.135834023</v>
      </c>
      <c r="G76" s="15">
        <f>AVERAGE([6]Biodiesel!$L41:$P41)</f>
        <v>167004151</v>
      </c>
      <c r="H76" s="15">
        <f t="shared" si="11"/>
        <v>-71176774.864165977</v>
      </c>
      <c r="K76" s="15">
        <f>'[6]Renewable Diesel'!$Q55</f>
        <v>169628317.8452439</v>
      </c>
      <c r="L76" s="15">
        <f>AVERAGE('[6]Renewable Diesel'!$L55:$P55)</f>
        <v>140118128.80000001</v>
      </c>
      <c r="M76" s="15">
        <f t="shared" si="15"/>
        <v>29510189.045243889</v>
      </c>
      <c r="N76" s="15">
        <f>'[6]Renewable Diesel'!$Q9</f>
        <v>174950999.9665958</v>
      </c>
      <c r="O76" s="15">
        <f>AVERAGE('[6]Renewable Diesel'!$L9:$P9)</f>
        <v>172517901</v>
      </c>
      <c r="P76" s="15">
        <f t="shared" si="16"/>
        <v>2433098.9665957987</v>
      </c>
      <c r="S76" s="11">
        <f>'[8]Soy Complex'!$BN603</f>
        <v>51.25</v>
      </c>
      <c r="T76" s="11"/>
      <c r="U76" s="11"/>
      <c r="V76" s="11">
        <f>[9]Forecasts!$B68</f>
        <v>446.23000000000013</v>
      </c>
      <c r="W76" s="11" t="e">
        <f>#REF!*100</f>
        <v>#REF!</v>
      </c>
      <c r="X76" s="11"/>
      <c r="AA76" s="14">
        <f t="shared" si="9"/>
        <v>294.73619035541884</v>
      </c>
      <c r="AB76" s="14">
        <v>16</v>
      </c>
      <c r="AC76" s="14">
        <v>100</v>
      </c>
      <c r="AE76" s="14">
        <f t="shared" si="13"/>
        <v>2.0973000000000002</v>
      </c>
      <c r="AF76" s="14">
        <f>[3]Prices!$D669*7.5/100</f>
        <v>3.36375</v>
      </c>
      <c r="AG76" s="14">
        <f t="shared" si="12"/>
        <v>126.64499999999998</v>
      </c>
      <c r="AJ76" s="14">
        <f t="shared" si="17"/>
        <v>4.3793559253246759</v>
      </c>
      <c r="AK76" s="14">
        <f t="shared" si="10"/>
        <v>3.8763858850408854</v>
      </c>
      <c r="AL76" s="11">
        <f t="shared" si="18"/>
        <v>-2.31233019742493</v>
      </c>
      <c r="AM76" s="13">
        <f>'[7]D6 Gallon Forecast'!$Q36/1000000</f>
        <v>1070.9343145474825</v>
      </c>
      <c r="AR76" s="11" cm="1">
        <f t="array" ref="AR76">[10]!Qhon5?Last</f>
        <v>2.0973000000000002</v>
      </c>
    </row>
    <row r="77" spans="1:44" x14ac:dyDescent="0.25">
      <c r="A77" s="10">
        <v>45870</v>
      </c>
      <c r="C77" s="15">
        <f>[6]Biodiesel!$Q10</f>
        <v>93408011.186981797</v>
      </c>
      <c r="D77" s="15">
        <f>AVERAGE([6]Biodiesel!$L10:$P10)</f>
        <v>153995705.59999999</v>
      </c>
      <c r="E77" s="15">
        <f t="shared" si="8"/>
        <v>-60587694.413018197</v>
      </c>
      <c r="F77" s="15">
        <f>[6]Biodiesel!$Q42</f>
        <v>99046231.15744859</v>
      </c>
      <c r="G77" s="15">
        <f>AVERAGE([6]Biodiesel!$L42:$P42)</f>
        <v>176277066.59999999</v>
      </c>
      <c r="H77" s="15">
        <f t="shared" si="11"/>
        <v>-77230835.442551404</v>
      </c>
      <c r="K77" s="15">
        <f>'[6]Renewable Diesel'!$Q56</f>
        <v>173990692.44960639</v>
      </c>
      <c r="L77" s="15">
        <f>AVERAGE('[6]Renewable Diesel'!$L56:$P56)</f>
        <v>149112156.19999999</v>
      </c>
      <c r="M77" s="15">
        <f t="shared" si="15"/>
        <v>24878536.249606401</v>
      </c>
      <c r="N77" s="15">
        <f>'[6]Renewable Diesel'!$Q10</f>
        <v>179168507.04781878</v>
      </c>
      <c r="O77" s="15">
        <f>AVERAGE('[6]Renewable Diesel'!$L10:$P10)</f>
        <v>175270001</v>
      </c>
      <c r="P77" s="15">
        <f t="shared" si="16"/>
        <v>3898506.0478187799</v>
      </c>
      <c r="S77" s="11">
        <f>'[8]Soy Complex'!$BN604</f>
        <v>49.5</v>
      </c>
      <c r="T77" s="11"/>
      <c r="U77" s="11"/>
      <c r="V77" s="11">
        <f>[9]Forecasts!$B69</f>
        <v>441.86000000000013</v>
      </c>
      <c r="W77" s="11" t="e">
        <f>#REF!*100</f>
        <v>#REF!</v>
      </c>
      <c r="X77" s="11"/>
      <c r="AA77" s="14">
        <f t="shared" si="9"/>
        <v>293.45000256022945</v>
      </c>
      <c r="AB77" s="14">
        <v>16</v>
      </c>
      <c r="AC77" s="14">
        <v>100</v>
      </c>
      <c r="AE77" s="14">
        <f t="shared" si="13"/>
        <v>2.1036000000000001</v>
      </c>
      <c r="AF77" s="14">
        <f>[3]Prices!$D670*7.5/100</f>
        <v>3.2737500000000002</v>
      </c>
      <c r="AG77" s="14">
        <f t="shared" si="12"/>
        <v>117.645</v>
      </c>
      <c r="AJ77" s="14">
        <f t="shared" si="17"/>
        <v>4.4106952031965623</v>
      </c>
      <c r="AK77" s="14">
        <f t="shared" si="10"/>
        <v>3.729946970742624</v>
      </c>
      <c r="AL77" s="11">
        <f t="shared" si="18"/>
        <v>-2.1546986838867088</v>
      </c>
      <c r="AM77" s="13">
        <f>'[7]D6 Gallon Forecast'!$Q37/1000000</f>
        <v>1199.3064273776815</v>
      </c>
      <c r="AR77" s="11" cm="1">
        <f t="array" ref="AR77">[10]!Qhoq5?Last</f>
        <v>2.0973000000000002</v>
      </c>
    </row>
    <row r="78" spans="1:44" x14ac:dyDescent="0.25">
      <c r="A78" s="10">
        <v>45901</v>
      </c>
      <c r="C78" s="15">
        <f>[6]Biodiesel!$Q11</f>
        <v>88209947.47979176</v>
      </c>
      <c r="D78" s="15">
        <f>AVERAGE([6]Biodiesel!$L11:$P11)</f>
        <v>145613944</v>
      </c>
      <c r="E78" s="15">
        <f t="shared" si="8"/>
        <v>-57403996.52020824</v>
      </c>
      <c r="F78" s="15">
        <f>[6]Biodiesel!$Q43</f>
        <v>94874964.898702666</v>
      </c>
      <c r="G78" s="15">
        <f>AVERAGE([6]Biodiesel!$L43:$P43)</f>
        <v>168479307</v>
      </c>
      <c r="H78" s="15">
        <f t="shared" si="11"/>
        <v>-73604342.101297334</v>
      </c>
      <c r="K78" s="15">
        <f>'[6]Renewable Diesel'!$Q57</f>
        <v>176384420.27777696</v>
      </c>
      <c r="L78" s="15">
        <f>AVERAGE('[6]Renewable Diesel'!$L57:$P57)</f>
        <v>144682020</v>
      </c>
      <c r="M78" s="15">
        <f t="shared" si="15"/>
        <v>31702400.277776957</v>
      </c>
      <c r="N78" s="15">
        <f>'[6]Renewable Diesel'!$Q11</f>
        <v>179992875.18500397</v>
      </c>
      <c r="O78" s="15">
        <f>AVERAGE('[6]Renewable Diesel'!$L11:$P11)</f>
        <v>185579906.40000001</v>
      </c>
      <c r="P78" s="15">
        <f t="shared" si="16"/>
        <v>-5587031.2149960399</v>
      </c>
      <c r="S78" s="11">
        <f>'[8]Soy Complex'!$BN605</f>
        <v>47.5</v>
      </c>
      <c r="T78" s="11"/>
      <c r="U78" s="11"/>
      <c r="V78" s="11">
        <f>[9]Forecasts!$B70</f>
        <v>432.57000000000016</v>
      </c>
      <c r="W78" s="11" t="e">
        <f>#REF!*100</f>
        <v>#REF!</v>
      </c>
      <c r="X78" s="11"/>
      <c r="AA78" s="14">
        <f t="shared" si="9"/>
        <v>301.77545861580199</v>
      </c>
      <c r="AB78" s="14">
        <v>16</v>
      </c>
      <c r="AC78" s="14">
        <v>100</v>
      </c>
      <c r="AE78" s="14">
        <f t="shared" si="13"/>
        <v>2.1107</v>
      </c>
      <c r="AF78" s="14">
        <f>[3]Prices!$D671*7.5/100</f>
        <v>3.0787499999999999</v>
      </c>
      <c r="AG78" s="14">
        <f t="shared" si="12"/>
        <v>97.514999999999972</v>
      </c>
      <c r="AJ78" s="14">
        <f t="shared" si="17"/>
        <v>4.606443587662338</v>
      </c>
      <c r="AK78" s="14">
        <f t="shared" si="10"/>
        <v>3.5133559860509873</v>
      </c>
      <c r="AL78" s="11">
        <f t="shared" si="18"/>
        <v>-1.8681975618858666</v>
      </c>
      <c r="AM78" s="13">
        <f>'[7]D6 Gallon Forecast'!$Q38/1000000</f>
        <v>1252.5341316291037</v>
      </c>
      <c r="AR78" s="11" cm="1">
        <f t="array" ref="AR78">[10]!Qhou5?Last</f>
        <v>2.1036000000000001</v>
      </c>
    </row>
    <row r="79" spans="1:44" x14ac:dyDescent="0.25">
      <c r="A79" s="10">
        <v>45931</v>
      </c>
      <c r="C79" s="15">
        <f>[6]Biodiesel!$Q12</f>
        <v>87377420.495982558</v>
      </c>
      <c r="D79" s="15">
        <f>AVERAGE([6]Biodiesel!$L12:$P12)</f>
        <v>143898814</v>
      </c>
      <c r="E79" s="15">
        <f t="shared" si="8"/>
        <v>-56521393.504017442</v>
      </c>
      <c r="F79" s="15">
        <f>[6]Biodiesel!$Q44</f>
        <v>91964985.840777472</v>
      </c>
      <c r="G79" s="15">
        <f>AVERAGE([6]Biodiesel!$L44:$P44)</f>
        <v>170740697.59999999</v>
      </c>
      <c r="H79" s="15">
        <f t="shared" si="11"/>
        <v>-78775711.759222522</v>
      </c>
      <c r="K79" s="15">
        <f>'[6]Renewable Diesel'!$Q58</f>
        <v>191172414.61914441</v>
      </c>
      <c r="L79" s="15">
        <f>AVERAGE('[6]Renewable Diesel'!$L58:$P58)</f>
        <v>143970147.80000001</v>
      </c>
      <c r="M79" s="15">
        <f t="shared" si="15"/>
        <v>47202266.819144398</v>
      </c>
      <c r="N79" s="15">
        <f>'[6]Renewable Diesel'!$Q12</f>
        <v>194907988.07054949</v>
      </c>
      <c r="O79" s="15">
        <f>AVERAGE('[6]Renewable Diesel'!$L12:$P12)</f>
        <v>180231561.19999999</v>
      </c>
      <c r="P79" s="15">
        <f t="shared" si="16"/>
        <v>14676426.8705495</v>
      </c>
      <c r="S79" s="11">
        <f>'[8]Soy Complex'!$BO594</f>
        <v>47.75</v>
      </c>
      <c r="T79" s="11"/>
      <c r="U79" s="11"/>
      <c r="V79" s="11">
        <f>[9]Forecasts!$B71</f>
        <v>423.02000000000015</v>
      </c>
      <c r="W79" s="11" t="e">
        <f>#REF!*100</f>
        <v>#REF!</v>
      </c>
      <c r="X79" s="11"/>
      <c r="AA79" s="14">
        <f t="shared" si="9"/>
        <v>283.99022145411868</v>
      </c>
      <c r="AB79" s="14">
        <v>16</v>
      </c>
      <c r="AC79" s="14">
        <v>100</v>
      </c>
      <c r="AE79" s="14">
        <f t="shared" si="13"/>
        <v>2.1152000000000002</v>
      </c>
      <c r="AF79" s="14">
        <f>[3]Prices!$D672*7.5/100</f>
        <v>3.0825</v>
      </c>
      <c r="AG79" s="14">
        <f t="shared" si="12"/>
        <v>97.18</v>
      </c>
      <c r="AJ79" s="14">
        <f t="shared" si="17"/>
        <v>4.7527993188876341</v>
      </c>
      <c r="AK79" s="14">
        <f t="shared" si="10"/>
        <v>3.6733861712361722</v>
      </c>
      <c r="AL79" s="11">
        <f t="shared" si="18"/>
        <v>-1.975957843062017</v>
      </c>
      <c r="AM79" s="13">
        <f>'[7]D6 Gallon Forecast'!$Q39/1000000</f>
        <v>1285.0307177430379</v>
      </c>
      <c r="AR79" s="11" cm="1">
        <f t="array" ref="AR79">[10]!Qhov5?Last</f>
        <v>2.1107</v>
      </c>
    </row>
    <row r="80" spans="1:44" x14ac:dyDescent="0.25">
      <c r="A80" s="10">
        <v>45962</v>
      </c>
      <c r="C80" s="15">
        <f>[6]Biodiesel!$Q13</f>
        <v>84249144.946832791</v>
      </c>
      <c r="D80" s="15">
        <f>AVERAGE([6]Biodiesel!$L13:$P13)</f>
        <v>138682132.40000001</v>
      </c>
      <c r="E80" s="15">
        <f t="shared" si="8"/>
        <v>-54432987.453167215</v>
      </c>
      <c r="F80" s="15">
        <f>[6]Biodiesel!$Q45</f>
        <v>88192766.770418078</v>
      </c>
      <c r="G80" s="15">
        <f>AVERAGE([6]Biodiesel!$L45:$P45)</f>
        <v>167234461.59999999</v>
      </c>
      <c r="H80" s="15">
        <f t="shared" si="11"/>
        <v>-79041694.829581916</v>
      </c>
      <c r="K80" s="15">
        <f>'[6]Renewable Diesel'!$Q59</f>
        <v>203029217.58734667</v>
      </c>
      <c r="L80" s="15">
        <f>AVERAGE('[6]Renewable Diesel'!$L59:$P59)</f>
        <v>157903556.19999999</v>
      </c>
      <c r="M80" s="15">
        <f t="shared" si="15"/>
        <v>45125661.387346685</v>
      </c>
      <c r="N80" s="15">
        <f>'[6]Renewable Diesel'!$Q13</f>
        <v>206401022.45060739</v>
      </c>
      <c r="O80" s="15">
        <f>AVERAGE('[6]Renewable Diesel'!$L13:$P13)</f>
        <v>194505158.40000001</v>
      </c>
      <c r="P80" s="15">
        <f t="shared" si="16"/>
        <v>11895864.050607383</v>
      </c>
      <c r="S80" s="11">
        <f>'[8]Soy Complex'!$BO595</f>
        <v>49.75</v>
      </c>
      <c r="T80" s="11"/>
      <c r="U80" s="11"/>
      <c r="V80" s="11">
        <f>[9]Forecasts!$B72</f>
        <v>418.27000000000021</v>
      </c>
      <c r="W80" s="11" t="e">
        <f>#REF!*100</f>
        <v>#REF!</v>
      </c>
      <c r="X80" s="11"/>
      <c r="AA80" s="14">
        <f t="shared" si="9"/>
        <v>286.4307214411819</v>
      </c>
      <c r="AB80" s="14">
        <v>16</v>
      </c>
      <c r="AC80" s="14">
        <v>100</v>
      </c>
      <c r="AE80" s="14">
        <f t="shared" si="13"/>
        <v>2.1177000000000001</v>
      </c>
      <c r="AF80" s="14">
        <f>[3]Prices!$D673*7.5/100</f>
        <v>3.1837499999999999</v>
      </c>
      <c r="AG80" s="14">
        <f t="shared" si="12"/>
        <v>106.85499999999996</v>
      </c>
      <c r="AJ80" s="14">
        <f t="shared" si="17"/>
        <v>4.8650284090909093</v>
      </c>
      <c r="AK80" s="14">
        <f t="shared" si="10"/>
        <v>3.6058349703383046</v>
      </c>
      <c r="AL80" s="11">
        <f t="shared" si="18"/>
        <v>-1.8683248242344084</v>
      </c>
      <c r="AM80" s="13">
        <f>'[7]D6 Gallon Forecast'!$Q40/1000000</f>
        <v>1273.0006023081189</v>
      </c>
      <c r="AR80" s="11" cm="1">
        <f t="array" ref="AR80">[10]!Qhox5?Last</f>
        <v>2.1152000000000002</v>
      </c>
    </row>
    <row r="81" spans="1:44" x14ac:dyDescent="0.25">
      <c r="A81" s="10">
        <v>45992</v>
      </c>
      <c r="C81" s="15">
        <f>[6]Biodiesel!$Q14</f>
        <v>85798495.037701413</v>
      </c>
      <c r="D81" s="15">
        <f>AVERAGE([6]Biodiesel!$L14:$P14)</f>
        <v>159766952</v>
      </c>
      <c r="E81" s="15">
        <f t="shared" si="8"/>
        <v>-73968456.962298587</v>
      </c>
      <c r="F81" s="15">
        <f>[6]Biodiesel!$Q46</f>
        <v>93326877.278679058</v>
      </c>
      <c r="G81" s="15">
        <f>AVERAGE([6]Biodiesel!$L46:$P46)</f>
        <v>203048654.59999999</v>
      </c>
      <c r="H81" s="15">
        <f t="shared" si="11"/>
        <v>-109721777.32132094</v>
      </c>
      <c r="K81" s="15">
        <f>'[6]Renewable Diesel'!$Q60</f>
        <v>192087845.41465932</v>
      </c>
      <c r="L81" s="15">
        <f>AVERAGE('[6]Renewable Diesel'!$L60:$P60)</f>
        <v>183753126.19999999</v>
      </c>
      <c r="M81" s="15">
        <f t="shared" si="15"/>
        <v>8334719.2146593332</v>
      </c>
      <c r="N81" s="15">
        <f>'[6]Renewable Diesel'!$Q14</f>
        <v>193635054.75880581</v>
      </c>
      <c r="O81" s="15">
        <f>AVERAGE('[6]Renewable Diesel'!$L14:$P14)</f>
        <v>227338014.19999999</v>
      </c>
      <c r="P81" s="15">
        <f t="shared" si="16"/>
        <v>-33702959.441194177</v>
      </c>
      <c r="S81" s="11">
        <f>'[8]Soy Complex'!$BO596</f>
        <v>49.5</v>
      </c>
      <c r="T81" s="11"/>
      <c r="U81" s="11"/>
      <c r="V81" s="11">
        <f>[9]Forecasts!$B73</f>
        <v>413.63000000000017</v>
      </c>
      <c r="W81" s="11" t="e">
        <f>#REF!*100</f>
        <v>#REF!</v>
      </c>
      <c r="X81" s="11"/>
      <c r="AA81" s="14">
        <f t="shared" si="9"/>
        <v>326.45280881993608</v>
      </c>
      <c r="AB81" s="14">
        <v>16</v>
      </c>
      <c r="AC81" s="14">
        <v>100</v>
      </c>
      <c r="AE81" s="14">
        <f t="shared" si="13"/>
        <v>2.1213000000000002</v>
      </c>
      <c r="AF81" s="14">
        <f>[3]Prices!$D674*7.5/100</f>
        <v>3.2212499999999999</v>
      </c>
      <c r="AG81" s="14">
        <f t="shared" si="12"/>
        <v>110.35499999999998</v>
      </c>
      <c r="AJ81" s="14">
        <f t="shared" si="17"/>
        <v>4.9706592261904756</v>
      </c>
      <c r="AK81" s="14">
        <f t="shared" si="10"/>
        <v>3.4558289802789814</v>
      </c>
      <c r="AL81" s="11">
        <f t="shared" si="18"/>
        <v>-1.6805935423538114</v>
      </c>
      <c r="AM81" s="13">
        <f>'[7]D6 Gallon Forecast'!$Q41/1000000</f>
        <v>1187.7297182245543</v>
      </c>
      <c r="AR81" s="11" cm="1">
        <f t="array" ref="AR81">[10]!Qhoz5?Last</f>
        <v>2.1177000000000001</v>
      </c>
    </row>
    <row r="82" spans="1:44" x14ac:dyDescent="0.25">
      <c r="A82" s="10">
        <v>46023</v>
      </c>
      <c r="C82" s="15">
        <f>[6]Biodiesel!$R3</f>
        <v>96738881.301988035</v>
      </c>
      <c r="D82" s="15">
        <f>AVERAGE([6]Biodiesel!$M3:$Q3)</f>
        <v>100783478.2</v>
      </c>
      <c r="E82" s="15">
        <f t="shared" si="8"/>
        <v>-4044596.8980119675</v>
      </c>
      <c r="F82" s="15">
        <f>[6]Biodiesel!$R35</f>
        <v>108710743.78287479</v>
      </c>
      <c r="G82" s="15">
        <f>AVERAGE([6]Biodiesel!$M35:$Q35)</f>
        <v>118637443.59999999</v>
      </c>
      <c r="H82" s="15">
        <f t="shared" si="11"/>
        <v>-9926699.8171252012</v>
      </c>
      <c r="K82" s="15">
        <f>'[6]Renewable Diesel'!$R49</f>
        <v>180297523.08939135</v>
      </c>
      <c r="L82" s="15">
        <f>AVERAGE('[6]Renewable Diesel'!$M49:$Q49)</f>
        <v>146648157.59999999</v>
      </c>
      <c r="M82" s="15">
        <f t="shared" si="15"/>
        <v>33649365.489391357</v>
      </c>
      <c r="N82" s="15">
        <f>'[6]Renewable Diesel'!$R3</f>
        <v>202460301.40510899</v>
      </c>
      <c r="O82" s="15">
        <f>AVERAGE('[6]Renewable Diesel'!$M3:$Q3)</f>
        <v>172536304.19999999</v>
      </c>
      <c r="P82" s="15">
        <f t="shared" si="16"/>
        <v>29923997.205109</v>
      </c>
      <c r="S82" s="11">
        <f>'[8]Soy Complex'!$BO597</f>
        <v>50</v>
      </c>
      <c r="T82" s="11"/>
      <c r="U82" s="11"/>
      <c r="V82" s="11">
        <f>[9]Forecasts!$B74</f>
        <v>405.88000000000011</v>
      </c>
      <c r="W82" s="11" t="e">
        <f>#REF!*100</f>
        <v>#REF!</v>
      </c>
      <c r="X82" s="11"/>
      <c r="AA82" s="14">
        <f t="shared" si="9"/>
        <v>270.60742897147583</v>
      </c>
      <c r="AB82" s="14">
        <v>16</v>
      </c>
      <c r="AC82" s="14">
        <v>100</v>
      </c>
      <c r="AE82" s="14">
        <f t="shared" si="13"/>
        <v>2.1137999999999999</v>
      </c>
      <c r="AF82" s="14">
        <f>[3]Prices!$D675*7.5/100</f>
        <v>3.1837499999999999</v>
      </c>
      <c r="AG82" s="14">
        <f t="shared" si="12"/>
        <v>106.24499999999996</v>
      </c>
      <c r="AJ82" s="14">
        <f t="shared" si="17"/>
        <v>5.2891630372095015</v>
      </c>
      <c r="AK82" s="14">
        <f t="shared" si="10"/>
        <v>3.6975509306093524</v>
      </c>
      <c r="AL82" s="11">
        <f t="shared" si="18"/>
        <v>-1.8085641316059589</v>
      </c>
      <c r="AM82" s="13">
        <f>'[7]D6 Gallon Forecast'!$R30/1000000</f>
        <v>1.0726493883896951E-7</v>
      </c>
      <c r="AR82" s="11" cm="1">
        <f t="array" ref="AR82">[10]!Qhof6?Last</f>
        <v>2.1213000000000002</v>
      </c>
    </row>
    <row r="83" spans="1:44" x14ac:dyDescent="0.25">
      <c r="A83" s="10">
        <v>46054</v>
      </c>
      <c r="C83" s="15">
        <f>[6]Biodiesel!$R4</f>
        <v>102626721.30338958</v>
      </c>
      <c r="D83" s="15">
        <f>AVERAGE([6]Biodiesel!$M4:$Q4)</f>
        <v>106917485.40000001</v>
      </c>
      <c r="E83" s="15">
        <f t="shared" si="8"/>
        <v>-4290764.0966104269</v>
      </c>
      <c r="F83" s="15">
        <f>[6]Biodiesel!$R36</f>
        <v>117856979.03143667</v>
      </c>
      <c r="G83" s="15">
        <f>AVERAGE([6]Biodiesel!$M36:$Q36)</f>
        <v>129630784.59999999</v>
      </c>
      <c r="H83" s="15">
        <f t="shared" si="11"/>
        <v>-11773805.568563327</v>
      </c>
      <c r="K83" s="15">
        <f>'[6]Renewable Diesel'!$R50</f>
        <v>196545275.228946</v>
      </c>
      <c r="L83" s="15">
        <f>AVERAGE('[6]Renewable Diesel'!$M50:$Q50)</f>
        <v>141963797.59999999</v>
      </c>
      <c r="M83" s="15">
        <f t="shared" si="15"/>
        <v>54581477.628946006</v>
      </c>
      <c r="N83" s="15">
        <f>'[6]Renewable Diesel'!$R4</f>
        <v>222708275.77583662</v>
      </c>
      <c r="O83" s="15">
        <f>AVERAGE('[6]Renewable Diesel'!$M4:$Q4)</f>
        <v>170695002.40000001</v>
      </c>
      <c r="P83" s="15">
        <f t="shared" si="16"/>
        <v>52013273.375836611</v>
      </c>
      <c r="S83" s="11">
        <f>'[8]Soy Complex'!$BO598</f>
        <v>48.5</v>
      </c>
      <c r="T83" s="11"/>
      <c r="U83" s="11"/>
      <c r="V83" s="11">
        <f>[9]Forecasts!$B75</f>
        <v>401.88000000000017</v>
      </c>
      <c r="W83" s="11" t="e">
        <f>#REF!*100</f>
        <v>#REF!</v>
      </c>
      <c r="X83" s="11"/>
      <c r="AA83" s="14">
        <f>(-0.6408065713*(I83*100))+(-0.0000008777*P83)+296.8717213184</f>
        <v>251.21967127642819</v>
      </c>
      <c r="AB83" s="14">
        <v>16</v>
      </c>
      <c r="AC83" s="14">
        <v>100</v>
      </c>
      <c r="AE83" s="14">
        <f t="shared" si="13"/>
        <v>2.1038000000000001</v>
      </c>
      <c r="AF83" s="14">
        <f>[3]Prices!$D676*7.5/100</f>
        <v>3.0562499999999999</v>
      </c>
      <c r="AG83" s="14">
        <f t="shared" si="12"/>
        <v>94.245000000000005</v>
      </c>
      <c r="AJ83" s="14">
        <f t="shared" si="17"/>
        <v>5.4989152301919582</v>
      </c>
      <c r="AK83" s="14">
        <f t="shared" si="10"/>
        <v>3.8309072955958929</v>
      </c>
      <c r="AL83" s="11">
        <f t="shared" si="18"/>
        <v>-1.8670089990987648</v>
      </c>
      <c r="AM83" s="13">
        <f>'[7]D6 Gallon Forecast'!$R31/1000000</f>
        <v>408.31677390032007</v>
      </c>
      <c r="AR83" s="11" cm="1">
        <f t="array" ref="AR83">[10]!Qhog6?Last</f>
        <v>2.1137999999999999</v>
      </c>
    </row>
    <row r="84" spans="1:44" x14ac:dyDescent="0.25">
      <c r="A84" s="10">
        <v>46082</v>
      </c>
      <c r="C84" s="15">
        <f>[6]Biodiesel!$R5</f>
        <v>112814507.50096633</v>
      </c>
      <c r="D84" s="15">
        <f>AVERAGE([6]Biodiesel!$M5:$Q5)</f>
        <v>129284040</v>
      </c>
      <c r="E84" s="15">
        <f t="shared" si="8"/>
        <v>-16469532.499033675</v>
      </c>
      <c r="F84" s="15">
        <f>[6]Biodiesel!$R37</f>
        <v>128427923.25710358</v>
      </c>
      <c r="G84" s="15">
        <f>AVERAGE([6]Biodiesel!$M37:$Q37)</f>
        <v>152567754.80000001</v>
      </c>
      <c r="H84" s="15">
        <f t="shared" si="11"/>
        <v>-24139831.542896435</v>
      </c>
      <c r="K84" s="15">
        <f>'[6]Renewable Diesel'!$R51</f>
        <v>209205509.38675943</v>
      </c>
      <c r="L84" s="15">
        <f>AVERAGE('[6]Renewable Diesel'!$M51:$Q51)</f>
        <v>159618727.59999999</v>
      </c>
      <c r="M84" s="15">
        <f t="shared" si="15"/>
        <v>49586781.786759436</v>
      </c>
      <c r="N84" s="15">
        <f>'[6]Renewable Diesel'!$R5</f>
        <v>235815822.28692624</v>
      </c>
      <c r="O84" s="15">
        <f>AVERAGE('[6]Renewable Diesel'!$M5:$Q5)</f>
        <v>191866024.19999999</v>
      </c>
      <c r="P84" s="15">
        <f t="shared" si="16"/>
        <v>43949798.086926252</v>
      </c>
      <c r="S84" s="11">
        <f>'[8]Soy Complex'!$BO599</f>
        <v>47</v>
      </c>
      <c r="T84" s="11"/>
      <c r="U84" s="11"/>
      <c r="V84" s="11">
        <f>[9]Forecasts!$B76</f>
        <v>405</v>
      </c>
      <c r="W84" s="11" t="e">
        <f>#REF!*100</f>
        <v>#REF!</v>
      </c>
      <c r="X84" s="11"/>
      <c r="AA84" s="14">
        <f t="shared" ref="AA84:AA147" si="19">(-0.6408065713*(I84*100))+(-0.0000008777*P84)+296.8717213184</f>
        <v>258.29698353750479</v>
      </c>
      <c r="AB84" s="14">
        <v>16</v>
      </c>
      <c r="AC84" s="14">
        <v>100</v>
      </c>
      <c r="AE84" s="14">
        <f t="shared" si="13"/>
        <v>2.0888</v>
      </c>
      <c r="AF84" s="14">
        <f>[3]Prices!$D677*7.5/100</f>
        <v>3.1349999999999998</v>
      </c>
      <c r="AG84" s="14">
        <f t="shared" si="12"/>
        <v>103.11999999999996</v>
      </c>
      <c r="AJ84" s="14">
        <f t="shared" si="17"/>
        <v>5.6981430571240361</v>
      </c>
      <c r="AK84" s="14">
        <f t="shared" si="10"/>
        <v>4.1915480575248703</v>
      </c>
      <c r="AL84" s="11">
        <f t="shared" si="18"/>
        <v>-2.1564969656948572</v>
      </c>
      <c r="AM84" s="13">
        <f>'[7]D6 Gallon Forecast'!$R32/1000000</f>
        <v>2.026E-3</v>
      </c>
      <c r="AR84" s="11" cm="1">
        <f t="array" ref="AR84">[10]!Qhoh6?Last</f>
        <v>2.1038000000000001</v>
      </c>
    </row>
    <row r="85" spans="1:44" x14ac:dyDescent="0.25">
      <c r="A85" s="10">
        <v>46113</v>
      </c>
      <c r="C85" s="15">
        <f>[6]Biodiesel!$R6</f>
        <v>112748196.19883355</v>
      </c>
      <c r="D85" s="15">
        <f>AVERAGE([6]Biodiesel!$M6:$Q6)</f>
        <v>128886501.81606083</v>
      </c>
      <c r="E85" s="15">
        <f t="shared" si="8"/>
        <v>-16138305.617227271</v>
      </c>
      <c r="F85" s="15">
        <f>[6]Biodiesel!$R38</f>
        <v>131077389.85658588</v>
      </c>
      <c r="G85" s="15">
        <f>AVERAGE([6]Biodiesel!$M38:$Q38)</f>
        <v>156221328.78202927</v>
      </c>
      <c r="H85" s="15">
        <f t="shared" si="11"/>
        <v>-25143938.925443396</v>
      </c>
      <c r="K85" s="15">
        <f>'[6]Renewable Diesel'!$R52</f>
        <v>201147291.8178297</v>
      </c>
      <c r="L85" s="15">
        <f>AVERAGE('[6]Renewable Diesel'!$M52:$Q52)</f>
        <v>158421833.16970164</v>
      </c>
      <c r="M85" s="15">
        <f t="shared" si="15"/>
        <v>42725458.648128062</v>
      </c>
      <c r="N85" s="15">
        <f>'[6]Renewable Diesel'!$R6</f>
        <v>226923033.00381148</v>
      </c>
      <c r="O85" s="15">
        <f>AVERAGE('[6]Renewable Diesel'!$M6:$Q6)</f>
        <v>190045402.64290714</v>
      </c>
      <c r="P85" s="15">
        <f t="shared" si="16"/>
        <v>36877630.360904336</v>
      </c>
      <c r="S85" s="11">
        <f>'[8]Soy Complex'!$BO600</f>
        <v>47</v>
      </c>
      <c r="T85" s="11"/>
      <c r="U85" s="11"/>
      <c r="V85" s="11">
        <f>[9]Forecasts!$B77</f>
        <v>407.5</v>
      </c>
      <c r="W85" s="11" t="e">
        <f>#REF!*100</f>
        <v>#REF!</v>
      </c>
      <c r="X85" s="11"/>
      <c r="AA85" s="14">
        <f t="shared" si="19"/>
        <v>264.50422515063423</v>
      </c>
      <c r="AB85" s="14">
        <v>16</v>
      </c>
      <c r="AC85" s="14">
        <v>100</v>
      </c>
      <c r="AE85" s="14">
        <f t="shared" si="13"/>
        <v>2.0821000000000001</v>
      </c>
      <c r="AF85" s="14">
        <f>[3]Prices!$D678*7.5/100</f>
        <v>3.1875</v>
      </c>
      <c r="AG85" s="14">
        <f t="shared" si="12"/>
        <v>109.87</v>
      </c>
      <c r="AJ85" s="14">
        <f t="shared" si="17"/>
        <v>5.9758736418460927</v>
      </c>
      <c r="AK85" s="14">
        <f t="shared" si="10"/>
        <v>4.1979715098351953</v>
      </c>
      <c r="AL85" s="11">
        <f t="shared" si="18"/>
        <v>-2.0637309234615908</v>
      </c>
      <c r="AM85" s="13">
        <f>'[7]D6 Gallon Forecast'!$R33/1000000</f>
        <v>1197.4456473450314</v>
      </c>
      <c r="AR85" s="11" cm="1">
        <f t="array" ref="AR85">[10]!Qhoj6?Last</f>
        <v>2.0888</v>
      </c>
    </row>
    <row r="86" spans="1:44" x14ac:dyDescent="0.25">
      <c r="A86" s="10">
        <v>46143</v>
      </c>
      <c r="C86" s="15">
        <f>[6]Biodiesel!$R7</f>
        <v>120184111.81558163</v>
      </c>
      <c r="D86" s="15">
        <f>AVERAGE([6]Biodiesel!$M7:$Q7)</f>
        <v>137303431.35245946</v>
      </c>
      <c r="E86" s="15">
        <f t="shared" si="8"/>
        <v>-17119319.536877826</v>
      </c>
      <c r="F86" s="15">
        <f>[6]Biodiesel!$R39</f>
        <v>134253850.0106093</v>
      </c>
      <c r="G86" s="15">
        <f>AVERAGE([6]Biodiesel!$M39:$Q39)</f>
        <v>158591854.68579793</v>
      </c>
      <c r="H86" s="15">
        <f t="shared" si="11"/>
        <v>-24338004.675188631</v>
      </c>
      <c r="K86" s="15">
        <f>'[6]Renewable Diesel'!$R53</f>
        <v>224821293.25287169</v>
      </c>
      <c r="L86" s="15">
        <f>AVERAGE('[6]Renewable Diesel'!$M53:$Q53)</f>
        <v>164205165.28692153</v>
      </c>
      <c r="M86" s="15">
        <f t="shared" si="15"/>
        <v>60616127.965950161</v>
      </c>
      <c r="N86" s="15">
        <f>'[6]Renewable Diesel'!$R7</f>
        <v>251920624.55093771</v>
      </c>
      <c r="O86" s="15">
        <f>AVERAGE('[6]Renewable Diesel'!$M7:$Q7)</f>
        <v>197320109.57668433</v>
      </c>
      <c r="P86" s="15">
        <f t="shared" si="16"/>
        <v>54600514.974253386</v>
      </c>
      <c r="S86" s="11">
        <f>'[8]Soy Complex'!$BO601</f>
        <v>50.75</v>
      </c>
      <c r="T86" s="11"/>
      <c r="U86" s="11"/>
      <c r="V86" s="11">
        <f>[9]Forecasts!$B78</f>
        <v>410</v>
      </c>
      <c r="W86" s="11" t="e">
        <f>#REF!*100</f>
        <v>#REF!</v>
      </c>
      <c r="X86" s="11"/>
      <c r="AA86" s="14">
        <f t="shared" si="19"/>
        <v>248.94884932549778</v>
      </c>
      <c r="AB86" s="14">
        <v>16</v>
      </c>
      <c r="AC86" s="14">
        <v>100</v>
      </c>
      <c r="AE86" s="14">
        <f t="shared" si="13"/>
        <v>2.0792000000000002</v>
      </c>
      <c r="AF86" s="14">
        <f>[3]Prices!$D679*7.5/100</f>
        <v>3.2625000000000002</v>
      </c>
      <c r="AG86" s="14">
        <f t="shared" si="12"/>
        <v>118.04</v>
      </c>
      <c r="AJ86" s="14">
        <f t="shared" si="17"/>
        <v>6.0837849364177492</v>
      </c>
      <c r="AK86" s="14">
        <f t="shared" si="10"/>
        <v>4.390723060766395</v>
      </c>
      <c r="AL86" s="11">
        <f t="shared" si="18"/>
        <v>-2.2179427263314846</v>
      </c>
      <c r="AM86" s="13">
        <f>'[7]D6 Gallon Forecast'!$R34/1000000</f>
        <v>1090.8165428095654</v>
      </c>
      <c r="AR86" s="11" cm="1">
        <f t="array" ref="AR86">[10]!Qhok6?Last</f>
        <v>2.0821000000000001</v>
      </c>
    </row>
    <row r="87" spans="1:44" x14ac:dyDescent="0.25">
      <c r="A87" s="10">
        <v>46174</v>
      </c>
      <c r="C87" s="15">
        <f>[6]Biodiesel!$R8</f>
        <v>118267965.04147252</v>
      </c>
      <c r="D87" s="15">
        <f>AVERAGE([6]Biodiesel!$M8:$Q8)</f>
        <v>134999713.76865178</v>
      </c>
      <c r="E87" s="15">
        <f t="shared" si="8"/>
        <v>-16731748.727179259</v>
      </c>
      <c r="F87" s="15">
        <f>[6]Biodiesel!$R40</f>
        <v>134509427.37605277</v>
      </c>
      <c r="G87" s="15">
        <f>AVERAGE([6]Biodiesel!$M40:$Q40)</f>
        <v>159221050.00851813</v>
      </c>
      <c r="H87" s="15">
        <f t="shared" si="11"/>
        <v>-24711622.632465363</v>
      </c>
      <c r="K87" s="15">
        <f>'[6]Renewable Diesel'!$R54</f>
        <v>224431062.06441367</v>
      </c>
      <c r="L87" s="15">
        <f>AVERAGE('[6]Renewable Diesel'!$M54:$Q54)</f>
        <v>168574154.7090826</v>
      </c>
      <c r="M87" s="15">
        <f t="shared" si="15"/>
        <v>55856907.355331063</v>
      </c>
      <c r="N87" s="15">
        <f>'[6]Renewable Diesel'!$R8</f>
        <v>254058221.07225698</v>
      </c>
      <c r="O87" s="15">
        <f>AVERAGE('[6]Renewable Diesel'!$M8:$Q8)</f>
        <v>205858278.5389936</v>
      </c>
      <c r="P87" s="15">
        <f t="shared" si="16"/>
        <v>48199942.533263385</v>
      </c>
      <c r="S87" s="11">
        <f>'[8]Soy Complex'!$BO602</f>
        <v>50.25</v>
      </c>
      <c r="T87" s="11"/>
      <c r="U87" s="11"/>
      <c r="V87" s="11">
        <f>[9]Forecasts!$B79</f>
        <v>412.5</v>
      </c>
      <c r="W87" s="11" t="e">
        <f>#REF!*100</f>
        <v>#REF!</v>
      </c>
      <c r="X87" s="11"/>
      <c r="AA87" s="14">
        <f t="shared" si="19"/>
        <v>254.56663175695471</v>
      </c>
      <c r="AB87" s="14">
        <v>16</v>
      </c>
      <c r="AC87" s="14">
        <v>100</v>
      </c>
      <c r="AE87" s="14">
        <f t="shared" si="13"/>
        <v>2.0891999999999999</v>
      </c>
      <c r="AF87" s="14">
        <f>[3]Prices!$D680*7.5/100</f>
        <v>3.3374999999999999</v>
      </c>
      <c r="AG87" s="14">
        <f t="shared" si="12"/>
        <v>125.82999999999997</v>
      </c>
      <c r="AJ87" s="14">
        <f t="shared" si="17"/>
        <v>5.8531899261648448</v>
      </c>
      <c r="AK87" s="14">
        <f t="shared" si="10"/>
        <v>4.5184849366682709</v>
      </c>
      <c r="AL87" s="11">
        <f t="shared" si="18"/>
        <v>-2.4280599630379691</v>
      </c>
      <c r="AM87" s="13">
        <f>'[7]D6 Gallon Forecast'!$R35/1000000</f>
        <v>1220.6156920216711</v>
      </c>
      <c r="AR87" s="11" cm="1">
        <f t="array" ref="AR87">[10]!Qhom6?Last</f>
        <v>2.0792000000000002</v>
      </c>
    </row>
    <row r="88" spans="1:44" x14ac:dyDescent="0.25">
      <c r="A88" s="10">
        <v>46204</v>
      </c>
      <c r="C88" s="15">
        <f>[6]Biodiesel!$R9</f>
        <v>116019697.86600816</v>
      </c>
      <c r="D88" s="15">
        <f>AVERAGE([6]Biodiesel!$M9:$Q9)</f>
        <v>132455523.12608719</v>
      </c>
      <c r="E88" s="15">
        <f t="shared" ref="E88:E151" si="20">C88-D88</f>
        <v>-16435825.260079026</v>
      </c>
      <c r="F88" s="15">
        <f>[6]Biodiesel!$R41</f>
        <v>127205745.39157848</v>
      </c>
      <c r="G88" s="15">
        <f>AVERAGE([6]Biodiesel!$M41:$Q41)</f>
        <v>149622954.62716681</v>
      </c>
      <c r="H88" s="15">
        <f t="shared" si="11"/>
        <v>-22417209.235588327</v>
      </c>
      <c r="K88" s="15">
        <f>'[6]Renewable Diesel'!$R55</f>
        <v>219016465.98521736</v>
      </c>
      <c r="L88" s="15">
        <f>AVERAGE('[6]Renewable Diesel'!$M55:$Q55)</f>
        <v>164706912.56904879</v>
      </c>
      <c r="M88" s="15">
        <f t="shared" si="15"/>
        <v>54309553.416168571</v>
      </c>
      <c r="N88" s="15">
        <f>'[6]Renewable Diesel'!$R9</f>
        <v>234347654.1216172</v>
      </c>
      <c r="O88" s="15">
        <f>AVERAGE('[6]Renewable Diesel'!$M9:$Q9)</f>
        <v>191970049.79331917</v>
      </c>
      <c r="P88" s="15">
        <f t="shared" si="16"/>
        <v>42377604.328298032</v>
      </c>
      <c r="S88" s="11">
        <f>'[8]Soy Complex'!$BO603</f>
        <v>50.75</v>
      </c>
      <c r="T88" s="11"/>
      <c r="U88" s="11"/>
      <c r="V88" s="11">
        <f>[9]Forecasts!$B80</f>
        <v>415</v>
      </c>
      <c r="W88" s="11" t="e">
        <f>#REF!*100</f>
        <v>#REF!</v>
      </c>
      <c r="X88" s="11"/>
      <c r="AA88" s="14">
        <f t="shared" si="19"/>
        <v>259.67689799945282</v>
      </c>
      <c r="AB88" s="14">
        <v>16</v>
      </c>
      <c r="AC88" s="14">
        <v>100</v>
      </c>
      <c r="AE88" s="14">
        <f t="shared" si="13"/>
        <v>2.0914999999999999</v>
      </c>
      <c r="AF88" s="14">
        <f>[3]Prices!$D681*7.5/100</f>
        <v>3.3374999999999999</v>
      </c>
      <c r="AG88" s="14">
        <f t="shared" si="12"/>
        <v>124.83</v>
      </c>
      <c r="AJ88" s="14">
        <f t="shared" si="17"/>
        <v>4.9299269142316033</v>
      </c>
      <c r="AK88" s="14">
        <f t="shared" si="10"/>
        <v>4.297314725028059</v>
      </c>
      <c r="AL88" s="11">
        <f t="shared" si="18"/>
        <v>-2.5366265413739146</v>
      </c>
      <c r="AM88" s="13">
        <f>'[7]D6 Gallon Forecast'!$R36/1000000</f>
        <v>1142.2860574468084</v>
      </c>
      <c r="AR88" s="11" cm="1">
        <f t="array" ref="AR88">[10]!Qhon6?Last</f>
        <v>2.0891999999999999</v>
      </c>
    </row>
    <row r="89" spans="1:44" x14ac:dyDescent="0.25">
      <c r="A89" s="10">
        <v>46235</v>
      </c>
      <c r="C89" s="15">
        <f>[6]Biodiesel!$R10</f>
        <v>121141976.146208</v>
      </c>
      <c r="D89" s="15">
        <f>AVERAGE([6]Biodiesel!$M10:$Q10)</f>
        <v>138378608.03739637</v>
      </c>
      <c r="E89" s="15">
        <f t="shared" si="20"/>
        <v>-17236631.891188368</v>
      </c>
      <c r="F89" s="15">
        <f>[6]Biodiesel!$R42</f>
        <v>134645839.80996242</v>
      </c>
      <c r="G89" s="15">
        <f>AVERAGE([6]Biodiesel!$M42:$Q42)</f>
        <v>158517288.63148969</v>
      </c>
      <c r="H89" s="15">
        <f t="shared" si="11"/>
        <v>-23871448.821527272</v>
      </c>
      <c r="K89" s="15">
        <f>'[6]Renewable Diesel'!$R56</f>
        <v>224972906.49770355</v>
      </c>
      <c r="L89" s="15">
        <f>AVERAGE('[6]Renewable Diesel'!$M56:$Q56)</f>
        <v>175119763.88992128</v>
      </c>
      <c r="M89" s="15">
        <f t="shared" si="15"/>
        <v>49853142.607782274</v>
      </c>
      <c r="N89" s="15">
        <f>'[6]Renewable Diesel'!$R10</f>
        <v>238742560.9091976</v>
      </c>
      <c r="O89" s="15">
        <f>AVERAGE('[6]Renewable Diesel'!$M10:$Q10)</f>
        <v>196935055.00956374</v>
      </c>
      <c r="P89" s="15">
        <f t="shared" si="16"/>
        <v>41807505.899633855</v>
      </c>
      <c r="S89" s="11">
        <f>'[8]Soy Complex'!$BO604</f>
        <v>50</v>
      </c>
      <c r="T89" s="11"/>
      <c r="U89" s="11"/>
      <c r="V89" s="11">
        <f>[9]Forecasts!$B81</f>
        <v>417.5</v>
      </c>
      <c r="W89" s="11" t="e">
        <f>#REF!*100</f>
        <v>#REF!</v>
      </c>
      <c r="X89" s="11"/>
      <c r="AA89" s="14">
        <f t="shared" si="19"/>
        <v>260.17727339029136</v>
      </c>
      <c r="AB89" s="14">
        <v>16</v>
      </c>
      <c r="AC89" s="14">
        <v>100</v>
      </c>
      <c r="AE89" s="14">
        <f t="shared" si="13"/>
        <v>2.0992999999999999</v>
      </c>
      <c r="AF89" s="14">
        <f>[3]Prices!$D682*7.5/100</f>
        <v>3.2625000000000002</v>
      </c>
      <c r="AG89" s="14">
        <f t="shared" si="12"/>
        <v>117.10000000000002</v>
      </c>
      <c r="AJ89" s="14">
        <f t="shared" si="17"/>
        <v>4.9472501289094373</v>
      </c>
      <c r="AK89" s="14">
        <f t="shared" si="10"/>
        <v>4.1416713912764651</v>
      </c>
      <c r="AL89" s="11">
        <f t="shared" si="18"/>
        <v>-2.3747963452373799</v>
      </c>
      <c r="AM89" s="13">
        <f>'[7]D6 Gallon Forecast'!$R37/1000000</f>
        <v>1250.2978314638513</v>
      </c>
      <c r="AR89" s="11" cm="1">
        <f t="array" ref="AR89">[10]!Qhoq6?Last</f>
        <v>2.0914999999999999</v>
      </c>
    </row>
    <row r="90" spans="1:44" x14ac:dyDescent="0.25">
      <c r="A90" s="10">
        <v>46266</v>
      </c>
      <c r="C90" s="15">
        <f>[6]Biodiesel!$R11</f>
        <v>113392422.27321623</v>
      </c>
      <c r="D90" s="15">
        <f>AVERAGE([6]Biodiesel!$M11:$Q11)</f>
        <v>129682889.69595835</v>
      </c>
      <c r="E90" s="15">
        <f t="shared" si="20"/>
        <v>-16290467.422742113</v>
      </c>
      <c r="F90" s="15">
        <f>[6]Biodiesel!$R43</f>
        <v>127428410.76795061</v>
      </c>
      <c r="G90" s="15">
        <f>AVERAGE([6]Biodiesel!$M43:$Q43)</f>
        <v>151070413.37974054</v>
      </c>
      <c r="H90" s="15">
        <f t="shared" si="11"/>
        <v>-23642002.611789927</v>
      </c>
      <c r="K90" s="15">
        <f>'[6]Renewable Diesel'!$R57</f>
        <v>228079606.84155732</v>
      </c>
      <c r="L90" s="15">
        <f>AVERAGE('[6]Renewable Diesel'!$M57:$Q57)</f>
        <v>170336349.85555539</v>
      </c>
      <c r="M90" s="15">
        <f t="shared" si="15"/>
        <v>57743256.986001939</v>
      </c>
      <c r="N90" s="15">
        <f>'[6]Renewable Diesel'!$R11</f>
        <v>247452276.45215097</v>
      </c>
      <c r="O90" s="15">
        <f>AVERAGE('[6]Renewable Diesel'!$M11:$Q11)</f>
        <v>200497993.43700081</v>
      </c>
      <c r="P90" s="15">
        <f t="shared" si="16"/>
        <v>46954283.01515016</v>
      </c>
      <c r="S90" s="11">
        <f>'[8]Soy Complex'!$BO605</f>
        <v>51.5</v>
      </c>
      <c r="T90" s="11"/>
      <c r="U90" s="11"/>
      <c r="V90" s="11">
        <f>[9]Forecasts!$B82</f>
        <v>420</v>
      </c>
      <c r="W90" s="11" t="e">
        <f>#REF!*100</f>
        <v>#REF!</v>
      </c>
      <c r="X90" s="11"/>
      <c r="AA90" s="14">
        <f t="shared" si="19"/>
        <v>255.65994711600268</v>
      </c>
      <c r="AB90" s="14">
        <v>16</v>
      </c>
      <c r="AC90" s="14">
        <v>100</v>
      </c>
      <c r="AE90" s="14">
        <f t="shared" si="13"/>
        <v>2.1069</v>
      </c>
      <c r="AF90" s="14">
        <f>[3]Prices!$D683*7.5/100</f>
        <v>3.4312499999999999</v>
      </c>
      <c r="AG90" s="14">
        <f t="shared" si="12"/>
        <v>133.19499999999999</v>
      </c>
      <c r="AJ90" s="14">
        <f t="shared" si="17"/>
        <v>5.0176199607683998</v>
      </c>
      <c r="AK90" s="14">
        <f t="shared" si="10"/>
        <v>3.8467599967933315</v>
      </c>
      <c r="AL90" s="11">
        <f t="shared" si="18"/>
        <v>-2.0547528679474745</v>
      </c>
      <c r="AM90" s="13">
        <f>'[7]D6 Gallon Forecast'!$R38/1000000</f>
        <v>1266.7006845414958</v>
      </c>
      <c r="AR90" s="11" cm="1">
        <f t="array" ref="AR90">[10]!Qhou6?Last</f>
        <v>2.0992999999999999</v>
      </c>
    </row>
    <row r="91" spans="1:44" x14ac:dyDescent="0.25">
      <c r="A91" s="10">
        <v>46296</v>
      </c>
      <c r="C91" s="15">
        <f>[6]Biodiesel!$R12</f>
        <v>115256437.15175015</v>
      </c>
      <c r="D91" s="15">
        <f>AVERAGE([6]Biodiesel!$M12:$Q12)</f>
        <v>131476346.09919651</v>
      </c>
      <c r="E91" s="15">
        <f t="shared" si="20"/>
        <v>-16219908.947446361</v>
      </c>
      <c r="F91" s="15">
        <f>[6]Biodiesel!$R44</f>
        <v>131820806.48852435</v>
      </c>
      <c r="G91" s="15">
        <f>AVERAGE([6]Biodiesel!$M44:$Q44)</f>
        <v>156179242.36815551</v>
      </c>
      <c r="H91" s="15">
        <f t="shared" si="11"/>
        <v>-24358435.879631162</v>
      </c>
      <c r="K91" s="15">
        <f>'[6]Renewable Diesel'!$R58</f>
        <v>248212741.53644824</v>
      </c>
      <c r="L91" s="15">
        <f>AVERAGE('[6]Renewable Diesel'!$M58:$Q58)</f>
        <v>177157131.52382889</v>
      </c>
      <c r="M91" s="15">
        <f t="shared" si="15"/>
        <v>71055610.012619346</v>
      </c>
      <c r="N91" s="15">
        <f>'[6]Renewable Diesel'!$R12</f>
        <v>272942871.29153872</v>
      </c>
      <c r="O91" s="15">
        <f>AVERAGE('[6]Renewable Diesel'!$M12:$Q12)</f>
        <v>208215801.41410989</v>
      </c>
      <c r="P91" s="15">
        <f t="shared" si="16"/>
        <v>64727069.87742883</v>
      </c>
      <c r="S91" s="11">
        <f>'[8]Soy Complex'!$BP594</f>
        <v>50.75</v>
      </c>
      <c r="T91" s="11"/>
      <c r="U91" s="11"/>
      <c r="V91" s="11">
        <f>[9]Forecasts!$B83</f>
        <v>422.5</v>
      </c>
      <c r="W91" s="11" t="e">
        <f>#REF!*100</f>
        <v>#REF!</v>
      </c>
      <c r="X91" s="11"/>
      <c r="AA91" s="14">
        <f t="shared" si="19"/>
        <v>240.06077208698071</v>
      </c>
      <c r="AB91" s="14">
        <v>16</v>
      </c>
      <c r="AC91" s="14">
        <v>100</v>
      </c>
      <c r="AE91" s="14">
        <f t="shared" si="13"/>
        <v>2.1124000000000001</v>
      </c>
      <c r="AF91" s="14">
        <f>[3]Prices!$D684*7.5/100</f>
        <v>3.375</v>
      </c>
      <c r="AG91" s="14">
        <f t="shared" si="12"/>
        <v>126.81</v>
      </c>
      <c r="AJ91" s="14">
        <f t="shared" si="17"/>
        <v>5.1245354628387929</v>
      </c>
      <c r="AK91" s="14">
        <f t="shared" si="10"/>
        <v>3.8704499358666036</v>
      </c>
      <c r="AL91" s="11">
        <f t="shared" si="18"/>
        <v>-2.0402586991384632</v>
      </c>
      <c r="AM91" s="13">
        <f>'[7]D6 Gallon Forecast'!$R39/1000000</f>
        <v>1284.2611217170761</v>
      </c>
      <c r="AR91" s="11" cm="1">
        <f t="array" ref="AR91">[10]!Qhov6?Last</f>
        <v>2.1069</v>
      </c>
    </row>
    <row r="92" spans="1:44" x14ac:dyDescent="0.25">
      <c r="A92" s="10">
        <v>46327</v>
      </c>
      <c r="C92" s="15">
        <f>[6]Biodiesel!$R13</f>
        <v>111389030.13356747</v>
      </c>
      <c r="D92" s="15">
        <f>AVERAGE([6]Biodiesel!$M13:$Q13)</f>
        <v>126966257.98936656</v>
      </c>
      <c r="E92" s="15">
        <f t="shared" si="20"/>
        <v>-15577227.855799094</v>
      </c>
      <c r="F92" s="15">
        <f>[6]Biodiesel!$R45</f>
        <v>128120538.69930525</v>
      </c>
      <c r="G92" s="15">
        <f>AVERAGE([6]Biodiesel!$M45:$Q45)</f>
        <v>151918413.55408362</v>
      </c>
      <c r="H92" s="15">
        <f t="shared" si="11"/>
        <v>-23797874.854778364</v>
      </c>
      <c r="K92" s="15">
        <f>'[6]Renewable Diesel'!$R59</f>
        <v>299627766.8417356</v>
      </c>
      <c r="L92" s="15">
        <f>AVERAGE('[6]Renewable Diesel'!$M59:$Q59)</f>
        <v>188697373.91746932</v>
      </c>
      <c r="M92" s="15">
        <f t="shared" si="15"/>
        <v>110930392.92426628</v>
      </c>
      <c r="N92" s="15">
        <f>'[6]Renewable Diesel'!$R13</f>
        <v>319281023.11134666</v>
      </c>
      <c r="O92" s="15">
        <f>AVERAGE('[6]Renewable Diesel'!$M13:$Q13)</f>
        <v>217696302.09012145</v>
      </c>
      <c r="P92" s="15">
        <f t="shared" si="16"/>
        <v>101584721.02122521</v>
      </c>
      <c r="S92" s="11">
        <f>'[8]Soy Complex'!$BP595</f>
        <v>53</v>
      </c>
      <c r="T92" s="11"/>
      <c r="U92" s="11"/>
      <c r="V92" s="11">
        <f>[9]Forecasts!$B84</f>
        <v>425</v>
      </c>
      <c r="W92" s="11" t="e">
        <f>#REF!*100</f>
        <v>#REF!</v>
      </c>
      <c r="X92" s="11"/>
      <c r="AA92" s="14">
        <f t="shared" si="19"/>
        <v>207.71081167807063</v>
      </c>
      <c r="AB92" s="14">
        <v>16</v>
      </c>
      <c r="AC92" s="14">
        <v>100</v>
      </c>
      <c r="AE92" s="14">
        <f t="shared" si="13"/>
        <v>2.1116999999999999</v>
      </c>
      <c r="AF92" s="14">
        <f>[3]Prices!$D685*7.5/100</f>
        <v>3.5249999999999999</v>
      </c>
      <c r="AG92" s="14">
        <f t="shared" si="12"/>
        <v>141.26</v>
      </c>
      <c r="AJ92" s="14">
        <f t="shared" si="17"/>
        <v>5.1906798566017329</v>
      </c>
      <c r="AK92" s="14">
        <f t="shared" si="10"/>
        <v>3.9501965317193108</v>
      </c>
      <c r="AL92" s="11">
        <f t="shared" si="18"/>
        <v>-2.0963822972186916</v>
      </c>
      <c r="AM92" s="13">
        <f>'[7]D6 Gallon Forecast'!$R40/1000000</f>
        <v>1288.363002939677</v>
      </c>
      <c r="AR92" s="11" cm="1">
        <f t="array" ref="AR92">[10]!Qhox6?Last</f>
        <v>2.1124000000000001</v>
      </c>
    </row>
    <row r="93" spans="1:44" x14ac:dyDescent="0.25">
      <c r="A93" s="10">
        <v>46357</v>
      </c>
      <c r="C93" s="15">
        <f>[6]Biodiesel!$R14</f>
        <v>105963522.33774163</v>
      </c>
      <c r="D93" s="15">
        <f>AVERAGE([6]Biodiesel!$M14:$Q14)</f>
        <v>141750406.80754027</v>
      </c>
      <c r="E93" s="15">
        <f t="shared" si="20"/>
        <v>-35786884.469798639</v>
      </c>
      <c r="F93" s="15">
        <f>[6]Biodiesel!$R46</f>
        <v>132487840.59873919</v>
      </c>
      <c r="G93" s="15">
        <f>AVERAGE([6]Biodiesel!$M46:$Q46)</f>
        <v>181736845.4557358</v>
      </c>
      <c r="H93" s="15">
        <f t="shared" si="11"/>
        <v>-49249004.856996611</v>
      </c>
      <c r="K93" s="15">
        <f>'[6]Renewable Diesel'!$R60</f>
        <v>341225025.1566397</v>
      </c>
      <c r="L93" s="15">
        <f>AVERAGE('[6]Renewable Diesel'!$M60:$Q60)</f>
        <v>210609096.88293186</v>
      </c>
      <c r="M93" s="15">
        <f t="shared" si="15"/>
        <v>130615928.27370784</v>
      </c>
      <c r="N93" s="15">
        <f>'[6]Renewable Diesel'!$R14</f>
        <v>364686173.84378457</v>
      </c>
      <c r="O93" s="15">
        <f>AVERAGE('[6]Renewable Diesel'!$M14:$Q14)</f>
        <v>246583558.55176115</v>
      </c>
      <c r="P93" s="15">
        <f t="shared" si="16"/>
        <v>118102615.29202342</v>
      </c>
      <c r="S93" s="11">
        <f>'[8]Soy Complex'!$BP596</f>
        <v>52.25</v>
      </c>
      <c r="T93" s="11"/>
      <c r="U93" s="11"/>
      <c r="V93" s="11">
        <f>[9]Forecasts!$B85</f>
        <v>427.5</v>
      </c>
      <c r="W93" s="11" t="e">
        <f>#REF!*100</f>
        <v>#REF!</v>
      </c>
      <c r="X93" s="11"/>
      <c r="AA93" s="14">
        <f t="shared" si="19"/>
        <v>193.21305587659103</v>
      </c>
      <c r="AB93" s="14">
        <v>16</v>
      </c>
      <c r="AC93" s="14">
        <v>100</v>
      </c>
      <c r="AE93" s="14">
        <f t="shared" si="13"/>
        <v>2.1166</v>
      </c>
      <c r="AF93" s="14">
        <f>[3]Prices!$D686*7.5/100</f>
        <v>3.5625</v>
      </c>
      <c r="AG93" s="14">
        <f t="shared" si="12"/>
        <v>145.08000000000001</v>
      </c>
      <c r="AJ93" s="14">
        <f t="shared" si="17"/>
        <v>5.2227757372835502</v>
      </c>
      <c r="AK93" s="14">
        <f t="shared" si="10"/>
        <v>3.7886725028058374</v>
      </c>
      <c r="AL93" s="11">
        <f t="shared" si="18"/>
        <v>-1.9233954537759981</v>
      </c>
      <c r="AM93" s="13">
        <f>'[7]D6 Gallon Forecast'!$R41/1000000</f>
        <v>1179.7530540928558</v>
      </c>
      <c r="AR93" s="11" cm="1">
        <f t="array" ref="AR93">[10]!Qhoz6?Last</f>
        <v>2.1116999999999999</v>
      </c>
    </row>
    <row r="94" spans="1:44" x14ac:dyDescent="0.25">
      <c r="A94" s="10">
        <v>46388</v>
      </c>
      <c r="C94" s="15">
        <f>[6]Biodiesel!$S3</f>
        <v>95491385.671609297</v>
      </c>
      <c r="D94" s="15">
        <f>AVERAGE([6]Biodiesel!$N3:$R3)</f>
        <v>98670737.460397601</v>
      </c>
      <c r="E94" s="15">
        <f t="shared" si="20"/>
        <v>-3179351.7887883037</v>
      </c>
      <c r="F94" s="15">
        <f>[6]Biodiesel!$S35</f>
        <v>108751028.58708087</v>
      </c>
      <c r="G94" s="15">
        <f>AVERAGE([6]Biodiesel!$N35:$R35)</f>
        <v>117211831.55657497</v>
      </c>
      <c r="H94" s="15">
        <f t="shared" si="11"/>
        <v>-8460802.9694941044</v>
      </c>
      <c r="K94" s="15">
        <f>'[6]Renewable Diesel'!$S49</f>
        <v>186796128.92822084</v>
      </c>
      <c r="L94" s="15">
        <f>AVERAGE('[6]Renewable Diesel'!$N49:$R49)</f>
        <v>172632736.21787828</v>
      </c>
      <c r="M94" s="15">
        <f t="shared" si="15"/>
        <v>14163392.710342556</v>
      </c>
      <c r="N94" s="15">
        <f>'[6]Renewable Diesel'!$S3</f>
        <v>207298298.11680996</v>
      </c>
      <c r="O94" s="15">
        <f>AVERAGE('[6]Renewable Diesel'!$N3:$R3)</f>
        <v>196428141.8810218</v>
      </c>
      <c r="P94" s="15">
        <f t="shared" si="16"/>
        <v>10870156.235788167</v>
      </c>
      <c r="S94" s="11">
        <f>'[8]Soy Complex'!$BP597</f>
        <v>52.5</v>
      </c>
      <c r="T94" s="11"/>
      <c r="U94" s="11"/>
      <c r="V94" s="11">
        <f>[9]Forecasts!$B86</f>
        <v>430</v>
      </c>
      <c r="W94" s="11" t="e">
        <f>#REF!*100</f>
        <v>#REF!</v>
      </c>
      <c r="X94" s="11"/>
      <c r="AA94" s="14">
        <f t="shared" si="19"/>
        <v>287.33098519024873</v>
      </c>
      <c r="AB94" s="14">
        <v>16</v>
      </c>
      <c r="AC94" s="14">
        <v>100</v>
      </c>
      <c r="AE94" s="14" t="e">
        <f t="shared" si="13"/>
        <v>#VALUE!</v>
      </c>
      <c r="AF94" s="14">
        <f>[3]Prices!$D687*7.5/100</f>
        <v>3.45</v>
      </c>
      <c r="AG94" s="14">
        <f t="shared" si="12"/>
        <v>133.34</v>
      </c>
      <c r="AJ94" s="14">
        <f t="shared" si="17"/>
        <v>5.3111495255361429</v>
      </c>
      <c r="AK94" s="14">
        <f t="shared" si="10"/>
        <v>3.9999119172510413</v>
      </c>
      <c r="AL94" s="11">
        <f t="shared" si="18"/>
        <v>-2.1030728009881328</v>
      </c>
      <c r="AM94" s="13">
        <f>'[7]D6 Gallon Forecast'!$S30/1000000</f>
        <v>1.066437622561952E-7</v>
      </c>
      <c r="AR94" s="11" cm="1">
        <f t="array" ref="AR94">[10]!Qhof7?Last</f>
        <v>2.1166</v>
      </c>
    </row>
    <row r="95" spans="1:44" x14ac:dyDescent="0.25">
      <c r="A95" s="10">
        <v>46419</v>
      </c>
      <c r="C95" s="15">
        <f>[6]Biodiesel!$S4</f>
        <v>102068292.10677457</v>
      </c>
      <c r="D95" s="15">
        <f>AVERAGE([6]Biodiesel!$N4:$R4)</f>
        <v>105466619.66067791</v>
      </c>
      <c r="E95" s="15">
        <f t="shared" si="20"/>
        <v>-3398327.5539033413</v>
      </c>
      <c r="F95" s="15">
        <f>[6]Biodiesel!$S36</f>
        <v>119394224.46262681</v>
      </c>
      <c r="G95" s="15">
        <f>AVERAGE([6]Biodiesel!$N36:$R36)</f>
        <v>129693647.80628733</v>
      </c>
      <c r="H95" s="15">
        <f t="shared" si="11"/>
        <v>-10299423.343660519</v>
      </c>
      <c r="K95" s="15">
        <f>'[6]Renewable Diesel'!$S50</f>
        <v>203640217.99442101</v>
      </c>
      <c r="L95" s="15">
        <f>AVERAGE('[6]Renewable Diesel'!$N50:$R50)</f>
        <v>171037710.64578921</v>
      </c>
      <c r="M95" s="15">
        <f t="shared" si="15"/>
        <v>32602507.348631799</v>
      </c>
      <c r="N95" s="15">
        <f>'[6]Renewable Diesel'!$S4</f>
        <v>229256770.59326789</v>
      </c>
      <c r="O95" s="15">
        <f>AVERAGE('[6]Renewable Diesel'!$N4:$R4)</f>
        <v>199065582.95516732</v>
      </c>
      <c r="P95" s="15">
        <f t="shared" si="16"/>
        <v>30191187.638100564</v>
      </c>
      <c r="S95" s="11">
        <f>'[8]Soy Complex'!$BP598</f>
        <v>51.5</v>
      </c>
      <c r="T95" s="11"/>
      <c r="U95" s="11"/>
      <c r="V95" s="11">
        <f>[9]Forecasts!$B87</f>
        <v>432.5</v>
      </c>
      <c r="W95" s="11" t="e">
        <f>#REF!*100</f>
        <v>#REF!</v>
      </c>
      <c r="X95" s="11"/>
      <c r="AA95" s="14">
        <f t="shared" si="19"/>
        <v>270.37291592843911</v>
      </c>
      <c r="AB95" s="14">
        <v>16</v>
      </c>
      <c r="AC95" s="14">
        <v>100</v>
      </c>
      <c r="AE95" s="14" t="e">
        <f t="shared" si="13"/>
        <v>#VALUE!</v>
      </c>
      <c r="AF95" s="14">
        <f>[3]Prices!$D688*7.5/100</f>
        <v>3.3187500000000001</v>
      </c>
      <c r="AG95" s="14" t="e">
        <f t="shared" si="12"/>
        <v>#VALUE!</v>
      </c>
      <c r="AJ95" s="14">
        <f t="shared" si="17"/>
        <v>5.3943215180173461</v>
      </c>
      <c r="AK95" s="14">
        <f t="shared" si="10"/>
        <v>4.0336205022938953</v>
      </c>
      <c r="AL95" s="11">
        <f t="shared" si="18"/>
        <v>-2.1070771030019859</v>
      </c>
      <c r="AM95" s="13">
        <f>'[7]D6 Gallon Forecast'!$S31/1000000</f>
        <v>576.28942408061414</v>
      </c>
      <c r="AR95" s="11" t="e">
        <f>AR94+AVERAGE(AR83-AR82,AR71-AR70,AE59-AE58,AE47-AE46,AE35-AE34)</f>
        <v>#VALUE!</v>
      </c>
    </row>
    <row r="96" spans="1:44" x14ac:dyDescent="0.25">
      <c r="A96" s="10">
        <v>46447</v>
      </c>
      <c r="C96" s="15">
        <f>[6]Biodiesel!$S5</f>
        <v>117855276.20304999</v>
      </c>
      <c r="D96" s="15">
        <f>AVERAGE([6]Biodiesel!$N5:$R5)</f>
        <v>121779155.30019327</v>
      </c>
      <c r="E96" s="15">
        <f t="shared" si="20"/>
        <v>-3923879.0971432775</v>
      </c>
      <c r="F96" s="15">
        <f>[6]Biodiesel!$S37</f>
        <v>134573604.60071686</v>
      </c>
      <c r="G96" s="15">
        <f>AVERAGE([6]Biodiesel!$N37:$R37)</f>
        <v>145155754.25142071</v>
      </c>
      <c r="H96" s="15">
        <f t="shared" si="11"/>
        <v>-10582149.650703847</v>
      </c>
      <c r="K96" s="15">
        <f>'[6]Renewable Diesel'!$S51</f>
        <v>218600778.35684696</v>
      </c>
      <c r="L96" s="15">
        <f>AVERAGE('[6]Renewable Diesel'!$N51:$R51)</f>
        <v>189615422.87735188</v>
      </c>
      <c r="M96" s="15">
        <f t="shared" si="15"/>
        <v>28985355.479495078</v>
      </c>
      <c r="N96" s="15">
        <f>'[6]Renewable Diesel'!$S5</f>
        <v>242740304.53877079</v>
      </c>
      <c r="O96" s="15">
        <f>AVERAGE('[6]Renewable Diesel'!$N5:$R5)</f>
        <v>219518976.45738524</v>
      </c>
      <c r="P96" s="15">
        <f t="shared" si="16"/>
        <v>23221328.081385553</v>
      </c>
      <c r="S96" s="11">
        <f>'[8]Soy Complex'!$BP599</f>
        <v>51</v>
      </c>
      <c r="T96" s="11"/>
      <c r="U96" s="11"/>
      <c r="V96" s="11">
        <f>[9]Forecasts!$B88</f>
        <v>435</v>
      </c>
      <c r="W96" s="11" t="e">
        <f>#REF!*100</f>
        <v>#REF!</v>
      </c>
      <c r="X96" s="11"/>
      <c r="AA96" s="14">
        <f t="shared" si="19"/>
        <v>276.4903616613679</v>
      </c>
      <c r="AB96" s="14">
        <v>16</v>
      </c>
      <c r="AC96" s="14">
        <v>100</v>
      </c>
      <c r="AE96" s="14" t="e">
        <f t="shared" si="13"/>
        <v>#VALUE!</v>
      </c>
      <c r="AF96" s="14">
        <f>[3]Prices!$D689*7.5/100</f>
        <v>3.3562500000000002</v>
      </c>
      <c r="AG96" s="14" t="e">
        <f t="shared" si="12"/>
        <v>#VALUE!</v>
      </c>
      <c r="AJ96" s="14">
        <f t="shared" si="17"/>
        <v>5.6261618700592901</v>
      </c>
      <c r="AK96" s="14">
        <f t="shared" si="10"/>
        <v>4.201506032141058</v>
      </c>
      <c r="AL96" s="11">
        <f t="shared" si="18"/>
        <v>-2.1921625071198827</v>
      </c>
      <c r="AM96" s="13">
        <f>'[7]D6 Gallon Forecast'!$S32/1000000</f>
        <v>2.0270000000000002E-3</v>
      </c>
      <c r="AR96" s="11" t="e">
        <f>AR95+AVERAGE(AR84-AR83,AR72-AR71,AE60-AE59,AE48-AE47,AE36-AE35)</f>
        <v>#VALUE!</v>
      </c>
    </row>
    <row r="97" spans="1:44" x14ac:dyDescent="0.25">
      <c r="A97" s="10">
        <v>46478</v>
      </c>
      <c r="C97" s="15">
        <f>[6]Biodiesel!$S6</f>
        <v>118517390.9023557</v>
      </c>
      <c r="D97" s="15">
        <f>AVERAGE([6]Biodiesel!$N6:$R6)</f>
        <v>122556842.25582755</v>
      </c>
      <c r="E97" s="15">
        <f t="shared" si="20"/>
        <v>-4039451.3534718454</v>
      </c>
      <c r="F97" s="15">
        <f>[6]Biodiesel!$S38</f>
        <v>138207829.59130588</v>
      </c>
      <c r="G97" s="15">
        <f>AVERAGE([6]Biodiesel!$N38:$R38)</f>
        <v>150090183.75334644</v>
      </c>
      <c r="H97" s="15">
        <f t="shared" si="11"/>
        <v>-11882354.162040561</v>
      </c>
      <c r="K97" s="15">
        <f>'[6]Renewable Diesel'!$S52</f>
        <v>209024476.0848856</v>
      </c>
      <c r="L97" s="15">
        <f>AVERAGE('[6]Renewable Diesel'!$N52:$R52)</f>
        <v>188524404.93326759</v>
      </c>
      <c r="M97" s="15">
        <f t="shared" si="15"/>
        <v>20500071.151618004</v>
      </c>
      <c r="N97" s="15">
        <f>'[6]Renewable Diesel'!$S6</f>
        <v>232838739.41859433</v>
      </c>
      <c r="O97" s="15">
        <f>AVERAGE('[6]Renewable Diesel'!$N6:$R6)</f>
        <v>217257075.0436694</v>
      </c>
      <c r="P97" s="15">
        <f t="shared" si="16"/>
        <v>15581664.374924928</v>
      </c>
      <c r="S97" s="11">
        <f>'[8]Soy Complex'!$BP600</f>
        <v>50.5</v>
      </c>
      <c r="T97" s="11"/>
      <c r="U97" s="11"/>
      <c r="V97" s="11">
        <f>[9]Forecasts!$B89</f>
        <v>437.5</v>
      </c>
      <c r="W97" s="11" t="e">
        <f>#REF!*100</f>
        <v>#REF!</v>
      </c>
      <c r="X97" s="11"/>
      <c r="AA97" s="14">
        <f t="shared" si="19"/>
        <v>283.19569449652835</v>
      </c>
      <c r="AB97" s="14">
        <v>16</v>
      </c>
      <c r="AC97" s="14">
        <v>100</v>
      </c>
      <c r="AE97" s="14" t="e">
        <f t="shared" si="13"/>
        <v>#VALUE!</v>
      </c>
      <c r="AF97" s="14">
        <f>[3]Prices!$D690*7.5/100</f>
        <v>3.4125000000000001</v>
      </c>
      <c r="AG97" s="14" t="e">
        <f t="shared" si="12"/>
        <v>#VALUE!</v>
      </c>
      <c r="AJ97" s="14">
        <f t="shared" si="17"/>
        <v>5.7922058577729851</v>
      </c>
      <c r="AK97" s="14">
        <f t="shared" si="10"/>
        <v>4.2167740986304159</v>
      </c>
      <c r="AL97" s="11">
        <f t="shared" si="18"/>
        <v>-2.1481291494257784</v>
      </c>
      <c r="AM97" s="13">
        <f>'[7]D6 Gallon Forecast'!$S33/1000000</f>
        <v>1220.4338079262179</v>
      </c>
      <c r="AR97" s="11" t="e">
        <f>AR96+AVERAGE(AR85-AR84,AR73-AR72,AR61-AE60,AE49-AE48,AE37-AE36)</f>
        <v>#VALUE!</v>
      </c>
    </row>
    <row r="98" spans="1:44" x14ac:dyDescent="0.25">
      <c r="A98" s="10">
        <v>46508</v>
      </c>
      <c r="C98" s="15">
        <f>[6]Biodiesel!$S7</f>
        <v>126994618.42411031</v>
      </c>
      <c r="D98" s="15">
        <f>AVERAGE([6]Biodiesel!$N7:$R7)</f>
        <v>131239863.71557578</v>
      </c>
      <c r="E98" s="15">
        <f t="shared" si="20"/>
        <v>-4245245.2914654762</v>
      </c>
      <c r="F98" s="15">
        <f>[6]Biodiesel!$S39</f>
        <v>142106604.01285893</v>
      </c>
      <c r="G98" s="15">
        <f>AVERAGE([6]Biodiesel!$N39:$R39)</f>
        <v>152676946.08791977</v>
      </c>
      <c r="H98" s="15">
        <f t="shared" si="11"/>
        <v>-10570342.075060844</v>
      </c>
      <c r="K98" s="15">
        <f>'[6]Renewable Diesel'!$S53</f>
        <v>234107532.29123083</v>
      </c>
      <c r="L98" s="15">
        <f>AVERAGE('[6]Renewable Diesel'!$N53:$R53)</f>
        <v>197159136.53749585</v>
      </c>
      <c r="M98" s="15">
        <f t="shared" si="15"/>
        <v>36948395.753734976</v>
      </c>
      <c r="N98" s="15">
        <f>'[6]Renewable Diesel'!$S7</f>
        <v>260235501.8391878</v>
      </c>
      <c r="O98" s="15">
        <f>AVERAGE('[6]Renewable Diesel'!$N7:$R7)</f>
        <v>228029989.68687186</v>
      </c>
      <c r="P98" s="15">
        <f t="shared" si="16"/>
        <v>32205512.152315944</v>
      </c>
      <c r="S98" s="11">
        <f>'[8]Soy Complex'!$BP601</f>
        <v>52</v>
      </c>
      <c r="T98" s="11"/>
      <c r="U98" s="11"/>
      <c r="V98" s="11">
        <f>[9]Forecasts!$B90</f>
        <v>440</v>
      </c>
      <c r="W98" s="11" t="e">
        <f>#REF!*100</f>
        <v>#REF!</v>
      </c>
      <c r="X98" s="11"/>
      <c r="AA98" s="14">
        <f t="shared" si="19"/>
        <v>268.60494330231228</v>
      </c>
      <c r="AB98" s="14">
        <v>16</v>
      </c>
      <c r="AC98" s="14">
        <v>100</v>
      </c>
      <c r="AE98" s="14" t="e">
        <f t="shared" si="13"/>
        <v>#VALUE!</v>
      </c>
      <c r="AF98" s="14">
        <f>[3]Prices!$D691*7.5/100</f>
        <v>3.45</v>
      </c>
      <c r="AG98" s="14" t="e">
        <f t="shared" si="12"/>
        <v>#VALUE!</v>
      </c>
      <c r="AJ98" s="14">
        <f t="shared" si="17"/>
        <v>5.7507423650568192</v>
      </c>
      <c r="AK98" s="14">
        <f t="shared" si="10"/>
        <v>4.2420568259312716</v>
      </c>
      <c r="AL98" s="11">
        <f t="shared" si="18"/>
        <v>-2.1882202669824076</v>
      </c>
      <c r="AM98" s="13">
        <f>'[7]D6 Gallon Forecast'!$S34/1000000</f>
        <v>1129.7907744014019</v>
      </c>
      <c r="AR98" s="11" t="e">
        <f t="shared" ref="AR98:AR108" si="21">AR97+AVERAGE(AR86-AR85,AR74-AR73,AR62-AR61,AE50-AE49,AE38-AE37)</f>
        <v>#VALUE!</v>
      </c>
    </row>
    <row r="99" spans="1:44" x14ac:dyDescent="0.25">
      <c r="A99" s="10">
        <v>46539</v>
      </c>
      <c r="C99" s="15">
        <f>[6]Biodiesel!$S8</f>
        <v>123633689.864416</v>
      </c>
      <c r="D99" s="15">
        <f>AVERAGE([6]Biodiesel!$N8:$R8)</f>
        <v>127761883.17694628</v>
      </c>
      <c r="E99" s="15">
        <f t="shared" si="20"/>
        <v>-4128193.3125302792</v>
      </c>
      <c r="F99" s="15">
        <f>[6]Biodiesel!$S40</f>
        <v>140762897.1756635</v>
      </c>
      <c r="G99" s="15">
        <f>AVERAGE([6]Biodiesel!$N40:$R40)</f>
        <v>151713828.68372867</v>
      </c>
      <c r="H99" s="15">
        <f t="shared" si="11"/>
        <v>-10950931.508065164</v>
      </c>
      <c r="K99" s="15">
        <f>'[6]Renewable Diesel'!$S54</f>
        <v>234105651.45581567</v>
      </c>
      <c r="L99" s="15">
        <f>AVERAGE('[6]Renewable Diesel'!$N54:$R54)</f>
        <v>199688458.12196535</v>
      </c>
      <c r="M99" s="15">
        <f t="shared" si="15"/>
        <v>34417193.333850324</v>
      </c>
      <c r="N99" s="15">
        <f>'[6]Renewable Diesel'!$S8</f>
        <v>262295551.27169818</v>
      </c>
      <c r="O99" s="15">
        <f>AVERAGE('[6]Renewable Diesel'!$N8:$R8)</f>
        <v>234139170.55344501</v>
      </c>
      <c r="P99" s="15">
        <f t="shared" si="16"/>
        <v>28156380.718253165</v>
      </c>
      <c r="S99" s="11">
        <f>'[8]Soy Complex'!$BP602</f>
        <v>52.5</v>
      </c>
      <c r="T99" s="11"/>
      <c r="U99" s="11"/>
      <c r="V99" s="11">
        <f>[9]Forecasts!$B91</f>
        <v>442.5</v>
      </c>
      <c r="W99" s="11" t="e">
        <f>#REF!*100</f>
        <v>#REF!</v>
      </c>
      <c r="X99" s="11"/>
      <c r="AA99" s="14">
        <f t="shared" si="19"/>
        <v>272.15886596198919</v>
      </c>
      <c r="AB99" s="14">
        <v>16</v>
      </c>
      <c r="AC99" s="14">
        <v>100</v>
      </c>
      <c r="AE99" s="14" t="e">
        <f t="shared" si="13"/>
        <v>#VALUE!</v>
      </c>
      <c r="AF99" s="14">
        <f>[3]Prices!$D692*7.5/100</f>
        <v>3.5062500000000001</v>
      </c>
      <c r="AG99" s="14" t="e">
        <f t="shared" si="12"/>
        <v>#VALUE!</v>
      </c>
      <c r="AJ99" s="14">
        <f t="shared" si="17"/>
        <v>5.5486177922611937</v>
      </c>
      <c r="AK99" s="14">
        <f t="shared" si="10"/>
        <v>4.3398602506546968</v>
      </c>
      <c r="AL99" s="11">
        <f t="shared" si="18"/>
        <v>-2.3582110391328417</v>
      </c>
      <c r="AM99" s="13">
        <f>'[7]D6 Gallon Forecast'!$S35/1000000</f>
        <v>1227.2838506440778</v>
      </c>
      <c r="AR99" s="11" t="e">
        <f t="shared" si="21"/>
        <v>#VALUE!</v>
      </c>
    </row>
    <row r="100" spans="1:44" x14ac:dyDescent="0.25">
      <c r="A100" s="10">
        <v>46569</v>
      </c>
      <c r="C100" s="15">
        <f>[6]Biodiesel!$S9</f>
        <v>122156394.76437618</v>
      </c>
      <c r="D100" s="15">
        <f>AVERAGE([6]Biodiesel!$N9:$R9)</f>
        <v>126281395.09928882</v>
      </c>
      <c r="E100" s="15">
        <f t="shared" si="20"/>
        <v>-4125000.3349126428</v>
      </c>
      <c r="F100" s="15">
        <f>[6]Biodiesel!$S41</f>
        <v>133486355.07664034</v>
      </c>
      <c r="G100" s="15">
        <f>AVERAGE([6]Biodiesel!$N41:$R41)</f>
        <v>142609567.70548248</v>
      </c>
      <c r="H100" s="15">
        <f t="shared" si="11"/>
        <v>-9123212.6288421452</v>
      </c>
      <c r="K100" s="15">
        <f>'[6]Renewable Diesel'!$S55</f>
        <v>227493544.45818886</v>
      </c>
      <c r="L100" s="15">
        <f>AVERAGE('[6]Renewable Diesel'!$N55:$R55)</f>
        <v>194610091.16609225</v>
      </c>
      <c r="M100" s="15">
        <f t="shared" si="15"/>
        <v>32883453.292096615</v>
      </c>
      <c r="N100" s="15">
        <f>'[6]Renewable Diesel'!$S9</f>
        <v>245193927.05454305</v>
      </c>
      <c r="O100" s="15">
        <f>AVERAGE('[6]Renewable Diesel'!$N9:$R9)</f>
        <v>222753835.01764259</v>
      </c>
      <c r="P100" s="15">
        <f t="shared" si="16"/>
        <v>22440092.036900461</v>
      </c>
      <c r="S100" s="11">
        <f>'[8]Soy Complex'!$BP603</f>
        <v>52.25</v>
      </c>
      <c r="T100" s="11"/>
      <c r="U100" s="11"/>
      <c r="V100" s="11">
        <f>[9]Forecasts!$B92</f>
        <v>445</v>
      </c>
      <c r="W100" s="11" t="e">
        <f>#REF!*100</f>
        <v>#REF!</v>
      </c>
      <c r="X100" s="11"/>
      <c r="AA100" s="14">
        <f t="shared" si="19"/>
        <v>277.17605253761246</v>
      </c>
      <c r="AB100" s="14">
        <v>16</v>
      </c>
      <c r="AC100" s="14">
        <v>100</v>
      </c>
      <c r="AE100" s="14" t="e">
        <f t="shared" si="13"/>
        <v>#VALUE!</v>
      </c>
      <c r="AF100" s="14">
        <f>[3]Prices!$D693*7.5/100</f>
        <v>3.5249999999999999</v>
      </c>
      <c r="AG100" s="14" t="e">
        <f t="shared" si="12"/>
        <v>#VALUE!</v>
      </c>
      <c r="AJ100" s="14">
        <f t="shared" si="17"/>
        <v>4.6911857328869058</v>
      </c>
      <c r="AK100" s="14">
        <f t="shared" si="10"/>
        <v>4.3457086505264302</v>
      </c>
      <c r="AL100" s="11">
        <f t="shared" si="18"/>
        <v>-2.6702851744953922</v>
      </c>
      <c r="AM100" s="13">
        <f>'[7]D6 Gallon Forecast'!$S36/1000000</f>
        <v>1141.8561331922858</v>
      </c>
      <c r="AR100" s="11" t="e">
        <f t="shared" si="21"/>
        <v>#VALUE!</v>
      </c>
    </row>
    <row r="101" spans="1:44" x14ac:dyDescent="0.25">
      <c r="A101" s="10">
        <v>46600</v>
      </c>
      <c r="C101" s="15">
        <f>[6]Biodiesel!$S10</f>
        <v>127318950.93615313</v>
      </c>
      <c r="D101" s="15">
        <f>AVERAGE([6]Biodiesel!$N10:$R10)</f>
        <v>131690554.26663797</v>
      </c>
      <c r="E101" s="15">
        <f t="shared" si="20"/>
        <v>-4371603.3304848373</v>
      </c>
      <c r="F101" s="15">
        <f>[6]Biodiesel!$S42</f>
        <v>142072347.82176799</v>
      </c>
      <c r="G101" s="15">
        <f>AVERAGE([6]Biodiesel!$N42:$R42)</f>
        <v>152320379.79348218</v>
      </c>
      <c r="H101" s="15">
        <f t="shared" si="11"/>
        <v>-10248031.971714199</v>
      </c>
      <c r="K101" s="15">
        <f>'[6]Renewable Diesel'!$S56</f>
        <v>234966122.44751394</v>
      </c>
      <c r="L101" s="15">
        <f>AVERAGE('[6]Renewable Diesel'!$N56:$R56)</f>
        <v>203635841.18946201</v>
      </c>
      <c r="M101" s="15">
        <f t="shared" si="15"/>
        <v>31330281.258051932</v>
      </c>
      <c r="N101" s="15">
        <f>'[6]Renewable Diesel'!$S10</f>
        <v>246461573.39525464</v>
      </c>
      <c r="O101" s="15">
        <f>AVERAGE('[6]Renewable Diesel'!$N10:$R10)</f>
        <v>221333473.59140331</v>
      </c>
      <c r="P101" s="15">
        <f t="shared" si="16"/>
        <v>25128099.803851336</v>
      </c>
      <c r="S101" s="11">
        <f>'[8]Soy Complex'!$BP604</f>
        <v>51.75</v>
      </c>
      <c r="T101" s="11"/>
      <c r="U101" s="11"/>
      <c r="V101" s="11">
        <f>[9]Forecasts!$B93</f>
        <v>447.5</v>
      </c>
      <c r="W101" s="11" t="e">
        <f>#REF!*100</f>
        <v>#REF!</v>
      </c>
      <c r="X101" s="11"/>
      <c r="AA101" s="14">
        <f t="shared" si="19"/>
        <v>274.81678812055964</v>
      </c>
      <c r="AB101" s="14">
        <v>16</v>
      </c>
      <c r="AC101" s="14">
        <v>100</v>
      </c>
      <c r="AE101" s="14" t="e">
        <f t="shared" si="13"/>
        <v>#VALUE!</v>
      </c>
      <c r="AF101" s="14">
        <f>[3]Prices!$D694*7.5/100</f>
        <v>3.45</v>
      </c>
      <c r="AG101" s="14" t="e">
        <f t="shared" si="12"/>
        <v>#VALUE!</v>
      </c>
      <c r="AJ101" s="14">
        <f t="shared" si="17"/>
        <v>4.6425094411457355</v>
      </c>
      <c r="AK101" s="14">
        <f t="shared" si="10"/>
        <v>4.3401314397715387</v>
      </c>
      <c r="AL101" s="11">
        <f t="shared" si="18"/>
        <v>-2.6820923536480619</v>
      </c>
      <c r="AM101" s="13">
        <f>'[7]D6 Gallon Forecast'!$S37/1000000</f>
        <v>1247.7860569632221</v>
      </c>
      <c r="AR101" s="11" t="e">
        <f t="shared" si="21"/>
        <v>#VALUE!</v>
      </c>
    </row>
    <row r="102" spans="1:44" x14ac:dyDescent="0.25">
      <c r="A102" s="10">
        <v>46631</v>
      </c>
      <c r="C102" s="15">
        <f>[6]Biodiesel!$S11</f>
        <v>120060248.80931373</v>
      </c>
      <c r="D102" s="15">
        <f>AVERAGE([6]Biodiesel!$N11:$R11)</f>
        <v>124374419.3506016</v>
      </c>
      <c r="E102" s="15">
        <f t="shared" si="20"/>
        <v>-4314170.5412878692</v>
      </c>
      <c r="F102" s="15">
        <f>[6]Biodiesel!$S43</f>
        <v>135350841.26815581</v>
      </c>
      <c r="G102" s="15">
        <f>AVERAGE([6]Biodiesel!$N43:$R43)</f>
        <v>146210681.73333067</v>
      </c>
      <c r="H102" s="15">
        <f t="shared" si="11"/>
        <v>-10859840.465174854</v>
      </c>
      <c r="K102" s="15">
        <f>'[6]Renewable Diesel'!$S57</f>
        <v>238163233.55638808</v>
      </c>
      <c r="L102" s="15">
        <f>AVERAGE('[6]Renewable Diesel'!$N57:$R57)</f>
        <v>204802770.02386683</v>
      </c>
      <c r="M102" s="15">
        <f t="shared" si="15"/>
        <v>33360463.532521248</v>
      </c>
      <c r="N102" s="15">
        <f>'[6]Renewable Diesel'!$S11</f>
        <v>253416722.84795576</v>
      </c>
      <c r="O102" s="15">
        <f>AVERAGE('[6]Renewable Diesel'!$N11:$R11)</f>
        <v>228461338.32743102</v>
      </c>
      <c r="P102" s="15">
        <f t="shared" si="16"/>
        <v>24955384.52052474</v>
      </c>
      <c r="S102" s="11">
        <f>'[8]Soy Complex'!$BP605</f>
        <v>52.25</v>
      </c>
      <c r="T102" s="11"/>
      <c r="U102" s="11"/>
      <c r="V102" s="11">
        <f>[9]Forecasts!$B94</f>
        <v>443</v>
      </c>
      <c r="W102" s="11" t="e">
        <f>#REF!*100</f>
        <v>#REF!</v>
      </c>
      <c r="X102" s="11"/>
      <c r="AA102" s="14">
        <f t="shared" si="19"/>
        <v>274.96838032473539</v>
      </c>
      <c r="AB102" s="14">
        <v>16</v>
      </c>
      <c r="AC102" s="14">
        <v>100</v>
      </c>
      <c r="AE102" s="14" t="e">
        <f t="shared" si="13"/>
        <v>#VALUE!</v>
      </c>
      <c r="AF102" s="14">
        <f>[3]Prices!$D695*7.5/100</f>
        <v>3.4312499999999999</v>
      </c>
      <c r="AG102" s="14" t="e">
        <f t="shared" si="12"/>
        <v>#VALUE!</v>
      </c>
      <c r="AJ102" s="14">
        <f t="shared" si="17"/>
        <v>4.8362146492830087</v>
      </c>
      <c r="AK102" s="14">
        <f t="shared" si="10"/>
        <v>4.1335592389503519</v>
      </c>
      <c r="AL102" s="11">
        <f t="shared" si="18"/>
        <v>-2.4063397213492772</v>
      </c>
      <c r="AM102" s="13">
        <f>'[7]D6 Gallon Forecast'!$S38/1000000</f>
        <v>1266.7049371032228</v>
      </c>
      <c r="AR102" s="11" t="e">
        <f t="shared" si="21"/>
        <v>#VALUE!</v>
      </c>
    </row>
    <row r="103" spans="1:44" x14ac:dyDescent="0.25">
      <c r="A103" s="10">
        <v>46661</v>
      </c>
      <c r="C103" s="15">
        <f>[6]Biodiesel!$S12</f>
        <v>122519058.93866944</v>
      </c>
      <c r="D103" s="15">
        <f>AVERAGE([6]Biodiesel!$N12:$R12)</f>
        <v>126571857.92954655</v>
      </c>
      <c r="E103" s="15">
        <f t="shared" si="20"/>
        <v>-4052798.9908771068</v>
      </c>
      <c r="F103" s="15">
        <f>[6]Biodiesel!$S44</f>
        <v>139995968.08700499</v>
      </c>
      <c r="G103" s="15">
        <f>AVERAGE([6]Biodiesel!$N44:$R44)</f>
        <v>151009998.46586037</v>
      </c>
      <c r="H103" s="15">
        <f t="shared" si="11"/>
        <v>-11014030.378855377</v>
      </c>
      <c r="K103" s="15">
        <f>'[6]Renewable Diesel'!$S58</f>
        <v>257846058.19906035</v>
      </c>
      <c r="L103" s="15">
        <f>AVERAGE('[6]Renewable Diesel'!$N58:$R58)</f>
        <v>211330685.03111854</v>
      </c>
      <c r="M103" s="15">
        <f t="shared" si="15"/>
        <v>46515373.167941809</v>
      </c>
      <c r="N103" s="15">
        <f>'[6]Renewable Diesel'!$S12</f>
        <v>280145689.47753483</v>
      </c>
      <c r="O103" s="15">
        <f>AVERAGE('[6]Renewable Diesel'!$N12:$R12)</f>
        <v>238808454.67241764</v>
      </c>
      <c r="P103" s="15">
        <f t="shared" si="16"/>
        <v>41337234.80511719</v>
      </c>
      <c r="S103" s="11">
        <f>'[8]Soy Complex'!$BQ594</f>
        <v>53</v>
      </c>
      <c r="T103" s="11"/>
      <c r="U103" s="11"/>
      <c r="V103" s="11">
        <f>[9]Forecasts!$B95</f>
        <v>445</v>
      </c>
      <c r="W103" s="11" t="e">
        <f>#REF!*100</f>
        <v>#REF!</v>
      </c>
      <c r="X103" s="11"/>
      <c r="AA103" s="14">
        <f t="shared" si="19"/>
        <v>260.5900303299486</v>
      </c>
      <c r="AB103" s="14">
        <v>16</v>
      </c>
      <c r="AC103" s="14">
        <v>100</v>
      </c>
      <c r="AE103" s="14" t="e">
        <f t="shared" si="13"/>
        <v>#VALUE!</v>
      </c>
      <c r="AF103" s="14">
        <f>[3]Prices!$D696*7.5/100</f>
        <v>3.5249999999999999</v>
      </c>
      <c r="AG103" s="14" t="e">
        <f t="shared" si="12"/>
        <v>#VALUE!</v>
      </c>
      <c r="AJ103" s="14">
        <f t="shared" si="17"/>
        <v>4.9162207928224406</v>
      </c>
      <c r="AK103" s="14">
        <f t="shared" si="10"/>
        <v>4.0119770589492827</v>
      </c>
      <c r="AL103" s="11">
        <f t="shared" si="18"/>
        <v>-2.2561839186555535</v>
      </c>
      <c r="AM103" s="13">
        <f>'[7]D6 Gallon Forecast'!$S39/1000000</f>
        <v>1283.8157061003164</v>
      </c>
      <c r="AR103" s="11" t="e">
        <f t="shared" si="21"/>
        <v>#VALUE!</v>
      </c>
    </row>
    <row r="104" spans="1:44" x14ac:dyDescent="0.25">
      <c r="A104" s="10">
        <v>46692</v>
      </c>
      <c r="C104" s="15">
        <f>[6]Biodiesel!$S13</f>
        <v>117254456.95173889</v>
      </c>
      <c r="D104" s="15">
        <f>AVERAGE([6]Biodiesel!$N13:$R13)</f>
        <v>121072713.61608005</v>
      </c>
      <c r="E104" s="15">
        <f t="shared" si="20"/>
        <v>-3818256.6643411517</v>
      </c>
      <c r="F104" s="15">
        <f>[6]Biodiesel!$S45</f>
        <v>134419418.25423464</v>
      </c>
      <c r="G104" s="15">
        <f>AVERAGE([6]Biodiesel!$N45:$R45)</f>
        <v>145074654.29394466</v>
      </c>
      <c r="H104" s="15">
        <f t="shared" si="11"/>
        <v>-10655236.039710015</v>
      </c>
      <c r="K104" s="15">
        <f>'[6]Renewable Diesel'!$S59</f>
        <v>311617815.44366825</v>
      </c>
      <c r="L104" s="15">
        <f>AVERAGE('[6]Renewable Diesel'!$N59:$R59)</f>
        <v>228250710.48581648</v>
      </c>
      <c r="M104" s="15">
        <f t="shared" si="15"/>
        <v>83367104.957851768</v>
      </c>
      <c r="N104" s="15">
        <f>'[6]Renewable Diesel'!$S13</f>
        <v>329385080.33750135</v>
      </c>
      <c r="O104" s="15">
        <f>AVERAGE('[6]Renewable Diesel'!$N13:$R13)</f>
        <v>254921152.11239082</v>
      </c>
      <c r="P104" s="15">
        <f t="shared" si="16"/>
        <v>74463928.225110531</v>
      </c>
      <c r="S104" s="11">
        <f>'[8]Soy Complex'!$BQ595</f>
        <v>54.5</v>
      </c>
      <c r="T104" s="11"/>
      <c r="U104" s="11"/>
      <c r="V104" s="11">
        <f>[9]Forecasts!$B96</f>
        <v>447.5</v>
      </c>
      <c r="W104" s="11" t="e">
        <f>#REF!*100</f>
        <v>#REF!</v>
      </c>
      <c r="X104" s="11"/>
      <c r="AA104" s="14">
        <f t="shared" si="19"/>
        <v>231.51473151522046</v>
      </c>
      <c r="AB104" s="14">
        <v>16</v>
      </c>
      <c r="AC104" s="14">
        <v>100</v>
      </c>
      <c r="AE104" s="14" t="e">
        <f t="shared" si="13"/>
        <v>#VALUE!</v>
      </c>
      <c r="AF104" s="14">
        <f>[3]Prices!$D697*7.5/100</f>
        <v>3.6375000000000002</v>
      </c>
      <c r="AG104" s="14" t="e">
        <f t="shared" si="12"/>
        <v>#VALUE!</v>
      </c>
      <c r="AJ104" s="14">
        <f t="shared" si="17"/>
        <v>4.9053948018127702</v>
      </c>
      <c r="AK104" s="14">
        <f t="shared" si="10"/>
        <v>4.2420272750432026</v>
      </c>
      <c r="AL104" s="11">
        <f t="shared" si="18"/>
        <v>-2.4901005601100703</v>
      </c>
      <c r="AM104" s="13">
        <f>'[7]D6 Gallon Forecast'!$S40/1000000</f>
        <v>1319.7971243532409</v>
      </c>
      <c r="AR104" s="11" t="e">
        <f t="shared" si="21"/>
        <v>#VALUE!</v>
      </c>
    </row>
    <row r="105" spans="1:44" x14ac:dyDescent="0.25">
      <c r="A105" s="10">
        <v>46722</v>
      </c>
      <c r="C105" s="15">
        <f>[6]Biodiesel!$S14</f>
        <v>125512279.24433076</v>
      </c>
      <c r="D105" s="15">
        <f>AVERAGE([6]Biodiesel!$N14:$R14)</f>
        <v>129801463.27508859</v>
      </c>
      <c r="E105" s="15">
        <f t="shared" si="20"/>
        <v>-4289184.0307578295</v>
      </c>
      <c r="F105" s="15">
        <f>[6]Biodiesel!$S46</f>
        <v>150262950.87884146</v>
      </c>
      <c r="G105" s="15">
        <f>AVERAGE([6]Biodiesel!$N46:$R46)</f>
        <v>164840578.77548364</v>
      </c>
      <c r="H105" s="15">
        <f t="shared" si="11"/>
        <v>-14577627.896642178</v>
      </c>
      <c r="K105" s="15">
        <f>'[6]Renewable Diesel'!$S60</f>
        <v>352419720.40696388</v>
      </c>
      <c r="L105" s="15">
        <f>AVERAGE('[6]Renewable Diesel'!$N60:$R60)</f>
        <v>255200009.51425982</v>
      </c>
      <c r="M105" s="15">
        <f t="shared" si="15"/>
        <v>97219710.89270407</v>
      </c>
      <c r="N105" s="15">
        <f>'[6]Renewable Diesel'!$S14</f>
        <v>372211622.23208565</v>
      </c>
      <c r="O105" s="15">
        <f>AVERAGE('[6]Renewable Diesel'!$N14:$R14)</f>
        <v>285433851.72051805</v>
      </c>
      <c r="P105" s="15">
        <f t="shared" si="16"/>
        <v>86777770.511567593</v>
      </c>
      <c r="S105" s="11">
        <f>'[8]Soy Complex'!$BQ596</f>
        <v>53</v>
      </c>
      <c r="T105" s="11"/>
      <c r="U105" s="11"/>
      <c r="V105" s="11">
        <f>[9]Forecasts!$B97</f>
        <v>450</v>
      </c>
      <c r="W105" s="11" t="e">
        <f>#REF!*100</f>
        <v>#REF!</v>
      </c>
      <c r="X105" s="11"/>
      <c r="AA105" s="14">
        <f t="shared" si="19"/>
        <v>220.70687214039711</v>
      </c>
      <c r="AB105" s="14">
        <v>16</v>
      </c>
      <c r="AC105" s="14">
        <v>100</v>
      </c>
      <c r="AE105" s="14" t="e">
        <f t="shared" si="13"/>
        <v>#VALUE!</v>
      </c>
      <c r="AF105" s="14">
        <f>[3]Prices!$D698*7.5/100</f>
        <v>3.6</v>
      </c>
      <c r="AG105" s="14" t="e">
        <f t="shared" si="12"/>
        <v>#VALUE!</v>
      </c>
      <c r="AJ105" s="14">
        <f t="shared" si="17"/>
        <v>4.9028503196022717</v>
      </c>
      <c r="AK105" s="14">
        <f t="shared" si="10"/>
        <v>4.1732571161348959</v>
      </c>
      <c r="AL105" s="11">
        <f t="shared" si="18"/>
        <v>-2.42223914484837</v>
      </c>
      <c r="AM105" s="13">
        <f>'[7]D6 Gallon Forecast'!$S41/1000000</f>
        <v>1183.7097844799882</v>
      </c>
      <c r="AR105" s="11" t="e">
        <f t="shared" si="21"/>
        <v>#VALUE!</v>
      </c>
    </row>
    <row r="106" spans="1:44" x14ac:dyDescent="0.25">
      <c r="A106" s="10">
        <v>46753</v>
      </c>
      <c r="C106" s="15">
        <f>[6]Biodiesel!$T3</f>
        <v>97135879.777277082</v>
      </c>
      <c r="D106" s="15">
        <f>AVERAGE([6]Biodiesel!$O3:$S3)</f>
        <v>99626011.594719455</v>
      </c>
      <c r="E106" s="15">
        <f t="shared" si="20"/>
        <v>-2490131.8174423724</v>
      </c>
      <c r="F106" s="15">
        <f>[6]Biodiesel!$T35</f>
        <v>112245093.38742533</v>
      </c>
      <c r="G106" s="15">
        <f>AVERAGE([6]Biodiesel!$O35:$S35)</f>
        <v>118278825.07399113</v>
      </c>
      <c r="H106" s="15">
        <f t="shared" si="11"/>
        <v>-6033731.6865658015</v>
      </c>
      <c r="K106" s="15">
        <f>'[6]Renewable Diesel'!$T49</f>
        <v>178989927.80719867</v>
      </c>
      <c r="L106" s="15">
        <f>AVERAGE('[6]Renewable Diesel'!$O49:$S49)</f>
        <v>192589913.20352244</v>
      </c>
      <c r="M106" s="15">
        <f t="shared" si="15"/>
        <v>-13599985.39632377</v>
      </c>
      <c r="N106" s="15">
        <f>'[6]Renewable Diesel'!$T3</f>
        <v>197272647.83049697</v>
      </c>
      <c r="O106" s="15">
        <f>AVERAGE('[6]Renewable Diesel'!$O3:$S3)</f>
        <v>213549322.10438377</v>
      </c>
      <c r="P106" s="15">
        <f t="shared" si="16"/>
        <v>-16276674.2738868</v>
      </c>
      <c r="S106" s="11">
        <f>'[8]Soy Complex'!$BQ597</f>
        <v>53.5</v>
      </c>
      <c r="T106" s="11"/>
      <c r="U106" s="11"/>
      <c r="V106" s="11">
        <f>[9]Forecasts!$B98</f>
        <v>412.5</v>
      </c>
      <c r="W106" s="11" t="e">
        <f>#REF!*100</f>
        <v>#REF!</v>
      </c>
      <c r="X106" s="11"/>
      <c r="AA106" s="14">
        <f t="shared" si="19"/>
        <v>311.15775832859043</v>
      </c>
      <c r="AB106" s="14">
        <v>16</v>
      </c>
      <c r="AC106" s="14">
        <v>100</v>
      </c>
      <c r="AE106" s="14" t="e">
        <f t="shared" si="13"/>
        <v>#VALUE!</v>
      </c>
      <c r="AF106" s="14">
        <f>[3]Prices!$D699*7.5/100</f>
        <v>3.5625</v>
      </c>
      <c r="AG106" s="14" t="e">
        <f t="shared" si="12"/>
        <v>#VALUE!</v>
      </c>
      <c r="AJ106" s="14">
        <f t="shared" si="17"/>
        <v>4.934639171726368</v>
      </c>
      <c r="AK106" s="14">
        <f t="shared" si="10"/>
        <v>4.3559887467265268</v>
      </c>
      <c r="AL106" s="11">
        <f t="shared" si="18"/>
        <v>-2.5936176139671092</v>
      </c>
      <c r="AM106" s="13">
        <f>'[7]D6 Gallon Forecast'!$T30/1000000</f>
        <v>1.0685242730253049E-7</v>
      </c>
      <c r="AR106" s="11" t="e">
        <f t="shared" si="21"/>
        <v>#VALUE!</v>
      </c>
    </row>
    <row r="107" spans="1:44" x14ac:dyDescent="0.25">
      <c r="A107" s="10">
        <v>46784</v>
      </c>
      <c r="C107" s="15">
        <f>[6]Biodiesel!$T4</f>
        <v>101197494.53168061</v>
      </c>
      <c r="D107" s="15">
        <f>AVERAGE([6]Biodiesel!$O4:$S4)</f>
        <v>103791748.08203283</v>
      </c>
      <c r="E107" s="15">
        <f t="shared" si="20"/>
        <v>-2594253.5503522158</v>
      </c>
      <c r="F107" s="15">
        <f>[6]Biodiesel!$T36</f>
        <v>122536302.63858755</v>
      </c>
      <c r="G107" s="15">
        <f>AVERAGE([6]Biodiesel!$O36:$S36)</f>
        <v>130135197.69881269</v>
      </c>
      <c r="H107" s="15">
        <f t="shared" si="11"/>
        <v>-7598895.060225144</v>
      </c>
      <c r="K107" s="15">
        <f>'[6]Renewable Diesel'!$T50</f>
        <v>194339785.8096548</v>
      </c>
      <c r="L107" s="15">
        <f>AVERAGE('[6]Renewable Diesel'!$O50:$S50)</f>
        <v>191486456.04467338</v>
      </c>
      <c r="M107" s="15">
        <f t="shared" si="15"/>
        <v>2853329.7649814188</v>
      </c>
      <c r="N107" s="15">
        <f>'[6]Renewable Diesel'!$T4</f>
        <v>218897047.44135529</v>
      </c>
      <c r="O107" s="15">
        <f>AVERAGE('[6]Renewable Diesel'!$O4:$S4)</f>
        <v>218582648.07382089</v>
      </c>
      <c r="P107" s="15">
        <f t="shared" si="16"/>
        <v>314399.36753439903</v>
      </c>
      <c r="S107" s="11">
        <f>'[8]Soy Complex'!$BQ598</f>
        <v>51.75</v>
      </c>
      <c r="T107" s="11"/>
      <c r="U107" s="11"/>
      <c r="V107" s="11">
        <f>[9]Forecasts!$B99</f>
        <v>415</v>
      </c>
      <c r="W107" s="11" t="e">
        <f>#REF!*100</f>
        <v>#REF!</v>
      </c>
      <c r="X107" s="11"/>
      <c r="AA107" s="14">
        <f t="shared" si="19"/>
        <v>296.59577299351503</v>
      </c>
      <c r="AB107" s="14">
        <v>16</v>
      </c>
      <c r="AC107" s="14">
        <v>100</v>
      </c>
      <c r="AE107" s="14" t="e">
        <f t="shared" si="13"/>
        <v>#VALUE!</v>
      </c>
      <c r="AF107" s="14">
        <f>[3]Prices!$D700*7.5/100</f>
        <v>3.4125000000000001</v>
      </c>
      <c r="AG107" s="14" t="e">
        <f t="shared" si="12"/>
        <v>#VALUE!</v>
      </c>
      <c r="AJ107" s="14">
        <f t="shared" si="17"/>
        <v>4.9095844254857663</v>
      </c>
      <c r="AK107" s="14">
        <f t="shared" si="10"/>
        <v>4.4328467174764468</v>
      </c>
      <c r="AL107" s="11">
        <f t="shared" si="18"/>
        <v>-2.6794237083743875</v>
      </c>
      <c r="AM107" s="13">
        <f>'[7]D6 Gallon Forecast'!$T31/1000000</f>
        <v>867.92941319973568</v>
      </c>
      <c r="AR107" s="11" t="e">
        <f t="shared" si="21"/>
        <v>#VALUE!</v>
      </c>
    </row>
    <row r="108" spans="1:44" x14ac:dyDescent="0.25">
      <c r="A108" s="10">
        <v>46813</v>
      </c>
      <c r="C108" s="15">
        <f>[6]Biodiesel!$T5</f>
        <v>115222583.49346527</v>
      </c>
      <c r="D108" s="15">
        <f>AVERAGE([6]Biodiesel!$O5:$S5)</f>
        <v>118176322.94080326</v>
      </c>
      <c r="E108" s="15">
        <f t="shared" si="20"/>
        <v>-2953739.447337985</v>
      </c>
      <c r="F108" s="15">
        <f>[6]Biodiesel!$T37</f>
        <v>133192305.28676863</v>
      </c>
      <c r="G108" s="15">
        <f>AVERAGE([6]Biodiesel!$O37:$S37)</f>
        <v>140360047.77156407</v>
      </c>
      <c r="H108" s="15">
        <f t="shared" si="11"/>
        <v>-7167742.4847954363</v>
      </c>
      <c r="K108" s="15">
        <f>'[6]Renewable Diesel'!$T51</f>
        <v>209925909.7028141</v>
      </c>
      <c r="L108" s="15">
        <f>AVERAGE('[6]Renewable Diesel'!$O51:$S51)</f>
        <v>211324386.74872127</v>
      </c>
      <c r="M108" s="15">
        <f t="shared" si="15"/>
        <v>-1398477.0459071696</v>
      </c>
      <c r="N108" s="15">
        <f>'[6]Renewable Diesel'!$T5</f>
        <v>231371725.54261974</v>
      </c>
      <c r="O108" s="15">
        <f>AVERAGE('[6]Renewable Diesel'!$O5:$S5)</f>
        <v>237958651.96513939</v>
      </c>
      <c r="P108" s="15">
        <f t="shared" si="16"/>
        <v>-6586926.422519654</v>
      </c>
      <c r="S108" s="11">
        <f>'[8]Soy Complex'!$BQ599</f>
        <v>51.5</v>
      </c>
      <c r="T108" s="11"/>
      <c r="U108" s="11"/>
      <c r="V108" s="11">
        <f>[9]Forecasts!$B100</f>
        <v>417.5</v>
      </c>
      <c r="W108" s="11" t="e">
        <f>#REF!*100</f>
        <v>#REF!</v>
      </c>
      <c r="X108" s="11"/>
      <c r="AA108" s="14">
        <f t="shared" si="19"/>
        <v>302.65306663944546</v>
      </c>
      <c r="AB108" s="14">
        <v>16</v>
      </c>
      <c r="AC108" s="14">
        <v>100</v>
      </c>
      <c r="AE108" s="14" t="e">
        <f t="shared" si="13"/>
        <v>#VALUE!</v>
      </c>
      <c r="AF108" s="14">
        <f>[3]Prices!$D701*7.5/100</f>
        <v>3.45</v>
      </c>
      <c r="AG108" s="14" t="e">
        <f t="shared" si="12"/>
        <v>#VALUE!</v>
      </c>
      <c r="AJ108" s="14">
        <f t="shared" si="17"/>
        <v>4.9615517311605961</v>
      </c>
      <c r="AK108" s="14">
        <f t="shared" si="10"/>
        <v>4.5608785497409512</v>
      </c>
      <c r="AL108" s="11">
        <f t="shared" si="18"/>
        <v>-2.7888957886121668</v>
      </c>
      <c r="AM108" s="13">
        <f>'[7]D6 Gallon Forecast'!$T32/1000000</f>
        <v>2.0279999999999999E-3</v>
      </c>
      <c r="AR108" s="11" t="e">
        <f t="shared" si="21"/>
        <v>#VALUE!</v>
      </c>
    </row>
    <row r="109" spans="1:44" x14ac:dyDescent="0.25">
      <c r="A109" s="10">
        <v>46844</v>
      </c>
      <c r="C109" s="15">
        <f>[6]Biodiesel!$T6</f>
        <v>114189073.55849801</v>
      </c>
      <c r="D109" s="15">
        <f>AVERAGE([6]Biodiesel!$O6:$S6)</f>
        <v>117403044.03629868</v>
      </c>
      <c r="E109" s="15">
        <f t="shared" si="20"/>
        <v>-3213970.4778006673</v>
      </c>
      <c r="F109" s="15">
        <f>[6]Biodiesel!$T38</f>
        <v>134842063.78543931</v>
      </c>
      <c r="G109" s="15">
        <f>AVERAGE([6]Biodiesel!$O38:$S38)</f>
        <v>142899829.27160761</v>
      </c>
      <c r="H109" s="15">
        <f t="shared" si="11"/>
        <v>-8057765.4861682951</v>
      </c>
      <c r="K109" s="15">
        <f>'[6]Renewable Diesel'!$T52</f>
        <v>199564489.04953969</v>
      </c>
      <c r="L109" s="15">
        <f>AVERAGE('[6]Renewable Diesel'!$O52:$S52)</f>
        <v>209033167.75024471</v>
      </c>
      <c r="M109" s="15">
        <f t="shared" si="15"/>
        <v>-9468678.7007050216</v>
      </c>
      <c r="N109" s="15">
        <f>'[6]Renewable Diesel'!$T6</f>
        <v>220477758.70083937</v>
      </c>
      <c r="O109" s="15">
        <f>AVERAGE('[6]Renewable Diesel'!$O6:$S6)</f>
        <v>234240712.92738828</v>
      </c>
      <c r="P109" s="15">
        <f t="shared" si="16"/>
        <v>-13762954.22654891</v>
      </c>
      <c r="S109" s="11">
        <f>'[8]Soy Complex'!$BQ600</f>
        <v>51.5</v>
      </c>
      <c r="T109" s="11"/>
      <c r="U109" s="11"/>
      <c r="V109" s="11">
        <f>[9]Forecasts!$B101</f>
        <v>420</v>
      </c>
      <c r="W109" s="11" t="e">
        <f>#REF!*100</f>
        <v>#REF!</v>
      </c>
      <c r="X109" s="11"/>
      <c r="AA109" s="14">
        <f t="shared" si="19"/>
        <v>308.95146624304198</v>
      </c>
      <c r="AB109" s="14">
        <v>16</v>
      </c>
      <c r="AC109" s="14">
        <v>100</v>
      </c>
      <c r="AE109" s="14" t="e">
        <f t="shared" si="13"/>
        <v>#VALUE!</v>
      </c>
      <c r="AF109" s="14">
        <f>[3]Prices!$D702*7.5/100</f>
        <v>3.5249999999999999</v>
      </c>
      <c r="AG109" s="14" t="e">
        <f t="shared" si="12"/>
        <v>#VALUE!</v>
      </c>
      <c r="AJ109" s="14">
        <f t="shared" si="17"/>
        <v>5.0428030824798142</v>
      </c>
      <c r="AK109" s="14">
        <f t="shared" si="10"/>
        <v>4.5404817782250255</v>
      </c>
      <c r="AL109" s="11">
        <f t="shared" si="18"/>
        <v>-2.7394806773393774</v>
      </c>
      <c r="AM109" s="13">
        <f>'[7]D6 Gallon Forecast'!$T33/1000000</f>
        <v>1229.4507806353599</v>
      </c>
      <c r="AR109" s="11" t="e">
        <f>AR108+AVERAGE(AR97-AR96,AR85-AR84,AR73-AR72,AR61-AE60,AE49-AE48)</f>
        <v>#VALUE!</v>
      </c>
    </row>
    <row r="110" spans="1:44" x14ac:dyDescent="0.25">
      <c r="A110" s="10">
        <v>46874</v>
      </c>
      <c r="C110" s="15">
        <f>[6]Biodiesel!$T7</f>
        <v>125230101.9666566</v>
      </c>
      <c r="D110" s="15">
        <f>AVERAGE([6]Biodiesel!$O7:$S7)</f>
        <v>128663738.80039784</v>
      </c>
      <c r="E110" s="15">
        <f t="shared" si="20"/>
        <v>-3433636.8337412477</v>
      </c>
      <c r="F110" s="15">
        <f>[6]Biodiesel!$T39</f>
        <v>142887240.16333795</v>
      </c>
      <c r="G110" s="15">
        <f>AVERAGE([6]Biodiesel!$O39:$S39)</f>
        <v>150767886.29049158</v>
      </c>
      <c r="H110" s="15">
        <f t="shared" si="11"/>
        <v>-7880646.127153635</v>
      </c>
      <c r="K110" s="15">
        <f>'[6]Renewable Diesel'!$T53</f>
        <v>222828584.63535574</v>
      </c>
      <c r="L110" s="15">
        <f>AVERAGE('[6]Renewable Diesel'!$O53:$S53)</f>
        <v>216765498.59574205</v>
      </c>
      <c r="M110" s="15">
        <f t="shared" si="15"/>
        <v>6063086.039613694</v>
      </c>
      <c r="N110" s="15">
        <f>'[6]Renewable Diesel'!$T7</f>
        <v>246350541.92909336</v>
      </c>
      <c r="O110" s="15">
        <f>AVERAGE('[6]Renewable Diesel'!$O7:$S7)</f>
        <v>243903196.45470944</v>
      </c>
      <c r="P110" s="15">
        <f t="shared" si="16"/>
        <v>2447345.4743839204</v>
      </c>
      <c r="S110" s="11">
        <f>'[8]Soy Complex'!$BQ601</f>
        <v>53.5</v>
      </c>
      <c r="T110" s="11"/>
      <c r="U110" s="11"/>
      <c r="V110" s="11">
        <f>[9]Forecasts!$B102</f>
        <v>442.5</v>
      </c>
      <c r="W110" s="11" t="e">
        <f>#REF!*100</f>
        <v>#REF!</v>
      </c>
      <c r="X110" s="11"/>
      <c r="AA110" s="14">
        <f t="shared" si="19"/>
        <v>294.72368619553322</v>
      </c>
      <c r="AB110" s="14">
        <v>16</v>
      </c>
      <c r="AC110" s="14">
        <v>100</v>
      </c>
      <c r="AE110" s="14" t="e">
        <f t="shared" si="13"/>
        <v>#VALUE!</v>
      </c>
      <c r="AF110" s="14">
        <f>[3]Prices!$D703*7.5/100</f>
        <v>3.6</v>
      </c>
      <c r="AG110" s="14" t="e">
        <f t="shared" si="12"/>
        <v>#VALUE!</v>
      </c>
      <c r="AJ110" s="14">
        <f t="shared" si="17"/>
        <v>5.0224314313616061</v>
      </c>
      <c r="AK110" s="14">
        <f t="shared" si="10"/>
        <v>4.6527513870628701</v>
      </c>
      <c r="AL110" s="11">
        <f t="shared" si="18"/>
        <v>-2.8590258758622964</v>
      </c>
      <c r="AM110" s="13">
        <f>'[7]D6 Gallon Forecast'!$T34/1000000</f>
        <v>1148.3641172556152</v>
      </c>
      <c r="AR110" s="11" t="e">
        <f t="shared" ref="AR110:AR120" si="22">AR109+AVERAGE(AR98-AR97,AR86-AR85,AR74-AR73,AR62-AR61,AE50-AE49)</f>
        <v>#VALUE!</v>
      </c>
    </row>
    <row r="111" spans="1:44" x14ac:dyDescent="0.25">
      <c r="A111" s="10">
        <v>46905</v>
      </c>
      <c r="C111" s="15">
        <f>[6]Biodiesel!$T8</f>
        <v>120561014.89019951</v>
      </c>
      <c r="D111" s="15">
        <f>AVERAGE([6]Biodiesel!$O8:$S8)</f>
        <v>123917576.94982949</v>
      </c>
      <c r="E111" s="15">
        <f t="shared" si="20"/>
        <v>-3356562.0596299767</v>
      </c>
      <c r="F111" s="15">
        <f>[6]Biodiesel!$T40</f>
        <v>139608566.90101355</v>
      </c>
      <c r="G111" s="15">
        <f>AVERAGE([6]Biodiesel!$O40:$S40)</f>
        <v>147432396.71886137</v>
      </c>
      <c r="H111" s="15">
        <f t="shared" si="11"/>
        <v>-7823829.8178478181</v>
      </c>
      <c r="K111" s="15">
        <f>'[6]Renewable Diesel'!$T54</f>
        <v>224675346.34374565</v>
      </c>
      <c r="L111" s="15">
        <f>AVERAGE('[6]Renewable Diesel'!$O54:$S54)</f>
        <v>223258933.41312847</v>
      </c>
      <c r="M111" s="15">
        <f t="shared" si="15"/>
        <v>1416412.9306171834</v>
      </c>
      <c r="N111" s="15">
        <f>'[6]Renewable Diesel'!$T8</f>
        <v>251917521.29783314</v>
      </c>
      <c r="O111" s="15">
        <f>AVERAGE('[6]Renewable Diesel'!$O8:$S8)</f>
        <v>255772976.40778464</v>
      </c>
      <c r="P111" s="15">
        <f t="shared" si="16"/>
        <v>-3855455.1099514961</v>
      </c>
      <c r="S111" s="11">
        <f>'[8]Soy Complex'!$BQ602</f>
        <v>55</v>
      </c>
      <c r="T111" s="11"/>
      <c r="U111" s="11"/>
      <c r="V111" s="11">
        <f>[9]Forecasts!$B103</f>
        <v>455</v>
      </c>
      <c r="W111" s="11" t="e">
        <f>#REF!*100</f>
        <v>#REF!</v>
      </c>
      <c r="X111" s="11"/>
      <c r="AA111" s="14">
        <f t="shared" si="19"/>
        <v>300.25565426840438</v>
      </c>
      <c r="AB111" s="14">
        <v>16</v>
      </c>
      <c r="AC111" s="14">
        <v>100</v>
      </c>
      <c r="AE111" s="14" t="e">
        <f t="shared" si="13"/>
        <v>#VALUE!</v>
      </c>
      <c r="AF111" s="14">
        <f>[3]Prices!$D704*7.5/100</f>
        <v>3.6375000000000002</v>
      </c>
      <c r="AG111" s="14" t="e">
        <f t="shared" si="12"/>
        <v>#VALUE!</v>
      </c>
      <c r="AJ111" s="14">
        <f t="shared" si="17"/>
        <v>4.8835214219631098</v>
      </c>
      <c r="AK111" s="14">
        <f t="shared" si="10"/>
        <v>4.7701455445103615</v>
      </c>
      <c r="AL111" s="11">
        <f t="shared" si="18"/>
        <v>-3.0260307509521081</v>
      </c>
      <c r="AM111" s="13">
        <f>'[7]D6 Gallon Forecast'!$T35/1000000</f>
        <v>1226.7909862994209</v>
      </c>
      <c r="AR111" s="11" t="e">
        <f t="shared" si="22"/>
        <v>#VALUE!</v>
      </c>
    </row>
    <row r="112" spans="1:44" x14ac:dyDescent="0.25">
      <c r="A112" s="10">
        <v>46935</v>
      </c>
      <c r="C112" s="15">
        <f>[6]Biodiesel!$T9</f>
        <v>119813733.10169965</v>
      </c>
      <c r="D112" s="15">
        <f>AVERAGE([6]Biodiesel!$O9:$S9)</f>
        <v>123203500.85216406</v>
      </c>
      <c r="E112" s="15">
        <f t="shared" si="20"/>
        <v>-3389767.7504644096</v>
      </c>
      <c r="F112" s="15">
        <f>[6]Biodiesel!$T41</f>
        <v>133070290.88635027</v>
      </c>
      <c r="G112" s="15">
        <f>AVERAGE([6]Biodiesel!$O41:$S41)</f>
        <v>140054524.12081057</v>
      </c>
      <c r="H112" s="15">
        <f t="shared" si="11"/>
        <v>-6984233.2344602942</v>
      </c>
      <c r="K112" s="15">
        <f>'[6]Renewable Diesel'!$T55</f>
        <v>217697084.14826158</v>
      </c>
      <c r="L112" s="15">
        <f>AVERAGE('[6]Renewable Diesel'!$O55:$S55)</f>
        <v>218313692.45773</v>
      </c>
      <c r="M112" s="15">
        <f t="shared" si="15"/>
        <v>-616608.30946841836</v>
      </c>
      <c r="N112" s="15">
        <f>'[6]Renewable Diesel'!$T9</f>
        <v>236288393.24777529</v>
      </c>
      <c r="O112" s="15">
        <f>AVERAGE('[6]Renewable Diesel'!$O9:$S9)</f>
        <v>246180840.62855119</v>
      </c>
      <c r="P112" s="15">
        <f t="shared" si="16"/>
        <v>-9892447.3807758987</v>
      </c>
      <c r="S112" s="11">
        <f>'[8]Soy Complex'!$BQ603</f>
        <v>54.75</v>
      </c>
      <c r="T112" s="11"/>
      <c r="U112" s="11"/>
      <c r="V112" s="11">
        <f>[9]Forecasts!$B104</f>
        <v>460</v>
      </c>
      <c r="W112" s="11" t="e">
        <f>#REF!*100</f>
        <v>#REF!</v>
      </c>
      <c r="X112" s="11"/>
      <c r="AA112" s="14">
        <f t="shared" si="19"/>
        <v>305.55432238450697</v>
      </c>
      <c r="AB112" s="14">
        <v>16</v>
      </c>
      <c r="AC112" s="14">
        <v>100</v>
      </c>
      <c r="AE112" s="14" t="e">
        <f t="shared" si="13"/>
        <v>#VALUE!</v>
      </c>
      <c r="AF112" s="14">
        <f>[3]Prices!$D705*7.5/100</f>
        <v>3.6</v>
      </c>
      <c r="AG112" s="14" t="e">
        <f t="shared" si="12"/>
        <v>#VALUE!</v>
      </c>
      <c r="AJ112" s="14">
        <f t="shared" si="17"/>
        <v>4.2305269188818979</v>
      </c>
      <c r="AK112" s="14">
        <f t="shared" si="10"/>
        <v>4.7476702540395159</v>
      </c>
      <c r="AL112" s="11">
        <f t="shared" si="18"/>
        <v>-3.2367677830102668</v>
      </c>
      <c r="AM112" s="13">
        <f>'[7]D6 Gallon Forecast'!$T36/1000000</f>
        <v>1150.5170112158082</v>
      </c>
      <c r="AR112" s="11" t="e">
        <f t="shared" si="22"/>
        <v>#VALUE!</v>
      </c>
    </row>
    <row r="113" spans="1:44" x14ac:dyDescent="0.25">
      <c r="A113" s="10">
        <v>46966</v>
      </c>
      <c r="C113" s="15">
        <f>[6]Biodiesel!$T10</f>
        <v>123225666.55184281</v>
      </c>
      <c r="D113" s="15">
        <f>AVERAGE([6]Biodiesel!$O10:$S10)</f>
        <v>126787720.85386857</v>
      </c>
      <c r="E113" s="15">
        <f t="shared" si="20"/>
        <v>-3562054.3020257652</v>
      </c>
      <c r="F113" s="15">
        <f>[6]Biodiesel!$T42</f>
        <v>139852615.01521239</v>
      </c>
      <c r="G113" s="15">
        <f>AVERAGE([6]Biodiesel!$O42:$S42)</f>
        <v>147314227.15783581</v>
      </c>
      <c r="H113" s="15">
        <f t="shared" si="11"/>
        <v>-7461612.1426234245</v>
      </c>
      <c r="K113" s="15">
        <f>'[6]Renewable Diesel'!$T56</f>
        <v>225367867.39515719</v>
      </c>
      <c r="L113" s="15">
        <f>AVERAGE('[6]Renewable Diesel'!$O56:$S56)</f>
        <v>226179274.87896481</v>
      </c>
      <c r="M113" s="15">
        <f t="shared" si="15"/>
        <v>-811407.48380762339</v>
      </c>
      <c r="N113" s="15">
        <f>'[6]Renewable Diesel'!$T10</f>
        <v>236728718.56776279</v>
      </c>
      <c r="O113" s="15">
        <f>AVERAGE('[6]Renewable Diesel'!$O10:$S10)</f>
        <v>241957731.47045422</v>
      </c>
      <c r="P113" s="15">
        <f t="shared" si="16"/>
        <v>-5229012.9026914239</v>
      </c>
      <c r="S113" s="11">
        <f>'[8]Soy Complex'!$BQ604</f>
        <v>54.25</v>
      </c>
      <c r="T113" s="11"/>
      <c r="U113" s="11"/>
      <c r="V113" s="11">
        <f>[9]Forecasts!$B105</f>
        <v>465</v>
      </c>
      <c r="W113" s="11" t="e">
        <f>#REF!*100</f>
        <v>#REF!</v>
      </c>
      <c r="X113" s="11"/>
      <c r="AA113" s="14">
        <f t="shared" si="19"/>
        <v>301.46122594309224</v>
      </c>
      <c r="AB113" s="14">
        <v>16</v>
      </c>
      <c r="AC113" s="14">
        <v>100</v>
      </c>
      <c r="AE113" s="14" t="e">
        <f t="shared" si="13"/>
        <v>#VALUE!</v>
      </c>
      <c r="AF113" s="14">
        <f>[3]Prices!$D706*7.5/100</f>
        <v>3.5625</v>
      </c>
      <c r="AG113" s="14" t="e">
        <f t="shared" si="12"/>
        <v>#VALUE!</v>
      </c>
      <c r="AJ113" s="14">
        <f t="shared" si="17"/>
        <v>4.0926665482648188</v>
      </c>
      <c r="AK113" s="14">
        <f t="shared" si="10"/>
        <v>4.7067221853145398</v>
      </c>
      <c r="AL113" s="11">
        <f t="shared" si="18"/>
        <v>-3.2450555609342473</v>
      </c>
      <c r="AM113" s="13">
        <f>'[7]D6 Gallon Forecast'!$T37/1000000</f>
        <v>1259.2618981086382</v>
      </c>
      <c r="AR113" s="11" t="e">
        <f t="shared" si="22"/>
        <v>#VALUE!</v>
      </c>
    </row>
    <row r="114" spans="1:44" x14ac:dyDescent="0.25">
      <c r="A114" s="10">
        <v>46997</v>
      </c>
      <c r="C114" s="15">
        <f>[6]Biodiesel!$T11</f>
        <v>116442320.69246098</v>
      </c>
      <c r="D114" s="15">
        <f>AVERAGE([6]Biodiesel!$O11:$S11)</f>
        <v>120014280.11246435</v>
      </c>
      <c r="E114" s="15">
        <f t="shared" si="20"/>
        <v>-3571959.4200033695</v>
      </c>
      <c r="F114" s="15">
        <f>[6]Biodiesel!$T43</f>
        <v>133145675.06615742</v>
      </c>
      <c r="G114" s="15">
        <f>AVERAGE([6]Biodiesel!$O43:$S43)</f>
        <v>141090382.78696182</v>
      </c>
      <c r="H114" s="15">
        <f t="shared" si="11"/>
        <v>-7944707.7208044082</v>
      </c>
      <c r="K114" s="15">
        <f>'[6]Renewable Diesel'!$T57</f>
        <v>227636180.66493666</v>
      </c>
      <c r="L114" s="15">
        <f>AVERAGE('[6]Renewable Diesel'!$O57:$S57)</f>
        <v>226912741.13514447</v>
      </c>
      <c r="M114" s="15">
        <f t="shared" si="15"/>
        <v>723439.5297921896</v>
      </c>
      <c r="N114" s="15">
        <f>'[6]Renewable Diesel'!$T11</f>
        <v>239216205.31612912</v>
      </c>
      <c r="O114" s="15">
        <f>AVERAGE('[6]Renewable Diesel'!$O11:$S11)</f>
        <v>246104321.69702214</v>
      </c>
      <c r="P114" s="15">
        <f t="shared" si="16"/>
        <v>-6888116.3808930218</v>
      </c>
      <c r="S114" s="11">
        <f>'[8]Soy Complex'!$BQ605</f>
        <v>57.75</v>
      </c>
      <c r="T114" s="11"/>
      <c r="U114" s="11"/>
      <c r="V114" s="11">
        <f>[9]Forecasts!$B106</f>
        <v>492.5</v>
      </c>
      <c r="W114" s="11" t="e">
        <f>#REF!*100</f>
        <v>#REF!</v>
      </c>
      <c r="X114" s="11"/>
      <c r="AA114" s="14">
        <f t="shared" si="19"/>
        <v>302.91742106590976</v>
      </c>
      <c r="AB114" s="14">
        <v>16</v>
      </c>
      <c r="AC114" s="14">
        <v>100</v>
      </c>
      <c r="AE114" s="14" t="e">
        <f t="shared" si="13"/>
        <v>#VALUE!</v>
      </c>
      <c r="AF114" s="14">
        <f>[3]Prices!$D707*7.5/100</f>
        <v>3.75</v>
      </c>
      <c r="AG114" s="14" t="e">
        <f t="shared" si="12"/>
        <v>#VALUE!</v>
      </c>
      <c r="AJ114" s="14">
        <f t="shared" si="17"/>
        <v>4.2493789802320059</v>
      </c>
      <c r="AK114" s="14">
        <f t="shared" si="10"/>
        <v>4.5253959816863549</v>
      </c>
      <c r="AL114" s="11">
        <f t="shared" si="18"/>
        <v>-3.0077606316034955</v>
      </c>
      <c r="AM114" s="13">
        <f>'[7]D6 Gallon Forecast'!$T38/1000000</f>
        <v>1269.2881101670325</v>
      </c>
      <c r="AR114" s="11" t="e">
        <f t="shared" si="22"/>
        <v>#VALUE!</v>
      </c>
    </row>
    <row r="115" spans="1:44" x14ac:dyDescent="0.25">
      <c r="A115" s="10">
        <v>47027</v>
      </c>
      <c r="C115" s="15">
        <f>[6]Biodiesel!$T12</f>
        <v>120144255.82381831</v>
      </c>
      <c r="D115" s="15">
        <f>AVERAGE([6]Biodiesel!$O12:$S12)</f>
        <v>123467623.71728043</v>
      </c>
      <c r="E115" s="15">
        <f t="shared" si="20"/>
        <v>-3323367.8934621215</v>
      </c>
      <c r="F115" s="15">
        <f>[6]Biodiesel!$T44</f>
        <v>139963363.7778185</v>
      </c>
      <c r="G115" s="15">
        <f>AVERAGE([6]Biodiesel!$O44:$S44)</f>
        <v>147934954.28326136</v>
      </c>
      <c r="H115" s="15">
        <f t="shared" si="11"/>
        <v>-7971590.5054428577</v>
      </c>
      <c r="K115" s="15">
        <f>'[6]Renewable Diesel'!$T58</f>
        <v>246559756.93297684</v>
      </c>
      <c r="L115" s="15">
        <f>AVERAGE('[6]Renewable Diesel'!$O58:$S58)</f>
        <v>240163958.07093063</v>
      </c>
      <c r="M115" s="15">
        <f t="shared" si="15"/>
        <v>6395798.862046212</v>
      </c>
      <c r="N115" s="15">
        <f>'[6]Renewable Diesel'!$T12</f>
        <v>266823726.79202893</v>
      </c>
      <c r="O115" s="15">
        <f>AVERAGE('[6]Renewable Diesel'!$O12:$S12)</f>
        <v>264537854.56792459</v>
      </c>
      <c r="P115" s="15">
        <f t="shared" si="16"/>
        <v>2285872.2241043448</v>
      </c>
      <c r="S115" s="11">
        <f>'[8]Soy Complex'!$BR594</f>
        <v>57.75</v>
      </c>
      <c r="T115" s="11"/>
      <c r="U115" s="11"/>
      <c r="V115" s="11">
        <f>[9]Forecasts!$B107</f>
        <v>500</v>
      </c>
      <c r="W115" s="11" t="e">
        <f>#REF!*100</f>
        <v>#REF!</v>
      </c>
      <c r="X115" s="11"/>
      <c r="AA115" s="14">
        <f t="shared" si="19"/>
        <v>294.86541126730361</v>
      </c>
      <c r="AB115" s="14">
        <v>16</v>
      </c>
      <c r="AC115" s="14">
        <v>100</v>
      </c>
      <c r="AE115" s="14" t="e">
        <f t="shared" si="13"/>
        <v>#VALUE!</v>
      </c>
      <c r="AF115" s="14">
        <f>[3]Prices!$D708*7.5/100</f>
        <v>3.7312500000000002</v>
      </c>
      <c r="AG115" s="14" t="e">
        <f t="shared" si="12"/>
        <v>#VALUE!</v>
      </c>
      <c r="AJ115" s="14">
        <f t="shared" si="17"/>
        <v>4.3384729074212114</v>
      </c>
      <c r="AK115" s="14">
        <f t="shared" si="10"/>
        <v>4.5256405812979912</v>
      </c>
      <c r="AL115" s="11">
        <f t="shared" si="18"/>
        <v>-2.9761859715047012</v>
      </c>
      <c r="AM115" s="13">
        <f>'[7]D6 Gallon Forecast'!$T39/1000000</f>
        <v>1306.269174644912</v>
      </c>
      <c r="AR115" s="11" t="e">
        <f t="shared" si="22"/>
        <v>#VALUE!</v>
      </c>
    </row>
    <row r="116" spans="1:44" x14ac:dyDescent="0.25">
      <c r="A116" s="10">
        <v>47058</v>
      </c>
      <c r="C116" s="15">
        <f>[6]Biodiesel!$T13</f>
        <v>113170405.02579209</v>
      </c>
      <c r="D116" s="15">
        <f>AVERAGE([6]Biodiesel!$O13:$S13)</f>
        <v>116264489.80642781</v>
      </c>
      <c r="E116" s="15">
        <f t="shared" si="20"/>
        <v>-3094084.7806357145</v>
      </c>
      <c r="F116" s="15">
        <f>[6]Biodiesel!$T45</f>
        <v>129914764.28893052</v>
      </c>
      <c r="G116" s="15">
        <f>AVERAGE([6]Biodiesel!$O45:$S45)</f>
        <v>136935943.54479161</v>
      </c>
      <c r="H116" s="15">
        <f t="shared" si="11"/>
        <v>-7021179.2558610886</v>
      </c>
      <c r="K116" s="15">
        <f>'[6]Renewable Diesel'!$T59</f>
        <v>297104487.95130962</v>
      </c>
      <c r="L116" s="15">
        <f>AVERAGE('[6]Renewable Diesel'!$O59:$S59)</f>
        <v>256216747.57455009</v>
      </c>
      <c r="M116" s="15">
        <f t="shared" si="15"/>
        <v>40887740.376759529</v>
      </c>
      <c r="N116" s="15">
        <f>'[6]Renewable Diesel'!$T13</f>
        <v>313688564.29507715</v>
      </c>
      <c r="O116" s="15">
        <f>AVERAGE('[6]Renewable Diesel'!$O13:$S13)</f>
        <v>281038165.37989104</v>
      </c>
      <c r="P116" s="15">
        <f t="shared" si="16"/>
        <v>32650398.915186107</v>
      </c>
      <c r="S116" s="11">
        <f>'[8]Soy Complex'!$BR595</f>
        <v>58</v>
      </c>
      <c r="T116" s="11"/>
      <c r="U116" s="11"/>
      <c r="V116" s="11">
        <f>[9]Forecasts!$B108</f>
        <v>510</v>
      </c>
      <c r="W116" s="11" t="e">
        <f>#REF!*100</f>
        <v>#REF!</v>
      </c>
      <c r="X116" s="11"/>
      <c r="AA116" s="14">
        <f t="shared" si="19"/>
        <v>268.21446619054115</v>
      </c>
      <c r="AB116" s="14">
        <v>16</v>
      </c>
      <c r="AC116" s="14">
        <v>100</v>
      </c>
      <c r="AE116" s="14" t="e">
        <f t="shared" si="13"/>
        <v>#VALUE!</v>
      </c>
      <c r="AF116" s="14">
        <f>[3]Prices!$D709*7.5/100</f>
        <v>3.75</v>
      </c>
      <c r="AG116" s="14" t="e">
        <f t="shared" si="12"/>
        <v>#VALUE!</v>
      </c>
      <c r="AJ116" s="14">
        <f t="shared" si="17"/>
        <v>4.3776520689596836</v>
      </c>
      <c r="AK116" s="14">
        <f t="shared" si="10"/>
        <v>4.6198192108622997</v>
      </c>
      <c r="AL116" s="11">
        <f t="shared" si="18"/>
        <v>-3.0563720433766983</v>
      </c>
      <c r="AM116" s="13">
        <f>'[7]D6 Gallon Forecast'!$T40/1000000</f>
        <v>1323.1619178231897</v>
      </c>
      <c r="AR116" s="11" t="e">
        <f t="shared" si="22"/>
        <v>#VALUE!</v>
      </c>
    </row>
    <row r="117" spans="1:44" x14ac:dyDescent="0.25">
      <c r="A117" s="10">
        <v>47088</v>
      </c>
      <c r="C117" s="15">
        <f>[6]Biodiesel!$T14</f>
        <v>122278656.83158956</v>
      </c>
      <c r="D117" s="15">
        <f>AVERAGE([6]Biodiesel!$O14:$S14)</f>
        <v>125785638.92395477</v>
      </c>
      <c r="E117" s="15">
        <f t="shared" si="20"/>
        <v>-3506982.0923652053</v>
      </c>
      <c r="F117" s="15">
        <f>[6]Biodiesel!$T46</f>
        <v>147354933.04793906</v>
      </c>
      <c r="G117" s="15">
        <f>AVERAGE([6]Biodiesel!$O46:$S46)</f>
        <v>157173112.55125195</v>
      </c>
      <c r="H117" s="15">
        <f t="shared" si="11"/>
        <v>-9818179.5033128858</v>
      </c>
      <c r="K117" s="15">
        <f>'[6]Renewable Diesel'!$T60</f>
        <v>335657850.06439811</v>
      </c>
      <c r="L117" s="15">
        <f>AVERAGE('[6]Renewable Diesel'!$O60:$S60)</f>
        <v>294932121.59565258</v>
      </c>
      <c r="M117" s="15">
        <f t="shared" si="15"/>
        <v>40725728.46874553</v>
      </c>
      <c r="N117" s="15">
        <f>'[6]Renewable Diesel'!$T14</f>
        <v>352955052.41933751</v>
      </c>
      <c r="O117" s="15">
        <f>AVERAGE('[6]Renewable Diesel'!$O14:$S14)</f>
        <v>321044652.16693521</v>
      </c>
      <c r="P117" s="15">
        <f t="shared" si="16"/>
        <v>31910400.252402306</v>
      </c>
      <c r="S117" s="11">
        <f>'[8]Soy Complex'!$BR596</f>
        <v>57.25</v>
      </c>
      <c r="T117" s="11"/>
      <c r="U117" s="11"/>
      <c r="V117" s="11">
        <f>[9]Forecasts!$B109</f>
        <v>520</v>
      </c>
      <c r="W117" s="11" t="e">
        <f>#REF!*100</f>
        <v>#REF!</v>
      </c>
      <c r="X117" s="11"/>
      <c r="AA117" s="14">
        <f t="shared" si="19"/>
        <v>268.86396301686648</v>
      </c>
      <c r="AB117" s="14">
        <v>16</v>
      </c>
      <c r="AC117" s="14">
        <v>100</v>
      </c>
      <c r="AE117" s="14" t="e">
        <f t="shared" si="13"/>
        <v>#VALUE!</v>
      </c>
      <c r="AF117" s="14">
        <f>[3]Prices!$D710*7.5/100</f>
        <v>3.8062499999999999</v>
      </c>
      <c r="AG117" s="14" t="e">
        <f t="shared" si="12"/>
        <v>#VALUE!</v>
      </c>
      <c r="AJ117" s="14">
        <f t="shared" si="17"/>
        <v>4.4249980574438554</v>
      </c>
      <c r="AK117" s="14">
        <f t="shared" si="10"/>
        <v>4.5444854568613859</v>
      </c>
      <c r="AL117" s="11">
        <f t="shared" si="18"/>
        <v>-2.9641290077742948</v>
      </c>
      <c r="AM117" s="13">
        <f>'[7]D6 Gallon Forecast'!$T41/1000000</f>
        <v>1203.1753433146923</v>
      </c>
      <c r="AR117" s="11" t="e">
        <f t="shared" si="22"/>
        <v>#VALUE!</v>
      </c>
    </row>
    <row r="118" spans="1:44" x14ac:dyDescent="0.25">
      <c r="A118" s="10">
        <v>47119</v>
      </c>
      <c r="C118" s="15">
        <f>[6]Biodiesel!$U3</f>
        <v>91605699.599289626</v>
      </c>
      <c r="D118" s="15">
        <f>AVERAGE([6]Biodiesel!$P3:$T3)</f>
        <v>95143525.75017488</v>
      </c>
      <c r="E118" s="15">
        <f t="shared" si="20"/>
        <v>-3537826.1508852541</v>
      </c>
      <c r="F118" s="15">
        <f>[6]Biodiesel!$U35</f>
        <v>108784726.57797086</v>
      </c>
      <c r="G118" s="15">
        <f>AVERAGE([6]Biodiesel!$P35:$T35)</f>
        <v>111901687.15147619</v>
      </c>
      <c r="H118" s="15">
        <f t="shared" si="11"/>
        <v>-3116960.5735053271</v>
      </c>
      <c r="K118" s="15">
        <f>'[6]Renewable Diesel'!$U49</f>
        <v>197326382.48826179</v>
      </c>
      <c r="L118" s="15">
        <f>AVERAGE('[6]Renewable Diesel'!$P49:$T49)</f>
        <v>198732223.76496217</v>
      </c>
      <c r="M118" s="15">
        <f t="shared" si="15"/>
        <v>-1405841.2767003775</v>
      </c>
      <c r="N118" s="15">
        <f>'[6]Renewable Diesel'!$U3</f>
        <v>213467905.27841321</v>
      </c>
      <c r="O118" s="15">
        <f>AVERAGE('[6]Renewable Diesel'!$P3:$T3)</f>
        <v>215768349.27048317</v>
      </c>
      <c r="P118" s="15">
        <f t="shared" si="16"/>
        <v>-2300443.9920699596</v>
      </c>
      <c r="S118" s="11">
        <f>'[8]Soy Complex'!$BR597</f>
        <v>58.25</v>
      </c>
      <c r="T118" s="11"/>
      <c r="U118" s="11"/>
      <c r="V118" s="11">
        <f>[9]Forecasts!$B110</f>
        <v>520</v>
      </c>
      <c r="W118" s="11" t="e">
        <f>#REF!*100</f>
        <v>#REF!</v>
      </c>
      <c r="X118" s="11"/>
      <c r="AA118" s="14">
        <f t="shared" si="19"/>
        <v>298.89082101023979</v>
      </c>
      <c r="AB118" s="14">
        <v>16</v>
      </c>
      <c r="AC118" s="14">
        <v>100</v>
      </c>
      <c r="AE118" s="14" t="e">
        <f t="shared" si="13"/>
        <v>#VALUE!</v>
      </c>
      <c r="AF118" s="14">
        <f>[3]Prices!$D711*7.5/100</f>
        <v>3.8250000000000002</v>
      </c>
      <c r="AG118" s="14" t="e">
        <f t="shared" si="12"/>
        <v>#VALUE!</v>
      </c>
      <c r="AJ118" s="14">
        <f t="shared" si="17"/>
        <v>4.4868335925762981</v>
      </c>
      <c r="AK118" s="14">
        <f t="shared" si="10"/>
        <v>4.7531641563879798</v>
      </c>
      <c r="AL118" s="11">
        <f t="shared" si="18"/>
        <v>-3.1507235876107305</v>
      </c>
      <c r="AM118" s="13">
        <f>'[7]D6 Gallon Forecast'!$U30/1000000</f>
        <v>1.0680119687197259E-7</v>
      </c>
      <c r="AR118" s="11" t="e">
        <f t="shared" si="22"/>
        <v>#VALUE!</v>
      </c>
    </row>
    <row r="119" spans="1:44" x14ac:dyDescent="0.25">
      <c r="A119" s="10">
        <v>47150</v>
      </c>
      <c r="C119" s="15">
        <f>[6]Biodiesel!$U4</f>
        <v>97324055.650823236</v>
      </c>
      <c r="D119" s="15">
        <f>AVERAGE([6]Biodiesel!$P4:$T4)</f>
        <v>101082725.58836894</v>
      </c>
      <c r="E119" s="15">
        <f t="shared" si="20"/>
        <v>-3758669.9375457019</v>
      </c>
      <c r="F119" s="15">
        <f>[6]Biodiesel!$U36</f>
        <v>120339864.01682851</v>
      </c>
      <c r="G119" s="15">
        <f>AVERAGE([6]Biodiesel!$P36:$T36)</f>
        <v>123534674.22653022</v>
      </c>
      <c r="H119" s="15">
        <f t="shared" si="11"/>
        <v>-3194810.2097017169</v>
      </c>
      <c r="K119" s="15">
        <f>'[6]Renewable Diesel'!$U50</f>
        <v>214315638.49682814</v>
      </c>
      <c r="L119" s="15">
        <f>AVERAGE('[6]Renewable Diesel'!$P50:$T50)</f>
        <v>202140341.40660435</v>
      </c>
      <c r="M119" s="15">
        <f t="shared" si="15"/>
        <v>12175297.090223789</v>
      </c>
      <c r="N119" s="15">
        <f>'[6]Renewable Diesel'!$U4</f>
        <v>239433663.59989792</v>
      </c>
      <c r="O119" s="15">
        <f>AVERAGE('[6]Renewable Diesel'!$P4:$T4)</f>
        <v>228650468.96209198</v>
      </c>
      <c r="P119" s="15">
        <f t="shared" si="16"/>
        <v>10783194.637805939</v>
      </c>
      <c r="S119" s="11">
        <f>'[8]Soy Complex'!$BR598</f>
        <v>55.75</v>
      </c>
      <c r="T119" s="11"/>
      <c r="U119" s="11"/>
      <c r="V119" s="11">
        <f>[9]Forecasts!$B111</f>
        <v>507.5</v>
      </c>
      <c r="W119" s="11" t="e">
        <f>#REF!*100</f>
        <v>#REF!</v>
      </c>
      <c r="X119" s="11"/>
      <c r="AA119" s="14">
        <f t="shared" si="19"/>
        <v>287.40731138479771</v>
      </c>
      <c r="AB119" s="14">
        <v>16</v>
      </c>
      <c r="AC119" s="14">
        <v>100</v>
      </c>
      <c r="AE119" s="14" t="e">
        <f t="shared" si="13"/>
        <v>#VALUE!</v>
      </c>
      <c r="AF119" s="14">
        <f>[3]Prices!$D712*7.5/100</f>
        <v>3.6749999999999998</v>
      </c>
      <c r="AG119" s="14" t="e">
        <f t="shared" si="12"/>
        <v>#VALUE!</v>
      </c>
      <c r="AJ119" s="14">
        <f t="shared" si="17"/>
        <v>4.4853986967429647</v>
      </c>
      <c r="AK119" s="14">
        <f t="shared" si="10"/>
        <v>4.8807060017077264</v>
      </c>
      <c r="AL119" s="11">
        <f t="shared" si="18"/>
        <v>-3.278777895728096</v>
      </c>
      <c r="AM119" s="13">
        <f>'[7]D6 Gallon Forecast'!$U31/1000000</f>
        <v>1017.9876838811779</v>
      </c>
      <c r="AR119" s="11" t="e">
        <f t="shared" si="22"/>
        <v>#VALUE!</v>
      </c>
    </row>
    <row r="120" spans="1:44" x14ac:dyDescent="0.25">
      <c r="A120" s="10">
        <v>47178</v>
      </c>
      <c r="C120" s="15">
        <f>[6]Biodiesel!$U5</f>
        <v>110765287.04677273</v>
      </c>
      <c r="D120" s="15">
        <f>AVERAGE([6]Biodiesel!$P5:$T5)</f>
        <v>115042978.03949633</v>
      </c>
      <c r="E120" s="15">
        <f t="shared" si="20"/>
        <v>-4277690.9927235991</v>
      </c>
      <c r="F120" s="15">
        <f>[6]Biodiesel!$U37</f>
        <v>128007231.71347493</v>
      </c>
      <c r="G120" s="15">
        <f>AVERAGE([6]Biodiesel!$P37:$T37)</f>
        <v>131862562.42891781</v>
      </c>
      <c r="H120" s="15">
        <f t="shared" si="11"/>
        <v>-3855330.715442881</v>
      </c>
      <c r="K120" s="15">
        <f>'[6]Renewable Diesel'!$U51</f>
        <v>230098702.91521826</v>
      </c>
      <c r="L120" s="15">
        <f>AVERAGE('[6]Renewable Diesel'!$P51:$T51)</f>
        <v>216474408.28928408</v>
      </c>
      <c r="M120" s="15">
        <f t="shared" si="15"/>
        <v>13624294.625934184</v>
      </c>
      <c r="N120" s="15">
        <f>'[6]Renewable Diesel'!$U5</f>
        <v>250237186.72244301</v>
      </c>
      <c r="O120" s="15">
        <f>AVERAGE('[6]Renewable Diesel'!$P5:$T5)</f>
        <v>240264265.67366338</v>
      </c>
      <c r="P120" s="15">
        <f t="shared" si="16"/>
        <v>9972921.0487796366</v>
      </c>
      <c r="S120" s="11">
        <f>'[8]Soy Complex'!$BR599</f>
        <v>57.75</v>
      </c>
      <c r="T120" s="11"/>
      <c r="U120" s="11"/>
      <c r="V120" s="11">
        <f>[9]Forecasts!$B112</f>
        <v>512.5</v>
      </c>
      <c r="W120" s="11" t="e">
        <f>#REF!*100</f>
        <v>#REF!</v>
      </c>
      <c r="X120" s="11"/>
      <c r="AA120" s="14">
        <f t="shared" si="19"/>
        <v>288.11848851388606</v>
      </c>
      <c r="AB120" s="14">
        <v>16</v>
      </c>
      <c r="AC120" s="14">
        <v>100</v>
      </c>
      <c r="AE120" s="14" t="e">
        <f t="shared" si="13"/>
        <v>#VALUE!</v>
      </c>
      <c r="AF120" s="14">
        <f>[3]Prices!$D713*7.5/100</f>
        <v>3.75</v>
      </c>
      <c r="AG120" s="14" t="e">
        <f t="shared" si="12"/>
        <v>#VALUE!</v>
      </c>
      <c r="AJ120" s="14">
        <f t="shared" si="17"/>
        <v>4.6340925694125819</v>
      </c>
      <c r="AK120" s="14">
        <f t="shared" si="10"/>
        <v>5.1346888106714488</v>
      </c>
      <c r="AL120" s="11">
        <f t="shared" si="18"/>
        <v>-3.4796557501669554</v>
      </c>
      <c r="AM120" s="13">
        <f>'[7]D6 Gallon Forecast'!$U32/1000000</f>
        <v>2.029E-3</v>
      </c>
      <c r="AR120" s="11" t="e">
        <f t="shared" si="22"/>
        <v>#VALUE!</v>
      </c>
    </row>
    <row r="121" spans="1:44" x14ac:dyDescent="0.25">
      <c r="A121" s="10">
        <v>47209</v>
      </c>
      <c r="C121" s="15">
        <f>[6]Biodiesel!$U6</f>
        <v>109149917.50492638</v>
      </c>
      <c r="D121" s="15">
        <f>AVERAGE([6]Biodiesel!$P6:$T6)</f>
        <v>113473754.74799828</v>
      </c>
      <c r="E121" s="15">
        <f t="shared" si="20"/>
        <v>-4323837.2430718988</v>
      </c>
      <c r="F121" s="15">
        <f>[6]Biodiesel!$U38</f>
        <v>132352853.31155005</v>
      </c>
      <c r="G121" s="15">
        <f>AVERAGE([6]Biodiesel!$P38:$T38)</f>
        <v>136108246.4286955</v>
      </c>
      <c r="H121" s="15">
        <f t="shared" si="11"/>
        <v>-3755393.1171454489</v>
      </c>
      <c r="K121" s="15">
        <f>'[6]Renewable Diesel'!$U52</f>
        <v>219385058.10777694</v>
      </c>
      <c r="L121" s="15">
        <f>AVERAGE('[6]Renewable Diesel'!$P52:$T52)</f>
        <v>214064557.56015265</v>
      </c>
      <c r="M121" s="15">
        <f t="shared" si="15"/>
        <v>5320500.54762429</v>
      </c>
      <c r="N121" s="15">
        <f>'[6]Renewable Diesel'!$U6</f>
        <v>238692534.02567035</v>
      </c>
      <c r="O121" s="15">
        <f>AVERAGE('[6]Renewable Diesel'!$P6:$T6)</f>
        <v>234442101.0675562</v>
      </c>
      <c r="P121" s="15">
        <f t="shared" si="16"/>
        <v>4250432.9581141472</v>
      </c>
      <c r="S121" s="11">
        <f>'[8]Soy Complex'!$BR600</f>
        <v>57.75</v>
      </c>
      <c r="T121" s="11"/>
      <c r="U121" s="11"/>
      <c r="V121" s="11">
        <f>[9]Forecasts!$B113</f>
        <v>517.5</v>
      </c>
      <c r="W121" s="11" t="e">
        <f>#REF!*100</f>
        <v>#REF!</v>
      </c>
      <c r="X121" s="11"/>
      <c r="AA121" s="14">
        <f t="shared" si="19"/>
        <v>293.14111631106317</v>
      </c>
      <c r="AB121" s="14">
        <v>16</v>
      </c>
      <c r="AC121" s="14">
        <v>100</v>
      </c>
      <c r="AE121" s="14" t="e">
        <f t="shared" si="13"/>
        <v>#VALUE!</v>
      </c>
      <c r="AF121" s="14">
        <f>[3]Prices!$D714*7.5/100</f>
        <v>3.7875000000000001</v>
      </c>
      <c r="AG121" s="14" t="e">
        <f t="shared" si="12"/>
        <v>#VALUE!</v>
      </c>
      <c r="AJ121" s="14">
        <f t="shared" si="17"/>
        <v>4.7570852728022528</v>
      </c>
      <c r="AK121" s="14">
        <f t="shared" ref="AK121:AK184" si="23">AK120+AVERAGE(AK109-AK108,AK85-AK84,AK73-AK72)</f>
        <v>5.1204083076096554</v>
      </c>
      <c r="AL121" s="11">
        <f t="shared" si="18"/>
        <v>-3.4214492816088509</v>
      </c>
      <c r="AM121" s="13">
        <f>'[7]D6 Gallon Forecast'!$U33/1000000</f>
        <v>1240.8022160450516</v>
      </c>
      <c r="AR121" s="11" t="e">
        <f>AR120+AVERAGE(AR109-AR108,AR97-AR96,AR85-AR84,AR73-AR72,AR61-AE60)</f>
        <v>#VALUE!</v>
      </c>
    </row>
    <row r="122" spans="1:44" x14ac:dyDescent="0.25">
      <c r="A122" s="10">
        <v>47239</v>
      </c>
      <c r="C122" s="15">
        <f>[6]Biodiesel!$U7</f>
        <v>116460323.96163221</v>
      </c>
      <c r="D122" s="15">
        <f>AVERAGE([6]Biodiesel!$P7:$T7)</f>
        <v>120991052.59372917</v>
      </c>
      <c r="E122" s="15">
        <f t="shared" si="20"/>
        <v>-4530728.6320969611</v>
      </c>
      <c r="F122" s="15">
        <f>[6]Biodiesel!$U39</f>
        <v>134344227.08952811</v>
      </c>
      <c r="G122" s="15">
        <f>AVERAGE([6]Biodiesel!$P39:$T39)</f>
        <v>138742660.12315917</v>
      </c>
      <c r="H122" s="15">
        <f t="shared" si="11"/>
        <v>-4398433.0336310565</v>
      </c>
      <c r="K122" s="15">
        <f>'[6]Renewable Diesel'!$U53</f>
        <v>244430250.48542839</v>
      </c>
      <c r="L122" s="15">
        <f>AVERAGE('[6]Renewable Diesel'!$P53:$T53)</f>
        <v>215478148.72281319</v>
      </c>
      <c r="M122" s="15">
        <f t="shared" si="15"/>
        <v>28952101.762615204</v>
      </c>
      <c r="N122" s="15">
        <f>'[6]Renewable Diesel'!$U7</f>
        <v>265375806.21940556</v>
      </c>
      <c r="O122" s="15">
        <f>AVERAGE('[6]Renewable Diesel'!$P7:$T7)</f>
        <v>237584558.44052809</v>
      </c>
      <c r="P122" s="15">
        <f t="shared" si="16"/>
        <v>27791247.778877467</v>
      </c>
      <c r="S122" s="11">
        <f>'[8]Soy Complex'!$BR601</f>
        <v>60.25</v>
      </c>
      <c r="T122" s="11"/>
      <c r="U122" s="11"/>
      <c r="V122" s="11">
        <f>[9]Forecasts!$B114</f>
        <v>550</v>
      </c>
      <c r="W122" s="11" t="e">
        <f>#REF!*100</f>
        <v>#REF!</v>
      </c>
      <c r="X122" s="11"/>
      <c r="AA122" s="14">
        <f t="shared" si="19"/>
        <v>272.4793431428792</v>
      </c>
      <c r="AB122" s="14">
        <v>16</v>
      </c>
      <c r="AC122" s="14">
        <v>100</v>
      </c>
      <c r="AE122" s="14" t="e">
        <f t="shared" si="13"/>
        <v>#VALUE!</v>
      </c>
      <c r="AF122" s="14">
        <f>[3]Prices!$D715*7.5/100</f>
        <v>3.8250000000000002</v>
      </c>
      <c r="AG122" s="14" t="e">
        <f t="shared" si="12"/>
        <v>#VALUE!</v>
      </c>
      <c r="AJ122" s="14">
        <f t="shared" si="17"/>
        <v>4.9015556138604204</v>
      </c>
      <c r="AK122" s="14">
        <f t="shared" si="23"/>
        <v>5.3018983096099168</v>
      </c>
      <c r="AL122" s="11">
        <f t="shared" si="18"/>
        <v>-3.5513427332311949</v>
      </c>
      <c r="AM122" s="13">
        <f>'[7]D6 Gallon Forecast'!$U34/1000000</f>
        <v>1159.4772650769423</v>
      </c>
      <c r="AR122" s="11" t="e">
        <f>AR121+AVERAGE(AR110-AR109,AR98-AR97,AR86-AR85,AR74-AR73,AR62-AR61)</f>
        <v>#VALUE!</v>
      </c>
    </row>
    <row r="123" spans="1:44" x14ac:dyDescent="0.25">
      <c r="A123" s="10">
        <v>47270</v>
      </c>
      <c r="C123" s="15">
        <f>[6]Biodiesel!$U8</f>
        <v>113031652.05756508</v>
      </c>
      <c r="D123" s="15">
        <f>AVERAGE([6]Biodiesel!$P8:$T8)</f>
        <v>117428520.92786939</v>
      </c>
      <c r="E123" s="15">
        <f t="shared" si="20"/>
        <v>-4396868.8703043163</v>
      </c>
      <c r="F123" s="15">
        <f>[6]Biodiesel!$U40</f>
        <v>132599393.85713685</v>
      </c>
      <c r="G123" s="15">
        <f>AVERAGE([6]Biodiesel!$P40:$T40)</f>
        <v>136516876.49906412</v>
      </c>
      <c r="H123" s="15">
        <f t="shared" ref="H123:H186" si="24">F123-G123</f>
        <v>-3917482.6419272721</v>
      </c>
      <c r="K123" s="15">
        <f>'[6]Renewable Diesel'!$U54</f>
        <v>246281704.5146721</v>
      </c>
      <c r="L123" s="15">
        <f>AVERAGE('[6]Renewable Diesel'!$P54:$T54)</f>
        <v>227695802.8818776</v>
      </c>
      <c r="M123" s="15">
        <f t="shared" si="15"/>
        <v>18585901.632794499</v>
      </c>
      <c r="N123" s="15">
        <f>'[6]Renewable Diesel'!$U8</f>
        <v>273870492.5181517</v>
      </c>
      <c r="O123" s="15">
        <f>AVERAGE('[6]Renewable Diesel'!$P8:$T8)</f>
        <v>256813629.06735128</v>
      </c>
      <c r="P123" s="15">
        <f t="shared" si="16"/>
        <v>17056863.450800419</v>
      </c>
      <c r="S123" s="11">
        <f>'[8]Soy Complex'!$BR602</f>
        <v>60</v>
      </c>
      <c r="T123" s="11"/>
      <c r="U123" s="11"/>
      <c r="V123" s="11">
        <f>[9]Forecasts!$B115</f>
        <v>550</v>
      </c>
      <c r="W123" s="11" t="e">
        <f>#REF!*100</f>
        <v>#REF!</v>
      </c>
      <c r="X123" s="11"/>
      <c r="AA123" s="14">
        <f t="shared" si="19"/>
        <v>281.90091226763246</v>
      </c>
      <c r="AB123" s="14">
        <v>16</v>
      </c>
      <c r="AC123" s="14">
        <v>100</v>
      </c>
      <c r="AE123" s="14" t="e">
        <f t="shared" si="13"/>
        <v>#VALUE!</v>
      </c>
      <c r="AF123" s="14">
        <f>[3]Prices!$D716*7.5/100</f>
        <v>3.8250000000000002</v>
      </c>
      <c r="AG123" s="14" t="e">
        <f t="shared" si="12"/>
        <v>#VALUE!</v>
      </c>
      <c r="AJ123" s="14">
        <f t="shared" si="17"/>
        <v>4.700991239501227</v>
      </c>
      <c r="AK123" s="14">
        <f t="shared" si="23"/>
        <v>5.4284109700770218</v>
      </c>
      <c r="AL123" s="11">
        <f t="shared" si="18"/>
        <v>-3.7494855273980123</v>
      </c>
      <c r="AM123" s="13">
        <f>'[7]D6 Gallon Forecast'!$U35/1000000</f>
        <v>1236.4481351813367</v>
      </c>
      <c r="AR123" s="11" t="e">
        <f>AR122+AVERAGE(AR111-AR110,AR99-AR98,AR87-AR86,AR75-AR74,AR63-AR62)</f>
        <v>#VALUE!</v>
      </c>
    </row>
    <row r="124" spans="1:44" x14ac:dyDescent="0.25">
      <c r="A124" s="10">
        <v>47300</v>
      </c>
      <c r="C124" s="15">
        <f>[6]Biodiesel!$U9</f>
        <v>114160642.86817056</v>
      </c>
      <c r="D124" s="15">
        <f>AVERAGE([6]Biodiesel!$P9:$T9)</f>
        <v>118647600.872504</v>
      </c>
      <c r="E124" s="15">
        <f t="shared" si="20"/>
        <v>-4486958.0043334365</v>
      </c>
      <c r="F124" s="15">
        <f>[6]Biodiesel!$U41</f>
        <v>127439059.38853897</v>
      </c>
      <c r="G124" s="15">
        <f>AVERAGE([6]Biodiesel!$P41:$T41)</f>
        <v>132086085.49808064</v>
      </c>
      <c r="H124" s="15">
        <f t="shared" si="24"/>
        <v>-4647026.1095416695</v>
      </c>
      <c r="K124" s="15">
        <f>'[6]Renewable Diesel'!$U55</f>
        <v>239779318.5966872</v>
      </c>
      <c r="L124" s="15">
        <f>AVERAGE('[6]Renewable Diesel'!$P55:$T55)</f>
        <v>225293754.48738235</v>
      </c>
      <c r="M124" s="15">
        <f t="shared" si="15"/>
        <v>14485564.109304845</v>
      </c>
      <c r="N124" s="15">
        <f>'[6]Renewable Diesel'!$U9</f>
        <v>254747966.85060963</v>
      </c>
      <c r="O124" s="15">
        <f>AVERAGE('[6]Renewable Diesel'!$P9:$T9)</f>
        <v>246127586.87810627</v>
      </c>
      <c r="P124" s="15">
        <f t="shared" si="16"/>
        <v>8620379.9725033641</v>
      </c>
      <c r="S124" s="11">
        <f>'[8]Soy Complex'!$BR603</f>
        <v>58.75</v>
      </c>
      <c r="T124" s="11"/>
      <c r="U124" s="11"/>
      <c r="V124" s="11">
        <f>[9]Forecasts!$B116</f>
        <v>570</v>
      </c>
      <c r="W124" s="11" t="e">
        <f>#REF!*100</f>
        <v>#REF!</v>
      </c>
      <c r="X124" s="11"/>
      <c r="AA124" s="14">
        <f t="shared" si="19"/>
        <v>289.30561381653376</v>
      </c>
      <c r="AB124" s="14">
        <v>16</v>
      </c>
      <c r="AC124" s="14">
        <v>100</v>
      </c>
      <c r="AE124" s="14" t="e">
        <f t="shared" si="13"/>
        <v>#VALUE!</v>
      </c>
      <c r="AF124" s="14">
        <f>[3]Prices!$D717*7.5/100</f>
        <v>3.7875000000000001</v>
      </c>
      <c r="AG124" s="14" t="e">
        <f t="shared" si="12"/>
        <v>#VALUE!</v>
      </c>
      <c r="AJ124" s="14">
        <f t="shared" si="17"/>
        <v>4.044062693938546</v>
      </c>
      <c r="AK124" s="14">
        <f t="shared" si="23"/>
        <v>5.2923547180505848</v>
      </c>
      <c r="AL124" s="11">
        <f t="shared" si="18"/>
        <v>-3.8480466130725324</v>
      </c>
      <c r="AM124" s="13">
        <f>'[7]D6 Gallon Forecast'!$U36/1000000</f>
        <v>1157.9619808947402</v>
      </c>
      <c r="AR124" s="11" t="e">
        <f>AR123+AVERAGE(AR112-AR111,AR100-AR99,AR88-AR87,AR76-AR75,AR64-AR63)</f>
        <v>#VALUE!</v>
      </c>
    </row>
    <row r="125" spans="1:44" x14ac:dyDescent="0.25">
      <c r="A125" s="10">
        <v>47331</v>
      </c>
      <c r="C125" s="15">
        <f>[6]Biodiesel!$U10</f>
        <v>116317982.68917514</v>
      </c>
      <c r="D125" s="15">
        <f>AVERAGE([6]Biodiesel!$P10:$T10)</f>
        <v>120963758.96423714</v>
      </c>
      <c r="E125" s="15">
        <f t="shared" si="20"/>
        <v>-4645776.2750619948</v>
      </c>
      <c r="F125" s="15">
        <f>[6]Biodiesel!$U42</f>
        <v>131698702.08204322</v>
      </c>
      <c r="G125" s="15">
        <f>AVERAGE([6]Biodiesel!$P42:$T42)</f>
        <v>135967669.1608783</v>
      </c>
      <c r="H125" s="15">
        <f t="shared" si="24"/>
        <v>-4268967.078835085</v>
      </c>
      <c r="K125" s="15">
        <f>'[6]Renewable Diesel'!$U56</f>
        <v>247929917.86805612</v>
      </c>
      <c r="L125" s="15">
        <f>AVERAGE('[6]Renewable Diesel'!$P56:$T56)</f>
        <v>223957592.35799623</v>
      </c>
      <c r="M125" s="15">
        <f t="shared" si="15"/>
        <v>23972325.510059893</v>
      </c>
      <c r="N125" s="15">
        <f>'[6]Renewable Diesel'!$U10</f>
        <v>260205686.34783447</v>
      </c>
      <c r="O125" s="15">
        <f>AVERAGE('[6]Renewable Diesel'!$P10:$T10)</f>
        <v>236913713.98400673</v>
      </c>
      <c r="P125" s="15">
        <f t="shared" si="16"/>
        <v>23291972.363827735</v>
      </c>
      <c r="S125" s="11">
        <f>'[8]Soy Complex'!$BR604</f>
        <v>57.75</v>
      </c>
      <c r="T125" s="11"/>
      <c r="U125" s="11"/>
      <c r="V125" s="11">
        <f>[9]Forecasts!$B117</f>
        <v>567.5</v>
      </c>
      <c r="W125" s="11" t="e">
        <f>#REF!*100</f>
        <v>#REF!</v>
      </c>
      <c r="X125" s="11"/>
      <c r="AA125" s="14">
        <f t="shared" si="19"/>
        <v>276.42835717466835</v>
      </c>
      <c r="AB125" s="14">
        <v>16</v>
      </c>
      <c r="AC125" s="14">
        <v>100</v>
      </c>
      <c r="AE125" s="14" t="e">
        <f t="shared" si="13"/>
        <v>#VALUE!</v>
      </c>
      <c r="AF125" s="14">
        <f>[3]Prices!$D718*7.5/100</f>
        <v>3.75</v>
      </c>
      <c r="AG125" s="14" t="e">
        <f t="shared" ref="AG125:AG126" si="25">(AF125-AR125)*100</f>
        <v>#VALUE!</v>
      </c>
      <c r="AJ125" s="14">
        <f t="shared" si="17"/>
        <v>3.9675618355328175</v>
      </c>
      <c r="AK125" s="14">
        <f t="shared" si="23"/>
        <v>5.1780112791256414</v>
      </c>
      <c r="AL125" s="11">
        <f t="shared" si="18"/>
        <v>-3.7610249092924919</v>
      </c>
      <c r="AM125" s="13">
        <f>'[7]D6 Gallon Forecast'!$U37/1000000</f>
        <v>1265.8284071691471</v>
      </c>
      <c r="AR125" s="11" t="e">
        <f>AR124+AVERAGE(AR113-AR112,AR101-AR100,AR89-AR88,AR77-AR76,AR65-AR64)</f>
        <v>#VALUE!</v>
      </c>
    </row>
    <row r="126" spans="1:44" x14ac:dyDescent="0.25">
      <c r="A126" s="10">
        <v>47362</v>
      </c>
      <c r="C126" s="15">
        <f>[6]Biodiesel!$U11</f>
        <v>109944716.36880697</v>
      </c>
      <c r="D126" s="15">
        <f>AVERAGE([6]Biodiesel!$P11:$T11)</f>
        <v>114528564.85095653</v>
      </c>
      <c r="E126" s="15">
        <f t="shared" si="20"/>
        <v>-4583848.4821495563</v>
      </c>
      <c r="F126" s="15">
        <f>[6]Biodiesel!$U43</f>
        <v>126211845.69557086</v>
      </c>
      <c r="G126" s="15">
        <f>AVERAGE([6]Biodiesel!$P43:$T43)</f>
        <v>130852439.80019331</v>
      </c>
      <c r="H126" s="15">
        <f t="shared" si="24"/>
        <v>-4640594.1046224535</v>
      </c>
      <c r="K126" s="15">
        <f>'[6]Renewable Diesel'!$U57</f>
        <v>250353545.66327974</v>
      </c>
      <c r="L126" s="15">
        <f>AVERAGE('[6]Renewable Diesel'!$P57:$T57)</f>
        <v>225638275.66813183</v>
      </c>
      <c r="M126" s="15">
        <f t="shared" si="15"/>
        <v>24715269.995147914</v>
      </c>
      <c r="N126" s="15">
        <f>'[6]Renewable Diesel'!$U11</f>
        <v>263251688.68800557</v>
      </c>
      <c r="O126" s="15">
        <f>AVERAGE('[6]Renewable Diesel'!$P11:$T11)</f>
        <v>244162325.96024799</v>
      </c>
      <c r="P126" s="15">
        <f t="shared" si="16"/>
        <v>19089362.727757573</v>
      </c>
      <c r="S126" s="11">
        <f>'[8]Soy Complex'!$BR605</f>
        <v>63</v>
      </c>
      <c r="T126" s="11"/>
      <c r="U126" s="11"/>
      <c r="V126" s="11">
        <f>[9]Forecasts!$B118</f>
        <v>562.5</v>
      </c>
      <c r="W126" s="11" t="e">
        <f>#REF!*100</f>
        <v>#REF!</v>
      </c>
      <c r="X126" s="11"/>
      <c r="AA126" s="14">
        <f t="shared" si="19"/>
        <v>280.11698765224713</v>
      </c>
      <c r="AB126" s="14">
        <v>16</v>
      </c>
      <c r="AC126" s="14">
        <v>100</v>
      </c>
      <c r="AE126" s="14" t="e">
        <f>AE125+AVERAGE(AE114-AE113,AE102-AE101,AE90-AE89,AE78-AE77,AE66-AE65)</f>
        <v>#VALUE!</v>
      </c>
      <c r="AF126" s="14">
        <f>[3]Prices!$D719*7.5/100</f>
        <v>3.9750000000000001</v>
      </c>
      <c r="AG126" s="14" t="e">
        <f t="shared" si="25"/>
        <v>#VALUE!</v>
      </c>
      <c r="AJ126" s="14">
        <f t="shared" si="17"/>
        <v>4.1550125531613542</v>
      </c>
      <c r="AK126" s="14">
        <f t="shared" si="23"/>
        <v>4.9470684181913231</v>
      </c>
      <c r="AL126" s="11">
        <f t="shared" si="18"/>
        <v>-3.4631353634908395</v>
      </c>
      <c r="AM126" s="13">
        <f>'[7]D6 Gallon Forecast'!$U38/1000000</f>
        <v>1274.1815443837361</v>
      </c>
      <c r="AR126" s="11" t="e">
        <f>AR125+AVERAGE(AR114-AR113,AR102-AR101,AR90-AR89,AR78-AR77,AR66-AR65)</f>
        <v>#VALUE!</v>
      </c>
    </row>
    <row r="127" spans="1:44" x14ac:dyDescent="0.25">
      <c r="A127" s="10">
        <v>47392</v>
      </c>
      <c r="C127" s="15">
        <f>[6]Biodiesel!$U12</f>
        <v>114271315.88413678</v>
      </c>
      <c r="D127" s="15">
        <f>AVERAGE([6]Biodiesel!$P12:$T12)</f>
        <v>118679001.6820441</v>
      </c>
      <c r="E127" s="15">
        <f t="shared" si="20"/>
        <v>-4407685.7979073226</v>
      </c>
      <c r="F127" s="15">
        <f>[6]Biodiesel!$U44</f>
        <v>131721165.85716397</v>
      </c>
      <c r="G127" s="15">
        <f>AVERAGE([6]Biodiesel!$P44:$T44)</f>
        <v>135701351.23882508</v>
      </c>
      <c r="H127" s="15">
        <f t="shared" si="24"/>
        <v>-3980185.3816611171</v>
      </c>
      <c r="K127" s="15">
        <f>'[6]Renewable Diesel'!$U58</f>
        <v>270914053.93022895</v>
      </c>
      <c r="L127" s="15">
        <f>AVERAGE('[6]Renewable Diesel'!$P58:$T58)</f>
        <v>246669652.85752597</v>
      </c>
      <c r="M127" s="15">
        <f t="shared" si="15"/>
        <v>24244401.072702974</v>
      </c>
      <c r="N127" s="15">
        <f>'[6]Renewable Diesel'!$U12</f>
        <v>287294705.95592463</v>
      </c>
      <c r="O127" s="15">
        <f>AVERAGE('[6]Renewable Diesel'!$P12:$T12)</f>
        <v>264381368.72633037</v>
      </c>
      <c r="P127" s="15">
        <f t="shared" si="16"/>
        <v>22913337.22959426</v>
      </c>
      <c r="S127" s="11">
        <f>'[8]Soy Complex'!$BS594</f>
        <v>66.5</v>
      </c>
      <c r="T127" s="11"/>
      <c r="U127" s="11"/>
      <c r="V127" s="11">
        <f>[9]Forecasts!$B119</f>
        <v>557.5</v>
      </c>
      <c r="W127" s="11" t="e">
        <f>#REF!*100</f>
        <v>#REF!</v>
      </c>
      <c r="X127" s="11"/>
      <c r="AA127" s="14">
        <f t="shared" si="19"/>
        <v>276.76068523198512</v>
      </c>
      <c r="AB127" s="14">
        <v>16</v>
      </c>
      <c r="AC127" s="14">
        <v>100</v>
      </c>
      <c r="AE127" s="11"/>
      <c r="AF127" s="11"/>
      <c r="AJ127" s="14">
        <f t="shared" si="17"/>
        <v>4.2540902563260561</v>
      </c>
      <c r="AK127" s="14">
        <f t="shared" si="23"/>
        <v>5.0083899928146876</v>
      </c>
      <c r="AL127" s="11">
        <f t="shared" si="18"/>
        <v>-3.4890720441268104</v>
      </c>
      <c r="AM127" s="13">
        <f>'[7]D6 Gallon Forecast'!$U39/1000000</f>
        <v>1319.4714696630035</v>
      </c>
    </row>
    <row r="128" spans="1:44" x14ac:dyDescent="0.25">
      <c r="A128" s="10">
        <v>47423</v>
      </c>
      <c r="C128" s="15">
        <f>[6]Biodiesel!$U13</f>
        <v>107795168.50788569</v>
      </c>
      <c r="D128" s="15">
        <f>AVERAGE([6]Biodiesel!$P13:$T13)</f>
        <v>111883325.01158623</v>
      </c>
      <c r="E128" s="15">
        <f t="shared" si="20"/>
        <v>-4088156.5037005395</v>
      </c>
      <c r="F128" s="15">
        <f>[6]Biodiesel!$U45</f>
        <v>123696768.85435727</v>
      </c>
      <c r="G128" s="15">
        <f>AVERAGE([6]Biodiesel!$P45:$T45)</f>
        <v>127395355.20257771</v>
      </c>
      <c r="H128" s="15">
        <f t="shared" si="24"/>
        <v>-3698586.3482204378</v>
      </c>
      <c r="K128" s="15">
        <f>'[6]Renewable Diesel'!$U59</f>
        <v>327229157.3907305</v>
      </c>
      <c r="L128" s="15">
        <f>AVERAGE('[6]Renewable Diesel'!$P59:$T59)</f>
        <v>274513742.36481202</v>
      </c>
      <c r="M128" s="15">
        <f t="shared" si="15"/>
        <v>52715415.025918484</v>
      </c>
      <c r="N128" s="15">
        <f>'[6]Renewable Diesel'!$U13</f>
        <v>339478707.59937423</v>
      </c>
      <c r="O128" s="15">
        <f>AVERAGE('[6]Renewable Diesel'!$P13:$T13)</f>
        <v>293573917.83890647</v>
      </c>
      <c r="P128" s="15">
        <f t="shared" si="16"/>
        <v>45904789.760467768</v>
      </c>
      <c r="S128" s="11">
        <f>'[8]Soy Complex'!$BS595</f>
        <v>69.25</v>
      </c>
      <c r="T128" s="11"/>
      <c r="U128" s="11"/>
      <c r="V128" s="11">
        <f>[9]Forecasts!$B120</f>
        <v>550</v>
      </c>
      <c r="W128" s="11" t="e">
        <f>#REF!*100</f>
        <v>#REF!</v>
      </c>
      <c r="X128" s="11"/>
      <c r="AA128" s="14">
        <f t="shared" si="19"/>
        <v>256.5810873456374</v>
      </c>
      <c r="AB128" s="14">
        <v>16</v>
      </c>
      <c r="AC128" s="14">
        <v>100</v>
      </c>
      <c r="AE128" s="11"/>
      <c r="AF128" s="11"/>
      <c r="AJ128" s="14">
        <f t="shared" si="17"/>
        <v>4.3287732546587492</v>
      </c>
      <c r="AK128" s="14">
        <f t="shared" si="23"/>
        <v>5.0438480009877367</v>
      </c>
      <c r="AL128" s="11">
        <f t="shared" si="18"/>
        <v>-3.4978575528953262</v>
      </c>
      <c r="AM128" s="13">
        <f>'[7]D6 Gallon Forecast'!$U40/1000000</f>
        <v>1332.1756618212132</v>
      </c>
    </row>
    <row r="129" spans="1:39" x14ac:dyDescent="0.25">
      <c r="A129" s="10">
        <v>47453</v>
      </c>
      <c r="C129" s="15">
        <f>[6]Biodiesel!$U14</f>
        <v>118395041.31396517</v>
      </c>
      <c r="D129" s="15">
        <f>AVERAGE([6]Biodiesel!$P14:$T14)</f>
        <v>122894957.69027266</v>
      </c>
      <c r="E129" s="15">
        <f t="shared" si="20"/>
        <v>-4499916.3763074875</v>
      </c>
      <c r="F129" s="15">
        <f>[6]Biodiesel!$U46</f>
        <v>142027994.00898606</v>
      </c>
      <c r="G129" s="15">
        <f>AVERAGE([6]Biodiesel!$P46:$T46)</f>
        <v>145948931.36083975</v>
      </c>
      <c r="H129" s="15">
        <f t="shared" si="24"/>
        <v>-3920937.3518536985</v>
      </c>
      <c r="K129" s="15">
        <f>'[6]Renewable Diesel'!$U60</f>
        <v>369875494.80262703</v>
      </c>
      <c r="L129" s="15">
        <f>AVERAGE('[6]Renewable Diesel'!$P60:$T60)</f>
        <v>307100406.00853217</v>
      </c>
      <c r="M129" s="15">
        <f t="shared" si="15"/>
        <v>62775088.794094861</v>
      </c>
      <c r="N129" s="15">
        <f>'[6]Renewable Diesel'!$U14</f>
        <v>382445645.70406485</v>
      </c>
      <c r="O129" s="15">
        <f>AVERAGE('[6]Renewable Diesel'!$P14:$T14)</f>
        <v>326947735.05080271</v>
      </c>
      <c r="P129" s="15">
        <f t="shared" si="16"/>
        <v>55497910.653262138</v>
      </c>
      <c r="S129" s="11">
        <f>'[8]Soy Complex'!$BS596</f>
        <v>73</v>
      </c>
      <c r="T129" s="11"/>
      <c r="U129" s="11"/>
      <c r="V129" s="11">
        <f>[9]Forecasts!$B121</f>
        <v>540</v>
      </c>
      <c r="W129" s="11" t="e">
        <f>#REF!*100</f>
        <v>#REF!</v>
      </c>
      <c r="X129" s="11"/>
      <c r="AA129" s="14">
        <f t="shared" si="19"/>
        <v>248.16120513803179</v>
      </c>
      <c r="AB129" s="14">
        <v>16</v>
      </c>
      <c r="AC129" s="14">
        <v>100</v>
      </c>
      <c r="AE129" s="11"/>
      <c r="AF129" s="11"/>
      <c r="AJ129" s="14">
        <f t="shared" si="17"/>
        <v>4.4119476762251377</v>
      </c>
      <c r="AK129" s="14">
        <f t="shared" si="23"/>
        <v>4.9148934099965</v>
      </c>
      <c r="AL129" s="11">
        <f t="shared" si="18"/>
        <v>-3.3391978113446648</v>
      </c>
      <c r="AM129" s="13">
        <f>'[7]D6 Gallon Forecast'!$U41/1000000</f>
        <v>1214.5319445923924</v>
      </c>
    </row>
    <row r="130" spans="1:39" x14ac:dyDescent="0.25">
      <c r="A130" s="10">
        <v>47484</v>
      </c>
      <c r="C130" s="15">
        <f>[6]Biodiesel!$V3</f>
        <v>90957681.995493427</v>
      </c>
      <c r="D130" s="15">
        <f>AVERAGE([6]Biodiesel!$Q3:$U3)</f>
        <v>89321531.270032808</v>
      </c>
      <c r="E130" s="15">
        <f t="shared" si="20"/>
        <v>1636150.7254606187</v>
      </c>
      <c r="F130" s="15">
        <f>[6]Biodiesel!$V35</f>
        <v>106545026.3827484</v>
      </c>
      <c r="G130" s="15">
        <f>AVERAGE([6]Biodiesel!$Q35:$U35)</f>
        <v>101452551.46707037</v>
      </c>
      <c r="H130" s="15">
        <f t="shared" si="24"/>
        <v>5092474.9156780243</v>
      </c>
      <c r="K130" s="15">
        <f>'[6]Renewable Diesel'!$V49</f>
        <v>207999085.17094269</v>
      </c>
      <c r="L130" s="15">
        <f>AVERAGE('[6]Renewable Diesel'!$Q49:$U49)</f>
        <v>192155447.46261454</v>
      </c>
      <c r="M130" s="15">
        <f t="shared" si="15"/>
        <v>15843637.708328158</v>
      </c>
      <c r="N130" s="15">
        <f>'[6]Renewable Diesel'!$V3</f>
        <v>222453308.35552204</v>
      </c>
      <c r="O130" s="15">
        <f>AVERAGE('[6]Renewable Diesel'!$Q3:$U3)</f>
        <v>207573285.52616584</v>
      </c>
      <c r="P130" s="15">
        <f t="shared" si="16"/>
        <v>14880022.829356194</v>
      </c>
      <c r="S130" s="11">
        <f>'[8]Soy Complex'!$BS597</f>
        <v>72.25</v>
      </c>
      <c r="T130" s="11"/>
      <c r="U130" s="11"/>
      <c r="V130" s="11">
        <f>[9]Forecasts!$B122</f>
        <v>540</v>
      </c>
      <c r="W130" s="11" t="e">
        <f>#REF!*100</f>
        <v>#REF!</v>
      </c>
      <c r="X130" s="11"/>
      <c r="AA130" s="14">
        <f t="shared" si="19"/>
        <v>283.81152528107407</v>
      </c>
      <c r="AB130" s="14">
        <v>16</v>
      </c>
      <c r="AC130" s="14">
        <v>100</v>
      </c>
      <c r="AE130" s="11"/>
      <c r="AF130" s="11"/>
      <c r="AJ130" s="14">
        <f t="shared" si="17"/>
        <v>4.5730564839347201</v>
      </c>
      <c r="AK130" s="14">
        <f t="shared" si="23"/>
        <v>5.1354400980972228</v>
      </c>
      <c r="AL130" s="11">
        <f t="shared" si="18"/>
        <v>-3.5022056395491084</v>
      </c>
      <c r="AM130" s="13">
        <f>'[7]D6 Gallon Forecast'!$R30/1000000</f>
        <v>1.0726493883896951E-7</v>
      </c>
    </row>
    <row r="131" spans="1:39" x14ac:dyDescent="0.25">
      <c r="A131" s="10">
        <v>47515</v>
      </c>
      <c r="C131" s="15">
        <f>[6]Biodiesel!$V4</f>
        <v>97134959.784561336</v>
      </c>
      <c r="D131" s="15">
        <f>AVERAGE([6]Biodiesel!$Q4:$U4)</f>
        <v>95387691.918533593</v>
      </c>
      <c r="E131" s="15">
        <f t="shared" si="20"/>
        <v>1747267.8660277426</v>
      </c>
      <c r="F131" s="15">
        <f>[6]Biodiesel!$V36</f>
        <v>118546782.6874291</v>
      </c>
      <c r="G131" s="15">
        <f>AVERAGE([6]Biodiesel!$Q36:$U36)</f>
        <v>112051675.8298959</v>
      </c>
      <c r="H131" s="15">
        <f t="shared" si="24"/>
        <v>6495106.8575332016</v>
      </c>
      <c r="K131" s="15">
        <f>'[6]Renewable Diesel'!$V50</f>
        <v>225898003.2300075</v>
      </c>
      <c r="L131" s="15">
        <f>AVERAGE('[6]Renewable Diesel'!$Q50:$U50)</f>
        <v>198988741.90597001</v>
      </c>
      <c r="M131" s="15">
        <f t="shared" ref="M131:M194" si="26">K131-L131</f>
        <v>26909261.324037492</v>
      </c>
      <c r="N131" s="15">
        <f>'[6]Renewable Diesel'!$V4</f>
        <v>244920785.70760271</v>
      </c>
      <c r="O131" s="15">
        <f>AVERAGE('[6]Renewable Diesel'!$Q4:$U4)</f>
        <v>219279709.88207155</v>
      </c>
      <c r="P131" s="15">
        <f t="shared" ref="P131:P194" si="27">N131-O131</f>
        <v>25641075.825531155</v>
      </c>
      <c r="S131" s="11">
        <f>'[8]Soy Complex'!$BS598</f>
        <v>69.75</v>
      </c>
      <c r="T131" s="11"/>
      <c r="U131" s="11"/>
      <c r="V131" s="11">
        <f>[9]Forecasts!$B123</f>
        <v>547.5</v>
      </c>
      <c r="W131" s="11" t="e">
        <f>#REF!*100</f>
        <v>#REF!</v>
      </c>
      <c r="X131" s="11"/>
      <c r="AA131" s="14">
        <f t="shared" si="19"/>
        <v>274.36654906633129</v>
      </c>
      <c r="AB131" s="14">
        <v>16</v>
      </c>
      <c r="AC131" s="14">
        <v>100</v>
      </c>
      <c r="AE131" s="11"/>
      <c r="AF131" s="11"/>
      <c r="AJ131" s="14">
        <f t="shared" si="17"/>
        <v>4.6694951440615995</v>
      </c>
      <c r="AK131" s="14">
        <f t="shared" si="23"/>
        <v>5.2336423632136029</v>
      </c>
      <c r="AL131" s="11">
        <f t="shared" si="18"/>
        <v>-3.5659655260487457</v>
      </c>
      <c r="AM131" s="13">
        <f>'[7]D6 Gallon Forecast'!$R31/1000000</f>
        <v>408.31677390032007</v>
      </c>
    </row>
    <row r="132" spans="1:39" x14ac:dyDescent="0.25">
      <c r="A132" s="10">
        <v>47543</v>
      </c>
      <c r="C132" s="15">
        <f>[6]Biodiesel!$V5</f>
        <v>112522643.11371331</v>
      </c>
      <c r="D132" s="15">
        <f>AVERAGE([6]Biodiesel!$Q5:$U5)</f>
        <v>110498614.44885087</v>
      </c>
      <c r="E132" s="15">
        <f t="shared" si="20"/>
        <v>2024028.664862439</v>
      </c>
      <c r="F132" s="15">
        <f>[6]Biodiesel!$V37</f>
        <v>130882752.88039066</v>
      </c>
      <c r="G132" s="15">
        <f>AVERAGE([6]Biodiesel!$Q37:$U37)</f>
        <v>124788016.57161279</v>
      </c>
      <c r="H132" s="15">
        <f t="shared" si="24"/>
        <v>6094736.3087778687</v>
      </c>
      <c r="K132" s="15">
        <f>'[6]Renewable Diesel'!$V51</f>
        <v>242902021.03809163</v>
      </c>
      <c r="L132" s="15">
        <f>AVERAGE('[6]Renewable Diesel'!$Q51:$U51)</f>
        <v>219446283.47232777</v>
      </c>
      <c r="M132" s="15">
        <f t="shared" si="26"/>
        <v>23455737.565763861</v>
      </c>
      <c r="N132" s="15">
        <f>'[6]Renewable Diesel'!$V5</f>
        <v>261609681.67480183</v>
      </c>
      <c r="O132" s="15">
        <f>AVERAGE('[6]Renewable Diesel'!$Q5:$U5)</f>
        <v>241936325.21815196</v>
      </c>
      <c r="P132" s="15">
        <f t="shared" si="27"/>
        <v>19673356.45664987</v>
      </c>
      <c r="S132" s="11">
        <f>'[8]Soy Complex'!$BS599</f>
        <v>72.75</v>
      </c>
      <c r="T132" s="11"/>
      <c r="U132" s="11"/>
      <c r="V132" s="11">
        <f>[9]Forecasts!$B124</f>
        <v>555</v>
      </c>
      <c r="W132" s="11" t="e">
        <f>#REF!*100</f>
        <v>#REF!</v>
      </c>
      <c r="X132" s="11"/>
      <c r="AA132" s="14">
        <f t="shared" si="19"/>
        <v>279.60441635639836</v>
      </c>
      <c r="AB132" s="14">
        <v>16</v>
      </c>
      <c r="AC132" s="14">
        <v>100</v>
      </c>
      <c r="AE132" s="11"/>
      <c r="AF132" s="11"/>
      <c r="AJ132" s="14">
        <f t="shared" si="17"/>
        <v>4.8692369964904003</v>
      </c>
      <c r="AK132" s="14">
        <f t="shared" si="23"/>
        <v>5.4944787301268905</v>
      </c>
      <c r="AL132" s="11">
        <f t="shared" si="18"/>
        <v>-3.7554655170946045</v>
      </c>
      <c r="AM132" s="13">
        <f>'[7]D6 Gallon Forecast'!$R32/1000000</f>
        <v>2.026E-3</v>
      </c>
    </row>
    <row r="133" spans="1:39" x14ac:dyDescent="0.25">
      <c r="A133" s="10">
        <v>47574</v>
      </c>
      <c r="C133" s="15">
        <f>[6]Biodiesel!$V6</f>
        <v>110105431.1406212</v>
      </c>
      <c r="D133" s="15">
        <f>AVERAGE([6]Biodiesel!$Q6:$U6)</f>
        <v>108079427.44898358</v>
      </c>
      <c r="E133" s="15">
        <f t="shared" si="20"/>
        <v>2026003.6916376203</v>
      </c>
      <c r="F133" s="15">
        <f>[6]Biodiesel!$V38</f>
        <v>132741814.04377787</v>
      </c>
      <c r="G133" s="15">
        <f>AVERAGE([6]Biodiesel!$Q38:$U38)</f>
        <v>125696438.49100551</v>
      </c>
      <c r="H133" s="15">
        <f t="shared" si="24"/>
        <v>7045375.5527723581</v>
      </c>
      <c r="K133" s="15">
        <f>'[6]Renewable Diesel'!$V52</f>
        <v>231303905.5806897</v>
      </c>
      <c r="L133" s="15">
        <f>AVERAGE('[6]Renewable Diesel'!$Q52:$U52)</f>
        <v>201333131.98170805</v>
      </c>
      <c r="M133" s="15">
        <f t="shared" si="26"/>
        <v>29970773.598981649</v>
      </c>
      <c r="N133" s="15">
        <f>'[6]Renewable Diesel'!$V6</f>
        <v>248847817.35348552</v>
      </c>
      <c r="O133" s="15">
        <f>AVERAGE('[6]Renewable Diesel'!$Q6:$U6)</f>
        <v>220046637.87269026</v>
      </c>
      <c r="P133" s="15">
        <f t="shared" si="27"/>
        <v>28801179.480795264</v>
      </c>
      <c r="S133" s="11">
        <f>'[8]Soy Complex'!$BS600</f>
        <v>71.5</v>
      </c>
      <c r="T133" s="11"/>
      <c r="U133" s="11"/>
      <c r="V133" s="11">
        <f>[9]Forecasts!$B125</f>
        <v>560</v>
      </c>
      <c r="W133" s="11" t="e">
        <f>#REF!*100</f>
        <v>#REF!</v>
      </c>
      <c r="X133" s="11"/>
      <c r="AA133" s="14">
        <f t="shared" si="19"/>
        <v>271.59292608810597</v>
      </c>
      <c r="AB133" s="14">
        <v>16</v>
      </c>
      <c r="AC133" s="14">
        <v>100</v>
      </c>
      <c r="AE133" s="11"/>
      <c r="AF133" s="11"/>
      <c r="AJ133" s="14">
        <f t="shared" si="17"/>
        <v>5.0471447848261084</v>
      </c>
      <c r="AK133" s="14">
        <f t="shared" si="23"/>
        <v>5.4969490687061873</v>
      </c>
      <c r="AL133" s="11">
        <f t="shared" si="18"/>
        <v>-3.6943973598397202</v>
      </c>
      <c r="AM133" s="13">
        <f>'[7]D6 Gallon Forecast'!$R33/1000000</f>
        <v>1197.4456473450314</v>
      </c>
    </row>
    <row r="134" spans="1:39" x14ac:dyDescent="0.25">
      <c r="A134" s="10">
        <v>47604</v>
      </c>
      <c r="C134" s="15">
        <f>[6]Biodiesel!$V7</f>
        <v>117885877.87927911</v>
      </c>
      <c r="D134" s="15">
        <f>AVERAGE([6]Biodiesel!$Q7:$U7)</f>
        <v>115737366.38605562</v>
      </c>
      <c r="E134" s="15">
        <f t="shared" si="20"/>
        <v>2148511.4932234883</v>
      </c>
      <c r="F134" s="15">
        <f>[6]Biodiesel!$V39</f>
        <v>135787673.66504508</v>
      </c>
      <c r="G134" s="15">
        <f>AVERAGE([6]Biodiesel!$Q39:$U39)</f>
        <v>129669633.54106478</v>
      </c>
      <c r="H134" s="15">
        <f t="shared" si="24"/>
        <v>6118040.1239802986</v>
      </c>
      <c r="K134" s="15">
        <f>'[6]Renewable Diesel'!$V53</f>
        <v>258442801.67018637</v>
      </c>
      <c r="L134" s="15">
        <f>AVERAGE('[6]Renewable Diesel'!$Q53:$U53)</f>
        <v>220283651.81989884</v>
      </c>
      <c r="M134" s="15">
        <f t="shared" si="26"/>
        <v>38159149.850287527</v>
      </c>
      <c r="N134" s="15">
        <f>'[6]Renewable Diesel'!$V7</f>
        <v>277529718.60566485</v>
      </c>
      <c r="O134" s="15">
        <f>AVERAGE('[6]Renewable Diesel'!$Q7:$U7)</f>
        <v>240643029.88440925</v>
      </c>
      <c r="P134" s="15">
        <f t="shared" si="27"/>
        <v>36886688.7212556</v>
      </c>
      <c r="S134" s="11">
        <f>'[8]Soy Complex'!$BS601</f>
        <v>74.25</v>
      </c>
      <c r="T134" s="11"/>
      <c r="U134" s="11"/>
      <c r="V134" s="11">
        <f>[9]Forecasts!$B126</f>
        <v>562.5</v>
      </c>
      <c r="W134" s="11" t="e">
        <f>#REF!*100</f>
        <v>#REF!</v>
      </c>
      <c r="X134" s="11"/>
      <c r="AA134" s="14">
        <f t="shared" si="19"/>
        <v>264.49627462775396</v>
      </c>
      <c r="AB134" s="14">
        <v>16</v>
      </c>
      <c r="AC134" s="14">
        <v>100</v>
      </c>
      <c r="AE134" s="11"/>
      <c r="AF134" s="11"/>
      <c r="AJ134" s="14">
        <f t="shared" si="17"/>
        <v>5.1584824780220551</v>
      </c>
      <c r="AK134" s="14">
        <f t="shared" si="23"/>
        <v>5.6301238287836259</v>
      </c>
      <c r="AL134" s="11">
        <f t="shared" si="18"/>
        <v>-3.7878086580614632</v>
      </c>
      <c r="AM134" s="13">
        <f>'[7]D6 Gallon Forecast'!$R34/1000000</f>
        <v>1090.8165428095654</v>
      </c>
    </row>
    <row r="135" spans="1:39" x14ac:dyDescent="0.25">
      <c r="A135" s="10">
        <v>47635</v>
      </c>
      <c r="C135" s="15">
        <f>[6]Biodiesel!$V8</f>
        <v>115409164.82418416</v>
      </c>
      <c r="D135" s="15">
        <f>AVERAGE([6]Biodiesel!$Q8:$U8)</f>
        <v>113273452.9393824</v>
      </c>
      <c r="E135" s="15">
        <f t="shared" si="20"/>
        <v>2135711.8848017603</v>
      </c>
      <c r="F135" s="15">
        <f>[6]Biodiesel!$V40</f>
        <v>135324323.78594443</v>
      </c>
      <c r="G135" s="15">
        <f>AVERAGE([6]Biodiesel!$Q40:$U40)</f>
        <v>128772641.87049146</v>
      </c>
      <c r="H135" s="15">
        <f t="shared" si="24"/>
        <v>6551681.9154529721</v>
      </c>
      <c r="K135" s="15">
        <f>'[6]Renewable Diesel'!$V54</f>
        <v>259646646.44580799</v>
      </c>
      <c r="L135" s="15">
        <f>AVERAGE('[6]Renewable Diesel'!$Q54:$U54)</f>
        <v>220434230.98481202</v>
      </c>
      <c r="M135" s="15">
        <f t="shared" si="26"/>
        <v>39212415.460995972</v>
      </c>
      <c r="N135" s="15">
        <f>'[6]Renewable Diesel'!$V8</f>
        <v>281529162.05784196</v>
      </c>
      <c r="O135" s="15">
        <f>AVERAGE('[6]Renewable Diesel'!$Q8:$U8)</f>
        <v>243775580.9709816</v>
      </c>
      <c r="P135" s="15">
        <f t="shared" si="27"/>
        <v>37753581.086860359</v>
      </c>
      <c r="S135" s="11">
        <f>'[8]Soy Complex'!$BS602</f>
        <v>73.75</v>
      </c>
      <c r="T135" s="11"/>
      <c r="U135" s="11"/>
      <c r="V135" s="11">
        <f>[9]Forecasts!$B127</f>
        <v>565</v>
      </c>
      <c r="W135" s="11" t="e">
        <f>#REF!*100</f>
        <v>#REF!</v>
      </c>
      <c r="X135" s="11"/>
      <c r="AA135" s="14">
        <f t="shared" si="19"/>
        <v>263.73540319846262</v>
      </c>
      <c r="AB135" s="14">
        <v>16</v>
      </c>
      <c r="AC135" s="14">
        <v>100</v>
      </c>
      <c r="AE135" s="11"/>
      <c r="AF135" s="11"/>
      <c r="AJ135" s="14">
        <f t="shared" ref="AJ135:AJ198" si="28">AJ134+AVERAGE(AJ123-AJ122,AJ99-AJ98,AJ87-AJ86,AJ75-AJ74)</f>
        <v>4.9440262998457909</v>
      </c>
      <c r="AK135" s="14">
        <f t="shared" si="23"/>
        <v>5.7474831491477616</v>
      </c>
      <c r="AL135" s="11">
        <f t="shared" si="18"/>
        <v>-3.9817594706314079</v>
      </c>
      <c r="AM135" s="13">
        <f>'[7]D6 Gallon Forecast'!$R35/1000000</f>
        <v>1220.6156920216711</v>
      </c>
    </row>
    <row r="136" spans="1:39" x14ac:dyDescent="0.25">
      <c r="A136" s="10">
        <v>47665</v>
      </c>
      <c r="C136" s="15">
        <f>[6]Biodiesel!$V9</f>
        <v>114382449.45299669</v>
      </c>
      <c r="D136" s="15">
        <f>AVERAGE([6]Biodiesel!$Q9:$U9)</f>
        <v>112288948.6461381</v>
      </c>
      <c r="E136" s="15">
        <f t="shared" si="20"/>
        <v>2093500.8068585843</v>
      </c>
      <c r="F136" s="15">
        <f>[6]Biodiesel!$V41</f>
        <v>128666627.37377642</v>
      </c>
      <c r="G136" s="15">
        <f>AVERAGE([6]Biodiesel!$Q41:$U41)</f>
        <v>123405765.37578842</v>
      </c>
      <c r="H136" s="15">
        <f t="shared" si="24"/>
        <v>5260861.9979880005</v>
      </c>
      <c r="K136" s="15">
        <f>'[6]Renewable Diesel'!$V55</f>
        <v>252359406.29126972</v>
      </c>
      <c r="L136" s="15">
        <f>AVERAGE('[6]Renewable Diesel'!$Q55:$U55)</f>
        <v>214722946.20671979</v>
      </c>
      <c r="M136" s="15">
        <f t="shared" si="26"/>
        <v>37636460.084549934</v>
      </c>
      <c r="N136" s="15">
        <f>'[6]Renewable Diesel'!$V9</f>
        <v>265843320.70518386</v>
      </c>
      <c r="O136" s="15">
        <f>AVERAGE('[6]Renewable Diesel'!$Q9:$U9)</f>
        <v>229105788.24822816</v>
      </c>
      <c r="P136" s="15">
        <f t="shared" si="27"/>
        <v>36737532.456955701</v>
      </c>
      <c r="S136" s="11">
        <f>'[8]Soy Complex'!$BS603</f>
        <v>71.75</v>
      </c>
      <c r="T136" s="11"/>
      <c r="U136" s="11"/>
      <c r="V136" s="11">
        <f>[9]Forecasts!$B128</f>
        <v>570</v>
      </c>
      <c r="W136" s="11" t="e">
        <f>#REF!*100</f>
        <v>#REF!</v>
      </c>
      <c r="X136" s="11"/>
      <c r="AA136" s="14">
        <f t="shared" si="19"/>
        <v>264.62718908092995</v>
      </c>
      <c r="AB136" s="14">
        <v>16</v>
      </c>
      <c r="AC136" s="14">
        <v>100</v>
      </c>
      <c r="AE136" s="11"/>
      <c r="AF136" s="11"/>
      <c r="AJ136" s="14">
        <f t="shared" si="28"/>
        <v>4.1709722375910996</v>
      </c>
      <c r="AK136" s="14">
        <f t="shared" si="23"/>
        <v>5.6303571278827897</v>
      </c>
      <c r="AL136" s="11">
        <f t="shared" si="18"/>
        <v>-4.1407241858859685</v>
      </c>
      <c r="AM136" s="13">
        <f>'[7]D6 Gallon Forecast'!$R36/1000000</f>
        <v>1142.2860574468084</v>
      </c>
    </row>
    <row r="137" spans="1:39" x14ac:dyDescent="0.25">
      <c r="A137" s="10">
        <v>47696</v>
      </c>
      <c r="C137" s="15">
        <f>[6]Biodiesel!$V10</f>
        <v>118450592.08884685</v>
      </c>
      <c r="D137" s="15">
        <f>AVERAGE([6]Biodiesel!$Q10:$U10)</f>
        <v>116282517.50207217</v>
      </c>
      <c r="E137" s="15">
        <f t="shared" si="20"/>
        <v>2168074.586774677</v>
      </c>
      <c r="F137" s="15">
        <f>[6]Biodiesel!$V42</f>
        <v>135386596.69945794</v>
      </c>
      <c r="G137" s="15">
        <f>AVERAGE([6]Biodiesel!$Q42:$U42)</f>
        <v>129463147.17728691</v>
      </c>
      <c r="H137" s="15">
        <f t="shared" si="24"/>
        <v>5923449.5221710354</v>
      </c>
      <c r="K137" s="15">
        <f>'[6]Renewable Diesel'!$V56</f>
        <v>261131438.85279399</v>
      </c>
      <c r="L137" s="15">
        <f>AVERAGE('[6]Renewable Diesel'!$Q56:$U56)</f>
        <v>221445501.33160743</v>
      </c>
      <c r="M137" s="15">
        <f t="shared" si="26"/>
        <v>39685937.52118656</v>
      </c>
      <c r="N137" s="15">
        <f>'[6]Renewable Diesel'!$V10</f>
        <v>271271352.52963734</v>
      </c>
      <c r="O137" s="15">
        <f>AVERAGE('[6]Renewable Diesel'!$Q10:$U10)</f>
        <v>232261409.2535736</v>
      </c>
      <c r="P137" s="15">
        <f t="shared" si="27"/>
        <v>39009943.27606374</v>
      </c>
      <c r="S137" s="11">
        <f>'[8]Soy Complex'!$BS604</f>
        <v>72</v>
      </c>
      <c r="T137" s="11"/>
      <c r="U137" s="11"/>
      <c r="V137" s="11">
        <f>[9]Forecasts!$B129</f>
        <v>567.5</v>
      </c>
      <c r="W137" s="11" t="e">
        <f>#REF!*100</f>
        <v>#REF!</v>
      </c>
      <c r="X137" s="11"/>
      <c r="AA137" s="14">
        <f t="shared" si="19"/>
        <v>262.63269410499885</v>
      </c>
      <c r="AB137" s="14">
        <v>16</v>
      </c>
      <c r="AC137" s="14">
        <v>100</v>
      </c>
      <c r="AE137" s="11"/>
      <c r="AF137" s="11"/>
      <c r="AJ137" s="14">
        <f t="shared" si="28"/>
        <v>4.1518435731918046</v>
      </c>
      <c r="AK137" s="14">
        <f t="shared" si="23"/>
        <v>5.5385024667389802</v>
      </c>
      <c r="AL137" s="11">
        <f t="shared" ref="AL137:AL200" si="29">AJ137/2.8-AK137</f>
        <v>-4.0557011905990503</v>
      </c>
      <c r="AM137" s="13">
        <f>'[7]D6 Gallon Forecast'!$R37/1000000</f>
        <v>1250.2978314638513</v>
      </c>
    </row>
    <row r="138" spans="1:39" x14ac:dyDescent="0.25">
      <c r="A138" s="10">
        <v>47727</v>
      </c>
      <c r="C138" s="15">
        <f>[6]Biodiesel!$V11</f>
        <v>111655717.98436834</v>
      </c>
      <c r="D138" s="15">
        <f>AVERAGE([6]Biodiesel!$Q11:$U11)</f>
        <v>109609931.12471792</v>
      </c>
      <c r="E138" s="15">
        <f t="shared" si="20"/>
        <v>2045786.8596504182</v>
      </c>
      <c r="F138" s="15">
        <f>[6]Biodiesel!$V43</f>
        <v>129377817.28803086</v>
      </c>
      <c r="G138" s="15">
        <f>AVERAGE([6]Biodiesel!$Q43:$U43)</f>
        <v>123402347.53930748</v>
      </c>
      <c r="H138" s="15">
        <f t="shared" si="24"/>
        <v>5975469.7487233877</v>
      </c>
      <c r="K138" s="15">
        <f>'[6]Renewable Diesel'!$V57</f>
        <v>263977078.79055226</v>
      </c>
      <c r="L138" s="15">
        <f>AVERAGE('[6]Renewable Diesel'!$Q57:$U57)</f>
        <v>224123397.40078774</v>
      </c>
      <c r="M138" s="15">
        <f t="shared" si="26"/>
        <v>39853681.389764518</v>
      </c>
      <c r="N138" s="15">
        <f>'[6]Renewable Diesel'!$V11</f>
        <v>275735725.31904727</v>
      </c>
      <c r="O138" s="15">
        <f>AVERAGE('[6]Renewable Diesel'!$Q11:$U11)</f>
        <v>236665953.69784909</v>
      </c>
      <c r="P138" s="15">
        <f t="shared" si="27"/>
        <v>39069771.621198177</v>
      </c>
      <c r="S138" s="11">
        <f>'[8]Soy Complex'!$BS605</f>
        <v>74.25</v>
      </c>
      <c r="T138" s="11"/>
      <c r="U138" s="11"/>
      <c r="V138" s="11">
        <f>[9]Forecasts!$B130</f>
        <v>565</v>
      </c>
      <c r="W138" s="11" t="e">
        <f>#REF!*100</f>
        <v>#REF!</v>
      </c>
      <c r="X138" s="11"/>
      <c r="AA138" s="14">
        <f t="shared" si="19"/>
        <v>262.58018276647431</v>
      </c>
      <c r="AB138" s="14">
        <v>16</v>
      </c>
      <c r="AC138" s="14">
        <v>100</v>
      </c>
      <c r="AE138" s="11"/>
      <c r="AF138" s="11"/>
      <c r="AJ138" s="14">
        <f t="shared" si="28"/>
        <v>4.3136621087144418</v>
      </c>
      <c r="AK138" s="14">
        <f t="shared" si="23"/>
        <v>5.2943603146594338</v>
      </c>
      <c r="AL138" s="11">
        <f t="shared" si="29"/>
        <v>-3.753766704404276</v>
      </c>
      <c r="AM138" s="13">
        <f>'[7]D6 Gallon Forecast'!$R38/1000000</f>
        <v>1266.7006845414958</v>
      </c>
    </row>
    <row r="139" spans="1:39" x14ac:dyDescent="0.25">
      <c r="A139" s="10">
        <v>47757</v>
      </c>
      <c r="C139" s="15">
        <f>[6]Biodiesel!$V12</f>
        <v>114001647.8463062</v>
      </c>
      <c r="D139" s="15">
        <f>AVERAGE([6]Biodiesel!$Q12:$U12)</f>
        <v>111913697.65887146</v>
      </c>
      <c r="E139" s="15">
        <f t="shared" si="20"/>
        <v>2087950.1874347478</v>
      </c>
      <c r="F139" s="15">
        <f>[6]Biodiesel!$V44</f>
        <v>133506110.8676407</v>
      </c>
      <c r="G139" s="15">
        <f>AVERAGE([6]Biodiesel!$Q44:$U44)</f>
        <v>127093258.01025787</v>
      </c>
      <c r="H139" s="15">
        <f t="shared" si="24"/>
        <v>6412852.857382834</v>
      </c>
      <c r="K139" s="15">
        <f>'[6]Renewable Diesel'!$V58</f>
        <v>285666104.16957051</v>
      </c>
      <c r="L139" s="15">
        <f>AVERAGE('[6]Renewable Diesel'!$Q58:$U58)</f>
        <v>242941005.04357177</v>
      </c>
      <c r="M139" s="15">
        <f t="shared" si="26"/>
        <v>42725099.125998735</v>
      </c>
      <c r="N139" s="15">
        <f>'[6]Renewable Diesel'!$V12</f>
        <v>302055470.98889261</v>
      </c>
      <c r="O139" s="15">
        <f>AVERAGE('[6]Renewable Diesel'!$Q12:$U12)</f>
        <v>260422996.31751528</v>
      </c>
      <c r="P139" s="15">
        <f t="shared" si="27"/>
        <v>41632474.671377331</v>
      </c>
      <c r="S139" s="11">
        <f>'[8]Soy Complex'!$BT594</f>
        <v>73.25</v>
      </c>
      <c r="T139" s="11"/>
      <c r="U139" s="11"/>
      <c r="V139" s="11">
        <f>[9]Forecasts!$B131</f>
        <v>560</v>
      </c>
      <c r="W139" s="11" t="e">
        <f>#REF!*100</f>
        <v>#REF!</v>
      </c>
      <c r="X139" s="11"/>
      <c r="AA139" s="14">
        <f t="shared" si="19"/>
        <v>260.33089829933209</v>
      </c>
      <c r="AB139" s="14">
        <v>16</v>
      </c>
      <c r="AC139" s="14">
        <v>100</v>
      </c>
      <c r="AE139" s="11"/>
      <c r="AF139" s="11"/>
      <c r="AJ139" s="14">
        <f t="shared" si="28"/>
        <v>4.4217508787143975</v>
      </c>
      <c r="AK139" s="14">
        <f t="shared" si="23"/>
        <v>5.2821700925579567</v>
      </c>
      <c r="AL139" s="11">
        <f t="shared" si="29"/>
        <v>-3.7029733501599575</v>
      </c>
      <c r="AM139" s="13">
        <f>'[7]D6 Gallon Forecast'!$R39/1000000</f>
        <v>1284.2611217170761</v>
      </c>
    </row>
    <row r="140" spans="1:39" x14ac:dyDescent="0.25">
      <c r="A140" s="10">
        <v>47788</v>
      </c>
      <c r="C140" s="15">
        <f>[6]Biodiesel!$V13</f>
        <v>108766633.28854868</v>
      </c>
      <c r="D140" s="15">
        <f>AVERAGE([6]Biodiesel!$Q13:$U13)</f>
        <v>106771641.1131634</v>
      </c>
      <c r="E140" s="15">
        <f t="shared" si="20"/>
        <v>1994992.1753852814</v>
      </c>
      <c r="F140" s="15">
        <f>[6]Biodiesel!$V45</f>
        <v>126880367.14254715</v>
      </c>
      <c r="G140" s="15">
        <f>AVERAGE([6]Biodiesel!$Q45:$U45)</f>
        <v>120868851.37344916</v>
      </c>
      <c r="H140" s="15">
        <f t="shared" si="24"/>
        <v>6011515.7690979838</v>
      </c>
      <c r="K140" s="15">
        <f>'[6]Renewable Diesel'!$V59</f>
        <v>344469495.70933521</v>
      </c>
      <c r="L140" s="15">
        <f>AVERAGE('[6]Renewable Diesel'!$Q59:$U59)</f>
        <v>287721689.04295814</v>
      </c>
      <c r="M140" s="15">
        <f t="shared" si="26"/>
        <v>56747806.666377068</v>
      </c>
      <c r="N140" s="15">
        <f>'[6]Renewable Diesel'!$V13</f>
        <v>357524361.81791949</v>
      </c>
      <c r="O140" s="15">
        <f>AVERAGE('[6]Renewable Diesel'!$Q13:$U13)</f>
        <v>301646879.55878133</v>
      </c>
      <c r="P140" s="15">
        <f t="shared" si="27"/>
        <v>55877482.259138167</v>
      </c>
      <c r="S140" s="11">
        <f>'[8]Soy Complex'!$BT595</f>
        <v>73.25</v>
      </c>
      <c r="T140" s="11"/>
      <c r="U140" s="11"/>
      <c r="V140" s="11">
        <f>[9]Forecasts!$B132</f>
        <v>552.5</v>
      </c>
      <c r="W140" s="11" t="e">
        <f>#REF!*100</f>
        <v>#REF!</v>
      </c>
      <c r="X140" s="11"/>
      <c r="AA140" s="14">
        <f t="shared" si="19"/>
        <v>247.82805513955441</v>
      </c>
      <c r="AB140" s="14">
        <v>16</v>
      </c>
      <c r="AC140" s="14">
        <v>100</v>
      </c>
      <c r="AE140" s="11"/>
      <c r="AF140" s="11"/>
      <c r="AJ140" s="14">
        <f t="shared" si="28"/>
        <v>4.482308501536707</v>
      </c>
      <c r="AK140" s="14">
        <f t="shared" si="23"/>
        <v>5.3972550325978492</v>
      </c>
      <c r="AL140" s="11">
        <f t="shared" si="29"/>
        <v>-3.796430567763311</v>
      </c>
      <c r="AM140" s="13">
        <f>'[7]D6 Gallon Forecast'!$R40/1000000</f>
        <v>1288.363002939677</v>
      </c>
    </row>
    <row r="141" spans="1:39" x14ac:dyDescent="0.25">
      <c r="A141" s="10">
        <v>47818</v>
      </c>
      <c r="C141" s="15">
        <f>[6]Biodiesel!$V14</f>
        <v>113670510.85459337</v>
      </c>
      <c r="D141" s="15">
        <f>AVERAGE([6]Biodiesel!$Q14:$U14)</f>
        <v>111589598.95306571</v>
      </c>
      <c r="E141" s="15">
        <f t="shared" si="20"/>
        <v>2080911.9015276581</v>
      </c>
      <c r="F141" s="15">
        <f>[6]Biodiesel!$V46</f>
        <v>141299447.43672401</v>
      </c>
      <c r="G141" s="15">
        <f>AVERAGE([6]Biodiesel!$Q46:$U46)</f>
        <v>133092119.16263695</v>
      </c>
      <c r="H141" s="15">
        <f t="shared" si="24"/>
        <v>8207328.2740870565</v>
      </c>
      <c r="K141" s="15">
        <f>'[6]Renewable Diesel'!$V60</f>
        <v>389624429.74352074</v>
      </c>
      <c r="L141" s="15">
        <f>AVERAGE('[6]Renewable Diesel'!$Q60:$U60)</f>
        <v>318253187.16905761</v>
      </c>
      <c r="M141" s="15">
        <f t="shared" si="26"/>
        <v>71371242.574463129</v>
      </c>
      <c r="N141" s="15">
        <f>'[6]Renewable Diesel'!$V14</f>
        <v>403624607.20216894</v>
      </c>
      <c r="O141" s="15">
        <f>AVERAGE('[6]Renewable Diesel'!$Q14:$U14)</f>
        <v>333186709.79161566</v>
      </c>
      <c r="P141" s="15">
        <f t="shared" si="27"/>
        <v>70437897.410553277</v>
      </c>
      <c r="S141" s="11">
        <f>'[8]Soy Complex'!$BT596</f>
        <v>73.75</v>
      </c>
      <c r="T141" s="11"/>
      <c r="U141" s="11"/>
      <c r="V141" s="11">
        <f>[9]Forecasts!$B133</f>
        <v>525</v>
      </c>
      <c r="W141" s="11" t="e">
        <f>#REF!*100</f>
        <v>#REF!</v>
      </c>
      <c r="X141" s="11"/>
      <c r="AA141" s="14">
        <f t="shared" si="19"/>
        <v>235.04837876115738</v>
      </c>
      <c r="AB141" s="14">
        <v>16</v>
      </c>
      <c r="AC141" s="14">
        <v>100</v>
      </c>
      <c r="AE141" s="11"/>
      <c r="AF141" s="11"/>
      <c r="AJ141" s="14">
        <f t="shared" si="28"/>
        <v>4.5368976608210252</v>
      </c>
      <c r="AK141" s="14">
        <f t="shared" si="23"/>
        <v>5.2775054396601773</v>
      </c>
      <c r="AL141" s="11">
        <f t="shared" si="29"/>
        <v>-3.6571848465098111</v>
      </c>
      <c r="AM141" s="13">
        <f>'[7]D6 Gallon Forecast'!$R41/1000000</f>
        <v>1179.7530540928558</v>
      </c>
    </row>
    <row r="142" spans="1:39" x14ac:dyDescent="0.25">
      <c r="A142" s="10">
        <v>47849</v>
      </c>
      <c r="C142" s="15">
        <f>[6]Biodiesel!$W3</f>
        <v>92045118.069235623</v>
      </c>
      <c r="D142" s="15">
        <f>AVERAGE([6]Biodiesel!$R3:$V3)</f>
        <v>94385905.669131488</v>
      </c>
      <c r="E142" s="15">
        <f t="shared" si="20"/>
        <v>-2340787.5998958647</v>
      </c>
      <c r="F142" s="15">
        <f>[6]Biodiesel!$W35</f>
        <v>106528598.23736107</v>
      </c>
      <c r="G142" s="15">
        <f>AVERAGE([6]Biodiesel!$R35:$V35)</f>
        <v>109007323.74362004</v>
      </c>
      <c r="H142" s="15">
        <f t="shared" si="24"/>
        <v>-2478725.5062589645</v>
      </c>
      <c r="K142" s="15">
        <f>'[6]Renewable Diesel'!$W49</f>
        <v>219958068.18280625</v>
      </c>
      <c r="L142" s="15">
        <f>AVERAGE('[6]Renewable Diesel'!$R49:$V49)</f>
        <v>190281809.49680308</v>
      </c>
      <c r="M142" s="15">
        <f t="shared" si="26"/>
        <v>29676258.686003178</v>
      </c>
      <c r="N142" s="15">
        <f>'[6]Renewable Diesel'!$W3</f>
        <v>234937899.48318848</v>
      </c>
      <c r="O142" s="15">
        <f>AVERAGE('[6]Renewable Diesel'!$R3:$V3)</f>
        <v>208590492.19727021</v>
      </c>
      <c r="P142" s="15">
        <f t="shared" si="27"/>
        <v>26347407.285918266</v>
      </c>
      <c r="S142" s="11">
        <f>'[8]Soy Complex'!$BT597</f>
        <v>75.25</v>
      </c>
      <c r="T142" s="11"/>
      <c r="U142" s="11"/>
      <c r="V142" s="11">
        <f>[9]Forecasts!$B134</f>
        <v>527.5</v>
      </c>
      <c r="W142" s="11" t="e">
        <f>#REF!*100</f>
        <v>#REF!</v>
      </c>
      <c r="X142" s="11"/>
      <c r="AA142" s="14">
        <f t="shared" si="19"/>
        <v>273.74660194354954</v>
      </c>
      <c r="AB142" s="14">
        <v>16</v>
      </c>
      <c r="AC142" s="14">
        <v>100</v>
      </c>
      <c r="AF142" s="11"/>
      <c r="AJ142" s="14">
        <f t="shared" si="28"/>
        <v>4.6868414755973493</v>
      </c>
      <c r="AK142" s="14">
        <f t="shared" si="23"/>
        <v>5.4823446840393633</v>
      </c>
      <c r="AL142" s="11">
        <f t="shared" si="29"/>
        <v>-3.8084727284688813</v>
      </c>
      <c r="AM142" s="13">
        <f>'[7]D6 Gallon Forecast'!$S30/1000000</f>
        <v>1.066437622561952E-7</v>
      </c>
    </row>
    <row r="143" spans="1:39" x14ac:dyDescent="0.25">
      <c r="A143" s="10">
        <v>47880</v>
      </c>
      <c r="C143" s="15">
        <f>[6]Biodiesel!$W4</f>
        <v>97588542.947977543</v>
      </c>
      <c r="D143" s="15">
        <f>AVERAGE([6]Biodiesel!$R4:$V4)</f>
        <v>100070304.67544587</v>
      </c>
      <c r="E143" s="15">
        <f t="shared" si="20"/>
        <v>-2481761.7274683267</v>
      </c>
      <c r="F143" s="15">
        <f>[6]Biodiesel!$W36</f>
        <v>117067554.44470647</v>
      </c>
      <c r="G143" s="15">
        <f>AVERAGE([6]Biodiesel!$R36:$V36)</f>
        <v>119734830.56738171</v>
      </c>
      <c r="H143" s="15">
        <f t="shared" si="24"/>
        <v>-2667276.12267524</v>
      </c>
      <c r="K143" s="15">
        <f>'[6]Renewable Diesel'!$W50</f>
        <v>239030708.13410321</v>
      </c>
      <c r="L143" s="15">
        <f>AVERAGE('[6]Renewable Diesel'!$R50:$V50)</f>
        <v>206947784.15197152</v>
      </c>
      <c r="M143" s="15">
        <f t="shared" si="26"/>
        <v>32082923.98213169</v>
      </c>
      <c r="N143" s="15">
        <f>'[6]Renewable Diesel'!$W4</f>
        <v>258745228.15633824</v>
      </c>
      <c r="O143" s="15">
        <f>AVERAGE('[6]Renewable Diesel'!$R4:$V4)</f>
        <v>231043308.62359208</v>
      </c>
      <c r="P143" s="15">
        <f t="shared" si="27"/>
        <v>27701919.532746166</v>
      </c>
      <c r="S143" s="11">
        <f>'[8]Soy Complex'!$BT598</f>
        <v>73.75</v>
      </c>
      <c r="T143" s="11"/>
      <c r="U143" s="11"/>
      <c r="V143" s="11">
        <f>[9]Forecasts!$B135</f>
        <v>530</v>
      </c>
      <c r="W143" s="11" t="e">
        <f>#REF!*100</f>
        <v>#REF!</v>
      </c>
      <c r="X143" s="11"/>
      <c r="AA143" s="14">
        <f t="shared" si="19"/>
        <v>272.55774654450869</v>
      </c>
      <c r="AB143" s="14">
        <v>16</v>
      </c>
      <c r="AC143" s="14">
        <v>100</v>
      </c>
      <c r="AF143" s="11"/>
      <c r="AJ143" s="14">
        <f t="shared" si="28"/>
        <v>4.7779185004348337</v>
      </c>
      <c r="AK143" s="14">
        <f t="shared" si="23"/>
        <v>5.551934291009081</v>
      </c>
      <c r="AL143" s="11">
        <f t="shared" si="29"/>
        <v>-3.8455348265680689</v>
      </c>
      <c r="AM143" s="13">
        <f>'[7]D6 Gallon Forecast'!$S31/1000000</f>
        <v>576.28942408061414</v>
      </c>
    </row>
    <row r="144" spans="1:39" x14ac:dyDescent="0.25">
      <c r="A144" s="10">
        <v>47908</v>
      </c>
      <c r="C144" s="15">
        <f>[6]Biodiesel!$W5</f>
        <v>111012957.8202599</v>
      </c>
      <c r="D144" s="15">
        <f>AVERAGE([6]Biodiesel!$R5:$V5)</f>
        <v>113836059.47159353</v>
      </c>
      <c r="E144" s="15">
        <f t="shared" si="20"/>
        <v>-2823101.6513336301</v>
      </c>
      <c r="F144" s="15">
        <f>[6]Biodiesel!$W37</f>
        <v>128031601.91450733</v>
      </c>
      <c r="G144" s="15">
        <f>AVERAGE([6]Biodiesel!$R37:$V37)</f>
        <v>131016763.54769094</v>
      </c>
      <c r="H144" s="15">
        <f t="shared" si="24"/>
        <v>-2985161.6331836134</v>
      </c>
      <c r="K144" s="15">
        <f>'[6]Renewable Diesel'!$W51</f>
        <v>256868833.04769123</v>
      </c>
      <c r="L144" s="15">
        <f>AVERAGE('[6]Renewable Diesel'!$R51:$V51)</f>
        <v>222146584.27994603</v>
      </c>
      <c r="M144" s="15">
        <f t="shared" si="26"/>
        <v>34722248.767745197</v>
      </c>
      <c r="N144" s="15">
        <f>'[6]Renewable Diesel'!$W5</f>
        <v>275040052.76209998</v>
      </c>
      <c r="O144" s="15">
        <f>AVERAGE('[6]Renewable Diesel'!$R5:$V5)</f>
        <v>244354944.15311232</v>
      </c>
      <c r="P144" s="15">
        <f t="shared" si="27"/>
        <v>30685108.608987659</v>
      </c>
      <c r="S144" s="11">
        <f>'[8]Soy Complex'!$BT599</f>
        <v>75.25</v>
      </c>
      <c r="T144" s="11"/>
      <c r="U144" s="11"/>
      <c r="V144" s="11">
        <f>[9]Forecasts!$B136</f>
        <v>532.5</v>
      </c>
      <c r="W144" s="11" t="e">
        <f>#REF!*100</f>
        <v>#REF!</v>
      </c>
      <c r="X144" s="11"/>
      <c r="AA144" s="14">
        <f t="shared" si="19"/>
        <v>269.93940149229149</v>
      </c>
      <c r="AB144" s="14">
        <v>16</v>
      </c>
      <c r="AC144" s="14">
        <v>100</v>
      </c>
      <c r="AF144" s="11"/>
      <c r="AJ144" s="14">
        <f t="shared" si="28"/>
        <v>4.9486128347042468</v>
      </c>
      <c r="AK144" s="14">
        <f t="shared" si="23"/>
        <v>5.7375188673507322</v>
      </c>
      <c r="AL144" s="11">
        <f t="shared" si="29"/>
        <v>-3.970157140670644</v>
      </c>
      <c r="AM144" s="13">
        <f>'[7]D6 Gallon Forecast'!$S32/1000000</f>
        <v>2.0270000000000002E-3</v>
      </c>
    </row>
    <row r="145" spans="1:39" x14ac:dyDescent="0.25">
      <c r="A145" s="10">
        <v>47939</v>
      </c>
      <c r="C145" s="15">
        <f>[6]Biodiesel!$W6</f>
        <v>110091849.210109</v>
      </c>
      <c r="D145" s="15">
        <f>AVERAGE([6]Biodiesel!$R6:$V6)</f>
        <v>112942001.86104698</v>
      </c>
      <c r="E145" s="15">
        <f t="shared" si="20"/>
        <v>-2850152.6509379894</v>
      </c>
      <c r="F145" s="15">
        <f>[6]Biodiesel!$W38</f>
        <v>130797045.12474963</v>
      </c>
      <c r="G145" s="15">
        <f>AVERAGE([6]Biodiesel!$R38:$V38)</f>
        <v>133844390.11773178</v>
      </c>
      <c r="H145" s="15">
        <f t="shared" si="24"/>
        <v>-3047344.9929821491</v>
      </c>
      <c r="K145" s="15">
        <f>'[6]Renewable Diesel'!$W52</f>
        <v>244994755.37554818</v>
      </c>
      <c r="L145" s="15">
        <f>AVERAGE('[6]Renewable Diesel'!$R52:$V52)</f>
        <v>212085044.12814432</v>
      </c>
      <c r="M145" s="15">
        <f t="shared" si="26"/>
        <v>32909711.24740386</v>
      </c>
      <c r="N145" s="15">
        <f>'[6]Renewable Diesel'!$W6</f>
        <v>262561881.86200482</v>
      </c>
      <c r="O145" s="15">
        <f>AVERAGE('[6]Renewable Diesel'!$R6:$V6)</f>
        <v>233555976.50048023</v>
      </c>
      <c r="P145" s="15">
        <f t="shared" si="27"/>
        <v>29005905.361524582</v>
      </c>
      <c r="S145" s="11">
        <f>'[8]Soy Complex'!$BT600</f>
        <v>75</v>
      </c>
      <c r="T145" s="11"/>
      <c r="U145" s="11"/>
      <c r="V145" s="11">
        <f>[9]Forecasts!$B137</f>
        <v>535</v>
      </c>
      <c r="W145" s="11" t="e">
        <f>#REF!*100</f>
        <v>#REF!</v>
      </c>
      <c r="X145" s="11"/>
      <c r="AA145" s="14">
        <f t="shared" si="19"/>
        <v>271.41323818258985</v>
      </c>
      <c r="AB145" s="14">
        <v>16</v>
      </c>
      <c r="AC145" s="14">
        <v>100</v>
      </c>
      <c r="AF145" s="11"/>
      <c r="AJ145" s="14">
        <f t="shared" si="28"/>
        <v>5.1243462627269167</v>
      </c>
      <c r="AK145" s="14">
        <f t="shared" si="23"/>
        <v>5.7366327452016419</v>
      </c>
      <c r="AL145" s="11">
        <f t="shared" si="29"/>
        <v>-3.9065090799420288</v>
      </c>
      <c r="AM145" s="13">
        <f>'[7]D6 Gallon Forecast'!$S33/1000000</f>
        <v>1220.4338079262179</v>
      </c>
    </row>
    <row r="146" spans="1:39" x14ac:dyDescent="0.25">
      <c r="A146" s="10">
        <v>47969</v>
      </c>
      <c r="C146" s="15">
        <f>[6]Biodiesel!$W7</f>
        <v>118288981.66749325</v>
      </c>
      <c r="D146" s="15">
        <f>AVERAGE([6]Biodiesel!$R7:$V7)</f>
        <v>121351006.80945197</v>
      </c>
      <c r="E146" s="15">
        <f t="shared" si="20"/>
        <v>-3062025.1419587135</v>
      </c>
      <c r="F146" s="15">
        <f>[6]Biodiesel!$W39</f>
        <v>134657998.44840372</v>
      </c>
      <c r="G146" s="15">
        <f>AVERAGE([6]Biodiesel!$R39:$V39)</f>
        <v>137875918.98827586</v>
      </c>
      <c r="H146" s="15">
        <f t="shared" si="24"/>
        <v>-3217920.5398721397</v>
      </c>
      <c r="K146" s="15">
        <f>'[6]Renewable Diesel'!$W53</f>
        <v>273690917.68321735</v>
      </c>
      <c r="L146" s="15">
        <f>AVERAGE('[6]Renewable Diesel'!$R53:$V53)</f>
        <v>236926092.46701461</v>
      </c>
      <c r="M146" s="15">
        <f t="shared" si="26"/>
        <v>36764825.216202736</v>
      </c>
      <c r="N146" s="15">
        <f>'[6]Renewable Diesel'!$W7</f>
        <v>292800655.45199817</v>
      </c>
      <c r="O146" s="15">
        <f>AVERAGE('[6]Renewable Diesel'!$R7:$V7)</f>
        <v>260282438.62885785</v>
      </c>
      <c r="P146" s="15">
        <f t="shared" si="27"/>
        <v>32518216.823140323</v>
      </c>
      <c r="S146" s="11">
        <f>'[8]Soy Complex'!$BT601</f>
        <v>75.75</v>
      </c>
      <c r="T146" s="11"/>
      <c r="U146" s="11"/>
      <c r="V146" s="11">
        <f>[9]Forecasts!$B138</f>
        <v>537.5</v>
      </c>
      <c r="W146" s="11" t="e">
        <f>#REF!*100</f>
        <v>#REF!</v>
      </c>
      <c r="X146" s="11"/>
      <c r="AA146" s="14">
        <f t="shared" si="19"/>
        <v>268.33048241272974</v>
      </c>
      <c r="AB146" s="14">
        <v>16</v>
      </c>
      <c r="AC146" s="14">
        <v>100</v>
      </c>
      <c r="AF146" s="11"/>
      <c r="AJ146" s="14">
        <f t="shared" si="28"/>
        <v>5.1636997237102236</v>
      </c>
      <c r="AK146" s="14">
        <f t="shared" si="23"/>
        <v>5.8268751106070216</v>
      </c>
      <c r="AL146" s="11">
        <f t="shared" si="29"/>
        <v>-3.9826966378533699</v>
      </c>
      <c r="AM146" s="13">
        <f>'[7]D6 Gallon Forecast'!$S34/1000000</f>
        <v>1129.7907744014019</v>
      </c>
    </row>
    <row r="147" spans="1:39" x14ac:dyDescent="0.25">
      <c r="A147" s="10">
        <v>48000</v>
      </c>
      <c r="C147" s="15">
        <f>[6]Biodiesel!$W8</f>
        <v>115185139.34351449</v>
      </c>
      <c r="D147" s="15">
        <f>AVERAGE([6]Biodiesel!$R8:$V8)</f>
        <v>118180697.33556744</v>
      </c>
      <c r="E147" s="15">
        <f t="shared" si="20"/>
        <v>-2995557.9920529574</v>
      </c>
      <c r="F147" s="15">
        <f>[6]Biodiesel!$W40</f>
        <v>133391965.48292439</v>
      </c>
      <c r="G147" s="15">
        <f>AVERAGE([6]Biodiesel!$R40:$V40)</f>
        <v>136560921.81916222</v>
      </c>
      <c r="H147" s="15">
        <f t="shared" si="24"/>
        <v>-3168956.3362378329</v>
      </c>
      <c r="K147" s="15">
        <f>'[6]Renewable Diesel'!$W54</f>
        <v>274924855.64164633</v>
      </c>
      <c r="L147" s="15">
        <f>AVERAGE('[6]Renewable Diesel'!$R54:$V54)</f>
        <v>237828082.164891</v>
      </c>
      <c r="M147" s="15">
        <f t="shared" si="26"/>
        <v>37096773.476755321</v>
      </c>
      <c r="N147" s="15">
        <f>'[6]Renewable Diesel'!$W8</f>
        <v>296938943.57873619</v>
      </c>
      <c r="O147" s="15">
        <f>AVERAGE('[6]Renewable Diesel'!$R8:$V8)</f>
        <v>264734189.64355642</v>
      </c>
      <c r="P147" s="15">
        <f t="shared" si="27"/>
        <v>32204753.93517977</v>
      </c>
      <c r="S147" s="11">
        <f>'[8]Soy Complex'!$BT602</f>
        <v>75.75</v>
      </c>
      <c r="T147" s="11"/>
      <c r="U147" s="11"/>
      <c r="V147" s="11">
        <f>[9]Forecasts!$B139</f>
        <v>542.5</v>
      </c>
      <c r="W147" s="11" t="e">
        <f>#REF!*100</f>
        <v>#REF!</v>
      </c>
      <c r="X147" s="11"/>
      <c r="AA147" s="14">
        <f t="shared" si="19"/>
        <v>268.60560878949269</v>
      </c>
      <c r="AB147" s="14">
        <v>16</v>
      </c>
      <c r="AC147" s="14">
        <v>100</v>
      </c>
      <c r="AF147" s="11"/>
      <c r="AJ147" s="14">
        <f t="shared" si="28"/>
        <v>4.9671782810544007</v>
      </c>
      <c r="AK147" s="14">
        <f t="shared" si="23"/>
        <v>5.9377274114520393</v>
      </c>
      <c r="AL147" s="11">
        <f t="shared" si="29"/>
        <v>-4.1637351682183246</v>
      </c>
      <c r="AM147" s="13">
        <f>'[7]D6 Gallon Forecast'!$S35/1000000</f>
        <v>1227.2838506440778</v>
      </c>
    </row>
    <row r="148" spans="1:39" x14ac:dyDescent="0.25">
      <c r="A148" s="10">
        <v>48030</v>
      </c>
      <c r="C148" s="15">
        <f>[6]Biodiesel!$W9</f>
        <v>114331082.80528103</v>
      </c>
      <c r="D148" s="15">
        <f>AVERAGE([6]Biodiesel!$R9:$V9)</f>
        <v>117306583.61065026</v>
      </c>
      <c r="E148" s="15">
        <f t="shared" si="20"/>
        <v>-2975500.8053692281</v>
      </c>
      <c r="F148" s="15">
        <f>[6]Biodiesel!$W41</f>
        <v>126878614.51600082</v>
      </c>
      <c r="G148" s="15">
        <f>AVERAGE([6]Biodiesel!$R41:$V41)</f>
        <v>129973615.62337689</v>
      </c>
      <c r="H148" s="15">
        <f t="shared" si="24"/>
        <v>-3095001.1073760688</v>
      </c>
      <c r="K148" s="15">
        <f>'[6]Renewable Diesel'!$W55</f>
        <v>267231053.39745298</v>
      </c>
      <c r="L148" s="15">
        <f>AVERAGE('[6]Renewable Diesel'!$R55:$V55)</f>
        <v>231269163.89592496</v>
      </c>
      <c r="M148" s="15">
        <f t="shared" si="26"/>
        <v>35961889.501528025</v>
      </c>
      <c r="N148" s="15">
        <f>'[6]Renewable Diesel'!$W9</f>
        <v>280334307.62474275</v>
      </c>
      <c r="O148" s="15">
        <f>AVERAGE('[6]Renewable Diesel'!$R9:$V9)</f>
        <v>247284252.39594585</v>
      </c>
      <c r="P148" s="15">
        <f t="shared" si="27"/>
        <v>33050055.228796899</v>
      </c>
      <c r="S148" s="11">
        <f>'[8]Soy Complex'!$BT603</f>
        <v>74</v>
      </c>
      <c r="T148" s="11"/>
      <c r="U148" s="11"/>
      <c r="V148" s="11">
        <f>[9]Forecasts!$B140</f>
        <v>547.5</v>
      </c>
      <c r="W148" s="11" t="e">
        <f>#REF!*100</f>
        <v>#REF!</v>
      </c>
      <c r="X148" s="11"/>
      <c r="AA148" s="14">
        <f t="shared" ref="AA148:AA211" si="30">(-0.6408065713*(I148*100))+(-0.0000008777*P148)+296.8717213184</f>
        <v>267.86368784408495</v>
      </c>
      <c r="AB148" s="14">
        <v>16</v>
      </c>
      <c r="AC148" s="14">
        <v>100</v>
      </c>
      <c r="AJ148" s="14">
        <f t="shared" si="28"/>
        <v>4.1654923718935422</v>
      </c>
      <c r="AK148" s="14">
        <f t="shared" si="23"/>
        <v>5.8931431074973446</v>
      </c>
      <c r="AL148" s="11">
        <f t="shared" si="29"/>
        <v>-4.4054672603925082</v>
      </c>
      <c r="AM148" s="13">
        <f>'[7]D6 Gallon Forecast'!$S36/1000000</f>
        <v>1141.8561331922858</v>
      </c>
    </row>
    <row r="149" spans="1:39" x14ac:dyDescent="0.25">
      <c r="A149" s="10">
        <v>48061</v>
      </c>
      <c r="C149" s="15">
        <f>[6]Biodiesel!$W10</f>
        <v>118214146.89815192</v>
      </c>
      <c r="D149" s="15">
        <f>AVERAGE([6]Biodiesel!$R10:$V10)</f>
        <v>121291033.68244517</v>
      </c>
      <c r="E149" s="15">
        <f t="shared" si="20"/>
        <v>-3076886.7842932492</v>
      </c>
      <c r="F149" s="15">
        <f>[6]Biodiesel!$W42</f>
        <v>133508671.36362907</v>
      </c>
      <c r="G149" s="15">
        <f>AVERAGE([6]Biodiesel!$R42:$V42)</f>
        <v>136731220.28568879</v>
      </c>
      <c r="H149" s="15">
        <f t="shared" si="24"/>
        <v>-3222548.9220597148</v>
      </c>
      <c r="K149" s="15">
        <f>'[6]Renewable Diesel'!$W56</f>
        <v>276307528.2895925</v>
      </c>
      <c r="L149" s="15">
        <f>AVERAGE('[6]Renewable Diesel'!$R56:$V56)</f>
        <v>238873650.61224493</v>
      </c>
      <c r="M149" s="15">
        <f t="shared" si="26"/>
        <v>37433877.677347571</v>
      </c>
      <c r="N149" s="15">
        <f>'[6]Renewable Diesel'!$W10</f>
        <v>285968887.34770447</v>
      </c>
      <c r="O149" s="15">
        <f>AVERAGE('[6]Renewable Diesel'!$R10:$V10)</f>
        <v>250681978.34993735</v>
      </c>
      <c r="P149" s="15">
        <f t="shared" si="27"/>
        <v>35286908.997767121</v>
      </c>
      <c r="S149" s="11">
        <f>'[8]Soy Complex'!$BT604</f>
        <v>73.5</v>
      </c>
      <c r="T149" s="11"/>
      <c r="U149" s="11"/>
      <c r="V149" s="11">
        <f>[9]Forecasts!$B141</f>
        <v>555</v>
      </c>
      <c r="W149" s="11" t="e">
        <f>#REF!*100</f>
        <v>#REF!</v>
      </c>
      <c r="X149" s="11"/>
      <c r="AA149" s="14">
        <f t="shared" si="30"/>
        <v>265.90040129105978</v>
      </c>
      <c r="AB149" s="14">
        <v>16</v>
      </c>
      <c r="AC149" s="14">
        <v>100</v>
      </c>
      <c r="AJ149" s="14">
        <f t="shared" si="28"/>
        <v>4.1184068438736148</v>
      </c>
      <c r="AK149" s="14">
        <f t="shared" si="23"/>
        <v>5.8470164606227852</v>
      </c>
      <c r="AL149" s="11">
        <f t="shared" si="29"/>
        <v>-4.3761568735250655</v>
      </c>
      <c r="AM149" s="13">
        <f>'[7]D6 Gallon Forecast'!$S37/1000000</f>
        <v>1247.7860569632221</v>
      </c>
    </row>
    <row r="150" spans="1:39" x14ac:dyDescent="0.25">
      <c r="A150" s="10">
        <v>48092</v>
      </c>
      <c r="C150" s="15">
        <f>[6]Biodiesel!$W11</f>
        <v>111395712.81996165</v>
      </c>
      <c r="D150" s="15">
        <f>AVERAGE([6]Biodiesel!$R11:$V11)</f>
        <v>114299085.22563323</v>
      </c>
      <c r="E150" s="15">
        <f t="shared" si="20"/>
        <v>-2903372.4056715816</v>
      </c>
      <c r="F150" s="15">
        <f>[6]Biodiesel!$W43</f>
        <v>127248566.05686434</v>
      </c>
      <c r="G150" s="15">
        <f>AVERAGE([6]Biodiesel!$R43:$V43)</f>
        <v>130302918.0171731</v>
      </c>
      <c r="H150" s="15">
        <f t="shared" si="24"/>
        <v>-3054351.9603087604</v>
      </c>
      <c r="K150" s="15">
        <f>'[6]Renewable Diesel'!$W57</f>
        <v>279404679.38951099</v>
      </c>
      <c r="L150" s="15">
        <f>AVERAGE('[6]Renewable Diesel'!$R57:$V57)</f>
        <v>241641929.10334283</v>
      </c>
      <c r="M150" s="15">
        <f t="shared" si="26"/>
        <v>37762750.286168158</v>
      </c>
      <c r="N150" s="15">
        <f>'[6]Renewable Diesel'!$W11</f>
        <v>291000438.62513226</v>
      </c>
      <c r="O150" s="15">
        <f>AVERAGE('[6]Renewable Diesel'!$R11:$V11)</f>
        <v>255814523.72465771</v>
      </c>
      <c r="P150" s="15">
        <f t="shared" si="27"/>
        <v>35185914.900474548</v>
      </c>
      <c r="S150" s="11">
        <f>'[8]Soy Complex'!$BT605</f>
        <v>76.75</v>
      </c>
      <c r="T150" s="11"/>
      <c r="U150" s="11"/>
      <c r="V150" s="11">
        <f>[9]Forecasts!$B142</f>
        <v>562.5</v>
      </c>
      <c r="W150" s="11" t="e">
        <f>#REF!*100</f>
        <v>#REF!</v>
      </c>
      <c r="X150" s="11"/>
      <c r="AA150" s="14">
        <f t="shared" si="30"/>
        <v>265.98904381025346</v>
      </c>
      <c r="AB150" s="14">
        <v>16</v>
      </c>
      <c r="AC150" s="14">
        <v>100</v>
      </c>
      <c r="AJ150" s="14">
        <f t="shared" si="28"/>
        <v>4.2640583457451298</v>
      </c>
      <c r="AK150" s="14">
        <f t="shared" si="23"/>
        <v>5.6363362751131456</v>
      </c>
      <c r="AL150" s="11">
        <f t="shared" si="29"/>
        <v>-4.1134582944898845</v>
      </c>
      <c r="AM150" s="13">
        <f>'[7]D6 Gallon Forecast'!$S38/1000000</f>
        <v>1266.7049371032228</v>
      </c>
    </row>
    <row r="151" spans="1:39" x14ac:dyDescent="0.25">
      <c r="A151" s="10">
        <v>48122</v>
      </c>
      <c r="C151" s="15">
        <f>[6]Biodiesel!$W12</f>
        <v>114262336.76022615</v>
      </c>
      <c r="D151" s="15">
        <f>AVERAGE([6]Biodiesel!$R12:$V12)</f>
        <v>117238543.1289362</v>
      </c>
      <c r="E151" s="15">
        <f t="shared" si="20"/>
        <v>-2976206.3687100559</v>
      </c>
      <c r="F151" s="15">
        <f>[6]Biodiesel!$W44</f>
        <v>132253928.15742336</v>
      </c>
      <c r="G151" s="15">
        <f>AVERAGE([6]Biodiesel!$R44:$V44)</f>
        <v>135401483.01563051</v>
      </c>
      <c r="H151" s="15">
        <f t="shared" si="24"/>
        <v>-3147554.8582071513</v>
      </c>
      <c r="K151" s="15">
        <f>'[6]Renewable Diesel'!$W58</f>
        <v>302512877.50448924</v>
      </c>
      <c r="L151" s="15">
        <f>AVERAGE('[6]Renewable Diesel'!$R58:$V58)</f>
        <v>261839742.95365697</v>
      </c>
      <c r="M151" s="15">
        <f t="shared" si="26"/>
        <v>40673134.550832272</v>
      </c>
      <c r="N151" s="15">
        <f>'[6]Renewable Diesel'!$W12</f>
        <v>318886945.64337492</v>
      </c>
      <c r="O151" s="15">
        <f>AVERAGE('[6]Renewable Diesel'!$R12:$V12)</f>
        <v>281852492.9011839</v>
      </c>
      <c r="P151" s="15">
        <f t="shared" si="27"/>
        <v>37034452.742191017</v>
      </c>
      <c r="S151" s="11">
        <f>'[8]Soy Complex'!$BU594</f>
        <v>75</v>
      </c>
      <c r="T151" s="11"/>
      <c r="U151" s="11"/>
      <c r="V151" s="11">
        <f>[9]Forecasts!$B143</f>
        <v>572.5</v>
      </c>
      <c r="W151" s="11" t="e">
        <f>#REF!*100</f>
        <v>#REF!</v>
      </c>
      <c r="X151" s="11"/>
      <c r="AA151" s="14">
        <f t="shared" si="30"/>
        <v>264.36658214657893</v>
      </c>
      <c r="AB151" s="14">
        <v>16</v>
      </c>
      <c r="AC151" s="14">
        <v>100</v>
      </c>
      <c r="AJ151" s="14">
        <f t="shared" si="28"/>
        <v>4.3600844314448768</v>
      </c>
      <c r="AK151" s="14">
        <f t="shared" si="23"/>
        <v>5.5918270076161756</v>
      </c>
      <c r="AL151" s="11">
        <f t="shared" si="29"/>
        <v>-4.0346539963858623</v>
      </c>
      <c r="AM151" s="13">
        <f>'[7]D6 Gallon Forecast'!$S39/1000000</f>
        <v>1283.8157061003164</v>
      </c>
    </row>
    <row r="152" spans="1:39" x14ac:dyDescent="0.25">
      <c r="A152" s="10">
        <v>48153</v>
      </c>
      <c r="C152" s="15">
        <f>[6]Biodiesel!$W13</f>
        <v>108834677.89658071</v>
      </c>
      <c r="D152" s="15">
        <f>AVERAGE([6]Biodiesel!$R13:$V13)</f>
        <v>111675138.78150657</v>
      </c>
      <c r="E152" s="15">
        <f t="shared" ref="E152:E215" si="31">C152-D152</f>
        <v>-2840460.8849258572</v>
      </c>
      <c r="F152" s="15">
        <f>[6]Biodiesel!$W45</f>
        <v>125606181.95288904</v>
      </c>
      <c r="G152" s="15">
        <f>AVERAGE([6]Biodiesel!$R45:$V45)</f>
        <v>128606371.44787498</v>
      </c>
      <c r="H152" s="15">
        <f t="shared" si="24"/>
        <v>-3000189.4949859381</v>
      </c>
      <c r="K152" s="15">
        <f>'[6]Renewable Diesel'!$W59</f>
        <v>364954201.11188</v>
      </c>
      <c r="L152" s="15">
        <f>AVERAGE('[6]Renewable Diesel'!$R59:$V59)</f>
        <v>316009744.66735584</v>
      </c>
      <c r="M152" s="15">
        <f t="shared" si="26"/>
        <v>48944456.444524169</v>
      </c>
      <c r="N152" s="15">
        <f>'[6]Renewable Diesel'!$W13</f>
        <v>377932039.73769742</v>
      </c>
      <c r="O152" s="15">
        <f>AVERAGE('[6]Renewable Diesel'!$R13:$V13)</f>
        <v>331871547.43224376</v>
      </c>
      <c r="P152" s="15">
        <f t="shared" si="27"/>
        <v>46060492.305453658</v>
      </c>
      <c r="S152" s="11">
        <f>'[8]Soy Complex'!$BU595</f>
        <v>74.75</v>
      </c>
      <c r="T152" s="11"/>
      <c r="U152" s="11"/>
      <c r="V152" s="11">
        <f>[9]Forecasts!$B144</f>
        <v>542.5</v>
      </c>
      <c r="W152" s="11" t="e">
        <f>#REF!*100</f>
        <v>#REF!</v>
      </c>
      <c r="X152" s="11"/>
      <c r="AA152" s="14">
        <f t="shared" si="30"/>
        <v>256.44442722190331</v>
      </c>
      <c r="AB152" s="14">
        <v>16</v>
      </c>
      <c r="AC152" s="14">
        <v>100</v>
      </c>
      <c r="AJ152" s="14">
        <f t="shared" si="28"/>
        <v>4.3988482282233896</v>
      </c>
      <c r="AK152" s="14">
        <f t="shared" si="23"/>
        <v>5.7382649361822162</v>
      </c>
      <c r="AL152" s="11">
        <f t="shared" si="29"/>
        <v>-4.1672477118167199</v>
      </c>
      <c r="AM152" s="13">
        <f>'[7]D6 Gallon Forecast'!$S40/1000000</f>
        <v>1319.7971243532409</v>
      </c>
    </row>
    <row r="153" spans="1:39" x14ac:dyDescent="0.25">
      <c r="A153" s="10">
        <v>48183</v>
      </c>
      <c r="C153" s="15">
        <f>[6]Biodiesel!$W14</f>
        <v>114191636.80728208</v>
      </c>
      <c r="D153" s="15">
        <f>AVERAGE([6]Biodiesel!$R14:$V14)</f>
        <v>117164002.11644411</v>
      </c>
      <c r="E153" s="15">
        <f t="shared" si="31"/>
        <v>-2972365.3091620356</v>
      </c>
      <c r="F153" s="15">
        <f>[6]Biodiesel!$W46</f>
        <v>139473488.34661406</v>
      </c>
      <c r="G153" s="15">
        <f>AVERAGE([6]Biodiesel!$R46:$V46)</f>
        <v>142686633.19424596</v>
      </c>
      <c r="H153" s="15">
        <f t="shared" si="24"/>
        <v>-3213144.8476319015</v>
      </c>
      <c r="K153" s="15">
        <f>'[6]Renewable Diesel'!$W60</f>
        <v>413116571.77928144</v>
      </c>
      <c r="L153" s="15">
        <f>AVERAGE('[6]Renewable Diesel'!$R60:$V60)</f>
        <v>357760504.03482991</v>
      </c>
      <c r="M153" s="15">
        <f t="shared" si="26"/>
        <v>55356067.744451523</v>
      </c>
      <c r="N153" s="15">
        <f>'[6]Renewable Diesel'!$W14</f>
        <v>427372666.88920194</v>
      </c>
      <c r="O153" s="15">
        <f>AVERAGE('[6]Renewable Diesel'!$R14:$V14)</f>
        <v>375184620.28028834</v>
      </c>
      <c r="P153" s="15">
        <f t="shared" si="27"/>
        <v>52188046.6089136</v>
      </c>
      <c r="S153" s="11">
        <f>'[8]Soy Complex'!$BU596</f>
        <v>72.5</v>
      </c>
      <c r="T153" s="11"/>
      <c r="U153" s="11"/>
      <c r="V153" s="11">
        <f>[9]Forecasts!$B145</f>
        <v>552.5</v>
      </c>
      <c r="W153" s="11" t="e">
        <f>#REF!*100</f>
        <v>#REF!</v>
      </c>
      <c r="X153" s="11"/>
      <c r="AA153" s="14">
        <f t="shared" si="30"/>
        <v>251.06627280975653</v>
      </c>
      <c r="AB153" s="14">
        <v>16</v>
      </c>
      <c r="AC153" s="14">
        <v>100</v>
      </c>
      <c r="AJ153" s="14">
        <f t="shared" si="28"/>
        <v>4.431719864783342</v>
      </c>
      <c r="AK153" s="14">
        <f t="shared" si="23"/>
        <v>5.6503137675665851</v>
      </c>
      <c r="AL153" s="11">
        <f t="shared" si="29"/>
        <v>-4.0675566730011052</v>
      </c>
      <c r="AM153" s="13">
        <f>'[7]D6 Gallon Forecast'!$S41/1000000</f>
        <v>1183.7097844799882</v>
      </c>
    </row>
    <row r="154" spans="1:39" x14ac:dyDescent="0.25">
      <c r="A154" s="10">
        <v>48214</v>
      </c>
      <c r="C154" s="15">
        <f>[6]Biodiesel!$X3</f>
        <v>92474986.930504054</v>
      </c>
      <c r="D154" s="15">
        <f>AVERAGE([6]Biodiesel!$S3:$W3)</f>
        <v>93447153.022581011</v>
      </c>
      <c r="E154" s="15">
        <f t="shared" si="31"/>
        <v>-972166.09207695723</v>
      </c>
      <c r="F154" s="15">
        <f>[6]Biodiesel!$X35</f>
        <v>105778278.1632258</v>
      </c>
      <c r="G154" s="15">
        <f>AVERAGE([6]Biodiesel!$S35:$W35)</f>
        <v>108570894.63451731</v>
      </c>
      <c r="H154" s="15">
        <f t="shared" si="24"/>
        <v>-2792616.4712915123</v>
      </c>
      <c r="K154" s="15">
        <f>'[6]Renewable Diesel'!$X49</f>
        <v>241856496.91400385</v>
      </c>
      <c r="L154" s="15">
        <f>AVERAGE('[6]Renewable Diesel'!$S49:$W49)</f>
        <v>198213918.51548606</v>
      </c>
      <c r="M154" s="15">
        <f t="shared" si="26"/>
        <v>43642578.398517787</v>
      </c>
      <c r="N154" s="15">
        <f>'[6]Renewable Diesel'!$X3</f>
        <v>255089511.26490587</v>
      </c>
      <c r="O154" s="15">
        <f>AVERAGE('[6]Renewable Diesel'!$S3:$W3)</f>
        <v>215086011.81288615</v>
      </c>
      <c r="P154" s="15">
        <f t="shared" si="27"/>
        <v>40003499.452019721</v>
      </c>
      <c r="S154" s="11">
        <f>'[8]Soy Complex'!$BU597</f>
        <v>74.25</v>
      </c>
      <c r="T154" s="11"/>
      <c r="U154" s="11"/>
      <c r="V154" s="11">
        <f>[9]Forecasts!$B146</f>
        <v>552.5</v>
      </c>
      <c r="W154" s="11" t="e">
        <f>#REF!*100</f>
        <v>#REF!</v>
      </c>
      <c r="X154" s="11"/>
      <c r="AA154" s="14">
        <f t="shared" si="30"/>
        <v>261.76064984936227</v>
      </c>
      <c r="AB154" s="14">
        <v>16</v>
      </c>
      <c r="AC154" s="14">
        <v>100</v>
      </c>
      <c r="AJ154" s="14">
        <f t="shared" si="28"/>
        <v>4.5147053623547055</v>
      </c>
      <c r="AK154" s="14">
        <f t="shared" si="23"/>
        <v>5.8490636257323887</v>
      </c>
      <c r="AL154" s="11">
        <f t="shared" si="29"/>
        <v>-4.2366688534628505</v>
      </c>
      <c r="AM154" s="13">
        <f>'[7]D6 Gallon Forecast'!$T30/1000000</f>
        <v>1.0685242730253049E-7</v>
      </c>
    </row>
    <row r="155" spans="1:39" x14ac:dyDescent="0.25">
      <c r="A155" s="10">
        <v>48245</v>
      </c>
      <c r="C155" s="15">
        <f>[6]Biodiesel!$X4</f>
        <v>98032082.574690059</v>
      </c>
      <c r="D155" s="15">
        <f>AVERAGE([6]Biodiesel!$S4:$W4)</f>
        <v>99062669.004363447</v>
      </c>
      <c r="E155" s="15">
        <f t="shared" si="31"/>
        <v>-1030586.4296733886</v>
      </c>
      <c r="F155" s="15">
        <f>[6]Biodiesel!$X36</f>
        <v>116077048.14264248</v>
      </c>
      <c r="G155" s="15">
        <f>AVERAGE([6]Biodiesel!$S36:$W36)</f>
        <v>119576945.65003566</v>
      </c>
      <c r="H155" s="15">
        <f t="shared" si="24"/>
        <v>-3499897.5073931813</v>
      </c>
      <c r="K155" s="15">
        <f>'[6]Renewable Diesel'!$X50</f>
        <v>262993461.81268868</v>
      </c>
      <c r="L155" s="15">
        <f>AVERAGE('[6]Renewable Diesel'!$S50:$W50)</f>
        <v>215444870.73300296</v>
      </c>
      <c r="M155" s="15">
        <f t="shared" si="26"/>
        <v>47548591.079685718</v>
      </c>
      <c r="N155" s="15">
        <f>'[6]Renewable Diesel'!$X4</f>
        <v>280880386.0218569</v>
      </c>
      <c r="O155" s="15">
        <f>AVERAGE('[6]Renewable Diesel'!$S4:$W4)</f>
        <v>238250699.0996924</v>
      </c>
      <c r="P155" s="15">
        <f t="shared" si="27"/>
        <v>42629686.9221645</v>
      </c>
      <c r="S155" s="11">
        <f>'[8]Soy Complex'!$BU598</f>
        <v>72</v>
      </c>
      <c r="T155" s="11"/>
      <c r="U155" s="11"/>
      <c r="V155" s="11">
        <f>[9]Forecasts!$B147</f>
        <v>545</v>
      </c>
      <c r="W155" s="11" t="e">
        <f>#REF!*100</f>
        <v>#REF!</v>
      </c>
      <c r="X155" s="11"/>
      <c r="AA155" s="14">
        <f t="shared" si="30"/>
        <v>259.45564510681618</v>
      </c>
      <c r="AB155" s="14">
        <v>16</v>
      </c>
      <c r="AC155" s="14">
        <v>100</v>
      </c>
      <c r="AJ155" s="14">
        <f t="shared" si="28"/>
        <v>4.5516452061658939</v>
      </c>
      <c r="AK155" s="14">
        <f t="shared" si="23"/>
        <v>5.9403934334121837</v>
      </c>
      <c r="AL155" s="11">
        <f t="shared" si="29"/>
        <v>-4.3148058597815071</v>
      </c>
      <c r="AM155" s="13">
        <f>'[7]D6 Gallon Forecast'!$T31/1000000</f>
        <v>867.92941319973568</v>
      </c>
    </row>
    <row r="156" spans="1:39" x14ac:dyDescent="0.25">
      <c r="A156" s="10">
        <v>48274</v>
      </c>
      <c r="C156" s="15">
        <f>[6]Biodiesel!$X5</f>
        <v>112295242.48374712</v>
      </c>
      <c r="D156" s="15">
        <f>AVERAGE([6]Biodiesel!$S5:$W5)</f>
        <v>113475749.53545225</v>
      </c>
      <c r="E156" s="15">
        <f t="shared" si="31"/>
        <v>-1180507.051705122</v>
      </c>
      <c r="F156" s="15">
        <f>[6]Biodiesel!$X37</f>
        <v>127655362.17498182</v>
      </c>
      <c r="G156" s="15">
        <f>AVERAGE([6]Biodiesel!$S37:$W37)</f>
        <v>130937499.27917168</v>
      </c>
      <c r="H156" s="15">
        <f t="shared" si="24"/>
        <v>-3282137.1041898578</v>
      </c>
      <c r="K156" s="15">
        <f>'[6]Renewable Diesel'!$X51</f>
        <v>282637186.35915601</v>
      </c>
      <c r="L156" s="15">
        <f>AVERAGE('[6]Renewable Diesel'!$S51:$W51)</f>
        <v>231679249.01213247</v>
      </c>
      <c r="M156" s="15">
        <f t="shared" si="26"/>
        <v>50957937.347023547</v>
      </c>
      <c r="N156" s="15">
        <f>'[6]Renewable Diesel'!$X5</f>
        <v>298732609.75995183</v>
      </c>
      <c r="O156" s="15">
        <f>AVERAGE('[6]Renewable Diesel'!$S5:$W5)</f>
        <v>252199790.24814707</v>
      </c>
      <c r="P156" s="15">
        <f t="shared" si="27"/>
        <v>46532819.51180476</v>
      </c>
      <c r="S156" s="11">
        <f>'[8]Soy Complex'!$BU599</f>
        <v>74.75</v>
      </c>
      <c r="T156" s="11"/>
      <c r="U156" s="11"/>
      <c r="V156" s="11">
        <f>[9]Forecasts!$B148</f>
        <v>520</v>
      </c>
      <c r="W156" s="11" t="e">
        <f>#REF!*100</f>
        <v>#REF!</v>
      </c>
      <c r="X156" s="11"/>
      <c r="AA156" s="14">
        <f t="shared" si="30"/>
        <v>256.02986563288891</v>
      </c>
      <c r="AB156" s="14">
        <v>16</v>
      </c>
      <c r="AC156" s="14">
        <v>100</v>
      </c>
      <c r="AJ156" s="14">
        <f t="shared" si="28"/>
        <v>4.7024441723298445</v>
      </c>
      <c r="AK156" s="14">
        <f t="shared" si="23"/>
        <v>6.1295931726021431</v>
      </c>
      <c r="AL156" s="11">
        <f t="shared" si="29"/>
        <v>-4.4501488253414845</v>
      </c>
      <c r="AM156" s="13">
        <f>'[7]D6 Gallon Forecast'!$T32/1000000</f>
        <v>2.0279999999999999E-3</v>
      </c>
    </row>
    <row r="157" spans="1:39" x14ac:dyDescent="0.25">
      <c r="A157" s="10">
        <v>48305</v>
      </c>
      <c r="C157" s="15">
        <f>[6]Biodiesel!$X6</f>
        <v>111238948.74192025</v>
      </c>
      <c r="D157" s="15">
        <f>AVERAGE([6]Biodiesel!$S6:$W6)</f>
        <v>112410732.46330205</v>
      </c>
      <c r="E157" s="15">
        <f t="shared" si="31"/>
        <v>-1171783.7213817984</v>
      </c>
      <c r="F157" s="15">
        <f>[6]Biodiesel!$X38</f>
        <v>130043309.17956781</v>
      </c>
      <c r="G157" s="15">
        <f>AVERAGE([6]Biodiesel!$S38:$W38)</f>
        <v>133788321.17136455</v>
      </c>
      <c r="H157" s="15">
        <f t="shared" si="24"/>
        <v>-3745011.9917967319</v>
      </c>
      <c r="K157" s="15">
        <f>'[6]Renewable Diesel'!$X52</f>
        <v>269577856.94291306</v>
      </c>
      <c r="L157" s="15">
        <f>AVERAGE('[6]Renewable Diesel'!$S52:$W52)</f>
        <v>220854536.839688</v>
      </c>
      <c r="M157" s="15">
        <f t="shared" si="26"/>
        <v>48723320.103225052</v>
      </c>
      <c r="N157" s="15">
        <f>'[6]Renewable Diesel'!$X6</f>
        <v>285130178.06638825</v>
      </c>
      <c r="O157" s="15">
        <f>AVERAGE('[6]Renewable Diesel'!$S6:$W6)</f>
        <v>240683746.27211887</v>
      </c>
      <c r="P157" s="15">
        <f t="shared" si="27"/>
        <v>44446431.794269383</v>
      </c>
      <c r="S157" s="11">
        <f>'[8]Soy Complex'!$BU600</f>
        <v>73.25</v>
      </c>
      <c r="T157" s="11"/>
      <c r="U157" s="11"/>
      <c r="V157" s="11">
        <f>[9]Forecasts!$B149</f>
        <v>525</v>
      </c>
      <c r="W157" s="11" t="e">
        <f>#REF!*100</f>
        <v>#REF!</v>
      </c>
      <c r="X157" s="11"/>
      <c r="AA157" s="14">
        <f t="shared" si="30"/>
        <v>257.86108813256976</v>
      </c>
      <c r="AB157" s="14">
        <v>16</v>
      </c>
      <c r="AC157" s="14">
        <v>100</v>
      </c>
      <c r="AJ157" s="14">
        <f t="shared" si="28"/>
        <v>4.838949539941158</v>
      </c>
      <c r="AK157" s="14">
        <f t="shared" si="23"/>
        <v>6.1177387070265397</v>
      </c>
      <c r="AL157" s="11">
        <f t="shared" si="29"/>
        <v>-4.3895424427618401</v>
      </c>
      <c r="AM157" s="13">
        <f>'[7]D6 Gallon Forecast'!$T33/1000000</f>
        <v>1229.4507806353599</v>
      </c>
    </row>
    <row r="158" spans="1:39" x14ac:dyDescent="0.25">
      <c r="A158" s="10">
        <v>48335</v>
      </c>
      <c r="C158" s="15">
        <f>[6]Biodiesel!$X7</f>
        <v>119710973.31052823</v>
      </c>
      <c r="D158" s="15">
        <f>AVERAGE([6]Biodiesel!$S7:$W7)</f>
        <v>120971980.7798343</v>
      </c>
      <c r="E158" s="15">
        <f t="shared" si="31"/>
        <v>-1261007.4693060666</v>
      </c>
      <c r="F158" s="15">
        <f>[6]Biodiesel!$X39</f>
        <v>134651278.40423235</v>
      </c>
      <c r="G158" s="15">
        <f>AVERAGE([6]Biodiesel!$S39:$W39)</f>
        <v>137956748.67583477</v>
      </c>
      <c r="H158" s="15">
        <f t="shared" si="24"/>
        <v>-3305470.271602422</v>
      </c>
      <c r="K158" s="15">
        <f>'[6]Renewable Diesel'!$X53</f>
        <v>301125740.00744694</v>
      </c>
      <c r="L158" s="15">
        <f>AVERAGE('[6]Renewable Diesel'!$S53:$W53)</f>
        <v>246700017.35308376</v>
      </c>
      <c r="M158" s="15">
        <f t="shared" si="26"/>
        <v>54425722.654363185</v>
      </c>
      <c r="N158" s="15">
        <f>'[6]Renewable Diesel'!$X7</f>
        <v>318191173.30625963</v>
      </c>
      <c r="O158" s="15">
        <f>AVERAGE('[6]Renewable Diesel'!$S7:$W7)</f>
        <v>268458444.80906999</v>
      </c>
      <c r="P158" s="15">
        <f t="shared" si="27"/>
        <v>49732728.497189641</v>
      </c>
      <c r="S158" s="11">
        <f>'[8]Soy Complex'!$BU601</f>
        <v>75.75</v>
      </c>
      <c r="T158" s="11"/>
      <c r="U158" s="11"/>
      <c r="V158" s="11">
        <f>[9]Forecasts!$B150</f>
        <v>527.5</v>
      </c>
      <c r="W158" s="11" t="e">
        <f>#REF!*100</f>
        <v>#REF!</v>
      </c>
      <c r="X158" s="11"/>
      <c r="AA158" s="14">
        <f t="shared" si="30"/>
        <v>253.22130551641663</v>
      </c>
      <c r="AB158" s="14">
        <v>16</v>
      </c>
      <c r="AC158" s="14">
        <v>100</v>
      </c>
      <c r="AJ158" s="14">
        <f t="shared" si="28"/>
        <v>4.8694467044929333</v>
      </c>
      <c r="AK158" s="14">
        <f t="shared" si="23"/>
        <v>6.2457393657743685</v>
      </c>
      <c r="AL158" s="11">
        <f t="shared" si="29"/>
        <v>-4.506651257026892</v>
      </c>
      <c r="AM158" s="13">
        <f>'[7]D6 Gallon Forecast'!$T34/1000000</f>
        <v>1148.3641172556152</v>
      </c>
    </row>
    <row r="159" spans="1:39" x14ac:dyDescent="0.25">
      <c r="A159" s="10">
        <v>48366</v>
      </c>
      <c r="C159" s="15">
        <f>[6]Biodiesel!$X8</f>
        <v>116338001.2091343</v>
      </c>
      <c r="D159" s="15">
        <f>AVERAGE([6]Biodiesel!$S8:$W8)</f>
        <v>117564132.19597585</v>
      </c>
      <c r="E159" s="15">
        <f t="shared" si="31"/>
        <v>-1226130.9868415594</v>
      </c>
      <c r="F159" s="15">
        <f>[6]Biodiesel!$X40</f>
        <v>132851549.71129416</v>
      </c>
      <c r="G159" s="15">
        <f>AVERAGE([6]Biodiesel!$S40:$W40)</f>
        <v>136337429.44053656</v>
      </c>
      <c r="H159" s="15">
        <f t="shared" si="24"/>
        <v>-3485879.7292423993</v>
      </c>
      <c r="K159" s="15">
        <f>'[6]Renewable Diesel'!$X54</f>
        <v>302505633.91668332</v>
      </c>
      <c r="L159" s="15">
        <f>AVERAGE('[6]Renewable Diesel'!$S54:$W54)</f>
        <v>247926840.88033757</v>
      </c>
      <c r="M159" s="15">
        <f t="shared" si="26"/>
        <v>54578793.03634575</v>
      </c>
      <c r="N159" s="15">
        <f>'[6]Renewable Diesel'!$X8</f>
        <v>322414256.08493012</v>
      </c>
      <c r="O159" s="15">
        <f>AVERAGE('[6]Renewable Diesel'!$S8:$W8)</f>
        <v>273310334.14485228</v>
      </c>
      <c r="P159" s="15">
        <f t="shared" si="27"/>
        <v>49103921.940077841</v>
      </c>
      <c r="S159" s="11">
        <f>'[8]Soy Complex'!$BU602</f>
        <v>74.25</v>
      </c>
      <c r="T159" s="11"/>
      <c r="U159" s="11"/>
      <c r="V159" s="11">
        <f>[9]Forecasts!$B151</f>
        <v>520</v>
      </c>
      <c r="W159" s="11" t="e">
        <f>#REF!*100</f>
        <v>#REF!</v>
      </c>
      <c r="X159" s="11"/>
      <c r="AA159" s="14">
        <f t="shared" si="30"/>
        <v>253.77320903159367</v>
      </c>
      <c r="AB159" s="14">
        <v>16</v>
      </c>
      <c r="AC159" s="14">
        <v>100</v>
      </c>
      <c r="AJ159" s="14">
        <f t="shared" si="28"/>
        <v>4.684916604690649</v>
      </c>
      <c r="AK159" s="14">
        <f t="shared" si="23"/>
        <v>6.3639924053609063</v>
      </c>
      <c r="AL159" s="11">
        <f t="shared" si="29"/>
        <v>-4.6908079036856742</v>
      </c>
      <c r="AM159" s="13">
        <f>'[7]D6 Gallon Forecast'!$T35/1000000</f>
        <v>1226.7909862994209</v>
      </c>
    </row>
    <row r="160" spans="1:39" x14ac:dyDescent="0.25">
      <c r="A160" s="10">
        <v>48396</v>
      </c>
      <c r="C160" s="15">
        <f>[6]Biodiesel!$X9</f>
        <v>115748845.55772388</v>
      </c>
      <c r="D160" s="15">
        <f>AVERAGE([6]Biodiesel!$S9:$W9)</f>
        <v>116968860.59850481</v>
      </c>
      <c r="E160" s="15">
        <f t="shared" si="31"/>
        <v>-1220015.0407809317</v>
      </c>
      <c r="F160" s="15">
        <f>[6]Biodiesel!$X41</f>
        <v>127130662.60149121</v>
      </c>
      <c r="G160" s="15">
        <f>AVERAGE([6]Biodiesel!$S41:$W41)</f>
        <v>129908189.44826138</v>
      </c>
      <c r="H160" s="15">
        <f t="shared" si="24"/>
        <v>-2777526.8467701674</v>
      </c>
      <c r="K160" s="15">
        <f>'[6]Renewable Diesel'!$X55</f>
        <v>294015396.29686123</v>
      </c>
      <c r="L160" s="15">
        <f>AVERAGE('[6]Renewable Diesel'!$S55:$W55)</f>
        <v>240912081.3783721</v>
      </c>
      <c r="M160" s="15">
        <f t="shared" si="26"/>
        <v>53103314.918489128</v>
      </c>
      <c r="N160" s="15">
        <f>'[6]Renewable Diesel'!$X9</f>
        <v>306226770.19348776</v>
      </c>
      <c r="O160" s="15">
        <f>AVERAGE('[6]Renewable Diesel'!$S9:$W9)</f>
        <v>256481583.09657091</v>
      </c>
      <c r="P160" s="15">
        <f t="shared" si="27"/>
        <v>49745187.096916854</v>
      </c>
      <c r="S160" s="11">
        <f>'[8]Soy Complex'!$BU603</f>
        <v>71</v>
      </c>
      <c r="T160" s="11"/>
      <c r="U160" s="11"/>
      <c r="V160" s="11">
        <f>[9]Forecasts!$B152</f>
        <v>510</v>
      </c>
      <c r="W160" s="11" t="e">
        <f>#REF!*100</f>
        <v>#REF!</v>
      </c>
      <c r="X160" s="11"/>
      <c r="AA160" s="14">
        <f t="shared" si="30"/>
        <v>253.21037060343605</v>
      </c>
      <c r="AB160" s="14">
        <v>16</v>
      </c>
      <c r="AC160" s="14">
        <v>100</v>
      </c>
      <c r="AJ160" s="14">
        <f t="shared" si="28"/>
        <v>3.9426563503958891</v>
      </c>
      <c r="AK160" s="14">
        <f t="shared" si="23"/>
        <v>6.2962871232102469</v>
      </c>
      <c r="AL160" s="11">
        <f t="shared" si="29"/>
        <v>-4.8881955694974293</v>
      </c>
      <c r="AM160" s="13">
        <f>'[7]D6 Gallon Forecast'!$T36/1000000</f>
        <v>1150.5170112158082</v>
      </c>
    </row>
    <row r="161" spans="1:39" x14ac:dyDescent="0.25">
      <c r="A161" s="10">
        <v>48427</v>
      </c>
      <c r="C161" s="15">
        <f>[6]Biodiesel!$X10</f>
        <v>119446457.50620532</v>
      </c>
      <c r="D161" s="15">
        <f>AVERAGE([6]Biodiesel!$S10:$W10)</f>
        <v>120705467.83283396</v>
      </c>
      <c r="E161" s="15">
        <f t="shared" si="31"/>
        <v>-1259010.3266286403</v>
      </c>
      <c r="F161" s="15">
        <f>[6]Biodiesel!$X42</f>
        <v>133343126.7889912</v>
      </c>
      <c r="G161" s="15">
        <f>AVERAGE([6]Biodiesel!$S42:$W42)</f>
        <v>136503786.59642214</v>
      </c>
      <c r="H161" s="15">
        <f t="shared" si="24"/>
        <v>-3160659.8074309379</v>
      </c>
      <c r="K161" s="15">
        <f>'[6]Renewable Diesel'!$X56</f>
        <v>303885009.73045588</v>
      </c>
      <c r="L161" s="15">
        <f>AVERAGE('[6]Renewable Diesel'!$S56:$W56)</f>
        <v>249140574.97062272</v>
      </c>
      <c r="M161" s="15">
        <f t="shared" si="26"/>
        <v>54744434.759833157</v>
      </c>
      <c r="N161" s="15">
        <f>'[6]Renewable Diesel'!$X10</f>
        <v>312502004.76340961</v>
      </c>
      <c r="O161" s="15">
        <f>AVERAGE('[6]Renewable Diesel'!$S10:$W10)</f>
        <v>260127243.63763875</v>
      </c>
      <c r="P161" s="15">
        <f t="shared" si="27"/>
        <v>52374761.125770867</v>
      </c>
      <c r="S161" s="11">
        <f>'[8]Soy Complex'!$BU604</f>
        <v>73</v>
      </c>
      <c r="T161" s="11"/>
      <c r="U161" s="11"/>
      <c r="V161" s="11">
        <f>[9]Forecasts!$B153</f>
        <v>507.5</v>
      </c>
      <c r="W161" s="11" t="e">
        <f>#REF!*100</f>
        <v>#REF!</v>
      </c>
      <c r="X161" s="11"/>
      <c r="AA161" s="14">
        <f t="shared" si="30"/>
        <v>250.9023934783109</v>
      </c>
      <c r="AB161" s="14">
        <v>16</v>
      </c>
      <c r="AC161" s="14">
        <v>100</v>
      </c>
      <c r="AJ161" s="14">
        <f t="shared" si="28"/>
        <v>3.8651255881999127</v>
      </c>
      <c r="AK161" s="14">
        <f t="shared" si="23"/>
        <v>6.2291477383687539</v>
      </c>
      <c r="AL161" s="11">
        <f t="shared" si="29"/>
        <v>-4.8487457425830707</v>
      </c>
      <c r="AM161" s="13">
        <f>'[7]D6 Gallon Forecast'!$T37/1000000</f>
        <v>1259.2618981086382</v>
      </c>
    </row>
    <row r="162" spans="1:39" x14ac:dyDescent="0.25">
      <c r="A162" s="10">
        <v>48458</v>
      </c>
      <c r="C162" s="15">
        <f>[6]Biodiesel!$X11</f>
        <v>112711540.88541441</v>
      </c>
      <c r="D162" s="15">
        <f>AVERAGE([6]Biodiesel!$S11:$W11)</f>
        <v>113899743.33498232</v>
      </c>
      <c r="E162" s="15">
        <f t="shared" si="31"/>
        <v>-1188202.449567914</v>
      </c>
      <c r="F162" s="15">
        <f>[6]Biodiesel!$X43</f>
        <v>127108620.00853926</v>
      </c>
      <c r="G162" s="15">
        <f>AVERAGE([6]Biodiesel!$S43:$W43)</f>
        <v>130266949.07495587</v>
      </c>
      <c r="H162" s="15">
        <f t="shared" si="24"/>
        <v>-3158329.0664166063</v>
      </c>
      <c r="K162" s="15">
        <f>'[6]Renewable Diesel'!$X57</f>
        <v>307322091.6480419</v>
      </c>
      <c r="L162" s="15">
        <f>AVERAGE('[6]Renewable Diesel'!$S57:$W57)</f>
        <v>251906943.61293355</v>
      </c>
      <c r="M162" s="15">
        <f t="shared" si="26"/>
        <v>55415148.035108358</v>
      </c>
      <c r="N162" s="15">
        <f>'[6]Renewable Diesel'!$X11</f>
        <v>317217944.62554812</v>
      </c>
      <c r="O162" s="15">
        <f>AVERAGE('[6]Renewable Diesel'!$S11:$W11)</f>
        <v>264524156.15925401</v>
      </c>
      <c r="P162" s="15">
        <f t="shared" si="27"/>
        <v>52693788.46629411</v>
      </c>
      <c r="S162" s="11">
        <f>'[8]Soy Complex'!$BU605</f>
        <v>76.25</v>
      </c>
      <c r="T162" s="11"/>
      <c r="U162" s="11"/>
      <c r="V162" s="11">
        <f>[9]Forecasts!$B154</f>
        <v>505</v>
      </c>
      <c r="W162" s="11" t="e">
        <f>#REF!*100</f>
        <v>#REF!</v>
      </c>
      <c r="X162" s="11"/>
      <c r="AA162" s="14">
        <f t="shared" si="30"/>
        <v>250.62238318153362</v>
      </c>
      <c r="AB162" s="14">
        <v>16</v>
      </c>
      <c r="AC162" s="14">
        <v>100</v>
      </c>
      <c r="AJ162" s="14">
        <f t="shared" si="28"/>
        <v>4.0360055531010408</v>
      </c>
      <c r="AK162" s="14">
        <f t="shared" si="23"/>
        <v>6.0214979883447066</v>
      </c>
      <c r="AL162" s="11">
        <f t="shared" si="29"/>
        <v>-4.5800674336657634</v>
      </c>
      <c r="AM162" s="13">
        <f>'[7]D6 Gallon Forecast'!$T38/1000000</f>
        <v>1269.2881101670325</v>
      </c>
    </row>
    <row r="163" spans="1:39" x14ac:dyDescent="0.25">
      <c r="A163" s="10">
        <v>48488</v>
      </c>
      <c r="C163" s="15">
        <f>[6]Biodiesel!$X12</f>
        <v>115818857.29315376</v>
      </c>
      <c r="D163" s="15">
        <f>AVERAGE([6]Biodiesel!$S12:$W12)</f>
        <v>117039723.05063137</v>
      </c>
      <c r="E163" s="15">
        <f t="shared" si="31"/>
        <v>-1220865.7574776113</v>
      </c>
      <c r="F163" s="15">
        <f>[6]Biodiesel!$X44</f>
        <v>132046602.74115375</v>
      </c>
      <c r="G163" s="15">
        <f>AVERAGE([6]Biodiesel!$S44:$W44)</f>
        <v>135488107.3494103</v>
      </c>
      <c r="H163" s="15">
        <f t="shared" si="24"/>
        <v>-3441504.6082565486</v>
      </c>
      <c r="K163" s="15">
        <f>'[6]Renewable Diesel'!$X58</f>
        <v>332835673.62223238</v>
      </c>
      <c r="L163" s="15">
        <f>AVERAGE('[6]Renewable Diesel'!$S58:$W58)</f>
        <v>272699770.14726514</v>
      </c>
      <c r="M163" s="15">
        <f t="shared" si="26"/>
        <v>60135903.474967241</v>
      </c>
      <c r="N163" s="15">
        <f>'[6]Renewable Diesel'!$X12</f>
        <v>347221193.32755476</v>
      </c>
      <c r="O163" s="15">
        <f>AVERAGE('[6]Renewable Diesel'!$S12:$W12)</f>
        <v>291041307.77155119</v>
      </c>
      <c r="P163" s="15">
        <f t="shared" si="27"/>
        <v>56179885.556003571</v>
      </c>
      <c r="S163" s="11">
        <f>'[8]Soy Complex'!$BV594</f>
        <v>73.5</v>
      </c>
      <c r="T163" s="11"/>
      <c r="U163" s="11"/>
      <c r="V163" s="11">
        <f>[9]Forecasts!$B155</f>
        <v>500</v>
      </c>
      <c r="W163" s="11" t="e">
        <f>#REF!*100</f>
        <v>#REF!</v>
      </c>
      <c r="X163" s="11"/>
      <c r="AA163" s="14">
        <f t="shared" si="30"/>
        <v>247.56263576589564</v>
      </c>
      <c r="AB163" s="14">
        <v>16</v>
      </c>
      <c r="AC163" s="14">
        <v>100</v>
      </c>
      <c r="AJ163" s="14">
        <f t="shared" si="28"/>
        <v>4.1270565179993124</v>
      </c>
      <c r="AK163" s="14">
        <f t="shared" si="23"/>
        <v>6.0271836239240502</v>
      </c>
      <c r="AL163" s="11">
        <f t="shared" si="29"/>
        <v>-4.5532348674957239</v>
      </c>
      <c r="AM163" s="13">
        <f>'[7]D6 Gallon Forecast'!$T39/1000000</f>
        <v>1306.269174644912</v>
      </c>
    </row>
    <row r="164" spans="1:39" x14ac:dyDescent="0.25">
      <c r="A164" s="10">
        <v>48519</v>
      </c>
      <c r="C164" s="15">
        <f>[6]Biodiesel!$X13</f>
        <v>110004421.47520705</v>
      </c>
      <c r="D164" s="15">
        <f>AVERAGE([6]Biodiesel!$S13:$W13)</f>
        <v>111164268.33410922</v>
      </c>
      <c r="E164" s="15">
        <f t="shared" si="31"/>
        <v>-1159846.8589021713</v>
      </c>
      <c r="F164" s="15">
        <f>[6]Biodiesel!$X45</f>
        <v>124904671.63840926</v>
      </c>
      <c r="G164" s="15">
        <f>AVERAGE([6]Biodiesel!$S45:$W45)</f>
        <v>128103500.09859173</v>
      </c>
      <c r="H164" s="15">
        <f t="shared" si="24"/>
        <v>-3198828.4601824731</v>
      </c>
      <c r="K164" s="15">
        <f>'[6]Renewable Diesel'!$X59</f>
        <v>401724275.54916978</v>
      </c>
      <c r="L164" s="15">
        <f>AVERAGE('[6]Renewable Diesel'!$S59:$W59)</f>
        <v>329075031.52138472</v>
      </c>
      <c r="M164" s="15">
        <f t="shared" si="26"/>
        <v>72649244.027785063</v>
      </c>
      <c r="N164" s="15">
        <f>'[6]Renewable Diesel'!$X13</f>
        <v>413117780.83240837</v>
      </c>
      <c r="O164" s="15">
        <f>AVERAGE('[6]Renewable Diesel'!$S13:$W13)</f>
        <v>343601750.75751388</v>
      </c>
      <c r="P164" s="15">
        <f t="shared" si="27"/>
        <v>69516030.074894488</v>
      </c>
      <c r="S164" s="11">
        <f>'[8]Soy Complex'!$BV595</f>
        <v>74.25</v>
      </c>
      <c r="T164" s="11"/>
      <c r="U164" s="11"/>
      <c r="V164" s="11">
        <f>[9]Forecasts!$B156</f>
        <v>492.5</v>
      </c>
      <c r="W164" s="11" t="e">
        <f>#REF!*100</f>
        <v>#REF!</v>
      </c>
      <c r="X164" s="11"/>
      <c r="AA164" s="14">
        <f t="shared" si="30"/>
        <v>235.85750172166507</v>
      </c>
      <c r="AB164" s="14">
        <v>16</v>
      </c>
      <c r="AC164" s="14">
        <v>100</v>
      </c>
      <c r="AJ164" s="14">
        <f t="shared" si="28"/>
        <v>4.1625065094093143</v>
      </c>
      <c r="AK164" s="14">
        <f t="shared" si="23"/>
        <v>6.119208479358516</v>
      </c>
      <c r="AL164" s="11">
        <f t="shared" si="29"/>
        <v>-4.6325990117123323</v>
      </c>
      <c r="AM164" s="13">
        <f>'[7]D6 Gallon Forecast'!$T40/1000000</f>
        <v>1323.1619178231897</v>
      </c>
    </row>
    <row r="165" spans="1:39" x14ac:dyDescent="0.25">
      <c r="A165" s="10">
        <v>48549</v>
      </c>
      <c r="C165" s="15">
        <f>[6]Biodiesel!$X14</f>
        <v>117570440.80128434</v>
      </c>
      <c r="D165" s="15">
        <f>AVERAGE([6]Biodiesel!$S14:$W14)</f>
        <v>118809625.01035221</v>
      </c>
      <c r="E165" s="15">
        <f t="shared" si="31"/>
        <v>-1239184.2090678662</v>
      </c>
      <c r="F165" s="15">
        <f>[6]Biodiesel!$X46</f>
        <v>139802321.2149837</v>
      </c>
      <c r="G165" s="15">
        <f>AVERAGE([6]Biodiesel!$S46:$W46)</f>
        <v>144083762.74382097</v>
      </c>
      <c r="H165" s="15">
        <f t="shared" si="24"/>
        <v>-4281441.5288372636</v>
      </c>
      <c r="K165" s="15">
        <f>'[6]Renewable Diesel'!$X60</f>
        <v>454340842.053895</v>
      </c>
      <c r="L165" s="15">
        <f>AVERAGE('[6]Renewable Diesel'!$S60:$W60)</f>
        <v>372138813.35935819</v>
      </c>
      <c r="M165" s="15">
        <f t="shared" si="26"/>
        <v>82202028.694536805</v>
      </c>
      <c r="N165" s="15">
        <f>'[6]Renewable Diesel'!$X14</f>
        <v>466562885.60684681</v>
      </c>
      <c r="O165" s="15">
        <f>AVERAGE('[6]Renewable Diesel'!$S14:$W14)</f>
        <v>387721918.88937175</v>
      </c>
      <c r="P165" s="15">
        <f t="shared" si="27"/>
        <v>78840966.717475057</v>
      </c>
      <c r="S165" s="11">
        <f>'[8]Soy Complex'!$BV596</f>
        <v>73</v>
      </c>
      <c r="T165" s="11"/>
      <c r="U165" s="11"/>
      <c r="V165" s="11">
        <f>[9]Forecasts!$B157</f>
        <v>485</v>
      </c>
      <c r="W165" s="11" t="e">
        <f>#REF!*100</f>
        <v>#REF!</v>
      </c>
      <c r="X165" s="11"/>
      <c r="AA165" s="14">
        <f t="shared" si="30"/>
        <v>227.67300483047211</v>
      </c>
      <c r="AB165" s="14">
        <v>16</v>
      </c>
      <c r="AC165" s="14">
        <v>100</v>
      </c>
      <c r="AJ165" s="14">
        <f t="shared" si="28"/>
        <v>4.2027184005093181</v>
      </c>
      <c r="AK165" s="14">
        <f t="shared" si="23"/>
        <v>6.0217953081559221</v>
      </c>
      <c r="AL165" s="11">
        <f t="shared" si="29"/>
        <v>-4.5208244508311655</v>
      </c>
      <c r="AM165" s="13">
        <f>'[7]D6 Gallon Forecast'!$T41/1000000</f>
        <v>1203.1753433146923</v>
      </c>
    </row>
    <row r="166" spans="1:39" x14ac:dyDescent="0.25">
      <c r="A166" s="10">
        <v>48580</v>
      </c>
      <c r="C166" s="15">
        <f>[6]Biodiesel!$Y3</f>
        <v>108484138.84992138</v>
      </c>
      <c r="D166" s="15">
        <f>AVERAGE([6]Biodiesel!$T3:$X3)</f>
        <v>92843873.274359971</v>
      </c>
      <c r="E166" s="15">
        <f t="shared" si="31"/>
        <v>15640265.575561404</v>
      </c>
      <c r="F166" s="15">
        <f>[6]Biodiesel!$Y35</f>
        <v>121212385.71706876</v>
      </c>
      <c r="G166" s="15">
        <f>AVERAGE([6]Biodiesel!$T35:$X35)</f>
        <v>107976344.5497463</v>
      </c>
      <c r="H166" s="15">
        <f t="shared" si="24"/>
        <v>13236041.167322457</v>
      </c>
      <c r="K166" s="15">
        <f>'[6]Renewable Diesel'!$Y49</f>
        <v>237836672.82978779</v>
      </c>
      <c r="L166" s="15">
        <f>AVERAGE('[6]Renewable Diesel'!$T49:$X49)</f>
        <v>209225992.11264265</v>
      </c>
      <c r="M166" s="15">
        <f t="shared" si="26"/>
        <v>28610680.717145145</v>
      </c>
      <c r="N166" s="15">
        <f>'[6]Renewable Diesel'!$Y3</f>
        <v>250302501.94754907</v>
      </c>
      <c r="O166" s="15">
        <f>AVERAGE('[6]Renewable Diesel'!$T3:$X3)</f>
        <v>224644254.4425053</v>
      </c>
      <c r="P166" s="15">
        <f t="shared" si="27"/>
        <v>25658247.505043775</v>
      </c>
      <c r="S166" s="11">
        <f>'[8]Soy Complex'!$BV597</f>
        <v>73.75</v>
      </c>
      <c r="T166" s="11"/>
      <c r="U166" s="11"/>
      <c r="V166" s="11">
        <f>[9]Forecasts!$B158</f>
        <v>492.5</v>
      </c>
      <c r="W166" s="11" t="e">
        <f>#REF!*100</f>
        <v>#REF!</v>
      </c>
      <c r="X166" s="11"/>
      <c r="AA166" s="14">
        <f t="shared" si="30"/>
        <v>274.35147748322305</v>
      </c>
      <c r="AB166" s="14">
        <v>16</v>
      </c>
      <c r="AC166" s="14">
        <v>100</v>
      </c>
      <c r="AJ166" s="14">
        <f t="shared" si="28"/>
        <v>4.2871480736436895</v>
      </c>
      <c r="AK166" s="14">
        <f t="shared" si="23"/>
        <v>6.2311203900869625</v>
      </c>
      <c r="AL166" s="11">
        <f t="shared" si="29"/>
        <v>-4.6999960780713588</v>
      </c>
      <c r="AM166" s="13">
        <f>'[7]D6 Gallon Forecast'!$U30/1000000</f>
        <v>1.0680119687197259E-7</v>
      </c>
    </row>
    <row r="167" spans="1:39" x14ac:dyDescent="0.25">
      <c r="A167" s="10">
        <v>48611</v>
      </c>
      <c r="C167" s="15">
        <f>[6]Biodiesel!$Y4</f>
        <v>93641578.571388662</v>
      </c>
      <c r="D167" s="15">
        <f>AVERAGE([6]Biodiesel!$T4:$X4)</f>
        <v>98255427.097946554</v>
      </c>
      <c r="E167" s="15">
        <f t="shared" si="31"/>
        <v>-4613848.5265578926</v>
      </c>
      <c r="F167" s="15">
        <f>[6]Biodiesel!$Y36</f>
        <v>111017536.47726066</v>
      </c>
      <c r="G167" s="15">
        <f>AVERAGE([6]Biodiesel!$T36:$X36)</f>
        <v>118913510.38603882</v>
      </c>
      <c r="H167" s="15">
        <f t="shared" si="24"/>
        <v>-7895973.9087781608</v>
      </c>
      <c r="K167" s="15">
        <f>'[6]Renewable Diesel'!$Y50</f>
        <v>258434818.10213843</v>
      </c>
      <c r="L167" s="15">
        <f>AVERAGE('[6]Renewable Diesel'!$T50:$X50)</f>
        <v>227315519.49665648</v>
      </c>
      <c r="M167" s="15">
        <f t="shared" si="26"/>
        <v>31119298.605481952</v>
      </c>
      <c r="N167" s="15">
        <f>'[6]Renewable Diesel'!$Y4</f>
        <v>275623675.59517336</v>
      </c>
      <c r="O167" s="15">
        <f>AVERAGE('[6]Renewable Diesel'!$T4:$X4)</f>
        <v>248575422.1854102</v>
      </c>
      <c r="P167" s="15">
        <f t="shared" si="27"/>
        <v>27048253.409763157</v>
      </c>
      <c r="S167" s="11">
        <f>'[8]Soy Complex'!$BV598</f>
        <v>70.75</v>
      </c>
      <c r="T167" s="11"/>
      <c r="U167" s="11"/>
      <c r="V167" s="11">
        <f>[9]Forecasts!$B159</f>
        <v>493</v>
      </c>
      <c r="W167" s="11" t="e">
        <f>#REF!*100</f>
        <v>#REF!</v>
      </c>
      <c r="X167" s="11"/>
      <c r="AA167" s="14">
        <f t="shared" si="30"/>
        <v>273.13146930065085</v>
      </c>
      <c r="AB167" s="14">
        <v>16</v>
      </c>
      <c r="AC167" s="14">
        <v>100</v>
      </c>
      <c r="AJ167" s="14">
        <f t="shared" si="28"/>
        <v>4.3138702891097225</v>
      </c>
      <c r="AK167" s="14">
        <f t="shared" si="23"/>
        <v>6.3368116961256034</v>
      </c>
      <c r="AL167" s="11">
        <f t="shared" si="29"/>
        <v>-4.7961437357292738</v>
      </c>
      <c r="AM167" s="13">
        <f>'[7]D6 Gallon Forecast'!$U31/1000000</f>
        <v>1017.9876838811779</v>
      </c>
    </row>
    <row r="168" spans="1:39" x14ac:dyDescent="0.25">
      <c r="A168" s="10">
        <v>48639</v>
      </c>
      <c r="C168" s="15">
        <f>[6]Biodiesel!$Y5</f>
        <v>107087498.58248618</v>
      </c>
      <c r="D168" s="15">
        <f>AVERAGE([6]Biodiesel!$T5:$X5)</f>
        <v>112363742.79159167</v>
      </c>
      <c r="E168" s="15">
        <f t="shared" si="31"/>
        <v>-5276244.2091054916</v>
      </c>
      <c r="F168" s="15">
        <f>[6]Biodiesel!$Y37</f>
        <v>121546793.45369151</v>
      </c>
      <c r="G168" s="15">
        <f>AVERAGE([6]Biodiesel!$T37:$X37)</f>
        <v>129553850.79402466</v>
      </c>
      <c r="H168" s="15">
        <f t="shared" si="24"/>
        <v>-8007057.3403331488</v>
      </c>
      <c r="K168" s="15">
        <f>'[6]Renewable Diesel'!$Y51</f>
        <v>277903393.82677531</v>
      </c>
      <c r="L168" s="15">
        <f>AVERAGE('[6]Renewable Diesel'!$T51:$X51)</f>
        <v>244486530.61259422</v>
      </c>
      <c r="M168" s="15">
        <f t="shared" si="26"/>
        <v>33416863.214181095</v>
      </c>
      <c r="N168" s="15">
        <f>'[6]Renewable Diesel'!$Y5</f>
        <v>293194504.63171113</v>
      </c>
      <c r="O168" s="15">
        <f>AVERAGE('[6]Renewable Diesel'!$T5:$X5)</f>
        <v>263398251.29238328</v>
      </c>
      <c r="P168" s="15">
        <f t="shared" si="27"/>
        <v>29796253.339327842</v>
      </c>
      <c r="S168" s="11">
        <f>'[8]Soy Complex'!$BV599</f>
        <v>74.5</v>
      </c>
      <c r="T168" s="11"/>
      <c r="U168" s="11"/>
      <c r="V168" s="11">
        <f>[9]Forecasts!$B160</f>
        <v>500</v>
      </c>
      <c r="W168" s="11" t="e">
        <f>#REF!*100</f>
        <v>#REF!</v>
      </c>
      <c r="X168" s="11"/>
      <c r="AA168" s="14">
        <f t="shared" si="30"/>
        <v>270.71954976247196</v>
      </c>
      <c r="AB168" s="14">
        <v>16</v>
      </c>
      <c r="AC168" s="14">
        <v>100</v>
      </c>
      <c r="AJ168" s="14">
        <f t="shared" si="28"/>
        <v>4.4516707883440221</v>
      </c>
      <c r="AK168" s="14">
        <f t="shared" si="23"/>
        <v>6.5714846678145928</v>
      </c>
      <c r="AL168" s="11">
        <f t="shared" si="29"/>
        <v>-4.9816022434060132</v>
      </c>
      <c r="AM168" s="13">
        <f>'[7]D6 Gallon Forecast'!$U32/1000000</f>
        <v>2.029E-3</v>
      </c>
    </row>
    <row r="169" spans="1:39" x14ac:dyDescent="0.25">
      <c r="A169" s="10">
        <v>48670</v>
      </c>
      <c r="C169" s="15">
        <f>[6]Biodiesel!$Y6</f>
        <v>105784709.70747478</v>
      </c>
      <c r="D169" s="15">
        <f>AVERAGE([6]Biodiesel!$T6:$X6)</f>
        <v>110955044.03121498</v>
      </c>
      <c r="E169" s="15">
        <f t="shared" si="31"/>
        <v>-5170334.3237401992</v>
      </c>
      <c r="F169" s="15">
        <f>[6]Biodiesel!$Y38</f>
        <v>123616799.1953456</v>
      </c>
      <c r="G169" s="15">
        <f>AVERAGE([6]Biodiesel!$T38:$X38)</f>
        <v>132155417.08901694</v>
      </c>
      <c r="H169" s="15">
        <f t="shared" si="24"/>
        <v>-8538617.8936713487</v>
      </c>
      <c r="K169" s="15">
        <f>'[6]Renewable Diesel'!$Y52</f>
        <v>264852748.28948498</v>
      </c>
      <c r="L169" s="15">
        <f>AVERAGE('[6]Renewable Diesel'!$T52:$X52)</f>
        <v>232965213.0112935</v>
      </c>
      <c r="M169" s="15">
        <f t="shared" si="26"/>
        <v>31887535.278191477</v>
      </c>
      <c r="N169" s="15">
        <f>'[6]Renewable Diesel'!$Y6</f>
        <v>279548901.43064666</v>
      </c>
      <c r="O169" s="15">
        <f>AVERAGE('[6]Renewable Diesel'!$T6:$X6)</f>
        <v>251142034.0016776</v>
      </c>
      <c r="P169" s="15">
        <f t="shared" si="27"/>
        <v>28406867.428969055</v>
      </c>
      <c r="S169" s="11">
        <f>'[8]Soy Complex'!$BV600</f>
        <v>72.25</v>
      </c>
      <c r="T169" s="11"/>
      <c r="U169" s="11"/>
      <c r="V169" s="11">
        <f>[9]Forecasts!$B161</f>
        <v>505</v>
      </c>
      <c r="W169" s="11" t="e">
        <f>#REF!*100</f>
        <v>#REF!</v>
      </c>
      <c r="X169" s="11"/>
      <c r="AA169" s="14">
        <f t="shared" si="30"/>
        <v>271.93901377599383</v>
      </c>
      <c r="AB169" s="14">
        <v>16</v>
      </c>
      <c r="AC169" s="14">
        <v>100</v>
      </c>
      <c r="AJ169" s="14">
        <f t="shared" si="28"/>
        <v>4.5813350910079995</v>
      </c>
      <c r="AK169" s="14">
        <f t="shared" si="23"/>
        <v>6.5635964577952262</v>
      </c>
      <c r="AL169" s="11">
        <f t="shared" si="29"/>
        <v>-4.9274053538637972</v>
      </c>
      <c r="AM169" s="13">
        <f>'[7]D6 Gallon Forecast'!$U33/1000000</f>
        <v>1240.8022160450516</v>
      </c>
    </row>
    <row r="170" spans="1:39" x14ac:dyDescent="0.25">
      <c r="A170" s="10">
        <v>48700</v>
      </c>
      <c r="C170" s="15">
        <f>[6]Biodiesel!$Y7</f>
        <v>113945647.27475674</v>
      </c>
      <c r="D170" s="15">
        <f>AVERAGE([6]Biodiesel!$T7:$X7)</f>
        <v>119515251.7571179</v>
      </c>
      <c r="E170" s="15">
        <f t="shared" si="31"/>
        <v>-5569604.4823611528</v>
      </c>
      <c r="F170" s="15">
        <f>[6]Biodiesel!$Y39</f>
        <v>128203019.81428234</v>
      </c>
      <c r="G170" s="15">
        <f>AVERAGE([6]Biodiesel!$T39:$X39)</f>
        <v>136465683.55410945</v>
      </c>
      <c r="H170" s="15">
        <f t="shared" si="24"/>
        <v>-8262663.7398271114</v>
      </c>
      <c r="K170" s="15">
        <f>'[6]Renewable Diesel'!$Y53</f>
        <v>295707282.76293242</v>
      </c>
      <c r="L170" s="15">
        <f>AVERAGE('[6]Renewable Diesel'!$T53:$X53)</f>
        <v>260103658.89632696</v>
      </c>
      <c r="M170" s="15">
        <f t="shared" si="26"/>
        <v>35603623.866605461</v>
      </c>
      <c r="N170" s="15">
        <f>'[6]Renewable Diesel'!$Y7</f>
        <v>311833771.44025111</v>
      </c>
      <c r="O170" s="15">
        <f>AVERAGE('[6]Renewable Diesel'!$T7:$X7)</f>
        <v>280049579.10248435</v>
      </c>
      <c r="P170" s="15">
        <f t="shared" si="27"/>
        <v>31784192.337766767</v>
      </c>
      <c r="S170" s="11">
        <f>'[8]Soy Complex'!$BV601</f>
        <v>75.75</v>
      </c>
      <c r="T170" s="11"/>
      <c r="U170" s="11"/>
      <c r="V170" s="11">
        <f>[9]Forecasts!$B162</f>
        <v>497.5</v>
      </c>
      <c r="W170" s="11" t="e">
        <f>#REF!*100</f>
        <v>#REF!</v>
      </c>
      <c r="X170" s="11"/>
      <c r="AA170" s="14">
        <f t="shared" si="30"/>
        <v>268.97473570354208</v>
      </c>
      <c r="AB170" s="14">
        <v>16</v>
      </c>
      <c r="AC170" s="14">
        <v>100</v>
      </c>
      <c r="AJ170" s="14">
        <f t="shared" si="28"/>
        <v>4.6478184779299196</v>
      </c>
      <c r="AK170" s="14">
        <f t="shared" si="23"/>
        <v>6.7111515980704022</v>
      </c>
      <c r="AL170" s="11">
        <f t="shared" si="29"/>
        <v>-5.0512164273811448</v>
      </c>
      <c r="AM170" s="13">
        <f>'[7]D6 Gallon Forecast'!$U34/1000000</f>
        <v>1159.4772650769423</v>
      </c>
    </row>
    <row r="171" spans="1:39" x14ac:dyDescent="0.25">
      <c r="A171" s="10">
        <v>48731</v>
      </c>
      <c r="C171" s="15">
        <f>[6]Biodiesel!$Y8</f>
        <v>110705382.69079341</v>
      </c>
      <c r="D171" s="15">
        <f>AVERAGE([6]Biodiesel!$T8:$X8)</f>
        <v>116104994.46491952</v>
      </c>
      <c r="E171" s="15">
        <f t="shared" si="31"/>
        <v>-5399611.7741261125</v>
      </c>
      <c r="F171" s="15">
        <f>[6]Biodiesel!$Y40</f>
        <v>126392437.76973626</v>
      </c>
      <c r="G171" s="15">
        <f>AVERAGE([6]Biodiesel!$T40:$X40)</f>
        <v>134755159.94766265</v>
      </c>
      <c r="H171" s="15">
        <f t="shared" si="24"/>
        <v>-8362722.1779263914</v>
      </c>
      <c r="K171" s="15">
        <f>'[6]Renewable Diesel'!$Y54</f>
        <v>297378434.37272584</v>
      </c>
      <c r="L171" s="15">
        <f>AVERAGE('[6]Renewable Diesel'!$T54:$X54)</f>
        <v>261606837.37251109</v>
      </c>
      <c r="M171" s="15">
        <f t="shared" si="26"/>
        <v>35771597.000214756</v>
      </c>
      <c r="N171" s="15">
        <f>'[6]Renewable Diesel'!$Y8</f>
        <v>316562158.49888599</v>
      </c>
      <c r="O171" s="15">
        <f>AVERAGE('[6]Renewable Diesel'!$T8:$X8)</f>
        <v>285334075.10749859</v>
      </c>
      <c r="P171" s="15">
        <f t="shared" si="27"/>
        <v>31228083.391387403</v>
      </c>
      <c r="S171" s="11">
        <f>'[8]Soy Complex'!$BV602</f>
        <v>73.5</v>
      </c>
      <c r="T171" s="11"/>
      <c r="U171" s="11"/>
      <c r="V171" s="11">
        <f>[9]Forecasts!$B163</f>
        <v>502.5</v>
      </c>
      <c r="W171" s="11" t="e">
        <f>#REF!*100</f>
        <v>#REF!</v>
      </c>
      <c r="X171" s="11"/>
      <c r="AA171" s="14">
        <f t="shared" si="30"/>
        <v>269.46283252577928</v>
      </c>
      <c r="AB171" s="14">
        <v>16</v>
      </c>
      <c r="AC171" s="14">
        <v>100</v>
      </c>
      <c r="AJ171" s="14">
        <f t="shared" si="28"/>
        <v>4.4632033124958603</v>
      </c>
      <c r="AK171" s="14">
        <f t="shared" si="23"/>
        <v>6.8318599382096616</v>
      </c>
      <c r="AL171" s="11">
        <f t="shared" si="29"/>
        <v>-5.2378587551754254</v>
      </c>
      <c r="AM171" s="13">
        <f>'[7]D6 Gallon Forecast'!$U35/1000000</f>
        <v>1236.4481351813367</v>
      </c>
    </row>
    <row r="172" spans="1:39" x14ac:dyDescent="0.25">
      <c r="A172" s="10">
        <v>48761</v>
      </c>
      <c r="C172" s="15">
        <f>[6]Biodiesel!$Y9</f>
        <v>110308664.59070867</v>
      </c>
      <c r="D172" s="15">
        <f>AVERAGE([6]Biodiesel!$T9:$X9)</f>
        <v>115687350.75717434</v>
      </c>
      <c r="E172" s="15">
        <f t="shared" si="31"/>
        <v>-5378686.1664656699</v>
      </c>
      <c r="F172" s="15">
        <f>[6]Biodiesel!$Y41</f>
        <v>121200935.78365396</v>
      </c>
      <c r="G172" s="15">
        <f>AVERAGE([6]Biodiesel!$T41:$X41)</f>
        <v>128637050.95323153</v>
      </c>
      <c r="H172" s="15">
        <f t="shared" si="24"/>
        <v>-7436115.1695775688</v>
      </c>
      <c r="K172" s="15">
        <f>'[6]Renewable Diesel'!$Y55</f>
        <v>288998200.95156199</v>
      </c>
      <c r="L172" s="15">
        <f>AVERAGE('[6]Renewable Diesel'!$T55:$X55)</f>
        <v>254216451.74610654</v>
      </c>
      <c r="M172" s="15">
        <f t="shared" si="26"/>
        <v>34781749.205455452</v>
      </c>
      <c r="N172" s="15">
        <f>'[6]Renewable Diesel'!$Y9</f>
        <v>300698724.3382349</v>
      </c>
      <c r="O172" s="15">
        <f>AVERAGE('[6]Renewable Diesel'!$T9:$X9)</f>
        <v>268688151.72435987</v>
      </c>
      <c r="P172" s="15">
        <f t="shared" si="27"/>
        <v>32010572.613875031</v>
      </c>
      <c r="S172" s="11">
        <f>'[8]Soy Complex'!$BV603</f>
        <v>70</v>
      </c>
      <c r="T172" s="11"/>
      <c r="U172" s="11"/>
      <c r="V172" s="11">
        <f>[9]Forecasts!$B164</f>
        <v>505</v>
      </c>
      <c r="W172" s="11" t="e">
        <f>#REF!*100</f>
        <v>#REF!</v>
      </c>
      <c r="X172" s="11"/>
      <c r="AA172" s="14">
        <f t="shared" si="30"/>
        <v>268.77604173520189</v>
      </c>
      <c r="AB172" s="14">
        <v>16</v>
      </c>
      <c r="AC172" s="14">
        <v>100</v>
      </c>
      <c r="AJ172" s="14">
        <f t="shared" si="28"/>
        <v>3.7568939711975244</v>
      </c>
      <c r="AK172" s="14">
        <f t="shared" si="23"/>
        <v>6.7248974197289719</v>
      </c>
      <c r="AL172" s="11">
        <f t="shared" si="29"/>
        <v>-5.3831495728727132</v>
      </c>
      <c r="AM172" s="13">
        <f>'[7]D6 Gallon Forecast'!$U36/1000000</f>
        <v>1157.9619808947402</v>
      </c>
    </row>
    <row r="173" spans="1:39" x14ac:dyDescent="0.25">
      <c r="A173" s="10">
        <v>48792</v>
      </c>
      <c r="C173" s="15">
        <f>[6]Biodiesel!$Y10</f>
        <v>113592662.63042255</v>
      </c>
      <c r="D173" s="15">
        <f>AVERAGE([6]Biodiesel!$T10:$X10)</f>
        <v>119130969.14684442</v>
      </c>
      <c r="E173" s="15">
        <f t="shared" si="31"/>
        <v>-5538306.5164218694</v>
      </c>
      <c r="F173" s="15">
        <f>[6]Biodiesel!$Y42</f>
        <v>126736845.73203014</v>
      </c>
      <c r="G173" s="15">
        <f>AVERAGE([6]Biodiesel!$T42:$X42)</f>
        <v>134757942.38986677</v>
      </c>
      <c r="H173" s="15">
        <f t="shared" si="24"/>
        <v>-8021096.6578366309</v>
      </c>
      <c r="K173" s="15">
        <f>'[6]Renewable Diesel'!$Y56</f>
        <v>298844980.37938237</v>
      </c>
      <c r="L173" s="15">
        <f>AVERAGE('[6]Renewable Diesel'!$T56:$X56)</f>
        <v>262924352.42721114</v>
      </c>
      <c r="M173" s="15">
        <f t="shared" si="26"/>
        <v>35920627.952171236</v>
      </c>
      <c r="N173" s="15">
        <f>'[6]Renewable Diesel'!$Y10</f>
        <v>307262366.43032336</v>
      </c>
      <c r="O173" s="15">
        <f>AVERAGE('[6]Renewable Diesel'!$T10:$X10)</f>
        <v>273335329.91126972</v>
      </c>
      <c r="P173" s="15">
        <f t="shared" si="27"/>
        <v>33927036.519053638</v>
      </c>
      <c r="S173" s="11">
        <f>'[8]Soy Complex'!$BV604</f>
        <v>70.75</v>
      </c>
      <c r="T173" s="11"/>
      <c r="U173" s="11"/>
      <c r="V173" s="11">
        <f>[9]Forecasts!$B165</f>
        <v>492.5</v>
      </c>
      <c r="W173" s="11" t="e">
        <f>#REF!*100</f>
        <v>#REF!</v>
      </c>
      <c r="X173" s="11"/>
      <c r="AA173" s="14">
        <f t="shared" si="30"/>
        <v>267.09396136562663</v>
      </c>
      <c r="AB173" s="14">
        <v>16</v>
      </c>
      <c r="AC173" s="14">
        <v>100</v>
      </c>
      <c r="AJ173" s="14">
        <f t="shared" si="28"/>
        <v>3.6791388072930049</v>
      </c>
      <c r="AK173" s="14">
        <f t="shared" si="23"/>
        <v>6.6337849247588903</v>
      </c>
      <c r="AL173" s="11">
        <f t="shared" si="29"/>
        <v>-5.3198067792971031</v>
      </c>
      <c r="AM173" s="13">
        <f>'[7]D6 Gallon Forecast'!$U37/1000000</f>
        <v>1265.8284071691471</v>
      </c>
    </row>
    <row r="174" spans="1:39" x14ac:dyDescent="0.25">
      <c r="A174" s="10">
        <v>48823</v>
      </c>
      <c r="C174" s="15">
        <f>[6]Biodiesel!$Y11</f>
        <v>107206265.79869463</v>
      </c>
      <c r="D174" s="15">
        <f>AVERAGE([6]Biodiesel!$T11:$X11)</f>
        <v>112430001.75020246</v>
      </c>
      <c r="E174" s="15">
        <f t="shared" si="31"/>
        <v>-5223735.9515078366</v>
      </c>
      <c r="F174" s="15">
        <f>[6]Biodiesel!$Y43</f>
        <v>120822763.71042086</v>
      </c>
      <c r="G174" s="15">
        <f>AVERAGE([6]Biodiesel!$T43:$X43)</f>
        <v>128618504.82303254</v>
      </c>
      <c r="H174" s="15">
        <f t="shared" si="24"/>
        <v>-7795741.1126116812</v>
      </c>
      <c r="K174" s="15">
        <f>'[6]Renewable Diesel'!$Y57</f>
        <v>302063936.26670486</v>
      </c>
      <c r="L174" s="15">
        <f>AVERAGE('[6]Renewable Diesel'!$T57:$X57)</f>
        <v>265738715.23126429</v>
      </c>
      <c r="M174" s="15">
        <f t="shared" si="26"/>
        <v>36325221.035440564</v>
      </c>
      <c r="N174" s="15">
        <f>'[6]Renewable Diesel'!$Y11</f>
        <v>311398745.64486039</v>
      </c>
      <c r="O174" s="15">
        <f>AVERAGE('[6]Renewable Diesel'!$T11:$X11)</f>
        <v>277284400.51477247</v>
      </c>
      <c r="P174" s="15">
        <f t="shared" si="27"/>
        <v>34114345.130087912</v>
      </c>
      <c r="S174" s="11">
        <f>'[8]Soy Complex'!$BV605</f>
        <v>73.5</v>
      </c>
      <c r="T174" s="11"/>
      <c r="U174" s="11"/>
      <c r="V174" s="11">
        <f>[9]Forecasts!$B166</f>
        <v>490</v>
      </c>
      <c r="W174" s="11" t="e">
        <f>#REF!*100</f>
        <v>#REF!</v>
      </c>
      <c r="X174" s="11"/>
      <c r="AA174" s="14">
        <f t="shared" si="30"/>
        <v>266.92956059772183</v>
      </c>
      <c r="AB174" s="14">
        <v>16</v>
      </c>
      <c r="AC174" s="14">
        <v>100</v>
      </c>
      <c r="AJ174" s="14">
        <f t="shared" si="28"/>
        <v>3.8483542197978773</v>
      </c>
      <c r="AK174" s="14">
        <f t="shared" si="23"/>
        <v>6.4062066704129199</v>
      </c>
      <c r="AL174" s="11">
        <f t="shared" si="29"/>
        <v>-5.0317944490565356</v>
      </c>
      <c r="AM174" s="13">
        <f>'[7]D6 Gallon Forecast'!$U38/1000000</f>
        <v>1274.1815443837361</v>
      </c>
    </row>
    <row r="175" spans="1:39" x14ac:dyDescent="0.25">
      <c r="A175" s="10">
        <v>48853</v>
      </c>
      <c r="C175" s="15">
        <f>[6]Biodiesel!$Y12</f>
        <v>110322357.28974395</v>
      </c>
      <c r="D175" s="15">
        <f>AVERAGE([6]Biodiesel!$T12:$X12)</f>
        <v>115699682.72152825</v>
      </c>
      <c r="E175" s="15">
        <f t="shared" si="31"/>
        <v>-5377325.431784302</v>
      </c>
      <c r="F175" s="15">
        <f>[6]Biodiesel!$Y44</f>
        <v>125629550.18959501</v>
      </c>
      <c r="G175" s="15">
        <f>AVERAGE([6]Biodiesel!$T44:$X44)</f>
        <v>133898234.28024006</v>
      </c>
      <c r="H175" s="15">
        <f t="shared" si="24"/>
        <v>-8268684.090645045</v>
      </c>
      <c r="K175" s="15">
        <f>'[6]Renewable Diesel'!$Y58</f>
        <v>327068764.78598154</v>
      </c>
      <c r="L175" s="15">
        <f>AVERAGE('[6]Renewable Diesel'!$T58:$X58)</f>
        <v>287697693.23189962</v>
      </c>
      <c r="M175" s="15">
        <f t="shared" si="26"/>
        <v>39371071.554081917</v>
      </c>
      <c r="N175" s="15">
        <f>'[6]Renewable Diesel'!$Y12</f>
        <v>340618364.39804351</v>
      </c>
      <c r="O175" s="15">
        <f>AVERAGE('[6]Renewable Diesel'!$T12:$X12)</f>
        <v>304456408.54155517</v>
      </c>
      <c r="P175" s="15">
        <f t="shared" si="27"/>
        <v>36161955.856488347</v>
      </c>
      <c r="S175" s="11">
        <f>'[8]Soy Complex'!$BW594</f>
        <v>70.5</v>
      </c>
      <c r="T175" s="11"/>
      <c r="U175" s="11"/>
      <c r="V175" s="11">
        <f>[9]Forecasts!$B167</f>
        <v>475</v>
      </c>
      <c r="W175" s="11" t="e">
        <f>#REF!*100</f>
        <v>#REF!</v>
      </c>
      <c r="X175" s="11"/>
      <c r="AA175" s="14">
        <f t="shared" si="30"/>
        <v>265.13237266316014</v>
      </c>
      <c r="AB175" s="14">
        <v>16</v>
      </c>
      <c r="AC175" s="14">
        <v>100</v>
      </c>
      <c r="AJ175" s="14">
        <f t="shared" si="28"/>
        <v>3.945182061110911</v>
      </c>
      <c r="AK175" s="14">
        <f t="shared" si="23"/>
        <v>6.4244789997799971</v>
      </c>
      <c r="AL175" s="11">
        <f t="shared" si="29"/>
        <v>-5.0154854065260999</v>
      </c>
      <c r="AM175" s="13">
        <f>'[7]D6 Gallon Forecast'!$U39/1000000</f>
        <v>1319.4714696630035</v>
      </c>
    </row>
    <row r="176" spans="1:39" x14ac:dyDescent="0.25">
      <c r="A176" s="10">
        <v>48884</v>
      </c>
      <c r="C176" s="15">
        <f>[6]Biodiesel!$Y13</f>
        <v>104619803.45372143</v>
      </c>
      <c r="D176" s="15">
        <f>AVERAGE([6]Biodiesel!$T13:$X13)</f>
        <v>109714261.23880284</v>
      </c>
      <c r="E176" s="15">
        <f t="shared" si="31"/>
        <v>-5094457.7850814015</v>
      </c>
      <c r="F176" s="15">
        <f>[6]Biodiesel!$Y45</f>
        <v>118486775.96116202</v>
      </c>
      <c r="G176" s="15">
        <f>AVERAGE([6]Biodiesel!$T45:$X45)</f>
        <v>126200550.77542663</v>
      </c>
      <c r="H176" s="15">
        <f t="shared" si="24"/>
        <v>-7713774.8142646104</v>
      </c>
      <c r="K176" s="15">
        <f>'[6]Renewable Diesel'!$Y59</f>
        <v>394621480.95332587</v>
      </c>
      <c r="L176" s="15">
        <f>AVERAGE('[6]Renewable Diesel'!$T59:$X59)</f>
        <v>347096323.542485</v>
      </c>
      <c r="M176" s="15">
        <f t="shared" si="26"/>
        <v>47525157.410840869</v>
      </c>
      <c r="N176" s="15">
        <f>'[6]Renewable Diesel'!$Y13</f>
        <v>405335837.50507891</v>
      </c>
      <c r="O176" s="15">
        <f>AVERAGE('[6]Renewable Diesel'!$T13:$X13)</f>
        <v>360348290.85649532</v>
      </c>
      <c r="P176" s="15">
        <f t="shared" si="27"/>
        <v>44987546.648583591</v>
      </c>
      <c r="S176" s="11">
        <f>'[8]Soy Complex'!$BW595</f>
        <v>71.75</v>
      </c>
      <c r="T176" s="11"/>
      <c r="U176" s="11"/>
      <c r="V176" s="11">
        <f>[9]Forecasts!$B168</f>
        <v>460</v>
      </c>
      <c r="W176" s="11" t="e">
        <f>#REF!*100</f>
        <v>#REF!</v>
      </c>
      <c r="X176" s="11"/>
      <c r="AA176" s="14">
        <f t="shared" si="30"/>
        <v>257.38615162493818</v>
      </c>
      <c r="AB176" s="14">
        <v>16</v>
      </c>
      <c r="AC176" s="14">
        <v>100</v>
      </c>
      <c r="AJ176" s="14">
        <f t="shared" si="28"/>
        <v>3.9976495046367804</v>
      </c>
      <c r="AK176" s="14">
        <f t="shared" si="23"/>
        <v>6.5053349343291327</v>
      </c>
      <c r="AL176" s="11">
        <f t="shared" si="29"/>
        <v>-5.0776029683874251</v>
      </c>
      <c r="AM176" s="13">
        <f>'[7]D6 Gallon Forecast'!$U40/1000000</f>
        <v>1332.1756618212132</v>
      </c>
    </row>
    <row r="177" spans="1:39" x14ac:dyDescent="0.25">
      <c r="A177" s="10">
        <v>48914</v>
      </c>
      <c r="C177" s="15">
        <f>[6]Biodiesel!$Y14</f>
        <v>91770867.133817986</v>
      </c>
      <c r="D177" s="15">
        <f>AVERAGE([6]Biodiesel!$T14:$X14)</f>
        <v>117221257.32174289</v>
      </c>
      <c r="E177" s="15">
        <f t="shared" si="31"/>
        <v>-25450390.187924907</v>
      </c>
      <c r="F177" s="15">
        <f>[6]Biodiesel!$Y46</f>
        <v>112605765.76968323</v>
      </c>
      <c r="G177" s="15">
        <f>AVERAGE([6]Biodiesel!$T46:$X46)</f>
        <v>141991636.81104937</v>
      </c>
      <c r="H177" s="15">
        <f t="shared" si="24"/>
        <v>-29385871.041366145</v>
      </c>
      <c r="K177" s="15">
        <f>'[6]Renewable Diesel'!$Y60</f>
        <v>446281897.4339509</v>
      </c>
      <c r="L177" s="15">
        <f>AVERAGE('[6]Renewable Diesel'!$T60:$X60)</f>
        <v>392523037.68874443</v>
      </c>
      <c r="M177" s="15">
        <f t="shared" si="26"/>
        <v>53758859.745206475</v>
      </c>
      <c r="N177" s="15">
        <f>'[6]Renewable Diesel'!$Y14</f>
        <v>457656941.84399396</v>
      </c>
      <c r="O177" s="15">
        <f>AVERAGE('[6]Renewable Diesel'!$T14:$X14)</f>
        <v>406592171.56432402</v>
      </c>
      <c r="P177" s="15">
        <f t="shared" si="27"/>
        <v>51064770.27966994</v>
      </c>
      <c r="S177" s="11">
        <f>'[8]Soy Complex'!$BW596</f>
        <v>71.25</v>
      </c>
      <c r="T177" s="11"/>
      <c r="U177" s="11"/>
      <c r="V177" s="11">
        <f>[9]Forecasts!$B169</f>
        <v>442.5</v>
      </c>
      <c r="W177" s="11" t="e">
        <f>#REF!*100</f>
        <v>#REF!</v>
      </c>
      <c r="X177" s="11"/>
      <c r="AA177" s="14">
        <f t="shared" si="30"/>
        <v>252.05217244393367</v>
      </c>
      <c r="AB177" s="14">
        <v>16</v>
      </c>
      <c r="AC177" s="14">
        <v>100</v>
      </c>
      <c r="AJ177" s="14">
        <f t="shared" si="28"/>
        <v>4.0539798697455005</v>
      </c>
      <c r="AK177" s="14">
        <f t="shared" si="23"/>
        <v>6.3899624826186319</v>
      </c>
      <c r="AL177" s="11">
        <f t="shared" si="29"/>
        <v>-4.9421125291380958</v>
      </c>
      <c r="AM177" s="13">
        <f>'[7]D6 Gallon Forecast'!$U41/1000000</f>
        <v>1214.5319445923924</v>
      </c>
    </row>
    <row r="178" spans="1:39" x14ac:dyDescent="0.25">
      <c r="A178" s="10">
        <v>48945</v>
      </c>
      <c r="C178" s="15">
        <f>[6]Biodiesel!$Z3</f>
        <v>92617055.944727346</v>
      </c>
      <c r="D178" s="15">
        <f>AVERAGE([6]Biodiesel!$U3:$Y3)</f>
        <v>95113525.088888809</v>
      </c>
      <c r="E178" s="15">
        <f t="shared" si="31"/>
        <v>-2496469.1441614628</v>
      </c>
      <c r="F178" s="15">
        <f>[6]Biodiesel!$Z35</f>
        <v>105067777.48447287</v>
      </c>
      <c r="G178" s="15">
        <f>AVERAGE([6]Biodiesel!$U35:$Y35)</f>
        <v>109769803.01567498</v>
      </c>
      <c r="H178" s="15">
        <f t="shared" si="24"/>
        <v>-4702025.5312021077</v>
      </c>
      <c r="K178" s="15">
        <f>'[6]Renewable Diesel'!$Z49</f>
        <v>222860880.83967215</v>
      </c>
      <c r="L178" s="15">
        <f>AVERAGE('[6]Renewable Diesel'!$U49:$Y49)</f>
        <v>220995341.11716047</v>
      </c>
      <c r="M178" s="15">
        <f t="shared" si="26"/>
        <v>1865539.7225116789</v>
      </c>
      <c r="N178" s="15">
        <f>'[6]Renewable Diesel'!$Z3</f>
        <v>234630968.66891962</v>
      </c>
      <c r="O178" s="15">
        <f>AVERAGE('[6]Renewable Diesel'!$U3:$Y3)</f>
        <v>235250225.26591572</v>
      </c>
      <c r="P178" s="15">
        <f t="shared" si="27"/>
        <v>-619256.59699609876</v>
      </c>
      <c r="S178" s="11">
        <f>'[8]Soy Complex'!$BW597</f>
        <v>72.5</v>
      </c>
      <c r="T178" s="11"/>
      <c r="U178" s="11"/>
      <c r="V178" s="11">
        <f>[9]Forecasts!$B170</f>
        <v>425</v>
      </c>
      <c r="W178" s="11" t="e">
        <f>#REF!*100</f>
        <v>#REF!</v>
      </c>
      <c r="X178" s="11"/>
      <c r="AA178" s="14">
        <f t="shared" si="30"/>
        <v>297.41524283358348</v>
      </c>
      <c r="AB178" s="14">
        <v>16</v>
      </c>
      <c r="AC178" s="14">
        <v>100</v>
      </c>
      <c r="AJ178" s="14">
        <f t="shared" si="28"/>
        <v>4.1683093274336809</v>
      </c>
      <c r="AK178" s="14">
        <f t="shared" si="23"/>
        <v>6.6015328207556152</v>
      </c>
      <c r="AL178" s="11">
        <f t="shared" si="29"/>
        <v>-5.1128509181007296</v>
      </c>
      <c r="AM178" s="13">
        <f>'[7]D6 Gallon Forecast'!$V30/1000000</f>
        <v>1.0665025197730594E-7</v>
      </c>
    </row>
    <row r="179" spans="1:39" x14ac:dyDescent="0.25">
      <c r="A179" s="10">
        <v>48976</v>
      </c>
      <c r="C179" s="15">
        <f>[6]Biodiesel!$Z4</f>
        <v>87084958.054912776</v>
      </c>
      <c r="D179" s="15">
        <f>AVERAGE([6]Biodiesel!$U4:$Y4)</f>
        <v>96744243.90588817</v>
      </c>
      <c r="E179" s="15">
        <f t="shared" si="31"/>
        <v>-9659285.8509753942</v>
      </c>
      <c r="F179" s="15">
        <f>[6]Biodiesel!$Z36</f>
        <v>103961000.86258231</v>
      </c>
      <c r="G179" s="15">
        <f>AVERAGE([6]Biodiesel!$U36:$Y36)</f>
        <v>116609757.15377346</v>
      </c>
      <c r="H179" s="15">
        <f t="shared" si="24"/>
        <v>-12648756.291191146</v>
      </c>
      <c r="K179" s="15">
        <f>'[6]Renewable Diesel'!$Z50</f>
        <v>241914289.20259774</v>
      </c>
      <c r="L179" s="15">
        <f>AVERAGE('[6]Renewable Diesel'!$U50:$Y50)</f>
        <v>240134525.95515317</v>
      </c>
      <c r="M179" s="15">
        <f t="shared" si="26"/>
        <v>1779763.2474445701</v>
      </c>
      <c r="N179" s="15">
        <f>'[6]Renewable Diesel'!$Z4</f>
        <v>258251536.61077991</v>
      </c>
      <c r="O179" s="15">
        <f>AVERAGE('[6]Renewable Diesel'!$U4:$Y4)</f>
        <v>259920747.81617385</v>
      </c>
      <c r="P179" s="15">
        <f t="shared" si="27"/>
        <v>-1669211.2053939402</v>
      </c>
      <c r="S179" s="11">
        <f>'[8]Soy Complex'!$BW598</f>
        <v>69.25</v>
      </c>
      <c r="T179" s="11"/>
      <c r="U179" s="11"/>
      <c r="V179" s="11">
        <f>[9]Forecasts!$B171</f>
        <v>407.5</v>
      </c>
      <c r="W179" s="11" t="e">
        <f>#REF!*100</f>
        <v>#REF!</v>
      </c>
      <c r="X179" s="11"/>
      <c r="AA179" s="14">
        <f t="shared" si="30"/>
        <v>298.33678799337423</v>
      </c>
      <c r="AB179" s="14">
        <v>16</v>
      </c>
      <c r="AC179" s="14">
        <v>100</v>
      </c>
      <c r="AJ179" s="14">
        <f t="shared" si="28"/>
        <v>4.2215100785829467</v>
      </c>
      <c r="AK179" s="14">
        <f t="shared" si="23"/>
        <v>6.6926938801305278</v>
      </c>
      <c r="AL179" s="11">
        <f t="shared" si="29"/>
        <v>-5.1850117092080463</v>
      </c>
      <c r="AM179" s="13">
        <f>'[7]D6 Gallon Forecast'!$V31/1000000</f>
        <v>1232.4712031460228</v>
      </c>
    </row>
    <row r="180" spans="1:39" x14ac:dyDescent="0.25">
      <c r="A180" s="10">
        <v>49004</v>
      </c>
      <c r="C180" s="15">
        <f>[6]Biodiesel!$Z5</f>
        <v>99680587.093874365</v>
      </c>
      <c r="D180" s="15">
        <f>AVERAGE([6]Biodiesel!$U5:$Y5)</f>
        <v>110736725.80939583</v>
      </c>
      <c r="E180" s="15">
        <f t="shared" si="31"/>
        <v>-11056138.71552147</v>
      </c>
      <c r="F180" s="15">
        <f>[6]Biodiesel!$Z37</f>
        <v>113687711.06063332</v>
      </c>
      <c r="G180" s="15">
        <f>AVERAGE([6]Biodiesel!$U37:$Y37)</f>
        <v>127224748.42740925</v>
      </c>
      <c r="H180" s="15">
        <f t="shared" si="24"/>
        <v>-13537037.36677593</v>
      </c>
      <c r="K180" s="15">
        <f>'[6]Renewable Diesel'!$Z51</f>
        <v>260358612.94896188</v>
      </c>
      <c r="L180" s="15">
        <f>AVERAGE('[6]Renewable Diesel'!$U51:$Y51)</f>
        <v>258082027.43738651</v>
      </c>
      <c r="M180" s="15">
        <f t="shared" si="26"/>
        <v>2276585.511575371</v>
      </c>
      <c r="N180" s="15">
        <f>'[6]Renewable Diesel'!$Z5</f>
        <v>274958135.90816694</v>
      </c>
      <c r="O180" s="15">
        <f>AVERAGE('[6]Renewable Diesel'!$U5:$Y5)</f>
        <v>275762807.11020154</v>
      </c>
      <c r="P180" s="15">
        <f t="shared" si="27"/>
        <v>-804671.20203459263</v>
      </c>
      <c r="S180" s="11">
        <f>'[8]Soy Complex'!$BW599</f>
        <v>74.75</v>
      </c>
      <c r="T180" s="11"/>
      <c r="U180" s="11"/>
      <c r="V180" s="11">
        <f>[9]Forecasts!$B172</f>
        <v>400</v>
      </c>
      <c r="W180" s="11" t="e">
        <f>#REF!*100</f>
        <v>#REF!</v>
      </c>
      <c r="X180" s="11"/>
      <c r="AA180" s="14">
        <f t="shared" si="30"/>
        <v>297.57798123242571</v>
      </c>
      <c r="AB180" s="14">
        <v>16</v>
      </c>
      <c r="AC180" s="14">
        <v>100</v>
      </c>
      <c r="AJ180" s="14">
        <f t="shared" si="28"/>
        <v>4.3857427182334794</v>
      </c>
      <c r="AK180" s="14">
        <f t="shared" si="23"/>
        <v>6.9197251851118375</v>
      </c>
      <c r="AL180" s="11">
        <f t="shared" si="29"/>
        <v>-5.3533885000284522</v>
      </c>
      <c r="AM180" s="13">
        <f>'[7]D6 Gallon Forecast'!$V32/1000000</f>
        <v>2.0300000000000001E-3</v>
      </c>
    </row>
    <row r="181" spans="1:39" x14ac:dyDescent="0.25">
      <c r="A181" s="10">
        <v>49035</v>
      </c>
      <c r="C181" s="15">
        <f>[6]Biodiesel!$Z6</f>
        <v>98378705.764652923</v>
      </c>
      <c r="D181" s="15">
        <f>AVERAGE([6]Biodiesel!$U6:$Y6)</f>
        <v>109274171.26101032</v>
      </c>
      <c r="E181" s="15">
        <f t="shared" si="31"/>
        <v>-10895465.496357396</v>
      </c>
      <c r="F181" s="15">
        <f>[6]Biodiesel!$Z38</f>
        <v>115909452.16876882</v>
      </c>
      <c r="G181" s="15">
        <f>AVERAGE([6]Biodiesel!$U38:$Y38)</f>
        <v>129910364.17099819</v>
      </c>
      <c r="H181" s="15">
        <f t="shared" si="24"/>
        <v>-14000912.002229363</v>
      </c>
      <c r="K181" s="15">
        <f>'[6]Renewable Diesel'!$Z52</f>
        <v>247877761.11216789</v>
      </c>
      <c r="L181" s="15">
        <f>AVERAGE('[6]Renewable Diesel'!$U52:$Y52)</f>
        <v>246022864.85928258</v>
      </c>
      <c r="M181" s="15">
        <f t="shared" si="26"/>
        <v>1854896.2528853118</v>
      </c>
      <c r="N181" s="15">
        <f>'[6]Renewable Diesel'!$Z6</f>
        <v>261859465.6254898</v>
      </c>
      <c r="O181" s="15">
        <f>AVERAGE('[6]Renewable Diesel'!$U6:$Y6)</f>
        <v>262956262.54763907</v>
      </c>
      <c r="P181" s="15">
        <f t="shared" si="27"/>
        <v>-1096796.9221492708</v>
      </c>
      <c r="S181" s="11">
        <f>'[8]Soy Complex'!$BW600</f>
        <v>71</v>
      </c>
      <c r="T181" s="11"/>
      <c r="U181" s="11"/>
      <c r="V181" s="11">
        <f>[9]Forecasts!$B173</f>
        <v>402.5</v>
      </c>
      <c r="W181" s="11" t="e">
        <f>#REF!*100</f>
        <v>#REF!</v>
      </c>
      <c r="X181" s="11"/>
      <c r="AA181" s="14">
        <f t="shared" si="30"/>
        <v>297.83437997697041</v>
      </c>
      <c r="AB181" s="14">
        <v>16</v>
      </c>
      <c r="AC181" s="14">
        <v>100</v>
      </c>
      <c r="AJ181" s="14">
        <f t="shared" si="28"/>
        <v>4.5373172738364858</v>
      </c>
      <c r="AK181" s="14">
        <f t="shared" si="23"/>
        <v>6.9176238539154511</v>
      </c>
      <c r="AL181" s="11">
        <f t="shared" si="29"/>
        <v>-5.2971533989738493</v>
      </c>
      <c r="AM181" s="13">
        <f>'[7]D6 Gallon Forecast'!$V33/1000000</f>
        <v>1253.7590640639737</v>
      </c>
    </row>
    <row r="182" spans="1:39" x14ac:dyDescent="0.25">
      <c r="A182" s="10">
        <v>49065</v>
      </c>
      <c r="C182" s="15">
        <f>[6]Biodiesel!$Z7</f>
        <v>105566730.87772734</v>
      </c>
      <c r="D182" s="15">
        <f>AVERAGE([6]Biodiesel!$U7:$Y7)</f>
        <v>117258360.81873791</v>
      </c>
      <c r="E182" s="15">
        <f t="shared" si="31"/>
        <v>-11691629.941010565</v>
      </c>
      <c r="F182" s="15">
        <f>[6]Biodiesel!$Z39</f>
        <v>119388739.45283934</v>
      </c>
      <c r="G182" s="15">
        <f>AVERAGE([6]Biodiesel!$U39:$Y39)</f>
        <v>133528839.48429832</v>
      </c>
      <c r="H182" s="15">
        <f t="shared" si="24"/>
        <v>-14140100.031458974</v>
      </c>
      <c r="K182" s="15">
        <f>'[6]Renewable Diesel'!$Z53</f>
        <v>276739682.80998349</v>
      </c>
      <c r="L182" s="15">
        <f>AVERAGE('[6]Renewable Diesel'!$U53:$Y53)</f>
        <v>274679398.5218423</v>
      </c>
      <c r="M182" s="15">
        <f t="shared" si="26"/>
        <v>2060284.288141191</v>
      </c>
      <c r="N182" s="15">
        <f>'[6]Renewable Diesel'!$Z7</f>
        <v>291987521.19033784</v>
      </c>
      <c r="O182" s="15">
        <f>AVERAGE('[6]Renewable Diesel'!$U7:$Y7)</f>
        <v>293146225.00471586</v>
      </c>
      <c r="P182" s="15">
        <f t="shared" si="27"/>
        <v>-1158703.8143780231</v>
      </c>
      <c r="S182" s="11">
        <f>'[8]Soy Complex'!$BW601</f>
        <v>75.25</v>
      </c>
      <c r="T182" s="11"/>
      <c r="U182" s="11"/>
      <c r="V182" s="11">
        <f>[9]Forecasts!$B174</f>
        <v>400</v>
      </c>
      <c r="W182" s="11" t="e">
        <f>#REF!*100</f>
        <v>#REF!</v>
      </c>
      <c r="X182" s="11"/>
      <c r="AA182" s="14">
        <f t="shared" si="30"/>
        <v>297.88871565627954</v>
      </c>
      <c r="AB182" s="14">
        <v>16</v>
      </c>
      <c r="AC182" s="14">
        <v>100</v>
      </c>
      <c r="AJ182" s="14">
        <f t="shared" si="28"/>
        <v>4.6277284943763206</v>
      </c>
      <c r="AK182" s="14">
        <f t="shared" si="23"/>
        <v>7.0412812758347822</v>
      </c>
      <c r="AL182" s="11">
        <f t="shared" si="29"/>
        <v>-5.3885210992718102</v>
      </c>
      <c r="AM182" s="13">
        <f>'[7]D6 Gallon Forecast'!$V34/1000000</f>
        <v>1154.8223897897949</v>
      </c>
    </row>
    <row r="183" spans="1:39" x14ac:dyDescent="0.25">
      <c r="A183" s="10">
        <v>49096</v>
      </c>
      <c r="C183" s="15">
        <f>[6]Biodiesel!$Z8</f>
        <v>102757870.60845751</v>
      </c>
      <c r="D183" s="15">
        <f>AVERAGE([6]Biodiesel!$U8:$Y8)</f>
        <v>114133868.02503829</v>
      </c>
      <c r="E183" s="15">
        <f t="shared" si="31"/>
        <v>-11375997.416580781</v>
      </c>
      <c r="F183" s="15">
        <f>[6]Biodiesel!$Z40</f>
        <v>118030499.57381946</v>
      </c>
      <c r="G183" s="15">
        <f>AVERAGE([6]Biodiesel!$U40:$Y40)</f>
        <v>132111934.12140723</v>
      </c>
      <c r="H183" s="15">
        <f t="shared" si="24"/>
        <v>-14081434.547587767</v>
      </c>
      <c r="K183" s="15">
        <f>'[6]Renewable Diesel'!$Z54</f>
        <v>278480088.72125006</v>
      </c>
      <c r="L183" s="15">
        <f>AVERAGE('[6]Renewable Diesel'!$U54:$Y54)</f>
        <v>276147454.97830713</v>
      </c>
      <c r="M183" s="15">
        <f t="shared" si="26"/>
        <v>2332633.7429429293</v>
      </c>
      <c r="N183" s="15">
        <f>'[6]Renewable Diesel'!$Z8</f>
        <v>296740632.58589399</v>
      </c>
      <c r="O183" s="15">
        <f>AVERAGE('[6]Renewable Diesel'!$U8:$Y8)</f>
        <v>298263002.54770917</v>
      </c>
      <c r="P183" s="15">
        <f t="shared" si="27"/>
        <v>-1522369.9618151784</v>
      </c>
      <c r="S183" s="11">
        <f>'[8]Soy Complex'!$BW602</f>
        <v>71.75</v>
      </c>
      <c r="T183" s="11"/>
      <c r="U183" s="11"/>
      <c r="V183" s="11">
        <f>[9]Forecasts!$B175</f>
        <v>402.5</v>
      </c>
      <c r="W183" s="11" t="e">
        <f>#REF!*100</f>
        <v>#REF!</v>
      </c>
      <c r="X183" s="11"/>
      <c r="AA183" s="14">
        <f t="shared" si="30"/>
        <v>298.20790543388517</v>
      </c>
      <c r="AB183" s="14">
        <v>16</v>
      </c>
      <c r="AC183" s="14">
        <v>100</v>
      </c>
      <c r="AJ183" s="14">
        <f t="shared" si="28"/>
        <v>4.4286892042199852</v>
      </c>
      <c r="AK183" s="14">
        <f t="shared" si="23"/>
        <v>7.1575879296175868</v>
      </c>
      <c r="AL183" s="11">
        <f t="shared" si="29"/>
        <v>-5.5759132138247347</v>
      </c>
      <c r="AM183" s="13">
        <f>'[7]D6 Gallon Forecast'!$V35/1000000</f>
        <v>1252.1617215279405</v>
      </c>
    </row>
    <row r="184" spans="1:39" x14ac:dyDescent="0.25">
      <c r="A184" s="10">
        <v>49126</v>
      </c>
      <c r="C184" s="15">
        <f>[6]Biodiesel!$Z9</f>
        <v>102445527.98963925</v>
      </c>
      <c r="D184" s="15">
        <f>AVERAGE([6]Biodiesel!$U9:$Y9)</f>
        <v>113786337.05497618</v>
      </c>
      <c r="E184" s="15">
        <f t="shared" si="31"/>
        <v>-11340809.065336928</v>
      </c>
      <c r="F184" s="15">
        <f>[6]Biodiesel!$Z41</f>
        <v>113044787.71585439</v>
      </c>
      <c r="G184" s="15">
        <f>AVERAGE([6]Biodiesel!$U41:$Y41)</f>
        <v>126263179.93269226</v>
      </c>
      <c r="H184" s="15">
        <f t="shared" si="24"/>
        <v>-13218392.216837868</v>
      </c>
      <c r="K184" s="15">
        <f>'[6]Renewable Diesel'!$Z55</f>
        <v>270605810.23943198</v>
      </c>
      <c r="L184" s="15">
        <f>AVERAGE('[6]Renewable Diesel'!$U55:$Y55)</f>
        <v>268476675.10676658</v>
      </c>
      <c r="M184" s="15">
        <f t="shared" si="26"/>
        <v>2129135.1326653957</v>
      </c>
      <c r="N184" s="15">
        <f>'[6]Renewable Diesel'!$Z9</f>
        <v>281416992.39733714</v>
      </c>
      <c r="O184" s="15">
        <f>AVERAGE('[6]Renewable Diesel'!$U9:$Y9)</f>
        <v>281570217.94245178</v>
      </c>
      <c r="P184" s="15">
        <f t="shared" si="27"/>
        <v>-153225.54511463642</v>
      </c>
      <c r="S184" s="11">
        <f>'[8]Soy Complex'!$BW603</f>
        <v>68.75</v>
      </c>
      <c r="T184" s="11"/>
      <c r="U184" s="11"/>
      <c r="V184" s="11">
        <f>[9]Forecasts!$B176</f>
        <v>412.5</v>
      </c>
      <c r="W184" s="11" t="e">
        <f>#REF!*100</f>
        <v>#REF!</v>
      </c>
      <c r="X184" s="11"/>
      <c r="AA184" s="14">
        <f t="shared" si="30"/>
        <v>297.00620737934707</v>
      </c>
      <c r="AB184" s="14">
        <v>16</v>
      </c>
      <c r="AC184" s="14">
        <v>100</v>
      </c>
      <c r="AJ184" s="14">
        <f t="shared" si="28"/>
        <v>3.6941947396508437</v>
      </c>
      <c r="AK184" s="14">
        <f t="shared" si="23"/>
        <v>7.0680303150508017</v>
      </c>
      <c r="AL184" s="11">
        <f t="shared" si="29"/>
        <v>-5.7486750508897861</v>
      </c>
      <c r="AM184" s="13">
        <f>'[7]D6 Gallon Forecast'!$V36/1000000</f>
        <v>1157.3487299207145</v>
      </c>
    </row>
    <row r="185" spans="1:39" x14ac:dyDescent="0.25">
      <c r="A185" s="10">
        <v>49157</v>
      </c>
      <c r="C185" s="15">
        <f>[6]Biodiesel!$Z10</f>
        <v>105523067.5824191</v>
      </c>
      <c r="D185" s="15">
        <f>AVERAGE([6]Biodiesel!$U10:$Y10)</f>
        <v>117204368.36256036</v>
      </c>
      <c r="E185" s="15">
        <f t="shared" si="31"/>
        <v>-11681300.780141264</v>
      </c>
      <c r="F185" s="15">
        <f>[6]Biodiesel!$Z42</f>
        <v>118206676.95070669</v>
      </c>
      <c r="G185" s="15">
        <f>AVERAGE([6]Biodiesel!$U42:$Y42)</f>
        <v>132134788.53323033</v>
      </c>
      <c r="H185" s="15">
        <f t="shared" si="24"/>
        <v>-13928111.582523644</v>
      </c>
      <c r="K185" s="15">
        <f>'[6]Renewable Diesel'!$Z56</f>
        <v>280192705.14888263</v>
      </c>
      <c r="L185" s="15">
        <f>AVERAGE('[6]Renewable Diesel'!$U56:$Y56)</f>
        <v>277619775.0240562</v>
      </c>
      <c r="M185" s="15">
        <f t="shared" si="26"/>
        <v>2572930.1248264313</v>
      </c>
      <c r="N185" s="15">
        <f>'[6]Renewable Diesel'!$Z10</f>
        <v>288302848.28076619</v>
      </c>
      <c r="O185" s="15">
        <f>AVERAGE('[6]Renewable Diesel'!$U10:$Y10)</f>
        <v>287442059.48378187</v>
      </c>
      <c r="P185" s="15">
        <f t="shared" si="27"/>
        <v>860788.79698431492</v>
      </c>
      <c r="S185" s="11">
        <f>'[8]Soy Complex'!$BW604</f>
        <v>70.5</v>
      </c>
      <c r="T185" s="11"/>
      <c r="U185" s="11"/>
      <c r="V185" s="11">
        <f>[9]Forecasts!$B177</f>
        <v>422.5</v>
      </c>
      <c r="W185" s="11" t="e">
        <f>#REF!*100</f>
        <v>#REF!</v>
      </c>
      <c r="X185" s="11"/>
      <c r="AA185" s="14">
        <f t="shared" si="30"/>
        <v>296.11620699128684</v>
      </c>
      <c r="AB185" s="14">
        <v>16</v>
      </c>
      <c r="AC185" s="14">
        <v>100</v>
      </c>
      <c r="AJ185" s="14">
        <f t="shared" si="28"/>
        <v>3.6390771859684761</v>
      </c>
      <c r="AK185" s="14">
        <f t="shared" ref="AK185:AK248" si="32">AK184+AVERAGE(AK173-AK172,AK149-AK148,AK137-AK136)</f>
        <v>6.9916657140546512</v>
      </c>
      <c r="AL185" s="11">
        <f t="shared" si="29"/>
        <v>-5.6919952904944813</v>
      </c>
      <c r="AM185" s="13">
        <f>'[7]D6 Gallon Forecast'!$V37/1000000</f>
        <v>1271.8854167917989</v>
      </c>
    </row>
    <row r="186" spans="1:39" x14ac:dyDescent="0.25">
      <c r="A186" s="10">
        <v>49188</v>
      </c>
      <c r="C186" s="15">
        <f>[6]Biodiesel!$Z11</f>
        <v>99562577.537496388</v>
      </c>
      <c r="D186" s="15">
        <f>AVERAGE([6]Biodiesel!$U11:$Y11)</f>
        <v>110582790.77144921</v>
      </c>
      <c r="E186" s="15">
        <f t="shared" si="31"/>
        <v>-11020213.23395282</v>
      </c>
      <c r="F186" s="15">
        <f>[6]Biodiesel!$Z43</f>
        <v>112790480.74903186</v>
      </c>
      <c r="G186" s="15">
        <f>AVERAGE([6]Biodiesel!$U43:$Y43)</f>
        <v>126153922.55188525</v>
      </c>
      <c r="H186" s="15">
        <f t="shared" si="24"/>
        <v>-13363441.802853391</v>
      </c>
      <c r="K186" s="15">
        <f>'[6]Renewable Diesel'!$Z57</f>
        <v>283083833.6805672</v>
      </c>
      <c r="L186" s="15">
        <f>AVERAGE('[6]Renewable Diesel'!$U57:$Y57)</f>
        <v>280624266.35161793</v>
      </c>
      <c r="M186" s="15">
        <f t="shared" si="26"/>
        <v>2459567.3289492726</v>
      </c>
      <c r="N186" s="15">
        <f>'[6]Renewable Diesel'!$Z11</f>
        <v>292246198.82369626</v>
      </c>
      <c r="O186" s="15">
        <f>AVERAGE('[6]Renewable Diesel'!$U11:$Y11)</f>
        <v>291720908.58051872</v>
      </c>
      <c r="P186" s="15">
        <f t="shared" si="27"/>
        <v>525290.24317753315</v>
      </c>
      <c r="S186" s="11">
        <f>'[8]Soy Complex'!$BW605</f>
        <v>73.5</v>
      </c>
      <c r="T186" s="11"/>
      <c r="U186" s="11"/>
      <c r="V186" s="11">
        <f>[9]Forecasts!$B178</f>
        <v>432.5</v>
      </c>
      <c r="W186" s="11" t="e">
        <f>#REF!*100</f>
        <v>#REF!</v>
      </c>
      <c r="X186" s="11"/>
      <c r="AA186" s="14">
        <f t="shared" si="30"/>
        <v>296.41067407196306</v>
      </c>
      <c r="AB186" s="14">
        <v>16</v>
      </c>
      <c r="AC186" s="14">
        <v>100</v>
      </c>
      <c r="AJ186" s="14">
        <f t="shared" si="28"/>
        <v>3.8051112278503663</v>
      </c>
      <c r="AK186" s="14">
        <f t="shared" si="32"/>
        <v>6.7641988500762658</v>
      </c>
      <c r="AL186" s="11">
        <f t="shared" si="29"/>
        <v>-5.4052305544154207</v>
      </c>
      <c r="AM186" s="13">
        <f>'[7]D6 Gallon Forecast'!$V38/1000000</f>
        <v>1293.7538317172628</v>
      </c>
    </row>
    <row r="187" spans="1:39" x14ac:dyDescent="0.25">
      <c r="A187" s="10">
        <v>49218</v>
      </c>
      <c r="C187" s="15">
        <f>[6]Biodiesel!$Z12</f>
        <v>102400312.18942349</v>
      </c>
      <c r="D187" s="15">
        <f>AVERAGE([6]Biodiesel!$U12:$Y12)</f>
        <v>113735303.01471336</v>
      </c>
      <c r="E187" s="15">
        <f t="shared" si="31"/>
        <v>-11334990.825289875</v>
      </c>
      <c r="F187" s="15">
        <f>[6]Biodiesel!$Z44</f>
        <v>117093659.25679897</v>
      </c>
      <c r="G187" s="15">
        <f>AVERAGE([6]Biodiesel!$U44:$Y44)</f>
        <v>131031471.56259534</v>
      </c>
      <c r="H187" s="15">
        <f t="shared" ref="H187:H250" si="33">F187-G187</f>
        <v>-13937812.30579637</v>
      </c>
      <c r="K187" s="15">
        <f>'[6]Renewable Diesel'!$Z58</f>
        <v>306145956.44001949</v>
      </c>
      <c r="L187" s="15">
        <f>AVERAGE('[6]Renewable Diesel'!$U58:$Y58)</f>
        <v>303799494.80250055</v>
      </c>
      <c r="M187" s="15">
        <f t="shared" si="26"/>
        <v>2346461.6375189424</v>
      </c>
      <c r="N187" s="15">
        <f>'[6]Renewable Diesel'!$Z12</f>
        <v>318874632.70995694</v>
      </c>
      <c r="O187" s="15">
        <f>AVERAGE('[6]Renewable Diesel'!$U12:$Y12)</f>
        <v>319215336.06275809</v>
      </c>
      <c r="P187" s="15">
        <f t="shared" si="27"/>
        <v>-340703.35280114412</v>
      </c>
      <c r="S187" s="11">
        <f>'[8]Soy Complex'!$BX594</f>
        <v>69.25</v>
      </c>
      <c r="T187" s="11"/>
      <c r="U187" s="11"/>
      <c r="V187" s="11">
        <f>[9]Forecasts!$B179</f>
        <v>445</v>
      </c>
      <c r="W187" s="11" t="e">
        <f>#REF!*100</f>
        <v>#REF!</v>
      </c>
      <c r="X187" s="11"/>
      <c r="AA187" s="14">
        <f t="shared" si="30"/>
        <v>297.17075665115357</v>
      </c>
      <c r="AB187" s="14">
        <v>16</v>
      </c>
      <c r="AC187" s="14">
        <v>100</v>
      </c>
      <c r="AJ187" s="14">
        <f t="shared" si="28"/>
        <v>3.9051163278947261</v>
      </c>
      <c r="AK187" s="14">
        <f t="shared" si="32"/>
        <v>6.7513897966658094</v>
      </c>
      <c r="AL187" s="11">
        <f t="shared" si="29"/>
        <v>-5.3567053938462639</v>
      </c>
      <c r="AM187" s="13">
        <f>'[7]D6 Gallon Forecast'!$V39/1000000</f>
        <v>1324.2515472149951</v>
      </c>
    </row>
    <row r="188" spans="1:39" x14ac:dyDescent="0.25">
      <c r="A188" s="10">
        <v>49249</v>
      </c>
      <c r="C188" s="15">
        <f>[6]Biodiesel!$Z13</f>
        <v>97242042.470244139</v>
      </c>
      <c r="D188" s="15">
        <f>AVERAGE([6]Biodiesel!$U13:$Y13)</f>
        <v>108004140.92438872</v>
      </c>
      <c r="E188" s="15">
        <f t="shared" si="31"/>
        <v>-10762098.454144582</v>
      </c>
      <c r="F188" s="15">
        <f>[6]Biodiesel!$Z45</f>
        <v>110758509.13267006</v>
      </c>
      <c r="G188" s="15">
        <f>AVERAGE([6]Biodiesel!$U45:$Y45)</f>
        <v>123914953.10987294</v>
      </c>
      <c r="H188" s="15">
        <f t="shared" si="33"/>
        <v>-13156443.977202877</v>
      </c>
      <c r="K188" s="15">
        <f>'[6]Renewable Diesel'!$Z59</f>
        <v>369254920.07660335</v>
      </c>
      <c r="L188" s="15">
        <f>AVERAGE('[6]Renewable Diesel'!$U59:$Y59)</f>
        <v>366599722.14288825</v>
      </c>
      <c r="M188" s="15">
        <f t="shared" si="26"/>
        <v>2655197.9337151051</v>
      </c>
      <c r="N188" s="15">
        <f>'[6]Renewable Diesel'!$Z13</f>
        <v>379227599.91150856</v>
      </c>
      <c r="O188" s="15">
        <f>AVERAGE('[6]Renewable Diesel'!$U13:$Y13)</f>
        <v>378677745.4984957</v>
      </c>
      <c r="P188" s="15">
        <f t="shared" si="27"/>
        <v>549854.41301286221</v>
      </c>
      <c r="S188" s="11">
        <f>'[8]Soy Complex'!$BX595</f>
        <v>70.25</v>
      </c>
      <c r="T188" s="11"/>
      <c r="U188" s="11"/>
      <c r="V188" s="11">
        <f>[9]Forecasts!$B180</f>
        <v>457.5</v>
      </c>
      <c r="W188" s="11" t="e">
        <f>#REF!*100</f>
        <v>#REF!</v>
      </c>
      <c r="X188" s="11"/>
      <c r="AA188" s="14">
        <f t="shared" si="30"/>
        <v>296.3891141000986</v>
      </c>
      <c r="AB188" s="14">
        <v>16</v>
      </c>
      <c r="AC188" s="14">
        <v>100</v>
      </c>
      <c r="AJ188" s="14">
        <f t="shared" si="28"/>
        <v>3.961734293259572</v>
      </c>
      <c r="AK188" s="14">
        <f t="shared" si="32"/>
        <v>6.865516064384166</v>
      </c>
      <c r="AL188" s="11">
        <f t="shared" si="29"/>
        <v>-5.4506109596486043</v>
      </c>
      <c r="AM188" s="13">
        <f>'[7]D6 Gallon Forecast'!$V40/1000000</f>
        <v>1335.2556017556678</v>
      </c>
    </row>
    <row r="189" spans="1:39" x14ac:dyDescent="0.25">
      <c r="A189" s="10">
        <v>49279</v>
      </c>
      <c r="C189" s="15">
        <f>[6]Biodiesel!$Z14</f>
        <v>93045257.798746482</v>
      </c>
      <c r="D189" s="15">
        <f>AVERAGE([6]Biodiesel!$U14:$Y14)</f>
        <v>111119699.3821886</v>
      </c>
      <c r="E189" s="15">
        <f t="shared" si="31"/>
        <v>-18074441.583442122</v>
      </c>
      <c r="F189" s="15">
        <f>[6]Biodiesel!$Z46</f>
        <v>113367433.50414301</v>
      </c>
      <c r="G189" s="15">
        <f>AVERAGE([6]Biodiesel!$U46:$Y46)</f>
        <v>135041803.35539821</v>
      </c>
      <c r="H189" s="15">
        <f t="shared" si="33"/>
        <v>-21674369.851255193</v>
      </c>
      <c r="K189" s="15">
        <f>'[6]Renewable Diesel'!$Z60</f>
        <v>417557534.64145982</v>
      </c>
      <c r="L189" s="15">
        <f>AVERAGE('[6]Renewable Diesel'!$U60:$Y60)</f>
        <v>414647847.162655</v>
      </c>
      <c r="M189" s="15">
        <f t="shared" si="26"/>
        <v>2909687.4788048267</v>
      </c>
      <c r="N189" s="15">
        <f>'[6]Renewable Diesel'!$Z14</f>
        <v>428196279.64874446</v>
      </c>
      <c r="O189" s="15">
        <f>AVERAGE('[6]Renewable Diesel'!$U14:$Y14)</f>
        <v>427532549.44925529</v>
      </c>
      <c r="P189" s="15">
        <f t="shared" si="27"/>
        <v>663730.19948917627</v>
      </c>
      <c r="S189" s="11">
        <f>'[8]Soy Complex'!$BX596</f>
        <v>70</v>
      </c>
      <c r="T189" s="11"/>
      <c r="U189" s="11"/>
      <c r="V189" s="11">
        <f>[9]Forecasts!$B181</f>
        <v>472.5</v>
      </c>
      <c r="W189" s="11" t="e">
        <f>#REF!*100</f>
        <v>#REF!</v>
      </c>
      <c r="X189" s="11"/>
      <c r="AA189" s="14">
        <f t="shared" si="30"/>
        <v>296.28916532230835</v>
      </c>
      <c r="AB189" s="14">
        <v>16</v>
      </c>
      <c r="AC189" s="14">
        <v>100</v>
      </c>
      <c r="AJ189" s="14">
        <f t="shared" si="28"/>
        <v>4.0184756888894171</v>
      </c>
      <c r="AK189" s="14">
        <f t="shared" si="32"/>
        <v>6.7578249932962313</v>
      </c>
      <c r="AL189" s="11">
        <f t="shared" si="29"/>
        <v>-5.3226551044071542</v>
      </c>
      <c r="AM189" s="13">
        <f>'[7]D6 Gallon Forecast'!$V41/1000000</f>
        <v>1220.1670606756775</v>
      </c>
    </row>
    <row r="190" spans="1:39" x14ac:dyDescent="0.25">
      <c r="A190" s="10">
        <v>49310</v>
      </c>
      <c r="C190" s="15">
        <f>[6]Biodiesel!$AA3</f>
        <v>90484287.912247792</v>
      </c>
      <c r="D190" s="15">
        <f>AVERAGE([6]Biodiesel!$V3:$Z3)</f>
        <v>95315796.357976347</v>
      </c>
      <c r="E190" s="15">
        <f t="shared" si="31"/>
        <v>-4831508.4457285553</v>
      </c>
      <c r="F190" s="15">
        <f>[6]Biodiesel!$AA35</f>
        <v>101619814.2789475</v>
      </c>
      <c r="G190" s="15">
        <f>AVERAGE([6]Biodiesel!$V35:$Z35)</f>
        <v>109026413.19697538</v>
      </c>
      <c r="H190" s="15">
        <f t="shared" si="33"/>
        <v>-7406598.9180278778</v>
      </c>
      <c r="K190" s="15">
        <f>'[6]Renewable Diesel'!$AA49</f>
        <v>254844805.64811885</v>
      </c>
      <c r="L190" s="15">
        <f>AVERAGE('[6]Renewable Diesel'!$V49:$Z49)</f>
        <v>226102240.78744254</v>
      </c>
      <c r="M190" s="15">
        <f t="shared" si="26"/>
        <v>28742564.860676318</v>
      </c>
      <c r="N190" s="15">
        <f>'[6]Renewable Diesel'!$AA3</f>
        <v>266651214.90391985</v>
      </c>
      <c r="O190" s="15">
        <f>AVERAGE('[6]Renewable Diesel'!$V3:$Z3)</f>
        <v>239482837.94401702</v>
      </c>
      <c r="P190" s="15">
        <f t="shared" si="27"/>
        <v>27168376.959902823</v>
      </c>
      <c r="S190" s="11">
        <f>'[8]Soy Complex'!$BX597</f>
        <v>70.5</v>
      </c>
      <c r="T190" s="11"/>
      <c r="U190" s="11"/>
      <c r="V190" s="11">
        <f>[9]Forecasts!$B182</f>
        <v>475</v>
      </c>
      <c r="W190" s="11" t="e">
        <f>#REF!*100</f>
        <v>#REF!</v>
      </c>
      <c r="X190" s="11"/>
      <c r="AA190" s="14">
        <f t="shared" si="30"/>
        <v>273.0260368606933</v>
      </c>
      <c r="AB190" s="14">
        <v>16</v>
      </c>
      <c r="AC190" s="14">
        <v>100</v>
      </c>
      <c r="AJ190" s="14">
        <f t="shared" si="28"/>
        <v>4.1455675833257795</v>
      </c>
      <c r="AK190" s="14">
        <f t="shared" si="32"/>
        <v>6.962878140190222</v>
      </c>
      <c r="AL190" s="11">
        <f t="shared" si="29"/>
        <v>-5.4823182890024436</v>
      </c>
      <c r="AM190" s="13">
        <f>'[7]D6 Gallon Forecast'!$W30/1000000</f>
        <v>1.0693035707074353E-7</v>
      </c>
    </row>
    <row r="191" spans="1:39" x14ac:dyDescent="0.25">
      <c r="A191" s="10">
        <v>49341</v>
      </c>
      <c r="C191" s="15">
        <f>[6]Biodiesel!$AA4</f>
        <v>83935300.210890815</v>
      </c>
      <c r="D191" s="15">
        <f>AVERAGE([6]Biodiesel!$V4:$Z4)</f>
        <v>94696424.386706069</v>
      </c>
      <c r="E191" s="15">
        <f t="shared" si="31"/>
        <v>-10761124.175815254</v>
      </c>
      <c r="F191" s="15">
        <f>[6]Biodiesel!$AA36</f>
        <v>99072404.890052751</v>
      </c>
      <c r="G191" s="15">
        <f>AVERAGE([6]Biodiesel!$V36:$Z36)</f>
        <v>113333984.52292421</v>
      </c>
      <c r="H191" s="15">
        <f t="shared" si="33"/>
        <v>-14261579.632871464</v>
      </c>
      <c r="K191" s="15">
        <f>'[6]Renewable Diesel'!$AA50</f>
        <v>272478796.06029224</v>
      </c>
      <c r="L191" s="15">
        <f>AVERAGE('[6]Renewable Diesel'!$V50:$Z50)</f>
        <v>245654256.0963071</v>
      </c>
      <c r="M191" s="15">
        <f t="shared" si="26"/>
        <v>26824539.963985145</v>
      </c>
      <c r="N191" s="15">
        <f>'[6]Renewable Diesel'!$AA4</f>
        <v>288387678.10915381</v>
      </c>
      <c r="O191" s="15">
        <f>AVERAGE('[6]Renewable Diesel'!$V4:$Z4)</f>
        <v>263684322.41835022</v>
      </c>
      <c r="P191" s="15">
        <f t="shared" si="27"/>
        <v>24703355.690803587</v>
      </c>
      <c r="S191" s="11">
        <f>'[8]Soy Complex'!$BX598</f>
        <v>67</v>
      </c>
      <c r="T191" s="11"/>
      <c r="U191" s="11"/>
      <c r="V191" s="11">
        <f>[9]Forecasts!$B183</f>
        <v>477.5</v>
      </c>
      <c r="W191" s="11" t="e">
        <f>#REF!*100</f>
        <v>#REF!</v>
      </c>
      <c r="X191" s="11"/>
      <c r="AA191" s="14">
        <f t="shared" si="30"/>
        <v>275.18958602858169</v>
      </c>
      <c r="AB191" s="14">
        <v>16</v>
      </c>
      <c r="AC191" s="14">
        <v>100</v>
      </c>
      <c r="AJ191" s="14">
        <f t="shared" si="28"/>
        <v>4.2149816533069835</v>
      </c>
      <c r="AK191" s="14">
        <f t="shared" si="32"/>
        <v>7.0469049648650302</v>
      </c>
      <c r="AL191" s="11">
        <f t="shared" si="29"/>
        <v>-5.5415543743982507</v>
      </c>
      <c r="AM191" s="13">
        <f>'[7]D6 Gallon Forecast'!$W31/1000000</f>
        <v>1498.041908434494</v>
      </c>
    </row>
    <row r="192" spans="1:39" x14ac:dyDescent="0.25">
      <c r="A192" s="10">
        <v>49369</v>
      </c>
      <c r="C192" s="15">
        <f>[6]Biodiesel!$AA5</f>
        <v>96188034.671942919</v>
      </c>
      <c r="D192" s="15">
        <f>AVERAGE([6]Biodiesel!$V5:$Z5)</f>
        <v>108519785.81881616</v>
      </c>
      <c r="E192" s="15">
        <f t="shared" si="31"/>
        <v>-12331751.146873236</v>
      </c>
      <c r="F192" s="15">
        <f>[6]Biodiesel!$AA37</f>
        <v>109054253.61348587</v>
      </c>
      <c r="G192" s="15">
        <f>AVERAGE([6]Biodiesel!$V37:$Z37)</f>
        <v>124360844.29684094</v>
      </c>
      <c r="H192" s="15">
        <f t="shared" si="33"/>
        <v>-15306590.683355063</v>
      </c>
      <c r="K192" s="15">
        <f>'[6]Renewable Diesel'!$AA51</f>
        <v>299547318.17256927</v>
      </c>
      <c r="L192" s="15">
        <f>AVERAGE('[6]Renewable Diesel'!$V51:$Z51)</f>
        <v>264134009.44413525</v>
      </c>
      <c r="M192" s="15">
        <f t="shared" si="26"/>
        <v>35413308.728434026</v>
      </c>
      <c r="N192" s="15">
        <f>'[6]Renewable Diesel'!$AA5</f>
        <v>314171026.55775559</v>
      </c>
      <c r="O192" s="15">
        <f>AVERAGE('[6]Renewable Diesel'!$V5:$Z5)</f>
        <v>280706996.94734633</v>
      </c>
      <c r="P192" s="15">
        <f t="shared" si="27"/>
        <v>33464029.61040926</v>
      </c>
      <c r="S192" s="11">
        <f>'[8]Soy Complex'!$BX599</f>
        <v>72.5</v>
      </c>
      <c r="T192" s="11"/>
      <c r="U192" s="11"/>
      <c r="V192" s="11">
        <f>[9]Forecasts!$B184</f>
        <v>467.5</v>
      </c>
      <c r="W192" s="11" t="e">
        <f>#REF!*100</f>
        <v>#REF!</v>
      </c>
      <c r="X192" s="11"/>
      <c r="AA192" s="14">
        <f t="shared" si="30"/>
        <v>267.50034252934375</v>
      </c>
      <c r="AB192" s="14">
        <v>16</v>
      </c>
      <c r="AC192" s="14">
        <v>100</v>
      </c>
      <c r="AJ192" s="14">
        <f t="shared" si="28"/>
        <v>4.3863486014351576</v>
      </c>
      <c r="AK192" s="14">
        <f t="shared" si="32"/>
        <v>7.24751017170267</v>
      </c>
      <c r="AL192" s="11">
        <f t="shared" si="29"/>
        <v>-5.6809570997615424</v>
      </c>
      <c r="AM192" s="13">
        <f>'[7]D6 Gallon Forecast'!$W32/1000000</f>
        <v>2.0309999999999998E-3</v>
      </c>
    </row>
    <row r="193" spans="1:39" x14ac:dyDescent="0.25">
      <c r="A193" s="10">
        <v>49400</v>
      </c>
      <c r="C193" s="15">
        <f>[6]Biodiesel!$AA6</f>
        <v>94962303.798143849</v>
      </c>
      <c r="D193" s="15">
        <f>AVERAGE([6]Biodiesel!$V6:$Z6)</f>
        <v>107119928.91295561</v>
      </c>
      <c r="E193" s="15">
        <f t="shared" si="31"/>
        <v>-12157625.114811763</v>
      </c>
      <c r="F193" s="15">
        <f>[6]Biodiesel!$AA38</f>
        <v>110801292.65457943</v>
      </c>
      <c r="G193" s="15">
        <f>AVERAGE([6]Biodiesel!$V38:$Z38)</f>
        <v>126621683.94244194</v>
      </c>
      <c r="H193" s="15">
        <f t="shared" si="33"/>
        <v>-15820391.287862509</v>
      </c>
      <c r="K193" s="15">
        <f>'[6]Renewable Diesel'!$AA52</f>
        <v>279817552.28298104</v>
      </c>
      <c r="L193" s="15">
        <f>AVERAGE('[6]Renewable Diesel'!$V52:$Z52)</f>
        <v>251721405.46016079</v>
      </c>
      <c r="M193" s="15">
        <f t="shared" si="26"/>
        <v>28096146.822820246</v>
      </c>
      <c r="N193" s="15">
        <f>'[6]Renewable Diesel'!$AA6</f>
        <v>293818943.52484185</v>
      </c>
      <c r="O193" s="15">
        <f>AVERAGE('[6]Renewable Diesel'!$V6:$Z6)</f>
        <v>267589648.867603</v>
      </c>
      <c r="P193" s="15">
        <f t="shared" si="27"/>
        <v>26229294.657238841</v>
      </c>
      <c r="S193" s="11">
        <f>'[8]Soy Complex'!$BX600</f>
        <v>67.75</v>
      </c>
      <c r="T193" s="11"/>
      <c r="U193" s="11"/>
      <c r="V193" s="11">
        <f>[9]Forecasts!$B185</f>
        <v>455</v>
      </c>
      <c r="W193" s="11" t="e">
        <f>#REF!*100</f>
        <v>#REF!</v>
      </c>
      <c r="X193" s="11"/>
      <c r="AA193" s="14">
        <f t="shared" si="30"/>
        <v>273.85026939774144</v>
      </c>
      <c r="AB193" s="14">
        <v>16</v>
      </c>
      <c r="AC193" s="14">
        <v>100</v>
      </c>
      <c r="AJ193" s="14">
        <f t="shared" si="28"/>
        <v>4.5467788863283323</v>
      </c>
      <c r="AK193" s="14">
        <f t="shared" si="32"/>
        <v>7.2425628653956435</v>
      </c>
      <c r="AL193" s="11">
        <f t="shared" si="29"/>
        <v>-5.6187132631355245</v>
      </c>
      <c r="AM193" s="13">
        <f>'[7]D6 Gallon Forecast'!$W33/1000000</f>
        <v>1259.8789093116407</v>
      </c>
    </row>
    <row r="194" spans="1:39" x14ac:dyDescent="0.25">
      <c r="A194" s="10">
        <v>49430</v>
      </c>
      <c r="C194" s="15">
        <f>[6]Biodiesel!$AA7</f>
        <v>102018524.46225077</v>
      </c>
      <c r="D194" s="15">
        <f>AVERAGE([6]Biodiesel!$V7:$Z7)</f>
        <v>115079642.20195694</v>
      </c>
      <c r="E194" s="15">
        <f t="shared" si="31"/>
        <v>-13061117.739706174</v>
      </c>
      <c r="F194" s="15">
        <f>[6]Biodiesel!$AA39</f>
        <v>114573326.2937258</v>
      </c>
      <c r="G194" s="15">
        <f>AVERAGE([6]Biodiesel!$V39:$Z39)</f>
        <v>130537741.95696056</v>
      </c>
      <c r="H194" s="15">
        <f t="shared" si="33"/>
        <v>-15964415.663234755</v>
      </c>
      <c r="K194" s="15">
        <f>'[6]Renewable Diesel'!$AA53</f>
        <v>312453811.43795061</v>
      </c>
      <c r="L194" s="15">
        <f>AVERAGE('[6]Renewable Diesel'!$V53:$Z53)</f>
        <v>281141284.98675334</v>
      </c>
      <c r="M194" s="15">
        <f t="shared" si="26"/>
        <v>31312526.451197267</v>
      </c>
      <c r="N194" s="15">
        <f>'[6]Renewable Diesel'!$AA7</f>
        <v>327742590.56631738</v>
      </c>
      <c r="O194" s="15">
        <f>AVERAGE('[6]Renewable Diesel'!$V7:$Z7)</f>
        <v>298468567.99890232</v>
      </c>
      <c r="P194" s="15">
        <f t="shared" si="27"/>
        <v>29274022.567415059</v>
      </c>
      <c r="S194" s="11">
        <f>'[8]Soy Complex'!$BX601</f>
        <v>72.25</v>
      </c>
      <c r="T194" s="11"/>
      <c r="U194" s="11"/>
      <c r="V194" s="11">
        <f>[9]Forecasts!$B186</f>
        <v>442.5</v>
      </c>
      <c r="W194" s="11" t="e">
        <f>#REF!*100</f>
        <v>#REF!</v>
      </c>
      <c r="X194" s="11"/>
      <c r="AA194" s="14">
        <f t="shared" si="30"/>
        <v>271.1779117109798</v>
      </c>
      <c r="AB194" s="14">
        <v>16</v>
      </c>
      <c r="AC194" s="14">
        <v>100</v>
      </c>
      <c r="AJ194" s="14">
        <f t="shared" si="28"/>
        <v>4.614678771146048</v>
      </c>
      <c r="AK194" s="14">
        <f t="shared" si="32"/>
        <v>7.3565296807531571</v>
      </c>
      <c r="AL194" s="11">
        <f t="shared" si="29"/>
        <v>-5.7084301196295684</v>
      </c>
      <c r="AM194" s="13">
        <f>'[7]D6 Gallon Forecast'!$W34/1000000</f>
        <v>1165.8543396434848</v>
      </c>
    </row>
    <row r="195" spans="1:39" x14ac:dyDescent="0.25">
      <c r="A195" s="10">
        <v>49461</v>
      </c>
      <c r="C195" s="15">
        <f>[6]Biodiesel!$AA8</f>
        <v>99362747.238838986</v>
      </c>
      <c r="D195" s="15">
        <f>AVERAGE([6]Biodiesel!$V8:$Z8)</f>
        <v>112079111.73521677</v>
      </c>
      <c r="E195" s="15">
        <f t="shared" si="31"/>
        <v>-12716364.496377781</v>
      </c>
      <c r="F195" s="15">
        <f>[6]Biodiesel!$AA40</f>
        <v>113266538.93794718</v>
      </c>
      <c r="G195" s="15">
        <f>AVERAGE([6]Biodiesel!$V40:$Z40)</f>
        <v>129198155.26474376</v>
      </c>
      <c r="H195" s="15">
        <f t="shared" si="33"/>
        <v>-15931616.326796576</v>
      </c>
      <c r="K195" s="15">
        <f>'[6]Renewable Diesel'!$AA54</f>
        <v>318607065.92224741</v>
      </c>
      <c r="L195" s="15">
        <f>AVERAGE('[6]Renewable Diesel'!$V54:$Z54)</f>
        <v>282587131.8196227</v>
      </c>
      <c r="M195" s="15">
        <f t="shared" ref="M195:M258" si="34">K195-L195</f>
        <v>36019934.102624714</v>
      </c>
      <c r="N195" s="15">
        <f>'[6]Renewable Diesel'!$AA8</f>
        <v>336474623.63545471</v>
      </c>
      <c r="O195" s="15">
        <f>AVERAGE('[6]Renewable Diesel'!$V8:$Z8)</f>
        <v>302837030.56125766</v>
      </c>
      <c r="P195" s="15">
        <f t="shared" ref="P195:P258" si="35">N195-O195</f>
        <v>33637593.074197054</v>
      </c>
      <c r="S195" s="11">
        <f>'[8]Soy Complex'!$BX602</f>
        <v>69.25</v>
      </c>
      <c r="T195" s="11"/>
      <c r="U195" s="11"/>
      <c r="V195" s="11">
        <f>[9]Forecasts!$B187</f>
        <v>425</v>
      </c>
      <c r="W195" s="11" t="e">
        <f>#REF!*100</f>
        <v>#REF!</v>
      </c>
      <c r="X195" s="11"/>
      <c r="AA195" s="14">
        <f t="shared" si="30"/>
        <v>267.34800587717723</v>
      </c>
      <c r="AB195" s="14">
        <v>16</v>
      </c>
      <c r="AC195" s="14">
        <v>100</v>
      </c>
      <c r="AJ195" s="14">
        <f t="shared" si="28"/>
        <v>4.4160420184483709</v>
      </c>
      <c r="AK195" s="14">
        <f t="shared" si="32"/>
        <v>7.471667012157944</v>
      </c>
      <c r="AL195" s="11">
        <f t="shared" si="29"/>
        <v>-5.8945091484263834</v>
      </c>
      <c r="AM195" s="13">
        <f>'[7]D6 Gallon Forecast'!$W35/1000000</f>
        <v>1264.2505258368958</v>
      </c>
    </row>
    <row r="196" spans="1:39" x14ac:dyDescent="0.25">
      <c r="A196" s="10">
        <v>49491</v>
      </c>
      <c r="C196" s="15">
        <f>[6]Biodiesel!$AA9</f>
        <v>98799704.262355417</v>
      </c>
      <c r="D196" s="15">
        <f>AVERAGE([6]Biodiesel!$V9:$Z9)</f>
        <v>111443314.07926992</v>
      </c>
      <c r="E196" s="15">
        <f t="shared" si="31"/>
        <v>-12643609.816914499</v>
      </c>
      <c r="F196" s="15">
        <f>[6]Biodiesel!$AA41</f>
        <v>108497987.72947051</v>
      </c>
      <c r="G196" s="15">
        <f>AVERAGE([6]Biodiesel!$V41:$Z41)</f>
        <v>123384325.59815535</v>
      </c>
      <c r="H196" s="15">
        <f t="shared" si="33"/>
        <v>-14886337.868684843</v>
      </c>
      <c r="K196" s="15">
        <f>'[6]Renewable Diesel'!$AA55</f>
        <v>307085023.26031268</v>
      </c>
      <c r="L196" s="15">
        <f>AVERAGE('[6]Renewable Diesel'!$V55:$Z55)</f>
        <v>274641973.43531561</v>
      </c>
      <c r="M196" s="15">
        <f t="shared" si="34"/>
        <v>32443049.824997067</v>
      </c>
      <c r="N196" s="15">
        <f>'[6]Renewable Diesel'!$AA9</f>
        <v>317904478.80426711</v>
      </c>
      <c r="O196" s="15">
        <f>AVERAGE('[6]Renewable Diesel'!$V9:$Z9)</f>
        <v>286904023.05179727</v>
      </c>
      <c r="P196" s="15">
        <f t="shared" si="35"/>
        <v>31000455.752469838</v>
      </c>
      <c r="S196" s="11">
        <f>'[8]Soy Complex'!$BX603</f>
        <v>68.25</v>
      </c>
      <c r="T196" s="11"/>
      <c r="U196" s="11"/>
      <c r="V196" s="11">
        <f>[9]Forecasts!$B188</f>
        <v>410</v>
      </c>
      <c r="W196" s="11" t="e">
        <f>#REF!*100</f>
        <v>#REF!</v>
      </c>
      <c r="X196" s="11"/>
      <c r="AA196" s="14">
        <f t="shared" si="30"/>
        <v>269.66262130445722</v>
      </c>
      <c r="AB196" s="14">
        <v>16</v>
      </c>
      <c r="AC196" s="14">
        <v>100</v>
      </c>
      <c r="AJ196" s="14">
        <f t="shared" si="28"/>
        <v>3.653168345878508</v>
      </c>
      <c r="AK196" s="14">
        <f t="shared" si="32"/>
        <v>7.4043846119338976</v>
      </c>
      <c r="AL196" s="11">
        <f t="shared" si="29"/>
        <v>-6.0996816312630013</v>
      </c>
      <c r="AM196" s="13">
        <f>'[7]D6 Gallon Forecast'!$W36/1000000</f>
        <v>1179.0432111078667</v>
      </c>
    </row>
    <row r="197" spans="1:39" x14ac:dyDescent="0.25">
      <c r="A197" s="10">
        <v>49522</v>
      </c>
      <c r="C197" s="15">
        <f>[6]Biodiesel!$AA10</f>
        <v>101993241.96470319</v>
      </c>
      <c r="D197" s="15">
        <f>AVERAGE([6]Biodiesel!$V10:$Z10)</f>
        <v>115045385.34120914</v>
      </c>
      <c r="E197" s="15">
        <f t="shared" si="31"/>
        <v>-13052143.376505956</v>
      </c>
      <c r="F197" s="15">
        <f>[6]Biodiesel!$AA42</f>
        <v>113681362.30237131</v>
      </c>
      <c r="G197" s="15">
        <f>AVERAGE([6]Biodiesel!$V42:$Z42)</f>
        <v>129436383.50696301</v>
      </c>
      <c r="H197" s="15">
        <f t="shared" si="33"/>
        <v>-15755021.204591706</v>
      </c>
      <c r="K197" s="15">
        <f>'[6]Renewable Diesel'!$AA56</f>
        <v>324279962.95524722</v>
      </c>
      <c r="L197" s="15">
        <f>AVERAGE('[6]Renewable Diesel'!$V56:$Z56)</f>
        <v>284072332.48022145</v>
      </c>
      <c r="M197" s="15">
        <f t="shared" si="34"/>
        <v>40207630.475025773</v>
      </c>
      <c r="N197" s="15">
        <f>'[6]Renewable Diesel'!$AA10</f>
        <v>332211574.18184727</v>
      </c>
      <c r="O197" s="15">
        <f>AVERAGE('[6]Renewable Diesel'!$V10:$Z10)</f>
        <v>293061491.87036818</v>
      </c>
      <c r="P197" s="15">
        <f t="shared" si="35"/>
        <v>39150082.311479092</v>
      </c>
      <c r="S197" s="11">
        <f>'[8]Soy Complex'!$BX604</f>
        <v>71</v>
      </c>
      <c r="T197" s="11"/>
      <c r="U197" s="11"/>
      <c r="V197" s="11">
        <f>[9]Forecasts!$B189</f>
        <v>392.5</v>
      </c>
      <c r="W197" s="11" t="e">
        <f>#REF!*100</f>
        <v>#REF!</v>
      </c>
      <c r="X197" s="11"/>
      <c r="AA197" s="14">
        <f t="shared" si="30"/>
        <v>262.50969407361481</v>
      </c>
      <c r="AB197" s="14">
        <v>16</v>
      </c>
      <c r="AC197" s="14">
        <v>100</v>
      </c>
      <c r="AJ197" s="14">
        <f t="shared" si="28"/>
        <v>3.6034527188041166</v>
      </c>
      <c r="AK197" s="14">
        <f t="shared" si="32"/>
        <v>7.3411744010298303</v>
      </c>
      <c r="AL197" s="11">
        <f t="shared" si="29"/>
        <v>-6.0542270014569315</v>
      </c>
      <c r="AM197" s="13">
        <f>'[7]D6 Gallon Forecast'!$W37/1000000</f>
        <v>1291.208167463478</v>
      </c>
    </row>
    <row r="198" spans="1:39" x14ac:dyDescent="0.25">
      <c r="A198" s="10">
        <v>49553</v>
      </c>
      <c r="C198" s="15">
        <f>[6]Biodiesel!$AA11</f>
        <v>96197266.814978272</v>
      </c>
      <c r="D198" s="15">
        <f>AVERAGE([6]Biodiesel!$V11:$Z11)</f>
        <v>108506363.00518708</v>
      </c>
      <c r="E198" s="15">
        <f t="shared" si="31"/>
        <v>-12309096.190208808</v>
      </c>
      <c r="F198" s="15">
        <f>[6]Biodiesel!$AA43</f>
        <v>108350189.90727501</v>
      </c>
      <c r="G198" s="15">
        <f>AVERAGE([6]Biodiesel!$V43:$Z43)</f>
        <v>123469649.56257744</v>
      </c>
      <c r="H198" s="15">
        <f t="shared" si="33"/>
        <v>-15119459.655302435</v>
      </c>
      <c r="K198" s="15">
        <f>'[6]Renewable Diesel'!$AA57</f>
        <v>325350700.82606202</v>
      </c>
      <c r="L198" s="15">
        <f>AVERAGE('[6]Renewable Diesel'!$V57:$Z57)</f>
        <v>287170323.95507544</v>
      </c>
      <c r="M198" s="15">
        <f t="shared" si="34"/>
        <v>38180376.870986581</v>
      </c>
      <c r="N198" s="15">
        <f>'[6]Renewable Diesel'!$AA11</f>
        <v>334482600.81363386</v>
      </c>
      <c r="O198" s="15">
        <f>AVERAGE('[6]Renewable Diesel'!$V11:$Z11)</f>
        <v>297519810.60765684</v>
      </c>
      <c r="P198" s="15">
        <f t="shared" si="35"/>
        <v>36962790.205977023</v>
      </c>
      <c r="S198" s="11">
        <f>'[8]Soy Complex'!$BX605</f>
        <v>72.5</v>
      </c>
      <c r="T198" s="11"/>
      <c r="U198" s="11"/>
      <c r="V198" s="11">
        <f>[9]Forecasts!$B190</f>
        <v>375</v>
      </c>
      <c r="W198" s="11" t="e">
        <f>#REF!*100</f>
        <v>#REF!</v>
      </c>
      <c r="X198" s="11"/>
      <c r="AA198" s="14">
        <f t="shared" si="30"/>
        <v>264.42948035461393</v>
      </c>
      <c r="AB198" s="14">
        <v>16</v>
      </c>
      <c r="AC198" s="14">
        <v>100</v>
      </c>
      <c r="AJ198" s="14">
        <f t="shared" si="28"/>
        <v>3.7645487298484093</v>
      </c>
      <c r="AK198" s="14">
        <f t="shared" si="32"/>
        <v>7.1259088011924732</v>
      </c>
      <c r="AL198" s="11">
        <f t="shared" si="29"/>
        <v>-5.7814271119608982</v>
      </c>
      <c r="AM198" s="13">
        <f>'[7]D6 Gallon Forecast'!$W38/1000000</f>
        <v>1306.7397574846361</v>
      </c>
    </row>
    <row r="199" spans="1:39" x14ac:dyDescent="0.25">
      <c r="A199" s="10">
        <v>49583</v>
      </c>
      <c r="C199" s="15">
        <f>[6]Biodiesel!$AA12</f>
        <v>98727578.623314768</v>
      </c>
      <c r="D199" s="15">
        <f>AVERAGE([6]Biodiesel!$V12:$Z12)</f>
        <v>111361102.27577071</v>
      </c>
      <c r="E199" s="15">
        <f t="shared" si="31"/>
        <v>-12633523.652455941</v>
      </c>
      <c r="F199" s="15">
        <f>[6]Biodiesel!$AA44</f>
        <v>112327471.38818921</v>
      </c>
      <c r="G199" s="15">
        <f>AVERAGE([6]Biodiesel!$V44:$Z44)</f>
        <v>128105970.24252236</v>
      </c>
      <c r="H199" s="15">
        <f t="shared" si="33"/>
        <v>-15778498.854333147</v>
      </c>
      <c r="K199" s="15">
        <f>'[6]Renewable Diesel'!$AA58</f>
        <v>346541137.21378374</v>
      </c>
      <c r="L199" s="15">
        <f>AVERAGE('[6]Renewable Diesel'!$V58:$Z58)</f>
        <v>310845875.30445862</v>
      </c>
      <c r="M199" s="15">
        <f t="shared" si="34"/>
        <v>35695261.909325123</v>
      </c>
      <c r="N199" s="15">
        <f>'[6]Renewable Diesel'!$AA12</f>
        <v>359498883.78064191</v>
      </c>
      <c r="O199" s="15">
        <f>AVERAGE('[6]Renewable Diesel'!$V12:$Z12)</f>
        <v>325531321.41356456</v>
      </c>
      <c r="P199" s="15">
        <f t="shared" si="35"/>
        <v>33967562.367077351</v>
      </c>
      <c r="S199" s="11">
        <f>'[8]Soy Complex'!$BY594</f>
        <v>67.75</v>
      </c>
      <c r="T199" s="11"/>
      <c r="U199" s="11"/>
      <c r="V199" s="11">
        <f>[9]Forecasts!$B191</f>
        <v>357.5</v>
      </c>
      <c r="W199" s="11" t="e">
        <f>#REF!*100</f>
        <v>#REF!</v>
      </c>
      <c r="X199" s="11"/>
      <c r="AA199" s="14">
        <f t="shared" si="30"/>
        <v>267.05839182881618</v>
      </c>
      <c r="AB199" s="14">
        <v>16</v>
      </c>
      <c r="AC199" s="14">
        <v>100</v>
      </c>
      <c r="AJ199" s="14">
        <f t="shared" ref="AJ199:AJ261" si="36">AJ198+AVERAGE(AJ187-AJ186,AJ163-AJ162,AJ151-AJ150,AJ139-AJ138)</f>
        <v>3.8633414600089928</v>
      </c>
      <c r="AK199" s="14">
        <f t="shared" si="32"/>
        <v>7.1086979060831119</v>
      </c>
      <c r="AL199" s="11">
        <f t="shared" si="29"/>
        <v>-5.7289330989370431</v>
      </c>
      <c r="AM199" s="13">
        <f>'[7]D6 Gallon Forecast'!$W39/1000000</f>
        <v>1336.9626351235236</v>
      </c>
    </row>
    <row r="200" spans="1:39" x14ac:dyDescent="0.25">
      <c r="A200" s="10">
        <v>49614</v>
      </c>
      <c r="C200" s="15">
        <f>[6]Biodiesel!$AA13</f>
        <v>93882010.830117017</v>
      </c>
      <c r="D200" s="15">
        <f>AVERAGE([6]Biodiesel!$V13:$Z13)</f>
        <v>105893515.71686041</v>
      </c>
      <c r="E200" s="15">
        <f t="shared" si="31"/>
        <v>-12011504.886743397</v>
      </c>
      <c r="F200" s="15">
        <f>[6]Biodiesel!$AA45</f>
        <v>106417065.00162978</v>
      </c>
      <c r="G200" s="15">
        <f>AVERAGE([6]Biodiesel!$V45:$Z45)</f>
        <v>121327301.16553552</v>
      </c>
      <c r="H200" s="15">
        <f t="shared" si="33"/>
        <v>-14910236.16390574</v>
      </c>
      <c r="K200" s="15">
        <f>'[6]Renewable Diesel'!$AA59</f>
        <v>414835252.88762152</v>
      </c>
      <c r="L200" s="15">
        <f>AVERAGE('[6]Renewable Diesel'!$V59:$Z59)</f>
        <v>375004874.68006289</v>
      </c>
      <c r="M200" s="15">
        <f t="shared" si="34"/>
        <v>39830378.207558632</v>
      </c>
      <c r="N200" s="15">
        <f>'[6]Renewable Diesel'!$AA13</f>
        <v>425090531.66485065</v>
      </c>
      <c r="O200" s="15">
        <f>AVERAGE('[6]Renewable Diesel'!$V13:$Z13)</f>
        <v>386627523.96092254</v>
      </c>
      <c r="P200" s="15">
        <f t="shared" si="35"/>
        <v>38463007.703928113</v>
      </c>
      <c r="S200" s="11">
        <f>'[8]Soy Complex'!$BY595</f>
        <v>70.5</v>
      </c>
      <c r="T200" s="11"/>
      <c r="U200" s="11"/>
      <c r="V200" s="11">
        <f>[9]Forecasts!$B192</f>
        <v>337.5</v>
      </c>
      <c r="W200" s="11" t="e">
        <f>#REF!*100</f>
        <v>#REF!</v>
      </c>
      <c r="X200" s="11"/>
      <c r="AA200" s="14">
        <f t="shared" si="30"/>
        <v>263.11273945666227</v>
      </c>
      <c r="AB200" s="14">
        <v>16</v>
      </c>
      <c r="AC200" s="14">
        <v>100</v>
      </c>
      <c r="AJ200" s="14">
        <f t="shared" si="36"/>
        <v>3.9111888041029106</v>
      </c>
      <c r="AK200" s="14">
        <f t="shared" si="32"/>
        <v>7.2262275899893993</v>
      </c>
      <c r="AL200" s="11">
        <f t="shared" si="29"/>
        <v>-5.8293744456669314</v>
      </c>
      <c r="AM200" s="13">
        <f>'[7]D6 Gallon Forecast'!$W40/1000000</f>
        <v>1347.8620735586876</v>
      </c>
    </row>
    <row r="201" spans="1:39" x14ac:dyDescent="0.25">
      <c r="A201" s="10">
        <v>49644</v>
      </c>
      <c r="C201" s="15">
        <f>[6]Biodiesel!$AA14</f>
        <v>88019172.703237325</v>
      </c>
      <c r="D201" s="15">
        <f>AVERAGE([6]Biodiesel!$V14:$Z14)</f>
        <v>106049742.67914484</v>
      </c>
      <c r="E201" s="15">
        <f t="shared" si="31"/>
        <v>-18030569.975907519</v>
      </c>
      <c r="F201" s="15">
        <f>[6]Biodiesel!$AA46</f>
        <v>106910501.49534675</v>
      </c>
      <c r="G201" s="15">
        <f>AVERAGE([6]Biodiesel!$V46:$Z46)</f>
        <v>129309691.25442961</v>
      </c>
      <c r="H201" s="15">
        <f t="shared" si="33"/>
        <v>-22399189.759082854</v>
      </c>
      <c r="K201" s="15">
        <f>'[6]Renewable Diesel'!$AA60</f>
        <v>467622840.45982409</v>
      </c>
      <c r="L201" s="15">
        <f>AVERAGE('[6]Renewable Diesel'!$V60:$Z60)</f>
        <v>424184255.13042152</v>
      </c>
      <c r="M201" s="15">
        <f t="shared" si="34"/>
        <v>43438585.329402566</v>
      </c>
      <c r="N201" s="15">
        <f>'[6]Renewable Diesel'!$AA14</f>
        <v>478650859.08432674</v>
      </c>
      <c r="O201" s="15">
        <f>AVERAGE('[6]Renewable Diesel'!$V14:$Z14)</f>
        <v>436682676.23819125</v>
      </c>
      <c r="P201" s="15">
        <f t="shared" si="35"/>
        <v>41968182.846135497</v>
      </c>
      <c r="S201" s="11">
        <f>'[8]Soy Complex'!$BY596</f>
        <v>69.25</v>
      </c>
      <c r="T201" s="11"/>
      <c r="U201" s="11"/>
      <c r="V201" s="11">
        <f>[9]Forecasts!$B193</f>
        <v>317.5</v>
      </c>
      <c r="W201" s="11" t="e">
        <f>#REF!*100</f>
        <v>#REF!</v>
      </c>
      <c r="X201" s="11"/>
      <c r="AA201" s="14">
        <f t="shared" si="30"/>
        <v>260.03624723434683</v>
      </c>
      <c r="AB201" s="14">
        <v>16</v>
      </c>
      <c r="AC201" s="14">
        <v>100</v>
      </c>
      <c r="AJ201" s="14">
        <f t="shared" si="36"/>
        <v>3.9572923247464402</v>
      </c>
      <c r="AK201" s="14">
        <f t="shared" si="32"/>
        <v>7.1285424530206791</v>
      </c>
      <c r="AL201" s="11">
        <f t="shared" ref="AL201:AL261" si="37">AJ201/2.8-AK201</f>
        <v>-5.7152237656112366</v>
      </c>
      <c r="AM201" s="13">
        <f>'[7]D6 Gallon Forecast'!$W41/1000000</f>
        <v>1231.0363154351096</v>
      </c>
    </row>
    <row r="202" spans="1:39" x14ac:dyDescent="0.25">
      <c r="A202" s="10">
        <v>49675</v>
      </c>
      <c r="C202" s="15">
        <f>[6]Biodiesel!$AB3</f>
        <v>78674146.534280658</v>
      </c>
      <c r="D202" s="15">
        <f>AVERAGE([6]Biodiesel!$W3:$AA3)</f>
        <v>95221117.541327238</v>
      </c>
      <c r="E202" s="15">
        <f t="shared" si="31"/>
        <v>-16546971.00704658</v>
      </c>
      <c r="F202" s="15">
        <f>[6]Biodiesel!$AB35</f>
        <v>87781430.253053531</v>
      </c>
      <c r="G202" s="15">
        <f>AVERAGE([6]Biodiesel!$W35:$AA35)</f>
        <v>108041370.7762152</v>
      </c>
      <c r="H202" s="15">
        <f t="shared" si="33"/>
        <v>-20259940.523161665</v>
      </c>
      <c r="K202" s="15">
        <f>'[6]Renewable Diesel'!$AB49</f>
        <v>317717852.79863548</v>
      </c>
      <c r="L202" s="15">
        <f>AVERAGE('[6]Renewable Diesel'!$W49:$AA49)</f>
        <v>235471384.88287774</v>
      </c>
      <c r="M202" s="15">
        <f t="shared" si="34"/>
        <v>82246467.915757746</v>
      </c>
      <c r="N202" s="15">
        <f>'[6]Renewable Diesel'!$AB3</f>
        <v>323585855.33229387</v>
      </c>
      <c r="O202" s="15">
        <f>AVERAGE('[6]Renewable Diesel'!$W3:$AA3)</f>
        <v>248322419.25369659</v>
      </c>
      <c r="P202" s="15">
        <f t="shared" si="35"/>
        <v>75263436.078597277</v>
      </c>
      <c r="S202" s="11">
        <f>'[8]Soy Complex'!$BY597</f>
        <v>74.25</v>
      </c>
      <c r="T202" s="11"/>
      <c r="U202" s="11"/>
      <c r="V202" s="11">
        <f>[9]Forecasts!$B194</f>
        <v>307.5</v>
      </c>
      <c r="W202" s="11" t="e">
        <f>#REF!*100</f>
        <v>#REF!</v>
      </c>
      <c r="X202" s="11"/>
      <c r="AA202" s="14">
        <f t="shared" si="30"/>
        <v>230.81300347221514</v>
      </c>
      <c r="AB202" s="14">
        <v>16</v>
      </c>
      <c r="AC202" s="14">
        <v>100</v>
      </c>
      <c r="AJ202" s="14">
        <f t="shared" si="36"/>
        <v>4.0684050447260454</v>
      </c>
      <c r="AK202" s="14">
        <f t="shared" si="32"/>
        <v>7.3329184820176243</v>
      </c>
      <c r="AL202" s="11">
        <f t="shared" si="37"/>
        <v>-5.8799166803297513</v>
      </c>
      <c r="AM202" s="13">
        <f>'[7]D6 Gallon Forecast'!$X30/1000000</f>
        <v>1.0686274356137335E-7</v>
      </c>
    </row>
    <row r="203" spans="1:39" x14ac:dyDescent="0.25">
      <c r="A203" s="10">
        <v>49706</v>
      </c>
      <c r="C203" s="15">
        <f>[6]Biodiesel!$AB4</f>
        <v>76059451.571007878</v>
      </c>
      <c r="D203" s="15">
        <f>AVERAGE([6]Biodiesel!$W4:$AA4)</f>
        <v>92056492.471971974</v>
      </c>
      <c r="E203" s="15">
        <f t="shared" si="31"/>
        <v>-15997040.900964096</v>
      </c>
      <c r="F203" s="15">
        <f>[6]Biodiesel!$AB36</f>
        <v>88407758.368231952</v>
      </c>
      <c r="G203" s="15">
        <f>AVERAGE([6]Biodiesel!$W36:$AA36)</f>
        <v>109439108.96344893</v>
      </c>
      <c r="H203" s="15">
        <f t="shared" si="33"/>
        <v>-21031350.595216975</v>
      </c>
      <c r="K203" s="15">
        <f>'[6]Renewable Diesel'!$AB50</f>
        <v>337014820.98147357</v>
      </c>
      <c r="L203" s="15">
        <f>AVERAGE('[6]Renewable Diesel'!$W50:$AA50)</f>
        <v>254970414.66236407</v>
      </c>
      <c r="M203" s="15">
        <f t="shared" si="34"/>
        <v>82044406.319109499</v>
      </c>
      <c r="N203" s="15">
        <f>'[6]Renewable Diesel'!$AB4</f>
        <v>344963286.20156896</v>
      </c>
      <c r="O203" s="15">
        <f>AVERAGE('[6]Renewable Diesel'!$W4:$AA4)</f>
        <v>272377700.89866042</v>
      </c>
      <c r="P203" s="15">
        <f t="shared" si="35"/>
        <v>72585585.30290854</v>
      </c>
      <c r="S203" s="11">
        <f>'[8]Soy Complex'!$BY598</f>
        <v>72</v>
      </c>
      <c r="T203" s="11"/>
      <c r="U203" s="11"/>
      <c r="V203" s="11">
        <f>[9]Forecasts!$B195</f>
        <v>297.5</v>
      </c>
      <c r="W203" s="11" t="e">
        <f>#REF!*100</f>
        <v>#REF!</v>
      </c>
      <c r="X203" s="11"/>
      <c r="AA203" s="14">
        <f t="shared" si="30"/>
        <v>233.16335309803716</v>
      </c>
      <c r="AB203" s="14">
        <v>16</v>
      </c>
      <c r="AC203" s="14">
        <v>100</v>
      </c>
      <c r="AJ203" s="14">
        <f t="shared" si="36"/>
        <v>4.1244433332500225</v>
      </c>
      <c r="AK203" s="14">
        <f t="shared" si="32"/>
        <v>7.4266011281487057</v>
      </c>
      <c r="AL203" s="11">
        <f t="shared" si="37"/>
        <v>-5.9535856519879831</v>
      </c>
      <c r="AM203" s="13">
        <f>'[7]D6 Gallon Forecast'!$X31/1000000</f>
        <v>1716.4420101575222</v>
      </c>
    </row>
    <row r="204" spans="1:39" x14ac:dyDescent="0.25">
      <c r="A204" s="10">
        <v>49735</v>
      </c>
      <c r="C204" s="15">
        <f>[6]Biodiesel!$AB5</f>
        <v>86962990.933331341</v>
      </c>
      <c r="D204" s="15">
        <f>AVERAGE([6]Biodiesel!$W5:$AA5)</f>
        <v>105252864.1304621</v>
      </c>
      <c r="E204" s="15">
        <f t="shared" si="31"/>
        <v>-18289873.197130755</v>
      </c>
      <c r="F204" s="15">
        <f>[6]Biodiesel!$AB37</f>
        <v>97436240.871526554</v>
      </c>
      <c r="G204" s="15">
        <f>AVERAGE([6]Biodiesel!$W37:$AA37)</f>
        <v>119995144.44345999</v>
      </c>
      <c r="H204" s="15">
        <f t="shared" si="33"/>
        <v>-22558903.571933433</v>
      </c>
      <c r="K204" s="15">
        <f>'[6]Renewable Diesel'!$AB51</f>
        <v>374637791.34959751</v>
      </c>
      <c r="L204" s="15">
        <f>AVERAGE('[6]Renewable Diesel'!$W51:$AA51)</f>
        <v>275463068.87103075</v>
      </c>
      <c r="M204" s="15">
        <f t="shared" si="34"/>
        <v>99174722.478566766</v>
      </c>
      <c r="N204" s="15">
        <f>'[6]Renewable Diesel'!$AB5</f>
        <v>381834556.34704715</v>
      </c>
      <c r="O204" s="15">
        <f>AVERAGE('[6]Renewable Diesel'!$W5:$AA5)</f>
        <v>291219265.92393714</v>
      </c>
      <c r="P204" s="15">
        <f t="shared" si="35"/>
        <v>90615290.423110008</v>
      </c>
      <c r="S204" s="11">
        <f>'[8]Soy Complex'!$BY599</f>
        <v>75.5</v>
      </c>
      <c r="T204" s="11"/>
      <c r="U204" s="11"/>
      <c r="V204" s="11">
        <f>[9]Forecasts!$B196</f>
        <v>285</v>
      </c>
      <c r="W204" s="11" t="e">
        <f>#REF!*100</f>
        <v>#REF!</v>
      </c>
      <c r="X204" s="11"/>
      <c r="AA204" s="14">
        <f t="shared" si="30"/>
        <v>217.33868091403633</v>
      </c>
      <c r="AB204" s="14">
        <v>16</v>
      </c>
      <c r="AC204" s="14">
        <v>100</v>
      </c>
      <c r="AJ204" s="14">
        <f t="shared" si="36"/>
        <v>4.2821085201989817</v>
      </c>
      <c r="AK204" s="14">
        <f t="shared" si="32"/>
        <v>7.6347604340542352</v>
      </c>
      <c r="AL204" s="11">
        <f t="shared" si="37"/>
        <v>-6.1054359625545986</v>
      </c>
      <c r="AM204" s="13">
        <f>'[7]D6 Gallon Forecast'!$X32/1000000</f>
        <v>2.032E-3</v>
      </c>
    </row>
    <row r="205" spans="1:39" x14ac:dyDescent="0.25">
      <c r="A205" s="10">
        <v>49766</v>
      </c>
      <c r="C205" s="15">
        <f>[6]Biodiesel!$AB6</f>
        <v>86041081.116644874</v>
      </c>
      <c r="D205" s="15">
        <f>AVERAGE([6]Biodiesel!$W6:$AA6)</f>
        <v>104091303.44446015</v>
      </c>
      <c r="E205" s="15">
        <f t="shared" si="31"/>
        <v>-18050222.327815279</v>
      </c>
      <c r="F205" s="15">
        <f>[6]Biodiesel!$AB38</f>
        <v>98929036.90144527</v>
      </c>
      <c r="G205" s="15">
        <f>AVERAGE([6]Biodiesel!$W38:$AA38)</f>
        <v>122233579.66460225</v>
      </c>
      <c r="H205" s="15">
        <f t="shared" si="33"/>
        <v>-23304542.76315698</v>
      </c>
      <c r="K205" s="15">
        <f>'[6]Renewable Diesel'!$AB52</f>
        <v>346575054.936571</v>
      </c>
      <c r="L205" s="15">
        <f>AVERAGE('[6]Renewable Diesel'!$W52:$AA52)</f>
        <v>261424134.80061904</v>
      </c>
      <c r="M205" s="15">
        <f t="shared" si="34"/>
        <v>85150920.135951966</v>
      </c>
      <c r="N205" s="15">
        <f>'[6]Renewable Diesel'!$AB6</f>
        <v>353497251.70785689</v>
      </c>
      <c r="O205" s="15">
        <f>AVERAGE('[6]Renewable Diesel'!$W6:$AA6)</f>
        <v>276583874.10187423</v>
      </c>
      <c r="P205" s="15">
        <f t="shared" si="35"/>
        <v>76913377.605982661</v>
      </c>
      <c r="S205" s="11">
        <f>'[8]Soy Complex'!$BY600</f>
        <v>72</v>
      </c>
      <c r="T205" s="11"/>
      <c r="U205" s="11"/>
      <c r="V205" s="11">
        <f>[9]Forecasts!$B197</f>
        <v>272.5</v>
      </c>
      <c r="W205" s="11" t="e">
        <f>#REF!*100</f>
        <v>#REF!</v>
      </c>
      <c r="X205" s="11"/>
      <c r="AA205" s="14">
        <f t="shared" si="30"/>
        <v>229.36484979362899</v>
      </c>
      <c r="AB205" s="14">
        <v>16</v>
      </c>
      <c r="AC205" s="14">
        <v>100</v>
      </c>
      <c r="AJ205" s="14">
        <f t="shared" si="36"/>
        <v>4.432691865996766</v>
      </c>
      <c r="AK205" s="14">
        <f t="shared" si="32"/>
        <v>7.6265304400869027</v>
      </c>
      <c r="AL205" s="11">
        <f t="shared" si="37"/>
        <v>-6.0434262022309149</v>
      </c>
      <c r="AM205" s="13">
        <f>'[7]D6 Gallon Forecast'!$X33/1000000</f>
        <v>1271.7095289754723</v>
      </c>
    </row>
    <row r="206" spans="1:39" x14ac:dyDescent="0.25">
      <c r="A206" s="10">
        <v>49796</v>
      </c>
      <c r="C206" s="15">
        <f>[6]Biodiesel!$AB7</f>
        <v>92500509.307504058</v>
      </c>
      <c r="D206" s="15">
        <f>AVERAGE([6]Biodiesel!$W7:$AA7)</f>
        <v>111906171.51855126</v>
      </c>
      <c r="E206" s="15">
        <f t="shared" si="31"/>
        <v>-19405662.211047202</v>
      </c>
      <c r="F206" s="15">
        <f>[6]Biodiesel!$AB39</f>
        <v>102721990.86673306</v>
      </c>
      <c r="G206" s="15">
        <f>AVERAGE([6]Biodiesel!$W39:$AA39)</f>
        <v>126294872.48269673</v>
      </c>
      <c r="H206" s="15">
        <f t="shared" si="33"/>
        <v>-23572881.615963668</v>
      </c>
      <c r="K206" s="15">
        <f>'[6]Renewable Diesel'!$AB53</f>
        <v>386895148.15531135</v>
      </c>
      <c r="L206" s="15">
        <f>AVERAGE('[6]Renewable Diesel'!$W53:$AA53)</f>
        <v>291943486.94030619</v>
      </c>
      <c r="M206" s="15">
        <f t="shared" si="34"/>
        <v>94951661.215005159</v>
      </c>
      <c r="N206" s="15">
        <f>'[6]Renewable Diesel'!$AB7</f>
        <v>394460223.56919408</v>
      </c>
      <c r="O206" s="15">
        <f>AVERAGE('[6]Renewable Diesel'!$W7:$AA7)</f>
        <v>308511142.39103281</v>
      </c>
      <c r="P206" s="15">
        <f t="shared" si="35"/>
        <v>85949081.178161263</v>
      </c>
      <c r="S206" s="11">
        <f>'[8]Soy Complex'!$BY601</f>
        <v>76</v>
      </c>
      <c r="T206" s="11"/>
      <c r="U206" s="11"/>
      <c r="V206" s="11">
        <f>[9]Forecasts!$B198</f>
        <v>260</v>
      </c>
      <c r="W206" s="11" t="e">
        <f>#REF!*100</f>
        <v>#REF!</v>
      </c>
      <c r="X206" s="11"/>
      <c r="AA206" s="14">
        <f t="shared" si="30"/>
        <v>221.43421276832782</v>
      </c>
      <c r="AB206" s="14">
        <v>16</v>
      </c>
      <c r="AC206" s="14">
        <v>100</v>
      </c>
      <c r="AJ206" s="14">
        <f t="shared" si="36"/>
        <v>4.4837503403154457</v>
      </c>
      <c r="AK206" s="14">
        <f t="shared" si="32"/>
        <v>7.7563713115470758</v>
      </c>
      <c r="AL206" s="11">
        <f t="shared" si="37"/>
        <v>-6.1550319042915591</v>
      </c>
      <c r="AM206" s="13">
        <f>'[7]D6 Gallon Forecast'!$X34/1000000</f>
        <v>1180.2749939293587</v>
      </c>
    </row>
    <row r="207" spans="1:39" x14ac:dyDescent="0.25">
      <c r="A207" s="10">
        <v>49827</v>
      </c>
      <c r="C207" s="15">
        <f>[6]Biodiesel!$AB8</f>
        <v>90001238.360340178</v>
      </c>
      <c r="D207" s="15">
        <f>AVERAGE([6]Biodiesel!$W8:$AA8)</f>
        <v>108869828.21814772</v>
      </c>
      <c r="E207" s="15">
        <f t="shared" si="31"/>
        <v>-18868589.857807547</v>
      </c>
      <c r="F207" s="15">
        <f>[6]Biodiesel!$AB40</f>
        <v>101308233.49700439</v>
      </c>
      <c r="G207" s="15">
        <f>AVERAGE([6]Biodiesel!$W40:$AA40)</f>
        <v>124786598.29514429</v>
      </c>
      <c r="H207" s="15">
        <f t="shared" si="33"/>
        <v>-23478364.7981399</v>
      </c>
      <c r="K207" s="15">
        <f>'[6]Renewable Diesel'!$AB54</f>
        <v>397450414.17479694</v>
      </c>
      <c r="L207" s="15">
        <f>AVERAGE('[6]Renewable Diesel'!$W54:$AA54)</f>
        <v>294379215.71491063</v>
      </c>
      <c r="M207" s="15">
        <f t="shared" si="34"/>
        <v>103071198.45988631</v>
      </c>
      <c r="N207" s="15">
        <f>'[6]Renewable Diesel'!$AB8</f>
        <v>406330205.26436031</v>
      </c>
      <c r="O207" s="15">
        <f>AVERAGE('[6]Renewable Diesel'!$W8:$AA8)</f>
        <v>313826122.87678015</v>
      </c>
      <c r="P207" s="15">
        <f t="shared" si="35"/>
        <v>92504082.387580156</v>
      </c>
      <c r="S207" s="11">
        <f>'[8]Soy Complex'!$BY602</f>
        <v>72.75</v>
      </c>
      <c r="T207" s="11"/>
      <c r="U207" s="11"/>
      <c r="V207" s="11">
        <f>[9]Forecasts!$B199</f>
        <v>247.5</v>
      </c>
      <c r="W207" s="11" t="e">
        <f>#REF!*100</f>
        <v>#REF!</v>
      </c>
      <c r="X207" s="11"/>
      <c r="AA207" s="14">
        <f t="shared" si="30"/>
        <v>215.6808882068209</v>
      </c>
      <c r="AB207" s="14">
        <v>16</v>
      </c>
      <c r="AC207" s="14">
        <v>100</v>
      </c>
      <c r="AJ207" s="14">
        <f t="shared" si="36"/>
        <v>4.2926744751679848</v>
      </c>
      <c r="AK207" s="14">
        <f t="shared" si="32"/>
        <v>7.8744042152572709</v>
      </c>
      <c r="AL207" s="11">
        <f t="shared" si="37"/>
        <v>-6.3413061884115614</v>
      </c>
      <c r="AM207" s="13">
        <f>'[7]D6 Gallon Forecast'!$X35/1000000</f>
        <v>1272.2440705352751</v>
      </c>
    </row>
    <row r="208" spans="1:39" x14ac:dyDescent="0.25">
      <c r="A208" s="10">
        <v>49857</v>
      </c>
      <c r="C208" s="15">
        <f>[6]Biodiesel!$AB9</f>
        <v>89553803.480951265</v>
      </c>
      <c r="D208" s="15">
        <f>AVERAGE([6]Biodiesel!$W9:$AA9)</f>
        <v>108326765.04114166</v>
      </c>
      <c r="E208" s="15">
        <f t="shared" si="31"/>
        <v>-18772961.560190395</v>
      </c>
      <c r="F208" s="15">
        <f>[6]Biodiesel!$AB41</f>
        <v>97384941.413518637</v>
      </c>
      <c r="G208" s="15">
        <f>AVERAGE([6]Biodiesel!$W41:$AA41)</f>
        <v>119350597.66929419</v>
      </c>
      <c r="H208" s="15">
        <f t="shared" si="33"/>
        <v>-21965656.255775556</v>
      </c>
      <c r="K208" s="15">
        <f>'[6]Renewable Diesel'!$AB55</f>
        <v>381477673.53953242</v>
      </c>
      <c r="L208" s="15">
        <f>AVERAGE('[6]Renewable Diesel'!$W55:$AA55)</f>
        <v>285587096.82912415</v>
      </c>
      <c r="M208" s="15">
        <f t="shared" si="34"/>
        <v>95890576.71040827</v>
      </c>
      <c r="N208" s="15">
        <f>'[6]Renewable Diesel'!$AB9</f>
        <v>386833408.02373052</v>
      </c>
      <c r="O208" s="15">
        <f>AVERAGE('[6]Renewable Diesel'!$W9:$AA9)</f>
        <v>297316254.67161393</v>
      </c>
      <c r="P208" s="15">
        <f t="shared" si="35"/>
        <v>89517153.352116585</v>
      </c>
      <c r="S208" s="11">
        <f>'[8]Soy Complex'!$BY603</f>
        <v>72</v>
      </c>
      <c r="T208" s="11"/>
      <c r="U208" s="11"/>
      <c r="V208" s="11"/>
      <c r="W208" s="11" t="e">
        <f>#REF!*100</f>
        <v>#REF!</v>
      </c>
      <c r="X208" s="11"/>
      <c r="AA208" s="14">
        <f t="shared" si="30"/>
        <v>218.30251582124725</v>
      </c>
      <c r="AB208" s="14">
        <v>16</v>
      </c>
      <c r="AC208" s="14">
        <v>100</v>
      </c>
      <c r="AJ208" s="14">
        <f t="shared" si="36"/>
        <v>3.5393921808370306</v>
      </c>
      <c r="AK208" s="14">
        <f t="shared" si="32"/>
        <v>7.7937541483054726</v>
      </c>
      <c r="AL208" s="11">
        <f t="shared" si="37"/>
        <v>-6.5296855122922475</v>
      </c>
      <c r="AM208" s="13">
        <f>'[7]D6 Gallon Forecast'!$X36/1000000</f>
        <v>1186.0977221540729</v>
      </c>
    </row>
    <row r="209" spans="1:39" x14ac:dyDescent="0.25">
      <c r="A209" s="10">
        <v>49888</v>
      </c>
      <c r="C209" s="15">
        <f>[6]Biodiesel!$AB10</f>
        <v>92387398.646471024</v>
      </c>
      <c r="D209" s="15">
        <f>AVERAGE([6]Biodiesel!$W10:$AA10)</f>
        <v>111753915.31638041</v>
      </c>
      <c r="E209" s="15">
        <f t="shared" si="31"/>
        <v>-19366516.669909388</v>
      </c>
      <c r="F209" s="15">
        <f>[6]Biodiesel!$AB42</f>
        <v>101864911.05330974</v>
      </c>
      <c r="G209" s="15">
        <f>AVERAGE([6]Biodiesel!$W42:$AA42)</f>
        <v>125095336.62754567</v>
      </c>
      <c r="H209" s="15">
        <f t="shared" si="33"/>
        <v>-23230425.574235931</v>
      </c>
      <c r="K209" s="15">
        <f>'[6]Renewable Diesel'!$AB56</f>
        <v>406941300.91887188</v>
      </c>
      <c r="L209" s="15">
        <f>AVERAGE('[6]Renewable Diesel'!$W56:$AA56)</f>
        <v>296702037.30071211</v>
      </c>
      <c r="M209" s="15">
        <f t="shared" si="34"/>
        <v>110239263.61815977</v>
      </c>
      <c r="N209" s="15">
        <f>'[6]Renewable Diesel'!$AB10</f>
        <v>410844235.40297145</v>
      </c>
      <c r="O209" s="15">
        <f>AVERAGE('[6]Renewable Diesel'!$W10:$AA10)</f>
        <v>305249536.20081019</v>
      </c>
      <c r="P209" s="15">
        <f t="shared" si="35"/>
        <v>105594699.20216125</v>
      </c>
      <c r="S209" s="11">
        <f>'[8]Soy Complex'!$BY604</f>
        <v>75.5</v>
      </c>
      <c r="T209" s="11"/>
      <c r="U209" s="11"/>
      <c r="V209" s="11"/>
      <c r="W209" s="11" t="e">
        <f>#REF!*100</f>
        <v>#REF!</v>
      </c>
      <c r="X209" s="11"/>
      <c r="AA209" s="14">
        <f t="shared" si="30"/>
        <v>204.19125382866304</v>
      </c>
      <c r="AB209" s="14">
        <v>16</v>
      </c>
      <c r="AC209" s="14">
        <v>100</v>
      </c>
      <c r="AJ209" s="14">
        <f t="shared" si="36"/>
        <v>3.4763704105383271</v>
      </c>
      <c r="AK209" s="14">
        <f t="shared" si="32"/>
        <v>7.7199334514002587</v>
      </c>
      <c r="AL209" s="11">
        <f t="shared" si="37"/>
        <v>-6.4783725904937128</v>
      </c>
      <c r="AM209" s="13">
        <f>'[7]D6 Gallon Forecast'!$X37/1000000</f>
        <v>1298.6854921890542</v>
      </c>
    </row>
    <row r="210" spans="1:39" x14ac:dyDescent="0.25">
      <c r="A210" s="10">
        <v>49919</v>
      </c>
      <c r="C210" s="15">
        <f>[6]Biodiesel!$AB11</f>
        <v>87149665.209153965</v>
      </c>
      <c r="D210" s="15">
        <f>AVERAGE([6]Biodiesel!$W11:$AA11)</f>
        <v>105414672.77130906</v>
      </c>
      <c r="E210" s="15">
        <f t="shared" si="31"/>
        <v>-18265007.562155098</v>
      </c>
      <c r="F210" s="15">
        <f>[6]Biodiesel!$AB43</f>
        <v>96988073.24721536</v>
      </c>
      <c r="G210" s="15">
        <f>AVERAGE([6]Biodiesel!$W43:$AA43)</f>
        <v>119264124.08642626</v>
      </c>
      <c r="H210" s="15">
        <f t="shared" si="33"/>
        <v>-22276050.839210898</v>
      </c>
      <c r="K210" s="15">
        <f>'[6]Renewable Diesel'!$AB57</f>
        <v>406773607.91981822</v>
      </c>
      <c r="L210" s="15">
        <f>AVERAGE('[6]Renewable Diesel'!$W57:$AA57)</f>
        <v>299445048.36217737</v>
      </c>
      <c r="M210" s="15">
        <f t="shared" si="34"/>
        <v>107328559.55764085</v>
      </c>
      <c r="N210" s="15">
        <f>'[6]Renewable Diesel'!$AB11</f>
        <v>411259477.39650649</v>
      </c>
      <c r="O210" s="15">
        <f>AVERAGE('[6]Renewable Diesel'!$W11:$AA11)</f>
        <v>309269185.7065742</v>
      </c>
      <c r="P210" s="15">
        <f t="shared" si="35"/>
        <v>101990291.68993229</v>
      </c>
      <c r="S210" s="11">
        <f>'[8]Soy Complex'!$BY605</f>
        <v>77.25</v>
      </c>
      <c r="T210" s="11"/>
      <c r="U210" s="11"/>
      <c r="V210" s="11"/>
      <c r="W210" s="11" t="e">
        <f>#REF!*100</f>
        <v>#REF!</v>
      </c>
      <c r="X210" s="11"/>
      <c r="AA210" s="14">
        <f t="shared" si="30"/>
        <v>207.35484230214641</v>
      </c>
      <c r="AB210" s="14">
        <v>16</v>
      </c>
      <c r="AC210" s="14">
        <v>100</v>
      </c>
      <c r="AJ210" s="14">
        <f t="shared" si="36"/>
        <v>3.6380811331187792</v>
      </c>
      <c r="AK210" s="14">
        <f t="shared" si="32"/>
        <v>7.5031022499978004</v>
      </c>
      <c r="AL210" s="11">
        <f t="shared" si="37"/>
        <v>-6.2037875595982364</v>
      </c>
      <c r="AM210" s="13">
        <f>'[7]D6 Gallon Forecast'!$X38/1000000</f>
        <v>1313.9993076689743</v>
      </c>
    </row>
    <row r="211" spans="1:39" x14ac:dyDescent="0.25">
      <c r="A211" s="10">
        <v>49949</v>
      </c>
      <c r="C211" s="15">
        <f>[6]Biodiesel!$AB12</f>
        <v>89538742.206983492</v>
      </c>
      <c r="D211" s="15">
        <f>AVERAGE([6]Biodiesel!$W12:$AA12)</f>
        <v>108306288.43117242</v>
      </c>
      <c r="E211" s="15">
        <f t="shared" si="31"/>
        <v>-18767546.224188924</v>
      </c>
      <c r="F211" s="15">
        <f>[6]Biodiesel!$AB44</f>
        <v>100595102.91195482</v>
      </c>
      <c r="G211" s="15">
        <f>AVERAGE([6]Biodiesel!$W44:$AA44)</f>
        <v>123870242.34663205</v>
      </c>
      <c r="H211" s="15">
        <f t="shared" si="33"/>
        <v>-23275139.434677228</v>
      </c>
      <c r="K211" s="15">
        <f>'[6]Renewable Diesel'!$AB58</f>
        <v>429827911.79946083</v>
      </c>
      <c r="L211" s="15">
        <f>AVERAGE('[6]Renewable Diesel'!$W58:$AA58)</f>
        <v>323020881.91330129</v>
      </c>
      <c r="M211" s="15">
        <f t="shared" si="34"/>
        <v>106807029.88615954</v>
      </c>
      <c r="N211" s="15">
        <f>'[6]Renewable Diesel'!$AB12</f>
        <v>436220150.84719598</v>
      </c>
      <c r="O211" s="15">
        <f>AVERAGE('[6]Renewable Diesel'!$W12:$AA12)</f>
        <v>337020003.97191441</v>
      </c>
      <c r="P211" s="15">
        <f t="shared" si="35"/>
        <v>99200146.875281572</v>
      </c>
      <c r="S211" s="11">
        <f>'[8]Soy Complex'!$BZ594</f>
        <v>71.75</v>
      </c>
      <c r="T211" s="11"/>
      <c r="U211" s="11"/>
      <c r="V211" s="11"/>
      <c r="W211" s="11" t="e">
        <f>#REF!*100</f>
        <v>#REF!</v>
      </c>
      <c r="X211" s="11"/>
      <c r="AA211" s="14">
        <f t="shared" si="30"/>
        <v>209.80375240596533</v>
      </c>
      <c r="AB211" s="14">
        <v>16</v>
      </c>
      <c r="AC211" s="14">
        <v>100</v>
      </c>
      <c r="AJ211" s="14">
        <f t="shared" si="36"/>
        <v>3.7337555386366881</v>
      </c>
      <c r="AK211" s="14">
        <f t="shared" si="32"/>
        <v>7.5053512732768199</v>
      </c>
      <c r="AL211" s="11">
        <f t="shared" si="37"/>
        <v>-6.171867152335146</v>
      </c>
      <c r="AM211" s="13">
        <f>'[7]D6 Gallon Forecast'!$X39/1000000</f>
        <v>1346.8170278338378</v>
      </c>
    </row>
    <row r="212" spans="1:39" x14ac:dyDescent="0.25">
      <c r="A212" s="10">
        <v>49980</v>
      </c>
      <c r="C212" s="15">
        <f>[6]Biodiesel!$AB13</f>
        <v>85087364.143719628</v>
      </c>
      <c r="D212" s="15">
        <f>AVERAGE([6]Biodiesel!$W13:$AA13)</f>
        <v>102916591.22517407</v>
      </c>
      <c r="E212" s="15">
        <f t="shared" si="31"/>
        <v>-17829227.081454441</v>
      </c>
      <c r="F212" s="15">
        <f>[6]Biodiesel!$AB45</f>
        <v>95258656.146906167</v>
      </c>
      <c r="G212" s="15">
        <f>AVERAGE([6]Biodiesel!$W45:$AA45)</f>
        <v>117234640.73735204</v>
      </c>
      <c r="H212" s="15">
        <f t="shared" si="33"/>
        <v>-21975984.590445876</v>
      </c>
      <c r="K212" s="15">
        <f>'[6]Renewable Diesel'!$AB59</f>
        <v>512595843.83007342</v>
      </c>
      <c r="L212" s="15">
        <f>AVERAGE('[6]Renewable Diesel'!$W59:$AA59)</f>
        <v>389078026.11572009</v>
      </c>
      <c r="M212" s="15">
        <f t="shared" si="34"/>
        <v>123517817.71435332</v>
      </c>
      <c r="N212" s="15">
        <f>'[6]Renewable Diesel'!$AB13</f>
        <v>517647276.7687788</v>
      </c>
      <c r="O212" s="15">
        <f>AVERAGE('[6]Renewable Diesel'!$W13:$AA13)</f>
        <v>400140757.93030882</v>
      </c>
      <c r="P212" s="15">
        <f t="shared" si="35"/>
        <v>117506518.83846998</v>
      </c>
      <c r="S212" s="11">
        <f>'[8]Soy Complex'!$BZ595</f>
        <v>76</v>
      </c>
      <c r="T212" s="11"/>
      <c r="U212" s="11"/>
      <c r="V212" s="11"/>
      <c r="W212" s="11" t="e">
        <f>#REF!*100</f>
        <v>#REF!</v>
      </c>
      <c r="X212" s="11"/>
      <c r="AA212" s="14">
        <f t="shared" ref="AA212:AA275" si="38">(-0.6408065713*(I212*100))+(-0.0000008777*P212)+296.8717213184</f>
        <v>193.73624973387487</v>
      </c>
      <c r="AB212" s="14">
        <v>16</v>
      </c>
      <c r="AC212" s="14">
        <v>100</v>
      </c>
      <c r="AJ212" s="14">
        <f t="shared" si="36"/>
        <v>3.7773876825887633</v>
      </c>
      <c r="AK212" s="14">
        <f t="shared" si="32"/>
        <v>7.6021547645734495</v>
      </c>
      <c r="AL212" s="11">
        <f t="shared" si="37"/>
        <v>-6.2530877350774627</v>
      </c>
      <c r="AM212" s="13">
        <f>'[7]D6 Gallon Forecast'!$X40/1000000</f>
        <v>1356.3497873176893</v>
      </c>
    </row>
    <row r="213" spans="1:39" x14ac:dyDescent="0.25">
      <c r="A213" s="10">
        <v>50010</v>
      </c>
      <c r="C213" s="15">
        <f>[6]Biodiesel!$AB14</f>
        <v>83434020.02587539</v>
      </c>
      <c r="D213" s="15">
        <f>AVERAGE([6]Biodiesel!$W14:$AA14)</f>
        <v>100919475.04887363</v>
      </c>
      <c r="E213" s="15">
        <f t="shared" si="31"/>
        <v>-17485455.022998244</v>
      </c>
      <c r="F213" s="15">
        <f>[6]Biodiesel!$AB46</f>
        <v>98716072.005364269</v>
      </c>
      <c r="G213" s="15">
        <f>AVERAGE([6]Biodiesel!$W46:$AA46)</f>
        <v>122431902.06615415</v>
      </c>
      <c r="H213" s="15">
        <f t="shared" si="33"/>
        <v>-23715830.060789883</v>
      </c>
      <c r="K213" s="15">
        <f>'[6]Renewable Diesel'!$AB60</f>
        <v>576812792.01583254</v>
      </c>
      <c r="L213" s="15">
        <f>AVERAGE('[6]Renewable Diesel'!$W60:$AA60)</f>
        <v>439783937.27368224</v>
      </c>
      <c r="M213" s="15">
        <f t="shared" si="34"/>
        <v>137028854.74215031</v>
      </c>
      <c r="N213" s="15">
        <f>'[6]Renewable Diesel'!$AB14</f>
        <v>582248357.55847073</v>
      </c>
      <c r="O213" s="15">
        <f>AVERAGE('[6]Renewable Diesel'!$W14:$AA14)</f>
        <v>451687926.61462277</v>
      </c>
      <c r="P213" s="15">
        <f t="shared" si="35"/>
        <v>130560430.94384795</v>
      </c>
      <c r="S213" s="11">
        <f>'[8]Soy Complex'!$BZ596</f>
        <v>74</v>
      </c>
      <c r="T213" s="11"/>
      <c r="U213" s="11"/>
      <c r="V213" s="11"/>
      <c r="W213" s="11" t="e">
        <f>#REF!*100</f>
        <v>#REF!</v>
      </c>
      <c r="X213" s="11"/>
      <c r="AA213" s="14">
        <f t="shared" si="38"/>
        <v>182.27883107898464</v>
      </c>
      <c r="AB213" s="14">
        <v>16</v>
      </c>
      <c r="AC213" s="14">
        <v>100</v>
      </c>
      <c r="AJ213" s="14">
        <f t="shared" si="36"/>
        <v>3.8212670359418146</v>
      </c>
      <c r="AK213" s="14">
        <f t="shared" si="32"/>
        <v>7.4986645112795109</v>
      </c>
      <c r="AL213" s="11">
        <f t="shared" si="37"/>
        <v>-6.1339262841574342</v>
      </c>
      <c r="AM213" s="13">
        <f>'[7]D6 Gallon Forecast'!$X41/1000000</f>
        <v>1240.6007686055168</v>
      </c>
    </row>
    <row r="214" spans="1:39" x14ac:dyDescent="0.25">
      <c r="A214" s="10">
        <v>50041</v>
      </c>
      <c r="C214" s="15">
        <f>[6]Biodiesel!$AC3</f>
        <v>64620763.390263967</v>
      </c>
      <c r="D214" s="15">
        <f>AVERAGE([6]Biodiesel!$X3:$AB3)</f>
        <v>92546923.234336242</v>
      </c>
      <c r="E214" s="15">
        <f t="shared" si="31"/>
        <v>-27926159.844072275</v>
      </c>
      <c r="F214" s="15">
        <f>[6]Biodiesel!$AC35</f>
        <v>72357000.120514974</v>
      </c>
      <c r="G214" s="15">
        <f>AVERAGE([6]Biodiesel!$X35:$AB35)</f>
        <v>104291937.17935368</v>
      </c>
      <c r="H214" s="15">
        <f t="shared" si="33"/>
        <v>-31934937.05883871</v>
      </c>
      <c r="K214" s="15">
        <f>'[6]Renewable Diesel'!$AC49</f>
        <v>376653603.13157099</v>
      </c>
      <c r="L214" s="15">
        <f>AVERAGE('[6]Renewable Diesel'!$X49:$AB49)</f>
        <v>255023341.80604362</v>
      </c>
      <c r="M214" s="15">
        <f t="shared" si="34"/>
        <v>121630261.32552737</v>
      </c>
      <c r="N214" s="15">
        <f>'[6]Renewable Diesel'!$AC3</f>
        <v>380581176.87185925</v>
      </c>
      <c r="O214" s="15">
        <f>AVERAGE('[6]Renewable Diesel'!$X3:$AB3)</f>
        <v>266052010.42351764</v>
      </c>
      <c r="P214" s="15">
        <f t="shared" si="35"/>
        <v>114529166.44834161</v>
      </c>
      <c r="S214" s="11">
        <f>'[8]Soy Complex'!$BZ597</f>
        <v>75.75</v>
      </c>
      <c r="T214" s="11"/>
      <c r="U214" s="11"/>
      <c r="V214" s="11"/>
      <c r="W214" s="11" t="e">
        <f>#REF!*100</f>
        <v>#REF!</v>
      </c>
      <c r="X214" s="11"/>
      <c r="AA214" s="14">
        <f t="shared" si="38"/>
        <v>196.34947192669057</v>
      </c>
      <c r="AB214" s="14">
        <v>16</v>
      </c>
      <c r="AC214" s="14">
        <v>100</v>
      </c>
      <c r="AJ214" s="14">
        <f t="shared" si="36"/>
        <v>3.9194813730351949</v>
      </c>
      <c r="AK214" s="14">
        <f t="shared" si="32"/>
        <v>7.7070883276345006</v>
      </c>
      <c r="AL214" s="11">
        <f t="shared" si="37"/>
        <v>-6.3072735515505025</v>
      </c>
      <c r="AM214" s="13">
        <f>'[7]D6 Gallon Forecast'!$Y30/1000000</f>
        <v>1.0690584819966592E-7</v>
      </c>
    </row>
    <row r="215" spans="1:39" x14ac:dyDescent="0.25">
      <c r="A215" s="10">
        <v>50072</v>
      </c>
      <c r="C215" s="15">
        <f>[6]Biodiesel!$AC4</f>
        <v>61271789.017069869</v>
      </c>
      <c r="D215" s="15">
        <f>AVERAGE([6]Biodiesel!$X4:$AB4)</f>
        <v>87750674.196578056</v>
      </c>
      <c r="E215" s="15">
        <f t="shared" si="31"/>
        <v>-26478885.179508187</v>
      </c>
      <c r="F215" s="15">
        <f>[6]Biodiesel!$AC36</f>
        <v>71782042.37439537</v>
      </c>
      <c r="G215" s="15">
        <f>AVERAGE([6]Biodiesel!$X36:$AB36)</f>
        <v>103707149.74815403</v>
      </c>
      <c r="H215" s="15">
        <f t="shared" si="33"/>
        <v>-31925107.373758659</v>
      </c>
      <c r="K215" s="15">
        <f>'[6]Renewable Diesel'!$AC50</f>
        <v>393758107.88557851</v>
      </c>
      <c r="L215" s="15">
        <f>AVERAGE('[6]Renewable Diesel'!$X50:$AB50)</f>
        <v>274567237.23183811</v>
      </c>
      <c r="M215" s="15">
        <f t="shared" si="34"/>
        <v>119190870.65374041</v>
      </c>
      <c r="N215" s="15">
        <f>'[6]Renewable Diesel'!$AC4</f>
        <v>399066967.37560594</v>
      </c>
      <c r="O215" s="15">
        <f>AVERAGE('[6]Renewable Diesel'!$X4:$AB4)</f>
        <v>289621312.50770652</v>
      </c>
      <c r="P215" s="15">
        <f t="shared" si="35"/>
        <v>109445654.86789942</v>
      </c>
      <c r="S215" s="11">
        <f>'[8]Soy Complex'!$BZ598</f>
        <v>72.75</v>
      </c>
      <c r="T215" s="11"/>
      <c r="U215" s="11"/>
      <c r="V215" s="11"/>
      <c r="W215" s="11" t="e">
        <f>#REF!*100</f>
        <v>#REF!</v>
      </c>
      <c r="X215" s="11"/>
      <c r="AA215" s="14">
        <f t="shared" si="38"/>
        <v>200.81127004084465</v>
      </c>
      <c r="AB215" s="14">
        <v>16</v>
      </c>
      <c r="AC215" s="14">
        <v>100</v>
      </c>
      <c r="AJ215" s="14">
        <f t="shared" si="36"/>
        <v>3.9627066477728112</v>
      </c>
      <c r="AK215" s="14">
        <f t="shared" si="32"/>
        <v>7.8039333314827122</v>
      </c>
      <c r="AL215" s="11">
        <f t="shared" si="37"/>
        <v>-6.3886809572781367</v>
      </c>
      <c r="AM215" s="13">
        <f>'[7]D6 Gallon Forecast'!$Y31/1000000</f>
        <v>2171.171192180399</v>
      </c>
    </row>
    <row r="216" spans="1:39" x14ac:dyDescent="0.25">
      <c r="A216" s="10">
        <v>50100</v>
      </c>
      <c r="C216" s="15">
        <f>[6]Biodiesel!$AC5</f>
        <v>70134714.778018072</v>
      </c>
      <c r="D216" s="15">
        <f>AVERAGE([6]Biodiesel!$X5:$AB5)</f>
        <v>100442870.75307639</v>
      </c>
      <c r="E216" s="15">
        <f t="shared" ref="E216:E279" si="39">C216-D216</f>
        <v>-30308155.975058317</v>
      </c>
      <c r="F216" s="15">
        <f>[6]Biodiesel!$AC37</f>
        <v>78983628.562428951</v>
      </c>
      <c r="G216" s="15">
        <f>AVERAGE([6]Biodiesel!$X37:$AB37)</f>
        <v>113876072.2348638</v>
      </c>
      <c r="H216" s="15">
        <f t="shared" si="33"/>
        <v>-34892443.672434852</v>
      </c>
      <c r="K216" s="15">
        <f>'[6]Renewable Diesel'!$AC51</f>
        <v>446622880.99736786</v>
      </c>
      <c r="L216" s="15">
        <f>AVERAGE('[6]Renewable Diesel'!$X51:$AB51)</f>
        <v>299016860.53141201</v>
      </c>
      <c r="M216" s="15">
        <f t="shared" si="34"/>
        <v>147606020.46595585</v>
      </c>
      <c r="N216" s="15">
        <f>'[6]Renewable Diesel'!$AC5</f>
        <v>451402888.80596364</v>
      </c>
      <c r="O216" s="15">
        <f>AVERAGE('[6]Renewable Diesel'!$X5:$AB5)</f>
        <v>312578166.64092648</v>
      </c>
      <c r="P216" s="15">
        <f t="shared" si="35"/>
        <v>138824722.16503716</v>
      </c>
      <c r="S216" s="11">
        <f>'[8]Soy Complex'!$BZ599</f>
        <v>77.75</v>
      </c>
      <c r="T216" s="11"/>
      <c r="U216" s="11"/>
      <c r="V216" s="11"/>
      <c r="W216" s="11" t="e">
        <f>#REF!*100</f>
        <v>#REF!</v>
      </c>
      <c r="X216" s="11"/>
      <c r="AA216" s="14">
        <f t="shared" si="38"/>
        <v>175.02526267414686</v>
      </c>
      <c r="AB216" s="14">
        <v>16</v>
      </c>
      <c r="AC216" s="14">
        <v>100</v>
      </c>
      <c r="AJ216" s="14">
        <f t="shared" si="36"/>
        <v>4.1153309707722467</v>
      </c>
      <c r="AK216" s="14">
        <f t="shared" si="32"/>
        <v>8.0272211923413224</v>
      </c>
      <c r="AL216" s="11">
        <f t="shared" si="37"/>
        <v>-6.5574601313512346</v>
      </c>
      <c r="AM216" s="13">
        <f>'[7]D6 Gallon Forecast'!$Y32/1000000</f>
        <v>2.0330000000000001E-3</v>
      </c>
    </row>
    <row r="217" spans="1:39" x14ac:dyDescent="0.25">
      <c r="A217" s="10">
        <v>50131</v>
      </c>
      <c r="C217" s="15">
        <f>[6]Biodiesel!$AC6</f>
        <v>69389794.994155005</v>
      </c>
      <c r="D217" s="15">
        <f>AVERAGE([6]Biodiesel!$X6:$AB6)</f>
        <v>99281149.825767338</v>
      </c>
      <c r="E217" s="15">
        <f t="shared" si="39"/>
        <v>-29891354.831612334</v>
      </c>
      <c r="F217" s="15">
        <f>[6]Biodiesel!$AC38</f>
        <v>80309981.229838505</v>
      </c>
      <c r="G217" s="15">
        <f>AVERAGE([6]Biodiesel!$X38:$AB38)</f>
        <v>115859978.01994137</v>
      </c>
      <c r="H217" s="15">
        <f t="shared" si="33"/>
        <v>-35549996.790102869</v>
      </c>
      <c r="K217" s="15">
        <f>'[6]Renewable Diesel'!$AC52</f>
        <v>405767411.66228962</v>
      </c>
      <c r="L217" s="15">
        <f>AVERAGE('[6]Renewable Diesel'!$X52:$AB52)</f>
        <v>281740194.71282357</v>
      </c>
      <c r="M217" s="15">
        <f t="shared" si="34"/>
        <v>124027216.94946605</v>
      </c>
      <c r="N217" s="15">
        <f>'[6]Renewable Diesel'!$AC6</f>
        <v>410383358.29586428</v>
      </c>
      <c r="O217" s="15">
        <f>AVERAGE('[6]Renewable Diesel'!$X6:$AB6)</f>
        <v>294770948.07104468</v>
      </c>
      <c r="P217" s="15">
        <f t="shared" si="35"/>
        <v>115612410.2248196</v>
      </c>
      <c r="S217" s="11">
        <f>'[8]Soy Complex'!$BZ600</f>
        <v>72.5</v>
      </c>
      <c r="T217" s="11"/>
      <c r="U217" s="11"/>
      <c r="V217" s="11"/>
      <c r="W217" s="11" t="e">
        <f>#REF!*100</f>
        <v>#REF!</v>
      </c>
      <c r="X217" s="11"/>
      <c r="AA217" s="14">
        <f t="shared" si="38"/>
        <v>195.39870886407581</v>
      </c>
      <c r="AB217" s="14">
        <v>16</v>
      </c>
      <c r="AC217" s="14">
        <v>100</v>
      </c>
      <c r="AJ217" s="14">
        <f t="shared" si="36"/>
        <v>4.2574128636912674</v>
      </c>
      <c r="AK217" s="14">
        <f t="shared" si="32"/>
        <v>8.0211480139469611</v>
      </c>
      <c r="AL217" s="11">
        <f t="shared" si="37"/>
        <v>-6.5006434197715084</v>
      </c>
      <c r="AM217" s="13">
        <f>'[7]D6 Gallon Forecast'!$Y33/1000000</f>
        <v>1282.2513341480242</v>
      </c>
    </row>
    <row r="218" spans="1:39" x14ac:dyDescent="0.25">
      <c r="A218" s="10">
        <v>50161</v>
      </c>
      <c r="C218" s="15">
        <f>[6]Biodiesel!$AC7</f>
        <v>74608371.343882769</v>
      </c>
      <c r="D218" s="15">
        <f>AVERAGE([6]Biodiesel!$X7:$AB7)</f>
        <v>106748477.04655343</v>
      </c>
      <c r="E218" s="15">
        <f t="shared" si="39"/>
        <v>-32140105.702670664</v>
      </c>
      <c r="F218" s="15">
        <f>[6]Biodiesel!$AC39</f>
        <v>83276103.86591275</v>
      </c>
      <c r="G218" s="15">
        <f>AVERAGE([6]Biodiesel!$X39:$AB39)</f>
        <v>119907670.96636257</v>
      </c>
      <c r="H218" s="15">
        <f t="shared" si="33"/>
        <v>-36631567.100449815</v>
      </c>
      <c r="K218" s="15">
        <f>'[6]Renewable Diesel'!$AC53</f>
        <v>452806138.77374911</v>
      </c>
      <c r="L218" s="15">
        <f>AVERAGE('[6]Renewable Diesel'!$X53:$AB53)</f>
        <v>314584333.03472495</v>
      </c>
      <c r="M218" s="15">
        <f t="shared" si="34"/>
        <v>138221805.73902416</v>
      </c>
      <c r="N218" s="15">
        <f>'[6]Renewable Diesel'!$AC7</f>
        <v>457871178.8253749</v>
      </c>
      <c r="O218" s="15">
        <f>AVERAGE('[6]Renewable Diesel'!$X7:$AB7)</f>
        <v>328843056.01447201</v>
      </c>
      <c r="P218" s="15">
        <f t="shared" si="35"/>
        <v>129028122.81090289</v>
      </c>
      <c r="S218" s="11">
        <f>'[8]Soy Complex'!$BZ601</f>
        <v>77.75</v>
      </c>
      <c r="T218" s="11"/>
      <c r="U218" s="11"/>
      <c r="V218" s="11"/>
      <c r="W218" s="11" t="e">
        <f>#REF!*100</f>
        <v>#REF!</v>
      </c>
      <c r="X218" s="11"/>
      <c r="AA218" s="14">
        <f t="shared" si="38"/>
        <v>183.6237379272705</v>
      </c>
      <c r="AB218" s="14">
        <v>16</v>
      </c>
      <c r="AC218" s="14">
        <v>100</v>
      </c>
      <c r="AJ218" s="14">
        <f t="shared" si="36"/>
        <v>4.3170254252743199</v>
      </c>
      <c r="AK218" s="14">
        <f t="shared" si="32"/>
        <v>8.1548324918318542</v>
      </c>
      <c r="AL218" s="11">
        <f t="shared" si="37"/>
        <v>-6.6130376970910252</v>
      </c>
      <c r="AM218" s="13">
        <f>'[7]D6 Gallon Forecast'!$Y34/1000000</f>
        <v>1190.6574754507064</v>
      </c>
    </row>
    <row r="219" spans="1:39" x14ac:dyDescent="0.25">
      <c r="A219" s="10">
        <v>50192</v>
      </c>
      <c r="C219" s="15">
        <f>[6]Biodiesel!$AC8</f>
        <v>72589209.449838728</v>
      </c>
      <c r="D219" s="15">
        <f>AVERAGE([6]Biodiesel!$X8:$AB8)</f>
        <v>103833048.02151287</v>
      </c>
      <c r="E219" s="15">
        <f t="shared" si="39"/>
        <v>-31243838.571674138</v>
      </c>
      <c r="F219" s="15">
        <f>[6]Biodiesel!$AC40</f>
        <v>82164349.727738217</v>
      </c>
      <c r="G219" s="15">
        <f>AVERAGE([6]Biodiesel!$X40:$AB40)</f>
        <v>118369851.89796028</v>
      </c>
      <c r="H219" s="15">
        <f t="shared" si="33"/>
        <v>-36205502.170222059</v>
      </c>
      <c r="K219" s="15">
        <f>'[6]Renewable Diesel'!$AC54</f>
        <v>471400601.4152174</v>
      </c>
      <c r="L219" s="15">
        <f>AVERAGE('[6]Renewable Diesel'!$X54:$AB54)</f>
        <v>318884327.42154074</v>
      </c>
      <c r="M219" s="15">
        <f t="shared" si="34"/>
        <v>152516273.99367666</v>
      </c>
      <c r="N219" s="15">
        <f>'[6]Renewable Diesel'!$AC8</f>
        <v>477309503.16351765</v>
      </c>
      <c r="O219" s="15">
        <f>AVERAGE('[6]Renewable Diesel'!$X8:$AB8)</f>
        <v>335704375.21390504</v>
      </c>
      <c r="P219" s="15">
        <f t="shared" si="35"/>
        <v>141605127.94961262</v>
      </c>
      <c r="S219" s="11">
        <f>'[8]Soy Complex'!$BZ602</f>
        <v>73.5</v>
      </c>
      <c r="T219" s="11"/>
      <c r="U219" s="11"/>
      <c r="V219" s="11"/>
      <c r="W219" s="11" t="e">
        <f>#REF!*100</f>
        <v>#REF!</v>
      </c>
      <c r="X219" s="11"/>
      <c r="AA219" s="14">
        <f t="shared" si="38"/>
        <v>172.58490051702501</v>
      </c>
      <c r="AB219" s="14">
        <v>16</v>
      </c>
      <c r="AC219" s="14">
        <v>100</v>
      </c>
      <c r="AJ219" s="14">
        <f t="shared" si="36"/>
        <v>4.1272103201392847</v>
      </c>
      <c r="AK219" s="14">
        <f t="shared" si="32"/>
        <v>8.2731817910426066</v>
      </c>
      <c r="AL219" s="11">
        <f t="shared" si="37"/>
        <v>-6.7991781052785765</v>
      </c>
      <c r="AM219" s="13">
        <f>'[7]D6 Gallon Forecast'!$Y35/1000000</f>
        <v>1281.5024693214407</v>
      </c>
    </row>
    <row r="220" spans="1:39" x14ac:dyDescent="0.25">
      <c r="A220" s="10">
        <v>50222</v>
      </c>
      <c r="C220" s="15">
        <f>[6]Biodiesel!$AC9</f>
        <v>72269005.318817496</v>
      </c>
      <c r="D220" s="15">
        <f>AVERAGE([6]Biodiesel!$X9:$AB9)</f>
        <v>103371309.1762757</v>
      </c>
      <c r="E220" s="15">
        <f t="shared" si="39"/>
        <v>-31102303.857458204</v>
      </c>
      <c r="F220" s="15">
        <f>[6]Biodiesel!$AC41</f>
        <v>78908891.103113458</v>
      </c>
      <c r="G220" s="15">
        <f>AVERAGE([6]Biodiesel!$X41:$AB41)</f>
        <v>113451863.04879776</v>
      </c>
      <c r="H220" s="15">
        <f t="shared" si="33"/>
        <v>-34542971.945684299</v>
      </c>
      <c r="K220" s="15">
        <f>'[6]Renewable Diesel'!$AC55</f>
        <v>449071951.30483609</v>
      </c>
      <c r="L220" s="15">
        <f>AVERAGE('[6]Renewable Diesel'!$X55:$AB55)</f>
        <v>308436420.85754007</v>
      </c>
      <c r="M220" s="15">
        <f t="shared" si="34"/>
        <v>140635530.44729602</v>
      </c>
      <c r="N220" s="15">
        <f>'[6]Renewable Diesel'!$AC9</f>
        <v>452696300.9939878</v>
      </c>
      <c r="O220" s="15">
        <f>AVERAGE('[6]Renewable Diesel'!$X9:$AB9)</f>
        <v>318616074.7514115</v>
      </c>
      <c r="P220" s="15">
        <f t="shared" si="35"/>
        <v>134080226.2425763</v>
      </c>
      <c r="S220" s="11">
        <f>'[8]Soy Complex'!$BZ603</f>
        <v>73.5</v>
      </c>
      <c r="T220" s="11"/>
      <c r="U220" s="11"/>
      <c r="V220" s="11"/>
      <c r="W220" s="11" t="e">
        <f>#REF!*100</f>
        <v>#REF!</v>
      </c>
      <c r="X220" s="11"/>
      <c r="AA220" s="14">
        <f t="shared" si="38"/>
        <v>179.18950674529077</v>
      </c>
      <c r="AB220" s="14">
        <v>16</v>
      </c>
      <c r="AC220" s="14">
        <v>100</v>
      </c>
      <c r="AJ220" s="14">
        <f t="shared" si="36"/>
        <v>3.3931237315159866</v>
      </c>
      <c r="AK220" s="14">
        <f t="shared" si="32"/>
        <v>8.1807917243761814</v>
      </c>
      <c r="AL220" s="11">
        <f t="shared" si="37"/>
        <v>-6.9689618202633294</v>
      </c>
      <c r="AM220" s="13">
        <f>'[7]D6 Gallon Forecast'!$Y36/1000000</f>
        <v>1195.210398243805</v>
      </c>
    </row>
    <row r="221" spans="1:39" x14ac:dyDescent="0.25">
      <c r="A221" s="10">
        <v>50253</v>
      </c>
      <c r="C221" s="15">
        <f>[6]Biodiesel!$AC10</f>
        <v>74518946.453410149</v>
      </c>
      <c r="D221" s="15">
        <f>AVERAGE([6]Biodiesel!$X10:$AB10)</f>
        <v>106588565.66604424</v>
      </c>
      <c r="E221" s="15">
        <f t="shared" si="39"/>
        <v>-32069619.212634087</v>
      </c>
      <c r="F221" s="15">
        <f>[6]Biodiesel!$AC42</f>
        <v>82540396.027889997</v>
      </c>
      <c r="G221" s="15">
        <f>AVERAGE([6]Biodiesel!$X42:$AB42)</f>
        <v>118766584.56548181</v>
      </c>
      <c r="H221" s="15">
        <f t="shared" si="33"/>
        <v>-36226188.537591815</v>
      </c>
      <c r="K221" s="15">
        <f>'[6]Renewable Diesel'!$AC56</f>
        <v>487890006.19728565</v>
      </c>
      <c r="L221" s="15">
        <f>AVERAGE('[6]Renewable Diesel'!$X56:$AB56)</f>
        <v>322828791.82656801</v>
      </c>
      <c r="M221" s="15">
        <f t="shared" si="34"/>
        <v>165061214.37071764</v>
      </c>
      <c r="N221" s="15">
        <f>'[6]Renewable Diesel'!$AC10</f>
        <v>490447540.14338285</v>
      </c>
      <c r="O221" s="15">
        <f>AVERAGE('[6]Renewable Diesel'!$X10:$AB10)</f>
        <v>330224605.8118636</v>
      </c>
      <c r="P221" s="15">
        <f t="shared" si="35"/>
        <v>160222934.33151925</v>
      </c>
      <c r="S221" s="11">
        <f>'[8]Soy Complex'!$BZ604</f>
        <v>77</v>
      </c>
      <c r="T221" s="11"/>
      <c r="U221" s="11"/>
      <c r="V221" s="11"/>
      <c r="W221" s="11" t="e">
        <f>#REF!*100</f>
        <v>#REF!</v>
      </c>
      <c r="X221" s="11"/>
      <c r="AA221" s="14">
        <f t="shared" si="38"/>
        <v>156.24405185562554</v>
      </c>
      <c r="AB221" s="14">
        <v>16</v>
      </c>
      <c r="AC221" s="14">
        <v>100</v>
      </c>
      <c r="AJ221" s="14">
        <f t="shared" si="36"/>
        <v>3.3247674189955947</v>
      </c>
      <c r="AK221" s="14">
        <f t="shared" si="32"/>
        <v>8.100359126752366</v>
      </c>
      <c r="AL221" s="11">
        <f t="shared" si="37"/>
        <v>-6.9129421913967963</v>
      </c>
      <c r="AM221" s="13">
        <f>'[7]D6 Gallon Forecast'!$Y37/1000000</f>
        <v>1309.1644360805442</v>
      </c>
    </row>
    <row r="222" spans="1:39" x14ac:dyDescent="0.25">
      <c r="A222" s="10">
        <v>50284</v>
      </c>
      <c r="C222" s="15">
        <f>[6]Biodiesel!$AC11</f>
        <v>70313169.995797992</v>
      </c>
      <c r="D222" s="15">
        <f>AVERAGE([6]Biodiesel!$X11:$AB11)</f>
        <v>100565463.24914752</v>
      </c>
      <c r="E222" s="15">
        <f t="shared" si="39"/>
        <v>-30252293.253349528</v>
      </c>
      <c r="F222" s="15">
        <f>[6]Biodiesel!$AC43</f>
        <v>78643240.955608666</v>
      </c>
      <c r="G222" s="15">
        <f>AVERAGE([6]Biodiesel!$X43:$AB43)</f>
        <v>113212025.52449647</v>
      </c>
      <c r="H222" s="15">
        <f t="shared" si="33"/>
        <v>-34568784.5688878</v>
      </c>
      <c r="K222" s="15">
        <f>'[6]Renewable Diesel'!$AC57</f>
        <v>484467069.67462665</v>
      </c>
      <c r="L222" s="15">
        <f>AVERAGE('[6]Renewable Diesel'!$X57:$AB57)</f>
        <v>324918834.06823885</v>
      </c>
      <c r="M222" s="15">
        <f t="shared" si="34"/>
        <v>159548235.60638779</v>
      </c>
      <c r="N222" s="15">
        <f>'[6]Renewable Diesel'!$AC11</f>
        <v>487404170.11611128</v>
      </c>
      <c r="O222" s="15">
        <f>AVERAGE('[6]Renewable Diesel'!$X11:$AB11)</f>
        <v>333320993.46084905</v>
      </c>
      <c r="P222" s="15">
        <f t="shared" si="35"/>
        <v>154083176.65526223</v>
      </c>
      <c r="S222" s="11">
        <f>'[8]Soy Complex'!$BZ605</f>
        <v>78</v>
      </c>
      <c r="T222" s="11"/>
      <c r="U222" s="11"/>
      <c r="V222" s="11"/>
      <c r="W222" s="11" t="e">
        <f>#REF!*100</f>
        <v>#REF!</v>
      </c>
      <c r="X222" s="11"/>
      <c r="AA222" s="14">
        <f t="shared" si="38"/>
        <v>161.63291716807632</v>
      </c>
      <c r="AB222" s="14">
        <v>16</v>
      </c>
      <c r="AC222" s="14">
        <v>100</v>
      </c>
      <c r="AJ222" s="14">
        <f t="shared" si="36"/>
        <v>3.4917274544626804</v>
      </c>
      <c r="AK222" s="14">
        <f t="shared" si="32"/>
        <v>7.8764003535100944</v>
      </c>
      <c r="AL222" s="11">
        <f t="shared" si="37"/>
        <v>-6.6293548340591375</v>
      </c>
      <c r="AM222" s="13">
        <f>'[7]D6 Gallon Forecast'!$Y38/1000000</f>
        <v>1323.73907830025</v>
      </c>
    </row>
    <row r="223" spans="1:39" x14ac:dyDescent="0.25">
      <c r="A223" s="10">
        <v>50314</v>
      </c>
      <c r="C223" s="15">
        <f>[6]Biodiesel!$AC12</f>
        <v>72265458.83432661</v>
      </c>
      <c r="D223" s="15">
        <f>AVERAGE([6]Biodiesel!$X12:$AB12)</f>
        <v>103361569.52052389</v>
      </c>
      <c r="E223" s="15">
        <f t="shared" si="39"/>
        <v>-31096110.686197281</v>
      </c>
      <c r="F223" s="15">
        <f>[6]Biodiesel!$AC44</f>
        <v>81603541.801222369</v>
      </c>
      <c r="G223" s="15">
        <f>AVERAGE([6]Biodiesel!$X44:$AB44)</f>
        <v>117538477.29753835</v>
      </c>
      <c r="H223" s="15">
        <f t="shared" si="33"/>
        <v>-35934935.496315986</v>
      </c>
      <c r="K223" s="15">
        <f>'[6]Renewable Diesel'!$AC58</f>
        <v>504581846.06079066</v>
      </c>
      <c r="L223" s="15">
        <f>AVERAGE('[6]Renewable Diesel'!$X58:$AB58)</f>
        <v>348483888.77229559</v>
      </c>
      <c r="M223" s="15">
        <f t="shared" si="34"/>
        <v>156097957.28849506</v>
      </c>
      <c r="N223" s="15">
        <f>'[6]Renewable Diesel'!$AC12</f>
        <v>508851484.70371801</v>
      </c>
      <c r="O223" s="15">
        <f>AVERAGE('[6]Renewable Diesel'!$X12:$AB12)</f>
        <v>360486645.01267862</v>
      </c>
      <c r="P223" s="15">
        <f t="shared" si="35"/>
        <v>148364839.69103938</v>
      </c>
      <c r="S223" s="11">
        <f>'[8]Soy Complex'!$CA594</f>
        <v>-171.36277444555466</v>
      </c>
      <c r="T223" s="11"/>
      <c r="U223" s="11"/>
      <c r="V223" s="11"/>
      <c r="W223" s="11" t="e">
        <f>#REF!*100</f>
        <v>#REF!</v>
      </c>
      <c r="X223" s="11"/>
      <c r="AA223" s="14">
        <f t="shared" si="38"/>
        <v>166.6519015215747</v>
      </c>
      <c r="AB223" s="14">
        <v>16</v>
      </c>
      <c r="AC223" s="14">
        <v>100</v>
      </c>
      <c r="AJ223" s="14">
        <f t="shared" si="36"/>
        <v>3.5876170324060741</v>
      </c>
      <c r="AK223" s="14">
        <f t="shared" si="32"/>
        <v>7.8789711199219745</v>
      </c>
      <c r="AL223" s="11">
        <f t="shared" si="37"/>
        <v>-6.5976793226340913</v>
      </c>
      <c r="AM223" s="13">
        <f>'[7]D6 Gallon Forecast'!$Y39/1000000</f>
        <v>1359.7765111367312</v>
      </c>
    </row>
    <row r="224" spans="1:39" x14ac:dyDescent="0.25">
      <c r="A224" s="10">
        <v>50345</v>
      </c>
      <c r="C224" s="15">
        <f>[6]Biodiesel!$AC13</f>
        <v>68641477.231158361</v>
      </c>
      <c r="D224" s="15">
        <f>AVERAGE([6]Biodiesel!$X13:$AB13)</f>
        <v>98167128.47460185</v>
      </c>
      <c r="E224" s="15">
        <f t="shared" si="39"/>
        <v>-29525651.243443489</v>
      </c>
      <c r="F224" s="15">
        <f>[6]Biodiesel!$AC45</f>
        <v>77203038.795055941</v>
      </c>
      <c r="G224" s="15">
        <f>AVERAGE([6]Biodiesel!$X45:$AB45)</f>
        <v>111165135.57615545</v>
      </c>
      <c r="H224" s="15">
        <f t="shared" si="33"/>
        <v>-33962096.781099513</v>
      </c>
      <c r="K224" s="15">
        <f>'[6]Renewable Diesel'!$AC59</f>
        <v>597494227.49701941</v>
      </c>
      <c r="L224" s="15">
        <f>AVERAGE('[6]Renewable Diesel'!$X59:$AB59)</f>
        <v>418606354.6593588</v>
      </c>
      <c r="M224" s="15">
        <f t="shared" si="34"/>
        <v>178887872.83766061</v>
      </c>
      <c r="N224" s="15">
        <f>'[6]Renewable Diesel'!$AC13</f>
        <v>600875832.84963763</v>
      </c>
      <c r="O224" s="15">
        <f>AVERAGE('[6]Renewable Diesel'!$X13:$AB13)</f>
        <v>428083805.33652508</v>
      </c>
      <c r="P224" s="15">
        <f t="shared" si="35"/>
        <v>172792027.51311255</v>
      </c>
      <c r="S224" s="11">
        <f>'[8]Soy Complex'!$CA595</f>
        <v>-242.98960233898265</v>
      </c>
      <c r="T224" s="11"/>
      <c r="U224" s="11"/>
      <c r="V224" s="11"/>
      <c r="W224" s="11" t="e">
        <f>#REF!*100</f>
        <v>#REF!</v>
      </c>
      <c r="X224" s="11"/>
      <c r="AA224" s="14">
        <f t="shared" si="38"/>
        <v>145.21215877014109</v>
      </c>
      <c r="AB224" s="14">
        <v>16</v>
      </c>
      <c r="AC224" s="14">
        <v>100</v>
      </c>
      <c r="AJ224" s="14">
        <f t="shared" si="36"/>
        <v>3.6346589184692721</v>
      </c>
      <c r="AK224" s="14">
        <f t="shared" si="32"/>
        <v>7.976233017776682</v>
      </c>
      <c r="AL224" s="11">
        <f t="shared" si="37"/>
        <v>-6.6781405468947987</v>
      </c>
      <c r="AM224" s="13">
        <f>'[7]D6 Gallon Forecast'!$Y40/1000000</f>
        <v>1365.0955953600339</v>
      </c>
    </row>
    <row r="225" spans="1:39" x14ac:dyDescent="0.25">
      <c r="A225" s="10">
        <v>50375</v>
      </c>
      <c r="C225" s="15">
        <f>[6]Biodiesel!$AC14</f>
        <v>66262267.356177106</v>
      </c>
      <c r="D225" s="15">
        <f>AVERAGE([6]Biodiesel!$X14:$AB14)</f>
        <v>94767951.692592293</v>
      </c>
      <c r="E225" s="15">
        <f t="shared" si="39"/>
        <v>-28505684.336415187</v>
      </c>
      <c r="F225" s="15">
        <f>[6]Biodiesel!$AC46</f>
        <v>79114790.599196926</v>
      </c>
      <c r="G225" s="15">
        <f>AVERAGE([6]Biodiesel!$X46:$AB46)</f>
        <v>114280418.79790421</v>
      </c>
      <c r="H225" s="15">
        <f t="shared" si="33"/>
        <v>-35165628.198707283</v>
      </c>
      <c r="K225" s="15">
        <f>'[6]Renewable Diesel'!$AC60</f>
        <v>669982765.89115095</v>
      </c>
      <c r="L225" s="15">
        <f>AVERAGE('[6]Renewable Diesel'!$X60:$AB60)</f>
        <v>472523181.32099247</v>
      </c>
      <c r="M225" s="15">
        <f t="shared" si="34"/>
        <v>197459584.57015848</v>
      </c>
      <c r="N225" s="15">
        <f>'[6]Renewable Diesel'!$AC14</f>
        <v>673610282.34645963</v>
      </c>
      <c r="O225" s="15">
        <f>AVERAGE('[6]Renewable Diesel'!$X14:$AB14)</f>
        <v>482663064.74847651</v>
      </c>
      <c r="P225" s="15">
        <f t="shared" si="35"/>
        <v>190947217.59798312</v>
      </c>
      <c r="S225" s="11">
        <f>'[8]Soy Complex'!$CA596</f>
        <v>-287.10360470754631</v>
      </c>
      <c r="T225" s="11"/>
      <c r="U225" s="11"/>
      <c r="V225" s="11"/>
      <c r="W225" s="11" t="e">
        <f>#REF!*100</f>
        <v>#REF!</v>
      </c>
      <c r="X225" s="11"/>
      <c r="AA225" s="14">
        <f t="shared" si="38"/>
        <v>129.2773484326502</v>
      </c>
      <c r="AB225" s="14">
        <v>16</v>
      </c>
      <c r="AC225" s="14">
        <v>100</v>
      </c>
      <c r="AJ225" s="14">
        <f t="shared" si="36"/>
        <v>3.683949669767177</v>
      </c>
      <c r="AK225" s="14">
        <f t="shared" si="32"/>
        <v>7.8673817590792243</v>
      </c>
      <c r="AL225" s="11">
        <f t="shared" si="37"/>
        <v>-6.5516854484480893</v>
      </c>
      <c r="AM225" s="13">
        <f>'[7]D6 Gallon Forecast'!$Y41/1000000</f>
        <v>1252.3065804755938</v>
      </c>
    </row>
    <row r="226" spans="1:39" x14ac:dyDescent="0.25">
      <c r="A226" s="10">
        <v>50406</v>
      </c>
      <c r="C226" s="15">
        <f>[6]Biodiesel!$AD3</f>
        <v>50727042.91684147</v>
      </c>
      <c r="D226" s="15">
        <f>AVERAGE([6]Biodiesel!$Y3:$AC3)</f>
        <v>86976078.526288226</v>
      </c>
      <c r="E226" s="15">
        <f t="shared" si="39"/>
        <v>-36249035.609446757</v>
      </c>
      <c r="F226" s="15">
        <f>[6]Biodiesel!$AD35</f>
        <v>57063759.963246085</v>
      </c>
      <c r="G226" s="15">
        <f>AVERAGE([6]Biodiesel!$Y35:$AC35)</f>
        <v>97607681.57081154</v>
      </c>
      <c r="H226" s="15">
        <f t="shared" si="33"/>
        <v>-40543921.607565455</v>
      </c>
      <c r="K226" s="15">
        <f>'[6]Renewable Diesel'!$AD49</f>
        <v>463853768.06338322</v>
      </c>
      <c r="L226" s="15">
        <f>AVERAGE('[6]Renewable Diesel'!$Y49:$AC49)</f>
        <v>281982763.04955709</v>
      </c>
      <c r="M226" s="15">
        <f t="shared" si="34"/>
        <v>181871005.01382613</v>
      </c>
      <c r="N226" s="15">
        <f>'[6]Renewable Diesel'!$AD3</f>
        <v>467748370.47261816</v>
      </c>
      <c r="O226" s="15">
        <f>AVERAGE('[6]Renewable Diesel'!$Y3:$AC3)</f>
        <v>291150343.54490834</v>
      </c>
      <c r="P226" s="15">
        <f t="shared" si="35"/>
        <v>176598026.92770982</v>
      </c>
      <c r="S226" s="11">
        <f>'[8]Soy Complex'!$CA597</f>
        <v>-326.31972580807013</v>
      </c>
      <c r="T226" s="11"/>
      <c r="U226" s="11"/>
      <c r="V226" s="11"/>
      <c r="W226" s="11" t="e">
        <f>#REF!*100</f>
        <v>#REF!</v>
      </c>
      <c r="X226" s="11"/>
      <c r="AA226" s="14">
        <f t="shared" si="38"/>
        <v>141.87163308394906</v>
      </c>
      <c r="AB226" s="14">
        <v>16</v>
      </c>
      <c r="AC226" s="14">
        <v>100</v>
      </c>
      <c r="AJ226" s="14">
        <f t="shared" si="36"/>
        <v>3.7899660103552506</v>
      </c>
      <c r="AK226" s="14">
        <f t="shared" si="32"/>
        <v>8.0757308595412116</v>
      </c>
      <c r="AL226" s="11">
        <f t="shared" si="37"/>
        <v>-6.722171570128622</v>
      </c>
      <c r="AM226" s="13">
        <f>'[7]D6 Gallon Forecast'!$Z30/1000000</f>
        <v>1.0691584624541935E-7</v>
      </c>
    </row>
    <row r="227" spans="1:39" x14ac:dyDescent="0.25">
      <c r="A227" s="10">
        <v>50437</v>
      </c>
      <c r="C227" s="15">
        <f>[6]Biodiesel!$AD4</f>
        <v>46890870.309038959</v>
      </c>
      <c r="D227" s="15">
        <f>AVERAGE([6]Biodiesel!$Y4:$AC4)</f>
        <v>80398615.485054001</v>
      </c>
      <c r="E227" s="15">
        <f t="shared" si="39"/>
        <v>-33507745.176015042</v>
      </c>
      <c r="F227" s="15">
        <f>[6]Biodiesel!$AD36</f>
        <v>55503174.811360516</v>
      </c>
      <c r="G227" s="15">
        <f>AVERAGE([6]Biodiesel!$Y36:$AC36)</f>
        <v>94848148.59450461</v>
      </c>
      <c r="H227" s="15">
        <f t="shared" si="33"/>
        <v>-39344973.783144094</v>
      </c>
      <c r="K227" s="15">
        <f>'[6]Renewable Diesel'!$AD50</f>
        <v>473349614.02018708</v>
      </c>
      <c r="L227" s="15">
        <f>AVERAGE('[6]Renewable Diesel'!$Y50:$AC50)</f>
        <v>300720166.44641608</v>
      </c>
      <c r="M227" s="15">
        <f t="shared" si="34"/>
        <v>172629447.573771</v>
      </c>
      <c r="N227" s="15">
        <f>'[6]Renewable Diesel'!$AD4</f>
        <v>478719795.59190363</v>
      </c>
      <c r="O227" s="15">
        <f>AVERAGE('[6]Renewable Diesel'!$Y4:$AC4)</f>
        <v>313258628.77845639</v>
      </c>
      <c r="P227" s="15">
        <f t="shared" si="35"/>
        <v>165461166.81344724</v>
      </c>
      <c r="S227" s="11">
        <f>'[8]Soy Complex'!$CA598</f>
        <v>-375.53139328977716</v>
      </c>
      <c r="T227" s="11"/>
      <c r="U227" s="11"/>
      <c r="V227" s="11"/>
      <c r="W227" s="11" t="e">
        <f>#REF!*100</f>
        <v>#REF!</v>
      </c>
      <c r="X227" s="11"/>
      <c r="AA227" s="14">
        <f t="shared" si="38"/>
        <v>151.64645520623733</v>
      </c>
      <c r="AB227" s="14">
        <v>16</v>
      </c>
      <c r="AC227" s="14">
        <v>100</v>
      </c>
      <c r="AJ227" s="14">
        <f t="shared" si="36"/>
        <v>3.8381065881887801</v>
      </c>
      <c r="AK227" s="14">
        <f t="shared" si="32"/>
        <v>8.1664084888405224</v>
      </c>
      <c r="AL227" s="11">
        <f t="shared" si="37"/>
        <v>-6.7956561359159577</v>
      </c>
      <c r="AM227" s="13">
        <f>'[7]D6 Gallon Forecast'!$Z31/1000000</f>
        <v>2517.9393990315589</v>
      </c>
    </row>
    <row r="228" spans="1:39" x14ac:dyDescent="0.25">
      <c r="A228" s="10">
        <v>50465</v>
      </c>
      <c r="C228" s="15">
        <f>[6]Biodiesel!$AD5</f>
        <v>53664273.470572583</v>
      </c>
      <c r="D228" s="15">
        <f>AVERAGE([6]Biodiesel!$Y5:$AC5)</f>
        <v>92010765.211930573</v>
      </c>
      <c r="E228" s="15">
        <f t="shared" si="39"/>
        <v>-38346491.74135799</v>
      </c>
      <c r="F228" s="15">
        <f>[6]Biodiesel!$AD37</f>
        <v>60895472.245658942</v>
      </c>
      <c r="G228" s="15">
        <f>AVERAGE([6]Biodiesel!$Y37:$AC37)</f>
        <v>104141725.51235324</v>
      </c>
      <c r="H228" s="15">
        <f t="shared" si="33"/>
        <v>-43246253.2666943</v>
      </c>
      <c r="K228" s="15">
        <f>'[6]Renewable Diesel'!$AD51</f>
        <v>554812330.34648669</v>
      </c>
      <c r="L228" s="15">
        <f>AVERAGE('[6]Renewable Diesel'!$Y51:$AC51)</f>
        <v>331813999.45905435</v>
      </c>
      <c r="M228" s="15">
        <f t="shared" si="34"/>
        <v>222998330.88743234</v>
      </c>
      <c r="N228" s="15">
        <f>'[6]Renewable Diesel'!$AD5</f>
        <v>559592419.31481445</v>
      </c>
      <c r="O228" s="15">
        <f>AVERAGE('[6]Renewable Diesel'!$Y5:$AC5)</f>
        <v>343112222.45012891</v>
      </c>
      <c r="P228" s="15">
        <f t="shared" si="35"/>
        <v>216480196.86468554</v>
      </c>
      <c r="S228" s="11">
        <f>'[8]Soy Complex'!$CA599</f>
        <v>-429.90942764187764</v>
      </c>
      <c r="T228" s="11"/>
      <c r="U228" s="11"/>
      <c r="V228" s="11"/>
      <c r="W228" s="11" t="e">
        <f>#REF!*100</f>
        <v>#REF!</v>
      </c>
      <c r="X228" s="11"/>
      <c r="AA228" s="14">
        <f t="shared" si="38"/>
        <v>106.86705253026548</v>
      </c>
      <c r="AB228" s="14">
        <v>16</v>
      </c>
      <c r="AC228" s="14">
        <v>100</v>
      </c>
      <c r="AJ228" s="14">
        <f t="shared" si="36"/>
        <v>3.9946126906918904</v>
      </c>
      <c r="AK228" s="14">
        <f t="shared" si="32"/>
        <v>8.3833832797330423</v>
      </c>
      <c r="AL228" s="11">
        <f t="shared" si="37"/>
        <v>-6.9567358902002248</v>
      </c>
      <c r="AM228" s="13">
        <f>'[7]D6 Gallon Forecast'!$Z32/1000000</f>
        <v>2.0339999999999998E-3</v>
      </c>
    </row>
    <row r="229" spans="1:39" x14ac:dyDescent="0.25">
      <c r="A229" s="10">
        <v>50496</v>
      </c>
      <c r="C229" s="15">
        <f>[6]Biodiesel!$AD6</f>
        <v>53108051.139805883</v>
      </c>
      <c r="D229" s="15">
        <f>AVERAGE([6]Biodiesel!$Y6:$AC6)</f>
        <v>90911319.076214284</v>
      </c>
      <c r="E229" s="15">
        <f t="shared" si="39"/>
        <v>-37803267.936408401</v>
      </c>
      <c r="F229" s="15">
        <f>[6]Biodiesel!$AD38</f>
        <v>62049636.582456954</v>
      </c>
      <c r="G229" s="15">
        <f>AVERAGE([6]Biodiesel!$Y38:$AC38)</f>
        <v>105913312.42999551</v>
      </c>
      <c r="H229" s="15">
        <f t="shared" si="33"/>
        <v>-43863675.847538553</v>
      </c>
      <c r="K229" s="15">
        <f>'[6]Renewable Diesel'!$AD52</f>
        <v>489460574.65842646</v>
      </c>
      <c r="L229" s="15">
        <f>AVERAGE('[6]Renewable Diesel'!$Y52:$AC52)</f>
        <v>308978105.65669888</v>
      </c>
      <c r="M229" s="15">
        <f t="shared" si="34"/>
        <v>180482469.00172758</v>
      </c>
      <c r="N229" s="15">
        <f>'[6]Renewable Diesel'!$AD6</f>
        <v>494051979.92231733</v>
      </c>
      <c r="O229" s="15">
        <f>AVERAGE('[6]Renewable Diesel'!$Y6:$AC6)</f>
        <v>319821584.1169399</v>
      </c>
      <c r="P229" s="15">
        <f t="shared" si="35"/>
        <v>174230395.80537742</v>
      </c>
      <c r="S229" s="11">
        <f>'[8]Soy Complex'!$CA600</f>
        <v>-489.77217095174575</v>
      </c>
      <c r="T229" s="11"/>
      <c r="U229" s="11"/>
      <c r="V229" s="11"/>
      <c r="W229" s="11" t="e">
        <f>#REF!*100</f>
        <v>#REF!</v>
      </c>
      <c r="X229" s="11"/>
      <c r="AA229" s="14">
        <f t="shared" si="38"/>
        <v>143.94970292002023</v>
      </c>
      <c r="AB229" s="14">
        <v>16</v>
      </c>
      <c r="AC229" s="14">
        <v>100</v>
      </c>
      <c r="AJ229" s="14">
        <f t="shared" si="36"/>
        <v>4.140550449711685</v>
      </c>
      <c r="AK229" s="14">
        <f t="shared" si="32"/>
        <v>8.3790093411004509</v>
      </c>
      <c r="AL229" s="11">
        <f t="shared" si="37"/>
        <v>-6.9002413233462772</v>
      </c>
      <c r="AM229" s="13">
        <f>'[7]D6 Gallon Forecast'!$Z33/1000000</f>
        <v>1293.0221156115513</v>
      </c>
    </row>
    <row r="230" spans="1:39" x14ac:dyDescent="0.25">
      <c r="A230" s="10">
        <v>50526</v>
      </c>
      <c r="C230" s="15">
        <f>[6]Biodiesel!$AD7</f>
        <v>57089527.997654743</v>
      </c>
      <c r="D230" s="15">
        <f>AVERAGE([6]Biodiesel!$Y7:$AC7)</f>
        <v>97727956.653224349</v>
      </c>
      <c r="E230" s="15">
        <f t="shared" si="39"/>
        <v>-40638428.655569606</v>
      </c>
      <c r="F230" s="15">
        <f>[6]Biodiesel!$AD39</f>
        <v>64185032.279063277</v>
      </c>
      <c r="G230" s="15">
        <f>AVERAGE([6]Biodiesel!$Y39:$AC39)</f>
        <v>109632636.05869865</v>
      </c>
      <c r="H230" s="15">
        <f t="shared" si="33"/>
        <v>-45447603.779635377</v>
      </c>
      <c r="K230" s="15">
        <f>'[6]Renewable Diesel'!$AD53</f>
        <v>545887960.8005836</v>
      </c>
      <c r="L230" s="15">
        <f>AVERAGE('[6]Renewable Diesel'!$Y53:$AC53)</f>
        <v>344920412.78798538</v>
      </c>
      <c r="M230" s="15">
        <f t="shared" si="34"/>
        <v>200967548.01259822</v>
      </c>
      <c r="N230" s="15">
        <f>'[6]Renewable Diesel'!$AD7</f>
        <v>550926234.71416545</v>
      </c>
      <c r="O230" s="15">
        <f>AVERAGE('[6]Renewable Diesel'!$Y7:$AC7)</f>
        <v>356779057.11829507</v>
      </c>
      <c r="P230" s="15">
        <f t="shared" si="35"/>
        <v>194147177.59587038</v>
      </c>
      <c r="S230" s="11">
        <f>'[8]Soy Complex'!$CA601</f>
        <v>-556.21125154193169</v>
      </c>
      <c r="T230" s="11"/>
      <c r="U230" s="11"/>
      <c r="V230" s="11"/>
      <c r="W230" s="11" t="e">
        <f>#REF!*100</f>
        <v>#REF!</v>
      </c>
      <c r="X230" s="11"/>
      <c r="AA230" s="14">
        <f t="shared" si="38"/>
        <v>126.46874354250454</v>
      </c>
      <c r="AB230" s="14">
        <v>16</v>
      </c>
      <c r="AC230" s="14">
        <v>100</v>
      </c>
      <c r="AJ230" s="14">
        <f t="shared" si="36"/>
        <v>4.2116522131773158</v>
      </c>
      <c r="AK230" s="14">
        <f t="shared" si="32"/>
        <v>8.5027789128210305</v>
      </c>
      <c r="AL230" s="11">
        <f t="shared" si="37"/>
        <v>-6.9986174081148462</v>
      </c>
      <c r="AM230" s="13">
        <f>'[7]D6 Gallon Forecast'!$Z34/1000000</f>
        <v>1199.2731721161977</v>
      </c>
    </row>
    <row r="231" spans="1:39" x14ac:dyDescent="0.25">
      <c r="A231" s="10">
        <v>50557</v>
      </c>
      <c r="C231" s="15">
        <f>[6]Biodiesel!$AD8</f>
        <v>55568307.340391748</v>
      </c>
      <c r="D231" s="15">
        <f>AVERAGE([6]Biodiesel!$Y8:$AC8)</f>
        <v>95083289.669653744</v>
      </c>
      <c r="E231" s="15">
        <f t="shared" si="39"/>
        <v>-39514982.329261996</v>
      </c>
      <c r="F231" s="15">
        <f>[6]Biodiesel!$AD40</f>
        <v>63405532.511541285</v>
      </c>
      <c r="G231" s="15">
        <f>AVERAGE([6]Biodiesel!$Y40:$AC40)</f>
        <v>108232411.9012491</v>
      </c>
      <c r="H231" s="15">
        <f t="shared" si="33"/>
        <v>-44826879.389707811</v>
      </c>
      <c r="K231" s="15">
        <f>'[6]Renewable Diesel'!$AD54</f>
        <v>580822857.43324935</v>
      </c>
      <c r="L231" s="15">
        <f>AVERAGE('[6]Renewable Diesel'!$Y54:$AC54)</f>
        <v>352663320.92124754</v>
      </c>
      <c r="M231" s="15">
        <f t="shared" si="34"/>
        <v>228159536.51200181</v>
      </c>
      <c r="N231" s="15">
        <f>'[6]Renewable Diesel'!$AD8</f>
        <v>586816279.73144138</v>
      </c>
      <c r="O231" s="15">
        <f>AVERAGE('[6]Renewable Diesel'!$Y8:$AC8)</f>
        <v>366683424.62962252</v>
      </c>
      <c r="P231" s="15">
        <f t="shared" si="35"/>
        <v>220132855.10181886</v>
      </c>
      <c r="S231" s="11">
        <f>'[8]Soy Complex'!$CA602</f>
        <v>-629.47287951971498</v>
      </c>
      <c r="T231" s="11"/>
      <c r="U231" s="11"/>
      <c r="V231" s="11"/>
      <c r="W231" s="11" t="e">
        <f>#REF!*100</f>
        <v>#REF!</v>
      </c>
      <c r="X231" s="11"/>
      <c r="AA231" s="14">
        <f t="shared" si="38"/>
        <v>103.66111439553356</v>
      </c>
      <c r="AB231" s="14">
        <v>16</v>
      </c>
      <c r="AC231" s="14">
        <v>100</v>
      </c>
      <c r="AJ231" s="14">
        <f t="shared" si="36"/>
        <v>4.0186256348215394</v>
      </c>
      <c r="AK231" s="14">
        <f t="shared" si="32"/>
        <v>8.619376674287146</v>
      </c>
      <c r="AL231" s="11">
        <f t="shared" si="37"/>
        <v>-7.1841532332794529</v>
      </c>
      <c r="AM231" s="13">
        <f>'[7]D6 Gallon Forecast'!$Z35/1000000</f>
        <v>1292.6527487894018</v>
      </c>
    </row>
    <row r="232" spans="1:39" x14ac:dyDescent="0.25">
      <c r="A232" s="10">
        <v>50587</v>
      </c>
      <c r="C232" s="15">
        <f>[6]Biodiesel!$AD9</f>
        <v>55333210.064569958</v>
      </c>
      <c r="D232" s="15">
        <f>AVERAGE([6]Biodiesel!$Y9:$AC9)</f>
        <v>94675341.128494412</v>
      </c>
      <c r="E232" s="15">
        <f t="shared" si="39"/>
        <v>-39342131.063924454</v>
      </c>
      <c r="F232" s="15">
        <f>[6]Biodiesel!$AD41</f>
        <v>60776223.878189161</v>
      </c>
      <c r="G232" s="15">
        <f>AVERAGE([6]Biodiesel!$Y41:$AC41)</f>
        <v>103807508.7491222</v>
      </c>
      <c r="H232" s="15">
        <f t="shared" si="33"/>
        <v>-43031284.870933041</v>
      </c>
      <c r="K232" s="15">
        <f>'[6]Renewable Diesel'!$AD55</f>
        <v>546620270.73486531</v>
      </c>
      <c r="L232" s="15">
        <f>AVERAGE('[6]Renewable Diesel'!$Y55:$AC55)</f>
        <v>339447731.85913503</v>
      </c>
      <c r="M232" s="15">
        <f t="shared" si="34"/>
        <v>207172538.87573028</v>
      </c>
      <c r="N232" s="15">
        <f>'[6]Renewable Diesel'!$AD9</f>
        <v>550275774.60392761</v>
      </c>
      <c r="O232" s="15">
        <f>AVERAGE('[6]Renewable Diesel'!$Y9:$AC9)</f>
        <v>347909980.91151154</v>
      </c>
      <c r="P232" s="15">
        <f t="shared" si="35"/>
        <v>202365793.69241607</v>
      </c>
      <c r="S232" s="11">
        <f>'[8]Soy Complex'!$CA603</f>
        <v>-695.47559769184761</v>
      </c>
      <c r="T232" s="11"/>
      <c r="U232" s="11"/>
      <c r="V232" s="11"/>
      <c r="W232" s="11" t="e">
        <f>#REF!*100</f>
        <v>#REF!</v>
      </c>
      <c r="X232" s="11"/>
      <c r="AA232" s="14">
        <f t="shared" si="38"/>
        <v>119.25526419456639</v>
      </c>
      <c r="AB232" s="14">
        <v>16</v>
      </c>
      <c r="AC232" s="14">
        <v>100</v>
      </c>
      <c r="AJ232" s="14">
        <f t="shared" si="36"/>
        <v>3.2841846180563801</v>
      </c>
      <c r="AK232" s="14">
        <f t="shared" si="32"/>
        <v>8.5362999804680602</v>
      </c>
      <c r="AL232" s="11">
        <f t="shared" si="37"/>
        <v>-7.3633769025907814</v>
      </c>
      <c r="AM232" s="13">
        <f>'[7]D6 Gallon Forecast'!$Z36/1000000</f>
        <v>1204.3071063637153</v>
      </c>
    </row>
    <row r="233" spans="1:39" x14ac:dyDescent="0.25">
      <c r="A233" s="10">
        <v>50618</v>
      </c>
      <c r="C233" s="15">
        <f>[6]Biodiesel!$AD10</f>
        <v>57045234.18053782</v>
      </c>
      <c r="D233" s="15">
        <f>AVERAGE([6]Biodiesel!$Y10:$AC10)</f>
        <v>97603063.455485195</v>
      </c>
      <c r="E233" s="15">
        <f t="shared" si="39"/>
        <v>-40557829.274947375</v>
      </c>
      <c r="F233" s="15">
        <f>[6]Biodiesel!$AD42</f>
        <v>63603298.72490783</v>
      </c>
      <c r="G233" s="15">
        <f>AVERAGE([6]Biodiesel!$Y42:$AC42)</f>
        <v>108606038.41326158</v>
      </c>
      <c r="H233" s="15">
        <f t="shared" si="33"/>
        <v>-45002739.688353747</v>
      </c>
      <c r="K233" s="15">
        <f>'[6]Renewable Diesel'!$AD56</f>
        <v>611620828.28764093</v>
      </c>
      <c r="L233" s="15">
        <f>AVERAGE('[6]Renewable Diesel'!$Y56:$AC56)</f>
        <v>359629791.11993396</v>
      </c>
      <c r="M233" s="15">
        <f t="shared" si="34"/>
        <v>251991037.16770697</v>
      </c>
      <c r="N233" s="15">
        <f>'[6]Renewable Diesel'!$AD10</f>
        <v>614250606.99580133</v>
      </c>
      <c r="O233" s="15">
        <f>AVERAGE('[6]Renewable Diesel'!$Y10:$AC10)</f>
        <v>365813712.88785827</v>
      </c>
      <c r="P233" s="15">
        <f t="shared" si="35"/>
        <v>248436894.10794306</v>
      </c>
      <c r="S233" s="11">
        <f>'[8]Soy Complex'!$CA604</f>
        <v>-819.31978823121506</v>
      </c>
      <c r="T233" s="11"/>
      <c r="U233" s="11"/>
      <c r="V233" s="11"/>
      <c r="W233" s="11" t="e">
        <f>#REF!*100</f>
        <v>#REF!</v>
      </c>
      <c r="X233" s="11"/>
      <c r="AA233" s="14">
        <f t="shared" si="38"/>
        <v>78.818659359858373</v>
      </c>
      <c r="AB233" s="14">
        <v>16</v>
      </c>
      <c r="AC233" s="14">
        <v>100</v>
      </c>
      <c r="AJ233" s="14">
        <f t="shared" si="36"/>
        <v>3.2214484537609627</v>
      </c>
      <c r="AK233" s="14">
        <f t="shared" si="32"/>
        <v>8.462964177293383</v>
      </c>
      <c r="AL233" s="11">
        <f t="shared" si="37"/>
        <v>-7.3124468723787537</v>
      </c>
      <c r="AM233" s="13">
        <f>'[7]D6 Gallon Forecast'!$Z37/1000000</f>
        <v>1319.3257494533723</v>
      </c>
    </row>
    <row r="234" spans="1:39" x14ac:dyDescent="0.25">
      <c r="A234" s="10">
        <v>50649</v>
      </c>
      <c r="C234" s="15">
        <f>[6]Biodiesel!$AD11</f>
        <v>53827198.273566782</v>
      </c>
      <c r="D234" s="15">
        <f>AVERAGE([6]Biodiesel!$Y11:$AC11)</f>
        <v>92085789.071224242</v>
      </c>
      <c r="E234" s="15">
        <f t="shared" si="39"/>
        <v>-38258590.79765746</v>
      </c>
      <c r="F234" s="15">
        <f>[6]Biodiesel!$AD43</f>
        <v>60641664.881790288</v>
      </c>
      <c r="G234" s="15">
        <f>AVERAGE([6]Biodiesel!$Y43:$AC43)</f>
        <v>103518949.71391036</v>
      </c>
      <c r="H234" s="15">
        <f t="shared" si="33"/>
        <v>-42877284.832120068</v>
      </c>
      <c r="K234" s="15">
        <f>'[6]Renewable Diesel'!$AD57</f>
        <v>600991036.60207057</v>
      </c>
      <c r="L234" s="15">
        <f>AVERAGE('[6]Renewable Diesel'!$Y57:$AC57)</f>
        <v>360347829.67355573</v>
      </c>
      <c r="M234" s="15">
        <f t="shared" si="34"/>
        <v>240643206.92851484</v>
      </c>
      <c r="N234" s="15">
        <f>'[6]Renewable Diesel'!$AD11</f>
        <v>603907438.77239347</v>
      </c>
      <c r="O234" s="15">
        <f>AVERAGE('[6]Renewable Diesel'!$Y11:$AC11)</f>
        <v>367358238.55896169</v>
      </c>
      <c r="P234" s="15">
        <f t="shared" si="35"/>
        <v>236549200.21343178</v>
      </c>
      <c r="S234" s="11">
        <f>'[8]Soy Complex'!$CA605</f>
        <v>-916.96698866434315</v>
      </c>
      <c r="T234" s="11"/>
      <c r="U234" s="11"/>
      <c r="V234" s="11"/>
      <c r="W234" s="11" t="e">
        <f>#REF!*100</f>
        <v>#REF!</v>
      </c>
      <c r="X234" s="11"/>
      <c r="AA234" s="14">
        <f t="shared" si="38"/>
        <v>89.252488291070904</v>
      </c>
      <c r="AB234" s="14">
        <v>16</v>
      </c>
      <c r="AC234" s="14">
        <v>100</v>
      </c>
      <c r="AJ234" s="14">
        <f t="shared" si="36"/>
        <v>3.3872748289854977</v>
      </c>
      <c r="AK234" s="14">
        <f t="shared" si="32"/>
        <v>8.2407337649407122</v>
      </c>
      <c r="AL234" s="11">
        <f t="shared" si="37"/>
        <v>-7.0309927545887483</v>
      </c>
      <c r="AM234" s="13">
        <f>'[7]D6 Gallon Forecast'!$Z38/1000000</f>
        <v>1334.8326820635223</v>
      </c>
    </row>
    <row r="235" spans="1:39" x14ac:dyDescent="0.25">
      <c r="A235" s="10">
        <v>50679</v>
      </c>
      <c r="C235" s="15">
        <f>[6]Biodiesel!$AD12</f>
        <v>55323127.814930208</v>
      </c>
      <c r="D235" s="15">
        <f>AVERAGE([6]Biodiesel!$Y12:$AC12)</f>
        <v>94650889.828758463</v>
      </c>
      <c r="E235" s="15">
        <f t="shared" si="39"/>
        <v>-39327762.013828255</v>
      </c>
      <c r="F235" s="15">
        <f>[6]Biodiesel!$AD44</f>
        <v>62951656.127985999</v>
      </c>
      <c r="G235" s="15">
        <f>AVERAGE([6]Biodiesel!$Y44:$AC44)</f>
        <v>107449865.10955207</v>
      </c>
      <c r="H235" s="15">
        <f t="shared" si="33"/>
        <v>-44498208.981566072</v>
      </c>
      <c r="K235" s="15">
        <f>'[6]Renewable Diesel'!$AD58</f>
        <v>611376543.91071272</v>
      </c>
      <c r="L235" s="15">
        <f>AVERAGE('[6]Renewable Diesel'!$Y58:$AC58)</f>
        <v>382833123.26000726</v>
      </c>
      <c r="M235" s="15">
        <f t="shared" si="34"/>
        <v>228543420.65070546</v>
      </c>
      <c r="N235" s="15">
        <f>'[6]Renewable Diesel'!$AD12</f>
        <v>615609740.33870792</v>
      </c>
      <c r="O235" s="15">
        <f>AVERAGE('[6]Renewable Diesel'!$Y12:$AC12)</f>
        <v>392812703.2879113</v>
      </c>
      <c r="P235" s="15">
        <f t="shared" si="35"/>
        <v>222797037.05079663</v>
      </c>
      <c r="S235" s="11">
        <f>'[8]Soy Complex'!$CB594</f>
        <v>-975.65792829373697</v>
      </c>
      <c r="T235" s="11"/>
      <c r="U235" s="11"/>
      <c r="V235" s="11"/>
      <c r="W235" s="11" t="e">
        <f>#REF!*100</f>
        <v>#REF!</v>
      </c>
      <c r="X235" s="11"/>
      <c r="AA235" s="14">
        <f t="shared" si="38"/>
        <v>101.32276189891579</v>
      </c>
      <c r="AB235" s="14">
        <v>16</v>
      </c>
      <c r="AC235" s="14">
        <v>100</v>
      </c>
      <c r="AJ235" s="14">
        <f t="shared" si="36"/>
        <v>3.4851536413508404</v>
      </c>
      <c r="AK235" s="14">
        <f t="shared" si="32"/>
        <v>8.2315840375714</v>
      </c>
      <c r="AL235" s="11">
        <f t="shared" si="37"/>
        <v>-6.9868863085175281</v>
      </c>
      <c r="AM235" s="13">
        <f>'[7]D6 Gallon Forecast'!$Z39/1000000</f>
        <v>1370.6763963275357</v>
      </c>
    </row>
    <row r="236" spans="1:39" x14ac:dyDescent="0.25">
      <c r="A236" s="10">
        <v>50710</v>
      </c>
      <c r="C236" s="15">
        <f>[6]Biodiesel!$AD13</f>
        <v>52552972.846325204</v>
      </c>
      <c r="D236" s="15">
        <f>AVERAGE([6]Biodiesel!$Y13:$AC13)</f>
        <v>89894539.625792116</v>
      </c>
      <c r="E236" s="15">
        <f t="shared" si="39"/>
        <v>-37341566.779466912</v>
      </c>
      <c r="F236" s="15">
        <f>[6]Biodiesel!$AD45</f>
        <v>59544524.1334268</v>
      </c>
      <c r="G236" s="15">
        <f>AVERAGE([6]Biodiesel!$Y45:$AC45)</f>
        <v>101624809.00748478</v>
      </c>
      <c r="H236" s="15">
        <f t="shared" si="33"/>
        <v>-42080284.874057978</v>
      </c>
      <c r="K236" s="15">
        <f>'[6]Renewable Diesel'!$AD59</f>
        <v>715297346.80926228</v>
      </c>
      <c r="L236" s="15">
        <f>AVERAGE('[6]Renewable Diesel'!$Y59:$AC59)</f>
        <v>457760345.04892862</v>
      </c>
      <c r="M236" s="15">
        <f t="shared" si="34"/>
        <v>257537001.76033366</v>
      </c>
      <c r="N236" s="15">
        <f>'[6]Renewable Diesel'!$AD13</f>
        <v>718644750.21465671</v>
      </c>
      <c r="O236" s="15">
        <f>AVERAGE('[6]Renewable Diesel'!$Y13:$AC13)</f>
        <v>465635415.73997086</v>
      </c>
      <c r="P236" s="15">
        <f t="shared" si="35"/>
        <v>253009334.47468585</v>
      </c>
      <c r="S236" s="11">
        <f>'[8]Soy Complex'!$CB595</f>
        <v>-1076.1222012810344</v>
      </c>
      <c r="T236" s="11"/>
      <c r="U236" s="11"/>
      <c r="V236" s="11"/>
      <c r="W236" s="11" t="e">
        <f>#REF!*100</f>
        <v>#REF!</v>
      </c>
      <c r="X236" s="11"/>
      <c r="AA236" s="14">
        <f t="shared" si="38"/>
        <v>74.805428449968218</v>
      </c>
      <c r="AB236" s="14">
        <v>16</v>
      </c>
      <c r="AC236" s="14">
        <v>100</v>
      </c>
      <c r="AJ236" s="14">
        <f t="shared" si="36"/>
        <v>3.5361473011127984</v>
      </c>
      <c r="AK236" s="14">
        <f t="shared" si="32"/>
        <v>8.3412233207311832</v>
      </c>
      <c r="AL236" s="11">
        <f t="shared" si="37"/>
        <v>-7.078313570333755</v>
      </c>
      <c r="AM236" s="13">
        <f>'[7]D6 Gallon Forecast'!$Z40/1000000</f>
        <v>1374.4808378765597</v>
      </c>
    </row>
    <row r="237" spans="1:39" x14ac:dyDescent="0.25">
      <c r="A237" s="10">
        <v>50740</v>
      </c>
      <c r="C237" s="15">
        <f>[6]Biodiesel!$AD14</f>
        <v>49403031.337970763</v>
      </c>
      <c r="D237" s="15">
        <f>AVERAGE([6]Biodiesel!$Y14:$AC14)</f>
        <v>84506317.003570855</v>
      </c>
      <c r="E237" s="15">
        <f t="shared" si="39"/>
        <v>-35103285.665600091</v>
      </c>
      <c r="F237" s="15">
        <f>[6]Biodiesel!$AD46</f>
        <v>59914909.552578986</v>
      </c>
      <c r="G237" s="15">
        <f>AVERAGE([6]Biodiesel!$Y46:$AC46)</f>
        <v>102142912.67474684</v>
      </c>
      <c r="H237" s="15">
        <f t="shared" si="33"/>
        <v>-42228003.122167856</v>
      </c>
      <c r="K237" s="15">
        <f>'[6]Renewable Diesel'!$AD60</f>
        <v>797613710.88811898</v>
      </c>
      <c r="L237" s="15">
        <f>AVERAGE('[6]Renewable Diesel'!$Y60:$AC60)</f>
        <v>515651566.08844364</v>
      </c>
      <c r="M237" s="15">
        <f t="shared" si="34"/>
        <v>281962144.79967535</v>
      </c>
      <c r="N237" s="15">
        <f>'[6]Renewable Diesel'!$AD14</f>
        <v>801167527.88223994</v>
      </c>
      <c r="O237" s="15">
        <f>AVERAGE('[6]Renewable Diesel'!$Y14:$AC14)</f>
        <v>524072544.09639913</v>
      </c>
      <c r="P237" s="15">
        <f t="shared" si="35"/>
        <v>277094983.78584081</v>
      </c>
      <c r="S237" s="11">
        <f>'[8]Soy Complex'!$CB596</f>
        <v>-1154.4278494223811</v>
      </c>
      <c r="T237" s="11"/>
      <c r="U237" s="11"/>
      <c r="V237" s="11"/>
      <c r="W237" s="11" t="e">
        <f>#REF!*100</f>
        <v>#REF!</v>
      </c>
      <c r="X237" s="11"/>
      <c r="AA237" s="14">
        <f t="shared" si="38"/>
        <v>53.665454049567501</v>
      </c>
      <c r="AB237" s="14">
        <v>16</v>
      </c>
      <c r="AC237" s="14">
        <v>100</v>
      </c>
      <c r="AJ237" s="14">
        <f t="shared" si="36"/>
        <v>3.5882638092827985</v>
      </c>
      <c r="AK237" s="14">
        <f t="shared" si="32"/>
        <v>8.2364808318131466</v>
      </c>
      <c r="AL237" s="11">
        <f t="shared" si="37"/>
        <v>-6.9549580427835753</v>
      </c>
      <c r="AM237" s="13">
        <f>'[7]D6 Gallon Forecast'!$Z41/1000000</f>
        <v>1262.3120883939287</v>
      </c>
    </row>
    <row r="238" spans="1:39" x14ac:dyDescent="0.25">
      <c r="A238" s="10">
        <v>50771</v>
      </c>
      <c r="C238" s="15">
        <f>[6]Biodiesel!$AE3</f>
        <v>47100470.515124187</v>
      </c>
      <c r="D238" s="15">
        <f>AVERAGE([6]Biodiesel!$Z3:$AD3)</f>
        <v>75424659.339672238</v>
      </c>
      <c r="E238" s="15">
        <f t="shared" si="39"/>
        <v>-28324188.824548051</v>
      </c>
      <c r="F238" s="15">
        <f>[6]Biodiesel!$AE35</f>
        <v>52374886.161952049</v>
      </c>
      <c r="G238" s="15">
        <f>AVERAGE([6]Biodiesel!$Z35:$AD35)</f>
        <v>84777956.420047</v>
      </c>
      <c r="H238" s="15">
        <f t="shared" si="33"/>
        <v>-32403070.258094952</v>
      </c>
      <c r="K238" s="15">
        <f>'[6]Renewable Diesel'!$AE49</f>
        <v>523115522.99984121</v>
      </c>
      <c r="L238" s="15">
        <f>AVERAGE('[6]Renewable Diesel'!$Z49:$AD49)</f>
        <v>327186182.09627616</v>
      </c>
      <c r="M238" s="15">
        <f t="shared" si="34"/>
        <v>195929340.90356505</v>
      </c>
      <c r="N238" s="15">
        <f>'[6]Renewable Diesel'!$AE3</f>
        <v>526997051.31255686</v>
      </c>
      <c r="O238" s="15">
        <f>AVERAGE('[6]Renewable Diesel'!$Z3:$AD3)</f>
        <v>334639517.24992216</v>
      </c>
      <c r="P238" s="15">
        <f t="shared" si="35"/>
        <v>192357534.06263471</v>
      </c>
      <c r="S238" s="11">
        <f>'[8]Soy Complex'!$CB597</f>
        <v>-1190.3680694454233</v>
      </c>
      <c r="T238" s="11"/>
      <c r="U238" s="11"/>
      <c r="V238" s="11"/>
      <c r="W238" s="11" t="e">
        <f>#REF!*100</f>
        <v>#REF!</v>
      </c>
      <c r="X238" s="11"/>
      <c r="AA238" s="14">
        <f t="shared" si="38"/>
        <v>128.03951367162551</v>
      </c>
      <c r="AB238" s="14">
        <v>16</v>
      </c>
      <c r="AC238" s="14">
        <v>100</v>
      </c>
      <c r="AJ238" s="14">
        <f t="shared" si="36"/>
        <v>3.7029014124558541</v>
      </c>
      <c r="AK238" s="14">
        <f t="shared" si="32"/>
        <v>8.442406923930788</v>
      </c>
      <c r="AL238" s="11">
        <f t="shared" si="37"/>
        <v>-7.1199421337679833</v>
      </c>
      <c r="AM238" s="13">
        <f>'[7]D6 Gallon Forecast'!$AA30/1000000</f>
        <v>1.069380954319404E-7</v>
      </c>
    </row>
    <row r="239" spans="1:39" x14ac:dyDescent="0.25">
      <c r="A239" s="10">
        <v>50802</v>
      </c>
      <c r="C239" s="15">
        <f>[6]Biodiesel!$AE4</f>
        <v>44367672.007979922</v>
      </c>
      <c r="D239" s="15">
        <f>AVERAGE([6]Biodiesel!$Z4:$AD4)</f>
        <v>71048473.832584053</v>
      </c>
      <c r="E239" s="15">
        <f t="shared" si="39"/>
        <v>-26680801.824604131</v>
      </c>
      <c r="F239" s="15">
        <f>[6]Biodiesel!$AE36</f>
        <v>51527523.001630589</v>
      </c>
      <c r="G239" s="15">
        <f>AVERAGE([6]Biodiesel!$Z36:$AD36)</f>
        <v>83745276.261324584</v>
      </c>
      <c r="H239" s="15">
        <f t="shared" si="33"/>
        <v>-32217753.259693995</v>
      </c>
      <c r="K239" s="15">
        <f>'[6]Renewable Diesel'!$AE50</f>
        <v>513546287.11041754</v>
      </c>
      <c r="L239" s="15">
        <f>AVERAGE('[6]Renewable Diesel'!$Z50:$AD50)</f>
        <v>343703125.6300258</v>
      </c>
      <c r="M239" s="15">
        <f t="shared" si="34"/>
        <v>169843161.48039174</v>
      </c>
      <c r="N239" s="15">
        <f>'[6]Renewable Diesel'!$AE4</f>
        <v>518933968.94309884</v>
      </c>
      <c r="O239" s="15">
        <f>AVERAGE('[6]Renewable Diesel'!$Z4:$AD4)</f>
        <v>353877852.77780247</v>
      </c>
      <c r="P239" s="15">
        <f t="shared" si="35"/>
        <v>165056116.16529638</v>
      </c>
      <c r="S239" s="11">
        <f>'[8]Soy Complex'!$CB598</f>
        <v>-1237.4360470699016</v>
      </c>
      <c r="T239" s="11"/>
      <c r="U239" s="11"/>
      <c r="V239" s="11"/>
      <c r="W239" s="11" t="e">
        <f>#REF!*100</f>
        <v>#REF!</v>
      </c>
      <c r="X239" s="11"/>
      <c r="AA239" s="14">
        <f t="shared" si="38"/>
        <v>152.00196816011936</v>
      </c>
      <c r="AB239" s="14">
        <v>16</v>
      </c>
      <c r="AC239" s="14">
        <v>100</v>
      </c>
      <c r="AJ239" s="14">
        <f t="shared" si="36"/>
        <v>3.7595998343278483</v>
      </c>
      <c r="AK239" s="14">
        <f t="shared" si="32"/>
        <v>8.5318692906325211</v>
      </c>
      <c r="AL239" s="11">
        <f t="shared" si="37"/>
        <v>-7.1891550640868607</v>
      </c>
      <c r="AM239" s="13">
        <f>'[7]D6 Gallon Forecast'!$AA31/1000000</f>
        <v>2668.2207239111517</v>
      </c>
    </row>
    <row r="240" spans="1:39" x14ac:dyDescent="0.25">
      <c r="A240" s="10">
        <v>50830</v>
      </c>
      <c r="C240" s="15">
        <f>[6]Biodiesel!$AE5</f>
        <v>50786525.971153505</v>
      </c>
      <c r="D240" s="15">
        <f>AVERAGE([6]Biodiesel!$Z5:$AD5)</f>
        <v>81326120.189547867</v>
      </c>
      <c r="E240" s="15">
        <f t="shared" si="39"/>
        <v>-30539594.218394361</v>
      </c>
      <c r="F240" s="15">
        <f>[6]Biodiesel!$AE37</f>
        <v>56812985.129724294</v>
      </c>
      <c r="G240" s="15">
        <f>AVERAGE([6]Biodiesel!$Z37:$AD37)</f>
        <v>92011461.270746723</v>
      </c>
      <c r="H240" s="15">
        <f t="shared" si="33"/>
        <v>-35198476.141022429</v>
      </c>
      <c r="K240" s="15">
        <f>'[6]Renewable Diesel'!$AE51</f>
        <v>634199247.43049812</v>
      </c>
      <c r="L240" s="15">
        <f>AVERAGE('[6]Renewable Diesel'!$Z51:$AD51)</f>
        <v>387195786.76299667</v>
      </c>
      <c r="M240" s="15">
        <f t="shared" si="34"/>
        <v>247003460.66750145</v>
      </c>
      <c r="N240" s="15">
        <f>'[6]Renewable Diesel'!$AE5</f>
        <v>639016600.61442196</v>
      </c>
      <c r="O240" s="15">
        <f>AVERAGE('[6]Renewable Diesel'!$Z5:$AD5)</f>
        <v>396391805.38674957</v>
      </c>
      <c r="P240" s="15">
        <f t="shared" si="35"/>
        <v>242624795.2276724</v>
      </c>
      <c r="S240" s="11">
        <f>'[8]Soy Complex'!$CB599</f>
        <v>-1289.2002343756585</v>
      </c>
      <c r="T240" s="11"/>
      <c r="U240" s="11"/>
      <c r="V240" s="11"/>
      <c r="W240" s="11" t="e">
        <f>#REF!*100</f>
        <v>#REF!</v>
      </c>
      <c r="X240" s="11"/>
      <c r="AA240" s="14">
        <f t="shared" si="38"/>
        <v>83.919938547071922</v>
      </c>
      <c r="AB240" s="14">
        <v>16</v>
      </c>
      <c r="AC240" s="14">
        <v>100</v>
      </c>
      <c r="AJ240" s="14">
        <f t="shared" si="36"/>
        <v>3.9220425536355421</v>
      </c>
      <c r="AK240" s="14">
        <f t="shared" si="32"/>
        <v>8.7404490585110839</v>
      </c>
      <c r="AL240" s="11">
        <f t="shared" si="37"/>
        <v>-7.339719575069819</v>
      </c>
      <c r="AM240" s="13">
        <f>'[7]D6 Gallon Forecast'!$AA32/1000000</f>
        <v>2.0349999999999999E-3</v>
      </c>
    </row>
    <row r="241" spans="1:39" x14ac:dyDescent="0.25">
      <c r="A241" s="10">
        <v>50861</v>
      </c>
      <c r="C241" s="15">
        <f>[6]Biodiesel!$AE6</f>
        <v>50269915.877223574</v>
      </c>
      <c r="D241" s="15">
        <f>AVERAGE([6]Biodiesel!$Z6:$AD6)</f>
        <v>80375987.36268051</v>
      </c>
      <c r="E241" s="15">
        <f t="shared" si="39"/>
        <v>-30106071.485456936</v>
      </c>
      <c r="F241" s="15">
        <f>[6]Biodiesel!$AE38</f>
        <v>57726998.139293477</v>
      </c>
      <c r="G241" s="15">
        <f>AVERAGE([6]Biodiesel!$Z38:$AD38)</f>
        <v>93599879.907417804</v>
      </c>
      <c r="H241" s="15">
        <f t="shared" si="33"/>
        <v>-35872881.768124327</v>
      </c>
      <c r="K241" s="15">
        <f>'[6]Renewable Diesel'!$AE52</f>
        <v>534102785.31808639</v>
      </c>
      <c r="L241" s="15">
        <f>AVERAGE('[6]Renewable Diesel'!$Z52:$AD52)</f>
        <v>353899670.93048722</v>
      </c>
      <c r="M241" s="15">
        <f t="shared" si="34"/>
        <v>180203114.38759917</v>
      </c>
      <c r="N241" s="15">
        <f>'[6]Renewable Diesel'!$AE6</f>
        <v>538713658.46668148</v>
      </c>
      <c r="O241" s="15">
        <f>AVERAGE('[6]Renewable Diesel'!$Z6:$AD6)</f>
        <v>362722199.815274</v>
      </c>
      <c r="P241" s="15">
        <f t="shared" si="35"/>
        <v>175991458.65140748</v>
      </c>
      <c r="S241" s="11">
        <f>'[8]Soy Complex'!$CB600</f>
        <v>-1347.0019415437914</v>
      </c>
      <c r="T241" s="11"/>
      <c r="U241" s="11"/>
      <c r="V241" s="11"/>
      <c r="W241" s="11" t="e">
        <f>#REF!*100</f>
        <v>#REF!</v>
      </c>
      <c r="X241" s="11"/>
      <c r="AA241" s="14">
        <f t="shared" si="38"/>
        <v>142.40401806005963</v>
      </c>
      <c r="AB241" s="14">
        <v>16</v>
      </c>
      <c r="AC241" s="14">
        <v>100</v>
      </c>
      <c r="AJ241" s="14">
        <f t="shared" si="36"/>
        <v>4.0741740399639816</v>
      </c>
      <c r="AK241" s="14">
        <f t="shared" si="32"/>
        <v>8.7345986455420999</v>
      </c>
      <c r="AL241" s="11">
        <f t="shared" si="37"/>
        <v>-7.2795364884121065</v>
      </c>
      <c r="AM241" s="13">
        <f>'[7]D6 Gallon Forecast'!$AA33/1000000</f>
        <v>1303.7150780139361</v>
      </c>
    </row>
    <row r="242" spans="1:39" x14ac:dyDescent="0.25">
      <c r="A242" s="10">
        <v>50891</v>
      </c>
      <c r="C242" s="15">
        <f>[6]Biodiesel!$AE7</f>
        <v>54009958.635979712</v>
      </c>
      <c r="D242" s="15">
        <f>AVERAGE([6]Biodiesel!$Z7:$AD7)</f>
        <v>86356732.797803938</v>
      </c>
      <c r="E242" s="15">
        <f t="shared" si="39"/>
        <v>-32346774.161824226</v>
      </c>
      <c r="F242" s="15">
        <f>[6]Biodiesel!$AE39</f>
        <v>59915394.211459547</v>
      </c>
      <c r="G242" s="15">
        <f>AVERAGE([6]Biodiesel!$Z39:$AD39)</f>
        <v>96829038.551654845</v>
      </c>
      <c r="H242" s="15">
        <f t="shared" si="33"/>
        <v>-36913644.340195298</v>
      </c>
      <c r="K242" s="15">
        <f>'[6]Renewable Diesel'!$AE53</f>
        <v>595224814.72377586</v>
      </c>
      <c r="L242" s="15">
        <f>AVERAGE('[6]Renewable Diesel'!$Z53:$AD53)</f>
        <v>394956548.39551562</v>
      </c>
      <c r="M242" s="15">
        <f t="shared" si="34"/>
        <v>200268266.32826024</v>
      </c>
      <c r="N242" s="15">
        <f>'[6]Renewable Diesel'!$AE7</f>
        <v>600253232.28868043</v>
      </c>
      <c r="O242" s="15">
        <f>AVERAGE('[6]Renewable Diesel'!$Z7:$AD7)</f>
        <v>404597549.77307791</v>
      </c>
      <c r="P242" s="15">
        <f t="shared" si="35"/>
        <v>195655682.51560253</v>
      </c>
      <c r="S242" s="11">
        <f>'[8]Soy Complex'!$CB601</f>
        <v>-1411.0809003478441</v>
      </c>
      <c r="T242" s="11"/>
      <c r="U242" s="11"/>
      <c r="V242" s="11"/>
      <c r="W242" s="11" t="e">
        <f>#REF!*100</f>
        <v>#REF!</v>
      </c>
      <c r="X242" s="11"/>
      <c r="AA242" s="14">
        <f t="shared" si="38"/>
        <v>125.14472877445564</v>
      </c>
      <c r="AB242" s="14">
        <v>16</v>
      </c>
      <c r="AC242" s="14">
        <v>100</v>
      </c>
      <c r="AJ242" s="14">
        <f t="shared" si="36"/>
        <v>4.1442918757494471</v>
      </c>
      <c r="AK242" s="14">
        <f t="shared" si="32"/>
        <v>8.8571243983881889</v>
      </c>
      <c r="AL242" s="11">
        <f t="shared" si="37"/>
        <v>-7.3770201570491007</v>
      </c>
      <c r="AM242" s="13">
        <f>'[7]D6 Gallon Forecast'!$AA34/1000000</f>
        <v>1207.4197482789812</v>
      </c>
    </row>
    <row r="243" spans="1:39" x14ac:dyDescent="0.25">
      <c r="A243" s="10">
        <v>50922</v>
      </c>
      <c r="C243" s="15">
        <f>[6]Biodiesel!$AE8</f>
        <v>52592298.963341601</v>
      </c>
      <c r="D243" s="15">
        <f>AVERAGE([6]Biodiesel!$Z8:$AD8)</f>
        <v>84055874.599573418</v>
      </c>
      <c r="E243" s="15">
        <f t="shared" si="39"/>
        <v>-31463575.636231817</v>
      </c>
      <c r="F243" s="15">
        <f>[6]Biodiesel!$AE40</f>
        <v>59121898.352460027</v>
      </c>
      <c r="G243" s="15">
        <f>AVERAGE([6]Biodiesel!$Z40:$AD40)</f>
        <v>95635030.84961012</v>
      </c>
      <c r="H243" s="15">
        <f t="shared" si="33"/>
        <v>-36513132.497150093</v>
      </c>
      <c r="K243" s="15">
        <f>'[6]Renewable Diesel'!$AE54</f>
        <v>655633077.55118299</v>
      </c>
      <c r="L243" s="15">
        <f>AVERAGE('[6]Renewable Diesel'!$Z54:$AD54)</f>
        <v>409352205.53335226</v>
      </c>
      <c r="M243" s="15">
        <f t="shared" si="34"/>
        <v>246280872.01783073</v>
      </c>
      <c r="N243" s="15">
        <f>'[6]Renewable Diesel'!$AE8</f>
        <v>661655022.25070131</v>
      </c>
      <c r="O243" s="15">
        <f>AVERAGE('[6]Renewable Diesel'!$Z8:$AD8)</f>
        <v>420734248.87613362</v>
      </c>
      <c r="P243" s="15">
        <f t="shared" si="35"/>
        <v>240920773.37456769</v>
      </c>
      <c r="S243" s="11">
        <f>'[8]Soy Complex'!$CB602</f>
        <v>-1483.1238667813152</v>
      </c>
      <c r="T243" s="11"/>
      <c r="U243" s="11"/>
      <c r="V243" s="11"/>
      <c r="W243" s="11" t="e">
        <f>#REF!*100</f>
        <v>#REF!</v>
      </c>
      <c r="X243" s="11"/>
      <c r="AA243" s="14">
        <f t="shared" si="38"/>
        <v>85.415558527541918</v>
      </c>
      <c r="AB243" s="14">
        <v>16</v>
      </c>
      <c r="AC243" s="14">
        <v>100</v>
      </c>
      <c r="AJ243" s="14">
        <f t="shared" si="36"/>
        <v>3.9488472541601345</v>
      </c>
      <c r="AK243" s="14">
        <f t="shared" si="32"/>
        <v>8.9737137305818884</v>
      </c>
      <c r="AL243" s="11">
        <f t="shared" si="37"/>
        <v>-7.5634111398104116</v>
      </c>
      <c r="AM243" s="13">
        <f>'[7]D6 Gallon Forecast'!$AA35/1000000</f>
        <v>1304.1620559616729</v>
      </c>
    </row>
    <row r="244" spans="1:39" x14ac:dyDescent="0.25">
      <c r="A244" s="10">
        <v>50952</v>
      </c>
      <c r="C244" s="15">
        <f>[6]Biodiesel!$AE9</f>
        <v>52360287.149967879</v>
      </c>
      <c r="D244" s="15">
        <f>AVERAGE([6]Biodiesel!$Z9:$AD9)</f>
        <v>83680250.223266676</v>
      </c>
      <c r="E244" s="15">
        <f t="shared" si="39"/>
        <v>-31319963.073298797</v>
      </c>
      <c r="F244" s="15">
        <f>[6]Biodiesel!$AE41</f>
        <v>56895427.833104663</v>
      </c>
      <c r="G244" s="15">
        <f>AVERAGE([6]Biodiesel!$Z41:$AD41)</f>
        <v>91722566.368029237</v>
      </c>
      <c r="H244" s="15">
        <f t="shared" si="33"/>
        <v>-34827138.534924574</v>
      </c>
      <c r="K244" s="15">
        <f>'[6]Renewable Diesel'!$AE55</f>
        <v>605236346.45691955</v>
      </c>
      <c r="L244" s="15">
        <f>AVERAGE('[6]Renewable Diesel'!$Z55:$AD55)</f>
        <v>390972145.81579572</v>
      </c>
      <c r="M244" s="15">
        <f t="shared" si="34"/>
        <v>214264200.64112383</v>
      </c>
      <c r="N244" s="15">
        <f>'[6]Renewable Diesel'!$AE9</f>
        <v>608801647.77400565</v>
      </c>
      <c r="O244" s="15">
        <f>AVERAGE('[6]Renewable Diesel'!$Z9:$AD9)</f>
        <v>397825390.96465003</v>
      </c>
      <c r="P244" s="15">
        <f t="shared" si="35"/>
        <v>210976256.80935562</v>
      </c>
      <c r="S244" s="11">
        <f>'[8]Soy Complex'!$CB603</f>
        <v>-1547.6097839794443</v>
      </c>
      <c r="T244" s="11"/>
      <c r="U244" s="11"/>
      <c r="V244" s="11"/>
      <c r="W244" s="11" t="e">
        <f>#REF!*100</f>
        <v>#REF!</v>
      </c>
      <c r="X244" s="11"/>
      <c r="AA244" s="14">
        <f t="shared" si="38"/>
        <v>111.69786071682856</v>
      </c>
      <c r="AB244" s="14">
        <v>16</v>
      </c>
      <c r="AC244" s="14">
        <v>100</v>
      </c>
      <c r="AJ244" s="14">
        <f t="shared" si="36"/>
        <v>3.2025743921013552</v>
      </c>
      <c r="AK244" s="14">
        <f t="shared" si="32"/>
        <v>8.8967106769169106</v>
      </c>
      <c r="AL244" s="11">
        <f t="shared" si="37"/>
        <v>-7.752934108309284</v>
      </c>
      <c r="AM244" s="13">
        <f>'[7]D6 Gallon Forecast'!$AA36/1000000</f>
        <v>1213.7957306116728</v>
      </c>
    </row>
    <row r="245" spans="1:39" x14ac:dyDescent="0.25">
      <c r="A245" s="10">
        <v>50983</v>
      </c>
      <c r="C245" s="15">
        <f>[6]Biodiesel!$AE10</f>
        <v>53996284.409559444</v>
      </c>
      <c r="D245" s="15">
        <f>AVERAGE([6]Biodiesel!$Z10:$AD10)</f>
        <v>86293577.765508264</v>
      </c>
      <c r="E245" s="15">
        <f t="shared" si="39"/>
        <v>-32297293.355948821</v>
      </c>
      <c r="F245" s="15">
        <f>[6]Biodiesel!$AE42</f>
        <v>59458174.210120827</v>
      </c>
      <c r="G245" s="15">
        <f>AVERAGE([6]Biodiesel!$Z42:$AD42)</f>
        <v>95979329.01183711</v>
      </c>
      <c r="H245" s="15">
        <f t="shared" si="33"/>
        <v>-36521154.801716283</v>
      </c>
      <c r="K245" s="15">
        <f>'[6]Renewable Diesel'!$AE56</f>
        <v>708799439.47134662</v>
      </c>
      <c r="L245" s="15">
        <f>AVERAGE('[6]Renewable Diesel'!$Z56:$AD56)</f>
        <v>422184960.70158565</v>
      </c>
      <c r="M245" s="15">
        <f t="shared" si="34"/>
        <v>286614478.76976097</v>
      </c>
      <c r="N245" s="15">
        <f>'[6]Renewable Diesel'!$AE10</f>
        <v>711473994.72048914</v>
      </c>
      <c r="O245" s="15">
        <f>AVERAGE('[6]Renewable Diesel'!$Z10:$AD10)</f>
        <v>427211361.00095379</v>
      </c>
      <c r="P245" s="15">
        <f t="shared" si="35"/>
        <v>284262633.71953535</v>
      </c>
      <c r="S245" s="11">
        <f>'[8]Soy Complex'!$CB604</f>
        <v>-1668.3868632310555</v>
      </c>
      <c r="T245" s="11"/>
      <c r="U245" s="11"/>
      <c r="V245" s="11"/>
      <c r="W245" s="11" t="e">
        <f>#REF!*100</f>
        <v>#REF!</v>
      </c>
      <c r="X245" s="11"/>
      <c r="AA245" s="14">
        <f t="shared" si="38"/>
        <v>47.374407702763818</v>
      </c>
      <c r="AB245" s="14">
        <v>16</v>
      </c>
      <c r="AC245" s="14">
        <v>100</v>
      </c>
      <c r="AJ245" s="14">
        <f t="shared" si="36"/>
        <v>3.1449266132636353</v>
      </c>
      <c r="AK245" s="14">
        <f t="shared" si="32"/>
        <v>8.8265884399222578</v>
      </c>
      <c r="AL245" s="11">
        <f t="shared" si="37"/>
        <v>-7.7034003637566739</v>
      </c>
      <c r="AM245" s="13">
        <f>'[7]D6 Gallon Forecast'!$AA37/1000000</f>
        <v>1330.2795065816829</v>
      </c>
    </row>
    <row r="246" spans="1:39" x14ac:dyDescent="0.25">
      <c r="A246" s="10">
        <v>51014</v>
      </c>
      <c r="C246" s="15">
        <f>[6]Biodiesel!$AE11</f>
        <v>50946441.434847653</v>
      </c>
      <c r="D246" s="15">
        <f>AVERAGE([6]Biodiesel!$Z11:$AD11)</f>
        <v>81409975.566198677</v>
      </c>
      <c r="E246" s="15">
        <f t="shared" si="39"/>
        <v>-30463534.131351024</v>
      </c>
      <c r="F246" s="15">
        <f>[6]Biodiesel!$AE43</f>
        <v>56626566.086343266</v>
      </c>
      <c r="G246" s="15">
        <f>AVERAGE([6]Biodiesel!$Z43:$AD43)</f>
        <v>91482729.948184237</v>
      </c>
      <c r="H246" s="15">
        <f t="shared" si="33"/>
        <v>-34856163.861840971</v>
      </c>
      <c r="K246" s="15">
        <f>'[6]Renewable Diesel'!$AE57</f>
        <v>685612188.44027996</v>
      </c>
      <c r="L246" s="15">
        <f>AVERAGE('[6]Renewable Diesel'!$Z57:$AD57)</f>
        <v>420133249.7406289</v>
      </c>
      <c r="M246" s="15">
        <f t="shared" si="34"/>
        <v>265478938.69965106</v>
      </c>
      <c r="N246" s="15">
        <f>'[6]Renewable Diesel'!$AE11</f>
        <v>688633744.45841956</v>
      </c>
      <c r="O246" s="15">
        <f>AVERAGE('[6]Renewable Diesel'!$Z11:$AD11)</f>
        <v>425859977.18446827</v>
      </c>
      <c r="P246" s="15">
        <f t="shared" si="35"/>
        <v>262773767.27395129</v>
      </c>
      <c r="S246" s="11">
        <f>'[8]Soy Complex'!$CB605</f>
        <v>-1758.2408244774836</v>
      </c>
      <c r="T246" s="11"/>
      <c r="U246" s="11"/>
      <c r="V246" s="11"/>
      <c r="W246" s="11" t="e">
        <f>#REF!*100</f>
        <v>#REF!</v>
      </c>
      <c r="X246" s="11"/>
      <c r="AA246" s="14">
        <f t="shared" si="38"/>
        <v>66.235185782052923</v>
      </c>
      <c r="AB246" s="14">
        <v>16</v>
      </c>
      <c r="AC246" s="14">
        <v>100</v>
      </c>
      <c r="AJ246" s="14">
        <f t="shared" si="36"/>
        <v>3.3085934009464277</v>
      </c>
      <c r="AK246" s="14">
        <f t="shared" si="32"/>
        <v>8.6084793687247618</v>
      </c>
      <c r="AL246" s="11">
        <f t="shared" si="37"/>
        <v>-7.4268388683867519</v>
      </c>
      <c r="AM246" s="13">
        <f>'[7]D6 Gallon Forecast'!$AA38/1000000</f>
        <v>1347.2527638019535</v>
      </c>
    </row>
    <row r="247" spans="1:39" x14ac:dyDescent="0.25">
      <c r="A247" s="10">
        <v>51044</v>
      </c>
      <c r="C247" s="15">
        <f>[6]Biodiesel!$AE12</f>
        <v>52345819.76100941</v>
      </c>
      <c r="D247" s="15">
        <f>AVERAGE([6]Biodiesel!$Z12:$AD12)</f>
        <v>83651043.93379572</v>
      </c>
      <c r="E247" s="15">
        <f t="shared" si="39"/>
        <v>-31305224.17278631</v>
      </c>
      <c r="F247" s="15">
        <f>[6]Biodiesel!$AE44</f>
        <v>58697272.221592806</v>
      </c>
      <c r="G247" s="15">
        <f>AVERAGE([6]Biodiesel!$Z44:$AD44)</f>
        <v>94914286.297230273</v>
      </c>
      <c r="H247" s="15">
        <f t="shared" si="33"/>
        <v>-36217014.075637467</v>
      </c>
      <c r="K247" s="15">
        <f>'[6]Renewable Diesel'!$AE58</f>
        <v>671985926.9149996</v>
      </c>
      <c r="L247" s="15">
        <f>AVERAGE('[6]Renewable Diesel'!$Z58:$AD58)</f>
        <v>439694679.08495349</v>
      </c>
      <c r="M247" s="15">
        <f t="shared" si="34"/>
        <v>232291247.83004612</v>
      </c>
      <c r="N247" s="15">
        <f>'[6]Renewable Diesel'!$AE12</f>
        <v>676183577.60732353</v>
      </c>
      <c r="O247" s="15">
        <f>AVERAGE('[6]Renewable Diesel'!$Z12:$AD12)</f>
        <v>447810978.47604406</v>
      </c>
      <c r="P247" s="15">
        <f t="shared" si="35"/>
        <v>228372599.13127947</v>
      </c>
      <c r="S247" s="11">
        <f>'[8]Soy Complex'!$CC594</f>
        <v>-1798.5121738934522</v>
      </c>
      <c r="T247" s="11"/>
      <c r="U247" s="11"/>
      <c r="V247" s="11"/>
      <c r="W247" s="11" t="e">
        <f>#REF!*100</f>
        <v>#REF!</v>
      </c>
      <c r="X247" s="11"/>
      <c r="AA247" s="14">
        <f t="shared" si="38"/>
        <v>96.429091060876004</v>
      </c>
      <c r="AB247" s="14">
        <v>16</v>
      </c>
      <c r="AC247" s="14">
        <v>100</v>
      </c>
      <c r="AJ247" s="14">
        <f t="shared" si="36"/>
        <v>3.4066811629684763</v>
      </c>
      <c r="AK247" s="14">
        <f t="shared" si="32"/>
        <v>8.6004421689915436</v>
      </c>
      <c r="AL247" s="11">
        <f t="shared" si="37"/>
        <v>-7.3837703250742308</v>
      </c>
      <c r="AM247" s="13">
        <f>'[7]D6 Gallon Forecast'!$AA39/1000000</f>
        <v>1381.1598094256949</v>
      </c>
    </row>
    <row r="248" spans="1:39" x14ac:dyDescent="0.25">
      <c r="A248" s="10">
        <v>51075</v>
      </c>
      <c r="C248" s="15">
        <f>[6]Biodiesel!$AE13</f>
        <v>49745369.935579114</v>
      </c>
      <c r="D248" s="15">
        <f>AVERAGE([6]Biodiesel!$Z13:$AD13)</f>
        <v>79481173.504312873</v>
      </c>
      <c r="E248" s="15">
        <f t="shared" si="39"/>
        <v>-29735803.568733759</v>
      </c>
      <c r="F248" s="15">
        <f>[6]Biodiesel!$AE45</f>
        <v>55584760.050781116</v>
      </c>
      <c r="G248" s="15">
        <f>AVERAGE([6]Biodiesel!$Z45:$AD45)</f>
        <v>89836358.641937748</v>
      </c>
      <c r="H248" s="15">
        <f t="shared" si="33"/>
        <v>-34251598.591156632</v>
      </c>
      <c r="K248" s="15">
        <f>'[6]Renewable Diesel'!$AE59</f>
        <v>770794232.71711349</v>
      </c>
      <c r="L248" s="15">
        <f>AVERAGE('[6]Renewable Diesel'!$Z59:$AD59)</f>
        <v>521895518.22011596</v>
      </c>
      <c r="M248" s="15">
        <f t="shared" si="34"/>
        <v>248898714.49699754</v>
      </c>
      <c r="N248" s="15">
        <f>'[6]Renewable Diesel'!$AE13</f>
        <v>774083013.5396868</v>
      </c>
      <c r="O248" s="15">
        <f>AVERAGE('[6]Renewable Diesel'!$Z13:$AD13)</f>
        <v>528297198.28188646</v>
      </c>
      <c r="P248" s="15">
        <f t="shared" si="35"/>
        <v>245785815.25780034</v>
      </c>
      <c r="S248" s="11">
        <f>'[8]Soy Complex'!$CC595</f>
        <v>-1876.6110528926517</v>
      </c>
      <c r="T248" s="11"/>
      <c r="U248" s="11"/>
      <c r="V248" s="11"/>
      <c r="W248" s="11" t="e">
        <f>#REF!*100</f>
        <v>#REF!</v>
      </c>
      <c r="X248" s="11"/>
      <c r="AA248" s="14">
        <f t="shared" si="38"/>
        <v>81.145511266628631</v>
      </c>
      <c r="AB248" s="14">
        <v>16</v>
      </c>
      <c r="AC248" s="14">
        <v>100</v>
      </c>
      <c r="AJ248" s="14">
        <f t="shared" si="36"/>
        <v>3.4564539412616755</v>
      </c>
      <c r="AK248" s="14">
        <f t="shared" si="32"/>
        <v>8.708432988445777</v>
      </c>
      <c r="AL248" s="11">
        <f t="shared" si="37"/>
        <v>-7.4739851522808927</v>
      </c>
      <c r="AM248" s="13">
        <f>'[7]D6 Gallon Forecast'!$AA40/1000000</f>
        <v>1383.7944718457243</v>
      </c>
    </row>
    <row r="249" spans="1:39" x14ac:dyDescent="0.25">
      <c r="A249" s="10">
        <v>51105</v>
      </c>
      <c r="C249" s="15">
        <f>[6]Biodiesel!$AE14</f>
        <v>47585280.416395254</v>
      </c>
      <c r="D249" s="15">
        <f>AVERAGE([6]Biodiesel!$Z14:$AD14)</f>
        <v>76032749.844401404</v>
      </c>
      <c r="E249" s="15">
        <f t="shared" si="39"/>
        <v>-28447469.42800615</v>
      </c>
      <c r="F249" s="15">
        <f>[6]Biodiesel!$AE46</f>
        <v>56366478.679698586</v>
      </c>
      <c r="G249" s="15">
        <f>AVERAGE([6]Biodiesel!$Z46:$AD46)</f>
        <v>91604741.431326002</v>
      </c>
      <c r="H249" s="15">
        <f t="shared" si="33"/>
        <v>-35238262.751627415</v>
      </c>
      <c r="K249" s="15">
        <f>'[6]Renewable Diesel'!$AE60</f>
        <v>851401190.48035288</v>
      </c>
      <c r="L249" s="15">
        <f>AVERAGE('[6]Renewable Diesel'!$Z60:$AD60)</f>
        <v>585917928.77927721</v>
      </c>
      <c r="M249" s="15">
        <f t="shared" si="34"/>
        <v>265483261.70107567</v>
      </c>
      <c r="N249" s="15">
        <f>'[6]Renewable Diesel'!$AE14</f>
        <v>854909625.63874865</v>
      </c>
      <c r="O249" s="15">
        <f>AVERAGE('[6]Renewable Diesel'!$Z14:$AD14)</f>
        <v>592774661.3040483</v>
      </c>
      <c r="P249" s="15">
        <f t="shared" si="35"/>
        <v>262134964.33470035</v>
      </c>
      <c r="S249" s="11">
        <f>'[8]Soy Complex'!$CC596</f>
        <v>-1923.0415136321724</v>
      </c>
      <c r="T249" s="11"/>
      <c r="U249" s="11"/>
      <c r="V249" s="11"/>
      <c r="W249" s="11" t="e">
        <f>#REF!*100</f>
        <v>#REF!</v>
      </c>
      <c r="X249" s="11"/>
      <c r="AA249" s="14">
        <f t="shared" si="38"/>
        <v>66.795863121833492</v>
      </c>
      <c r="AB249" s="14">
        <v>16</v>
      </c>
      <c r="AC249" s="14">
        <v>100</v>
      </c>
      <c r="AJ249" s="14">
        <f t="shared" si="36"/>
        <v>3.5061641357107822</v>
      </c>
      <c r="AK249" s="14">
        <f t="shared" ref="AK249:AK261" si="40">AK248+AVERAGE(AK237-AK236,AK213-AK212,AK201-AK200)</f>
        <v>8.6064603620522124</v>
      </c>
      <c r="AL249" s="11">
        <f t="shared" si="37"/>
        <v>-7.3542588850126478</v>
      </c>
      <c r="AM249" s="13">
        <f>'[7]D6 Gallon Forecast'!$AA41/1000000</f>
        <v>1272.0943543060348</v>
      </c>
    </row>
    <row r="250" spans="1:39" x14ac:dyDescent="0.25">
      <c r="A250" s="10">
        <v>51136</v>
      </c>
      <c r="C250" s="15">
        <f>[6]Biodiesel!$AF3</f>
        <v>43325311.289447419</v>
      </c>
      <c r="D250" s="15">
        <f>AVERAGE([6]Biodiesel!$AA3:$AE3)</f>
        <v>66321342.253751613</v>
      </c>
      <c r="E250" s="15">
        <f t="shared" si="39"/>
        <v>-22996030.964304194</v>
      </c>
      <c r="F250" s="15">
        <f>[6]Biodiesel!$AF35</f>
        <v>48580644.852583177</v>
      </c>
      <c r="G250" s="15">
        <f>AVERAGE([6]Biodiesel!$AA35:$AE35)</f>
        <v>74239378.155542821</v>
      </c>
      <c r="H250" s="15">
        <f t="shared" si="33"/>
        <v>-25658733.302959643</v>
      </c>
      <c r="K250" s="15">
        <f>'[6]Renewable Diesel'!$AF49</f>
        <v>528413872.05656731</v>
      </c>
      <c r="L250" s="15">
        <f>AVERAGE('[6]Renewable Diesel'!$AA49:$AE49)</f>
        <v>387237110.52830994</v>
      </c>
      <c r="M250" s="15">
        <f t="shared" si="34"/>
        <v>141176761.52825737</v>
      </c>
      <c r="N250" s="15">
        <f>'[6]Renewable Diesel'!$AF3</f>
        <v>532307378.41461033</v>
      </c>
      <c r="O250" s="15">
        <f>AVERAGE('[6]Renewable Diesel'!$AA3:$AE3)</f>
        <v>393112733.77864963</v>
      </c>
      <c r="P250" s="15">
        <f t="shared" si="35"/>
        <v>139194644.6359607</v>
      </c>
      <c r="S250" s="11">
        <f>'[8]Soy Complex'!$CC597</f>
        <v>-1934.3761492553435</v>
      </c>
      <c r="T250" s="11"/>
      <c r="U250" s="11"/>
      <c r="V250" s="11"/>
      <c r="W250" s="11" t="e">
        <f>#REF!*100</f>
        <v>#REF!</v>
      </c>
      <c r="X250" s="11"/>
      <c r="AA250" s="14">
        <f t="shared" si="38"/>
        <v>174.70058172141728</v>
      </c>
      <c r="AB250" s="14">
        <v>16</v>
      </c>
      <c r="AC250" s="14">
        <v>100</v>
      </c>
      <c r="AJ250" s="14">
        <f t="shared" si="36"/>
        <v>3.6189282743813829</v>
      </c>
      <c r="AK250" s="14">
        <f t="shared" si="40"/>
        <v>8.8127023412087375</v>
      </c>
      <c r="AL250" s="11">
        <f t="shared" si="37"/>
        <v>-7.5202279575011008</v>
      </c>
      <c r="AM250" s="13">
        <f>'[7]D6 Gallon Forecast'!$AB30/1000000</f>
        <v>1.0699498883698602E-7</v>
      </c>
    </row>
    <row r="251" spans="1:39" x14ac:dyDescent="0.25">
      <c r="A251" s="10">
        <v>51167</v>
      </c>
      <c r="C251" s="15">
        <f>[6]Biodiesel!$AF4</f>
        <v>40832245.101295888</v>
      </c>
      <c r="D251" s="15">
        <f>AVERAGE([6]Biodiesel!$AA4:$AE4)</f>
        <v>62505016.623197481</v>
      </c>
      <c r="E251" s="15">
        <f t="shared" si="39"/>
        <v>-21672771.521901593</v>
      </c>
      <c r="F251" s="15">
        <f>[6]Biodiesel!$AF36</f>
        <v>47969566.383997269</v>
      </c>
      <c r="G251" s="15">
        <f>AVERAGE([6]Biodiesel!$AA36:$AE36)</f>
        <v>73258580.68913424</v>
      </c>
      <c r="H251" s="15">
        <f t="shared" ref="H251:H285" si="41">F251-G251</f>
        <v>-25289014.305136971</v>
      </c>
      <c r="K251" s="15">
        <f>'[6]Renewable Diesel'!$AF50</f>
        <v>479451635.8264153</v>
      </c>
      <c r="L251" s="15">
        <f>AVERAGE('[6]Renewable Diesel'!$AA50:$AE50)</f>
        <v>398029525.21158981</v>
      </c>
      <c r="M251" s="15">
        <f t="shared" si="34"/>
        <v>81422110.614825487</v>
      </c>
      <c r="N251" s="15">
        <f>'[6]Renewable Diesel'!$AF4</f>
        <v>484698051.74039561</v>
      </c>
      <c r="O251" s="15">
        <f>AVERAGE('[6]Renewable Diesel'!$AA4:$AE4)</f>
        <v>406014339.24426621</v>
      </c>
      <c r="P251" s="15">
        <f t="shared" si="35"/>
        <v>78683712.496129394</v>
      </c>
      <c r="S251" s="11">
        <f>'[8]Soy Complex'!$CC598</f>
        <v>-1955.1705404746542</v>
      </c>
      <c r="T251" s="11"/>
      <c r="U251" s="11"/>
      <c r="V251" s="11"/>
      <c r="W251" s="11" t="e">
        <f>#REF!*100</f>
        <v>#REF!</v>
      </c>
      <c r="X251" s="11"/>
      <c r="AA251" s="14">
        <f t="shared" si="38"/>
        <v>227.8110268605472</v>
      </c>
      <c r="AB251" s="14">
        <v>16</v>
      </c>
      <c r="AC251" s="14">
        <v>100</v>
      </c>
      <c r="AJ251" s="14">
        <f t="shared" si="36"/>
        <v>3.6752722881600808</v>
      </c>
      <c r="AK251" s="14">
        <f t="shared" si="40"/>
        <v>8.906032346769079</v>
      </c>
      <c r="AL251" s="11">
        <f t="shared" si="37"/>
        <v>-7.5934351009976213</v>
      </c>
      <c r="AM251" s="13">
        <f>'[7]D6 Gallon Forecast'!$AB31/1000000</f>
        <v>2755.4424896380997</v>
      </c>
    </row>
    <row r="252" spans="1:39" x14ac:dyDescent="0.25">
      <c r="A252" s="10">
        <v>51196</v>
      </c>
      <c r="C252" s="15">
        <f>[6]Biodiesel!$AF5</f>
        <v>46739953.174115635</v>
      </c>
      <c r="D252" s="15">
        <f>AVERAGE([6]Biodiesel!$AA5:$AE5)</f>
        <v>71547307.965003684</v>
      </c>
      <c r="E252" s="15">
        <f t="shared" si="39"/>
        <v>-24807354.790888049</v>
      </c>
      <c r="F252" s="15">
        <f>[6]Biodiesel!$AF37</f>
        <v>52773301.439311147</v>
      </c>
      <c r="G252" s="15">
        <f>AVERAGE([6]Biodiesel!$AA37:$AE37)</f>
        <v>80636516.084564924</v>
      </c>
      <c r="H252" s="15">
        <f t="shared" si="41"/>
        <v>-27863214.645253778</v>
      </c>
      <c r="K252" s="15">
        <f>'[6]Renewable Diesel'!$AF51</f>
        <v>657226399.00344038</v>
      </c>
      <c r="L252" s="15">
        <f>AVERAGE('[6]Renewable Diesel'!$AA51:$AE51)</f>
        <v>461963913.65930384</v>
      </c>
      <c r="M252" s="15">
        <f t="shared" si="34"/>
        <v>195262485.34413654</v>
      </c>
      <c r="N252" s="15">
        <f>'[6]Renewable Diesel'!$AF5</f>
        <v>662051729.37446618</v>
      </c>
      <c r="O252" s="15">
        <f>AVERAGE('[6]Renewable Diesel'!$AA5:$AE5)</f>
        <v>469203498.32800055</v>
      </c>
      <c r="P252" s="15">
        <f t="shared" si="35"/>
        <v>192848231.04646564</v>
      </c>
      <c r="S252" s="11">
        <f>'[8]Soy Complex'!$CC599</f>
        <v>-1978.5324093968509</v>
      </c>
      <c r="T252" s="11"/>
      <c r="U252" s="11"/>
      <c r="V252" s="11"/>
      <c r="W252" s="11" t="e">
        <f>#REF!*100</f>
        <v>#REF!</v>
      </c>
      <c r="X252" s="11"/>
      <c r="AA252" s="14">
        <f t="shared" si="38"/>
        <v>127.60882892891709</v>
      </c>
      <c r="AB252" s="14">
        <v>16</v>
      </c>
      <c r="AC252" s="14">
        <v>100</v>
      </c>
      <c r="AJ252" s="14">
        <f t="shared" si="36"/>
        <v>3.8362970825061464</v>
      </c>
      <c r="AK252" s="14">
        <f t="shared" si="40"/>
        <v>9.1193746583166462</v>
      </c>
      <c r="AL252" s="11">
        <f t="shared" si="37"/>
        <v>-7.749268557421594</v>
      </c>
      <c r="AM252" s="13">
        <f>'[7]D6 Gallon Forecast'!$AB32/1000000</f>
        <v>2.036E-3</v>
      </c>
    </row>
    <row r="253" spans="1:39" x14ac:dyDescent="0.25">
      <c r="A253" s="10">
        <v>51227</v>
      </c>
      <c r="C253" s="15">
        <f>[6]Biodiesel!$AF6</f>
        <v>46294214.899754435</v>
      </c>
      <c r="D253" s="15">
        <f>AVERAGE([6]Biodiesel!$AA6:$AE6)</f>
        <v>70754229.385194629</v>
      </c>
      <c r="E253" s="15">
        <f t="shared" si="39"/>
        <v>-24460014.485440195</v>
      </c>
      <c r="F253" s="15">
        <f>[6]Biodiesel!$AF38</f>
        <v>53733922.676078387</v>
      </c>
      <c r="G253" s="15">
        <f>AVERAGE([6]Biodiesel!$AA38:$AE38)</f>
        <v>81963389.101522729</v>
      </c>
      <c r="H253" s="15">
        <f t="shared" si="41"/>
        <v>-28229466.425444342</v>
      </c>
      <c r="K253" s="15">
        <f>'[6]Renewable Diesel'!$AF52</f>
        <v>504904915.09259188</v>
      </c>
      <c r="L253" s="15">
        <f>AVERAGE('[6]Renewable Diesel'!$AA52:$AE52)</f>
        <v>411144675.77167094</v>
      </c>
      <c r="M253" s="15">
        <f t="shared" si="34"/>
        <v>93760239.320920944</v>
      </c>
      <c r="N253" s="15">
        <f>'[6]Renewable Diesel'!$AF6</f>
        <v>509522280.51170504</v>
      </c>
      <c r="O253" s="15">
        <f>AVERAGE('[6]Renewable Diesel'!$AA6:$AE6)</f>
        <v>418093038.38351238</v>
      </c>
      <c r="P253" s="15">
        <f t="shared" si="35"/>
        <v>91429242.128192663</v>
      </c>
      <c r="S253" s="11">
        <f>'[8]Soy Complex'!$CC600</f>
        <v>-2009.1043275377619</v>
      </c>
      <c r="T253" s="11"/>
      <c r="U253" s="11"/>
      <c r="V253" s="11"/>
      <c r="W253" s="11" t="e">
        <f>#REF!*100</f>
        <v>#REF!</v>
      </c>
      <c r="X253" s="11"/>
      <c r="AA253" s="14">
        <f t="shared" si="38"/>
        <v>216.62427550248526</v>
      </c>
      <c r="AB253" s="14">
        <v>16</v>
      </c>
      <c r="AC253" s="14">
        <v>100</v>
      </c>
      <c r="AJ253" s="14">
        <f t="shared" si="36"/>
        <v>3.9876038349907512</v>
      </c>
      <c r="AK253" s="14">
        <f t="shared" si="40"/>
        <v>9.1126567965397527</v>
      </c>
      <c r="AL253" s="11">
        <f t="shared" si="37"/>
        <v>-7.6885125697573411</v>
      </c>
      <c r="AM253" s="13">
        <f>'[7]D6 Gallon Forecast'!$AB33/1000000</f>
        <v>1313.9670624893504</v>
      </c>
    </row>
    <row r="254" spans="1:39" x14ac:dyDescent="0.25">
      <c r="A254" s="10">
        <v>51257</v>
      </c>
      <c r="C254" s="15">
        <f>[6]Biodiesel!$AF7</f>
        <v>49755673.719142854</v>
      </c>
      <c r="D254" s="15">
        <f>AVERAGE([6]Biodiesel!$AA7:$AE7)</f>
        <v>76045378.349454403</v>
      </c>
      <c r="E254" s="15">
        <f t="shared" si="39"/>
        <v>-26289704.630311549</v>
      </c>
      <c r="F254" s="15">
        <f>[6]Biodiesel!$AF39</f>
        <v>55655446.608915739</v>
      </c>
      <c r="G254" s="15">
        <f>AVERAGE([6]Biodiesel!$AA39:$AE39)</f>
        <v>84934369.503378898</v>
      </c>
      <c r="H254" s="15">
        <f t="shared" si="41"/>
        <v>-29278922.894463159</v>
      </c>
      <c r="K254" s="15">
        <f>'[6]Renewable Diesel'!$AF53</f>
        <v>561767984.10348248</v>
      </c>
      <c r="L254" s="15">
        <f>AVERAGE('[6]Renewable Diesel'!$AA53:$AE53)</f>
        <v>458653574.77827418</v>
      </c>
      <c r="M254" s="15">
        <f t="shared" si="34"/>
        <v>103114409.32520831</v>
      </c>
      <c r="N254" s="15">
        <f>'[6]Renewable Diesel'!$AF7</f>
        <v>566809903.06912935</v>
      </c>
      <c r="O254" s="15">
        <f>AVERAGE('[6]Renewable Diesel'!$AA7:$AE7)</f>
        <v>466250691.99274647</v>
      </c>
      <c r="P254" s="15">
        <f t="shared" si="35"/>
        <v>100559211.07638288</v>
      </c>
      <c r="S254" s="11">
        <f>'[8]Soy Complex'!$CC601</f>
        <v>-2043.7681120874536</v>
      </c>
      <c r="T254" s="11"/>
      <c r="U254" s="11"/>
      <c r="V254" s="11"/>
      <c r="W254" s="11" t="e">
        <f>#REF!*100</f>
        <v>#REF!</v>
      </c>
      <c r="X254" s="11"/>
      <c r="AA254" s="14">
        <f t="shared" si="38"/>
        <v>208.61090175665873</v>
      </c>
      <c r="AB254" s="14">
        <v>16</v>
      </c>
      <c r="AC254" s="14">
        <v>100</v>
      </c>
      <c r="AJ254" s="14">
        <f t="shared" si="36"/>
        <v>4.04977602411698</v>
      </c>
      <c r="AK254" s="14">
        <f t="shared" si="40"/>
        <v>9.2413404972701372</v>
      </c>
      <c r="AL254" s="11">
        <f t="shared" si="37"/>
        <v>-7.7949919172283586</v>
      </c>
      <c r="AM254" s="13">
        <f>'[7]D6 Gallon Forecast'!$AB34/1000000</f>
        <v>1218.2138356740832</v>
      </c>
    </row>
    <row r="255" spans="1:39" x14ac:dyDescent="0.25">
      <c r="A255" s="10">
        <v>51288</v>
      </c>
      <c r="C255" s="15">
        <f>[6]Biodiesel!$AF8</f>
        <v>48452434.88892249</v>
      </c>
      <c r="D255" s="15">
        <f>AVERAGE([6]Biodiesel!$AA8:$AE8)</f>
        <v>74022760.270550236</v>
      </c>
      <c r="E255" s="15">
        <f t="shared" si="39"/>
        <v>-25570325.381627746</v>
      </c>
      <c r="F255" s="15">
        <f>[6]Biodiesel!$AF40</f>
        <v>54977136.438560523</v>
      </c>
      <c r="G255" s="15">
        <f>AVERAGE([6]Biodiesel!$AA40:$AE40)</f>
        <v>83853310.605338231</v>
      </c>
      <c r="H255" s="15">
        <f t="shared" si="41"/>
        <v>-28876174.166777708</v>
      </c>
      <c r="K255" s="15">
        <f>'[6]Renewable Diesel'!$AF54</f>
        <v>663597794.16916621</v>
      </c>
      <c r="L255" s="15">
        <f>AVERAGE('[6]Renewable Diesel'!$AA54:$AE54)</f>
        <v>484782803.29933894</v>
      </c>
      <c r="M255" s="15">
        <f t="shared" si="34"/>
        <v>178814990.86982727</v>
      </c>
      <c r="N255" s="15">
        <f>'[6]Renewable Diesel'!$AF8</f>
        <v>669490140.27133882</v>
      </c>
      <c r="O255" s="15">
        <f>AVERAGE('[6]Renewable Diesel'!$AA8:$AE8)</f>
        <v>493717126.80909508</v>
      </c>
      <c r="P255" s="15">
        <f t="shared" si="35"/>
        <v>175773013.46224374</v>
      </c>
      <c r="S255" s="11">
        <f>'[8]Soy Complex'!$CC602</f>
        <v>-2086.5104335308929</v>
      </c>
      <c r="T255" s="11"/>
      <c r="U255" s="11"/>
      <c r="V255" s="11"/>
      <c r="W255" s="11" t="e">
        <f>#REF!*100</f>
        <v>#REF!</v>
      </c>
      <c r="X255" s="11"/>
      <c r="AA255" s="14">
        <f t="shared" si="38"/>
        <v>142.59574740258864</v>
      </c>
      <c r="AB255" s="14">
        <v>16</v>
      </c>
      <c r="AC255" s="14">
        <v>100</v>
      </c>
      <c r="AJ255" s="14">
        <f t="shared" si="36"/>
        <v>3.8560329379746086</v>
      </c>
      <c r="AK255" s="14">
        <f t="shared" si="40"/>
        <v>9.3589976756416853</v>
      </c>
      <c r="AL255" s="11">
        <f t="shared" si="37"/>
        <v>-7.9818430549364674</v>
      </c>
      <c r="AM255" s="13">
        <f>'[7]D6 Gallon Forecast'!$AB35/1000000</f>
        <v>1314.8367366965733</v>
      </c>
    </row>
    <row r="256" spans="1:39" x14ac:dyDescent="0.25">
      <c r="A256" s="10">
        <v>51318</v>
      </c>
      <c r="C256" s="15">
        <f>[6]Biodiesel!$AF9</f>
        <v>48219957.197845668</v>
      </c>
      <c r="D256" s="15">
        <f>AVERAGE([6]Biodiesel!$AA9:$AE9)</f>
        <v>73663202.055332392</v>
      </c>
      <c r="E256" s="15">
        <f t="shared" si="39"/>
        <v>-25443244.857486725</v>
      </c>
      <c r="F256" s="15">
        <f>[6]Biodiesel!$AF41</f>
        <v>52752806.093518376</v>
      </c>
      <c r="G256" s="15">
        <f>AVERAGE([6]Biodiesel!$AA41:$AE41)</f>
        <v>80492694.391479284</v>
      </c>
      <c r="H256" s="15">
        <f t="shared" si="41"/>
        <v>-27739888.297960907</v>
      </c>
      <c r="K256" s="15">
        <f>'[6]Renewable Diesel'!$AF55</f>
        <v>589679289.74346638</v>
      </c>
      <c r="L256" s="15">
        <f>AVERAGE('[6]Renewable Diesel'!$AA55:$AE55)</f>
        <v>457898253.05929327</v>
      </c>
      <c r="M256" s="15">
        <f t="shared" si="34"/>
        <v>131781036.68417311</v>
      </c>
      <c r="N256" s="15">
        <f>'[6]Renewable Diesel'!$AF9</f>
        <v>593247319.44989491</v>
      </c>
      <c r="O256" s="15">
        <f>AVERAGE('[6]Renewable Diesel'!$AA9:$AE9)</f>
        <v>463302322.03998375</v>
      </c>
      <c r="P256" s="15">
        <f t="shared" si="35"/>
        <v>129944997.40991116</v>
      </c>
      <c r="S256" s="11">
        <f>'[8]Soy Complex'!$CC603</f>
        <v>-2121.6375660199392</v>
      </c>
      <c r="T256" s="11"/>
      <c r="U256" s="11"/>
      <c r="V256" s="11"/>
      <c r="W256" s="11" t="e">
        <f>#REF!*100</f>
        <v>#REF!</v>
      </c>
      <c r="X256" s="11"/>
      <c r="AA256" s="14">
        <f t="shared" si="38"/>
        <v>182.81899709172097</v>
      </c>
      <c r="AB256" s="14">
        <v>16</v>
      </c>
      <c r="AC256" s="14">
        <v>100</v>
      </c>
      <c r="AJ256" s="14">
        <f t="shared" si="36"/>
        <v>3.1069040835788848</v>
      </c>
      <c r="AK256" s="14">
        <f t="shared" si="40"/>
        <v>9.2756499465472846</v>
      </c>
      <c r="AL256" s="11">
        <f t="shared" si="37"/>
        <v>-8.166041345269111</v>
      </c>
      <c r="AM256" s="13">
        <f>'[7]D6 Gallon Forecast'!$AB36/1000000</f>
        <v>1225.3822620119784</v>
      </c>
    </row>
    <row r="257" spans="1:39" x14ac:dyDescent="0.25">
      <c r="A257" s="10">
        <v>51349</v>
      </c>
      <c r="C257" s="15">
        <f>[6]Biodiesel!$AF10</f>
        <v>49742627.245301828</v>
      </c>
      <c r="D257" s="15">
        <f>AVERAGE([6]Biodiesel!$AA10:$AE10)</f>
        <v>75988221.130936325</v>
      </c>
      <c r="E257" s="15">
        <f t="shared" si="39"/>
        <v>-26245593.885634497</v>
      </c>
      <c r="F257" s="15">
        <f>[6]Biodiesel!$AF42</f>
        <v>55212587.864405997</v>
      </c>
      <c r="G257" s="15">
        <f>AVERAGE([6]Biodiesel!$AA42:$AE42)</f>
        <v>84229628.463719934</v>
      </c>
      <c r="H257" s="15">
        <f t="shared" si="41"/>
        <v>-29017040.599313937</v>
      </c>
      <c r="K257" s="15">
        <f>'[6]Renewable Diesel'!$AF56</f>
        <v>752925962.24218154</v>
      </c>
      <c r="L257" s="15">
        <f>AVERAGE('[6]Renewable Diesel'!$AA56:$AE56)</f>
        <v>507906307.56607836</v>
      </c>
      <c r="M257" s="15">
        <f t="shared" si="34"/>
        <v>245019654.67610317</v>
      </c>
      <c r="N257" s="15">
        <f>'[6]Renewable Diesel'!$AF10</f>
        <v>755541641.41026723</v>
      </c>
      <c r="O257" s="15">
        <f>AVERAGE('[6]Renewable Diesel'!$AA10:$AE10)</f>
        <v>511845590.28889835</v>
      </c>
      <c r="P257" s="15">
        <f t="shared" si="35"/>
        <v>243696051.12136889</v>
      </c>
      <c r="S257" s="11">
        <f>'[8]Soy Complex'!$CC604</f>
        <v>-2219.6266205820066</v>
      </c>
      <c r="T257" s="11"/>
      <c r="U257" s="11"/>
      <c r="V257" s="11"/>
      <c r="W257" s="11" t="e">
        <f>#REF!*100</f>
        <v>#REF!</v>
      </c>
      <c r="X257" s="11"/>
      <c r="AA257" s="14">
        <f t="shared" si="38"/>
        <v>82.979697249174507</v>
      </c>
      <c r="AB257" s="14">
        <v>16</v>
      </c>
      <c r="AC257" s="14">
        <v>100</v>
      </c>
      <c r="AJ257" s="14">
        <f t="shared" si="36"/>
        <v>3.0472187113960834</v>
      </c>
      <c r="AK257" s="14">
        <f t="shared" si="40"/>
        <v>9.2008581027060572</v>
      </c>
      <c r="AL257" s="11">
        <f t="shared" si="37"/>
        <v>-8.1125657057788843</v>
      </c>
      <c r="AM257" s="13">
        <f>'[7]D6 Gallon Forecast'!$AB37/1000000</f>
        <v>1342.2657504119636</v>
      </c>
    </row>
    <row r="258" spans="1:39" x14ac:dyDescent="0.25">
      <c r="A258" s="10">
        <v>51380</v>
      </c>
      <c r="C258" s="15">
        <f>[6]Biodiesel!$AF11</f>
        <v>46932464.549585722</v>
      </c>
      <c r="D258" s="15">
        <f>AVERAGE([6]Biodiesel!$AA11:$AE11)</f>
        <v>71686748.345668942</v>
      </c>
      <c r="E258" s="15">
        <f t="shared" si="39"/>
        <v>-24754283.796083219</v>
      </c>
      <c r="F258" s="15">
        <f>[6]Biodiesel!$AF43</f>
        <v>52616003.489836335</v>
      </c>
      <c r="G258" s="15">
        <f>AVERAGE([6]Biodiesel!$AA43:$AE43)</f>
        <v>80249947.015646517</v>
      </c>
      <c r="H258" s="15">
        <f t="shared" si="41"/>
        <v>-27633943.525810182</v>
      </c>
      <c r="K258" s="15">
        <f>'[6]Renewable Diesel'!$AF57</f>
        <v>707781066.19740343</v>
      </c>
      <c r="L258" s="15">
        <f>AVERAGE('[6]Renewable Diesel'!$AA57:$AE57)</f>
        <v>500638920.69257146</v>
      </c>
      <c r="M258" s="15">
        <f t="shared" si="34"/>
        <v>207142145.50483197</v>
      </c>
      <c r="N258" s="15">
        <f>'[6]Renewable Diesel'!$AF11</f>
        <v>710792575.44566655</v>
      </c>
      <c r="O258" s="15">
        <f>AVERAGE('[6]Renewable Diesel'!$AA11:$AE11)</f>
        <v>505137486.31141293</v>
      </c>
      <c r="P258" s="15">
        <f t="shared" si="35"/>
        <v>205655089.13425362</v>
      </c>
      <c r="S258" s="11">
        <f>'[8]Soy Complex'!$CC605</f>
        <v>-2289.091108717952</v>
      </c>
      <c r="T258" s="11"/>
      <c r="U258" s="11"/>
      <c r="V258" s="11"/>
      <c r="W258" s="11" t="e">
        <f>#REF!*100</f>
        <v>#REF!</v>
      </c>
      <c r="X258" s="11"/>
      <c r="AA258" s="14">
        <f t="shared" si="38"/>
        <v>116.36824958526557</v>
      </c>
      <c r="AB258" s="14">
        <v>16</v>
      </c>
      <c r="AC258" s="14">
        <v>100</v>
      </c>
      <c r="AJ258" s="14">
        <f t="shared" si="36"/>
        <v>3.210577100589739</v>
      </c>
      <c r="AK258" s="14">
        <f t="shared" si="40"/>
        <v>8.9812250874253152</v>
      </c>
      <c r="AL258" s="11">
        <f t="shared" si="37"/>
        <v>-7.8345904086432654</v>
      </c>
      <c r="AM258" s="13">
        <f>'[7]D6 Gallon Forecast'!$AB38/1000000</f>
        <v>1358.2355418595746</v>
      </c>
    </row>
    <row r="259" spans="1:39" x14ac:dyDescent="0.25">
      <c r="A259" s="10">
        <v>51410</v>
      </c>
      <c r="C259" s="15">
        <f>[6]Biodiesel!$AF12</f>
        <v>48208450.782833219</v>
      </c>
      <c r="D259" s="15">
        <f>AVERAGE([6]Biodiesel!$AA12:$AE12)</f>
        <v>73640145.44811289</v>
      </c>
      <c r="E259" s="15">
        <f t="shared" si="39"/>
        <v>-25431694.665279672</v>
      </c>
      <c r="F259" s="15">
        <f>[6]Biodiesel!$AF44</f>
        <v>54576722.978901453</v>
      </c>
      <c r="G259" s="15">
        <f>AVERAGE([6]Biodiesel!$AA44:$AE44)</f>
        <v>83235008.890189037</v>
      </c>
      <c r="H259" s="15">
        <f t="shared" si="41"/>
        <v>-28658285.911287583</v>
      </c>
      <c r="K259" s="15">
        <f>'[6]Renewable Diesel'!$AF58</f>
        <v>644973207.25504124</v>
      </c>
      <c r="L259" s="15">
        <f>AVERAGE('[6]Renewable Diesel'!$AA58:$AE58)</f>
        <v>512862673.17994946</v>
      </c>
      <c r="M259" s="15">
        <f t="shared" ref="M259:M269" si="42">K259-L259</f>
        <v>132110534.07509178</v>
      </c>
      <c r="N259" s="15">
        <f>'[6]Renewable Diesel'!$AF12</f>
        <v>649246400.53090394</v>
      </c>
      <c r="O259" s="15">
        <f>AVERAGE('[6]Renewable Diesel'!$AA12:$AE12)</f>
        <v>519272767.45551747</v>
      </c>
      <c r="P259" s="15">
        <f t="shared" ref="P259:P269" si="43">N259-O259</f>
        <v>129973633.07538646</v>
      </c>
      <c r="S259" s="11">
        <f>'[8]Soy Complex'!$CD594</f>
        <v>-2309.0731766288754</v>
      </c>
      <c r="T259" s="11"/>
      <c r="U259" s="11"/>
      <c r="V259" s="11"/>
      <c r="W259" s="11" t="e">
        <f>#REF!*100</f>
        <v>#REF!</v>
      </c>
      <c r="X259" s="11"/>
      <c r="AA259" s="14">
        <f t="shared" si="38"/>
        <v>182.79386356813328</v>
      </c>
      <c r="AB259" s="14">
        <v>16</v>
      </c>
      <c r="AC259" s="14">
        <v>100</v>
      </c>
      <c r="AJ259" s="14">
        <f t="shared" si="36"/>
        <v>3.3076882195007227</v>
      </c>
      <c r="AK259" s="14">
        <f t="shared" si="40"/>
        <v>8.9801526174112087</v>
      </c>
      <c r="AL259" s="11">
        <f t="shared" si="37"/>
        <v>-7.7988353961609507</v>
      </c>
      <c r="AM259" s="13">
        <f>'[7]D6 Gallon Forecast'!$AB39/1000000</f>
        <v>1392.8413929769015</v>
      </c>
    </row>
    <row r="260" spans="1:39" x14ac:dyDescent="0.25">
      <c r="A260" s="10">
        <v>51441</v>
      </c>
      <c r="C260" s="15">
        <f>[6]Biodiesel!$AF13</f>
        <v>45821923.175654843</v>
      </c>
      <c r="D260" s="15">
        <f>AVERAGE([6]Biodiesel!$AA13:$AE13)</f>
        <v>69981838.997379869</v>
      </c>
      <c r="E260" s="15">
        <f t="shared" si="39"/>
        <v>-24159915.821725026</v>
      </c>
      <c r="F260" s="15">
        <f>[6]Biodiesel!$AF45</f>
        <v>51675752.707632788</v>
      </c>
      <c r="G260" s="15">
        <f>AVERAGE([6]Biodiesel!$AA45:$AE45)</f>
        <v>78801608.825559959</v>
      </c>
      <c r="H260" s="15">
        <f t="shared" si="41"/>
        <v>-27125856.117927171</v>
      </c>
      <c r="K260" s="15">
        <f>'[6]Renewable Diesel'!$AF59</f>
        <v>709124819.73569608</v>
      </c>
      <c r="L260" s="15">
        <f>AVERAGE('[6]Renewable Diesel'!$AA59:$AE59)</f>
        <v>602203380.74821806</v>
      </c>
      <c r="M260" s="15">
        <f t="shared" si="42"/>
        <v>106921438.98747802</v>
      </c>
      <c r="N260" s="15">
        <f>'[6]Renewable Diesel'!$AF13</f>
        <v>712506795.76731861</v>
      </c>
      <c r="O260" s="15">
        <f>AVERAGE('[6]Renewable Diesel'!$AA13:$AE13)</f>
        <v>607268281.00752211</v>
      </c>
      <c r="P260" s="15">
        <f t="shared" si="43"/>
        <v>105238514.7597965</v>
      </c>
      <c r="S260" s="11">
        <f>'[8]Soy Complex'!$CD595</f>
        <v>-2351.2153931965172</v>
      </c>
      <c r="T260" s="11"/>
      <c r="U260" s="11"/>
      <c r="V260" s="11"/>
      <c r="W260" s="11" t="e">
        <f>#REF!*100</f>
        <v>#REF!</v>
      </c>
      <c r="X260" s="11"/>
      <c r="AA260" s="14">
        <f t="shared" si="38"/>
        <v>204.50387691372657</v>
      </c>
      <c r="AB260" s="14">
        <v>16</v>
      </c>
      <c r="AC260" s="14">
        <v>100</v>
      </c>
      <c r="AJ260" s="14">
        <f t="shared" si="36"/>
        <v>3.3547617576013202</v>
      </c>
      <c r="AK260" s="14">
        <f t="shared" si="40"/>
        <v>9.0808380202797316</v>
      </c>
      <c r="AL260" s="11">
        <f t="shared" si="37"/>
        <v>-7.8827088211364025</v>
      </c>
      <c r="AM260" s="13">
        <f>'[7]D6 Gallon Forecast'!$AB40/1000000</f>
        <v>1394.3681557600482</v>
      </c>
    </row>
    <row r="261" spans="1:39" x14ac:dyDescent="0.25">
      <c r="A261" s="10">
        <v>51471</v>
      </c>
      <c r="C261" s="15">
        <f>[6]Biodiesel!$AF14</f>
        <v>43829022.742757067</v>
      </c>
      <c r="D261" s="15">
        <f>AVERAGE([6]Biodiesel!$AA14:$AE14)</f>
        <v>66940754.367931165</v>
      </c>
      <c r="E261" s="15">
        <f t="shared" si="39"/>
        <v>-23111731.625174098</v>
      </c>
      <c r="F261" s="15">
        <f>[6]Biodiesel!$AF46</f>
        <v>52632427.232915871</v>
      </c>
      <c r="G261" s="15">
        <f>AVERAGE([6]Biodiesel!$AA46:$AE46)</f>
        <v>80204550.466437101</v>
      </c>
      <c r="H261" s="15">
        <f t="shared" si="41"/>
        <v>-27572123.233521231</v>
      </c>
      <c r="K261" s="15">
        <f>'[6]Renewable Diesel'!$AF60</f>
        <v>766804359.7096777</v>
      </c>
      <c r="L261" s="15">
        <f>AVERAGE('[6]Renewable Diesel'!$AA60:$AE60)</f>
        <v>672686659.94705594</v>
      </c>
      <c r="M261" s="15">
        <f t="shared" si="42"/>
        <v>94117699.76262176</v>
      </c>
      <c r="N261" s="15">
        <f>'[6]Renewable Diesel'!$AF14</f>
        <v>770441169.14943349</v>
      </c>
      <c r="O261" s="15">
        <f>AVERAGE('[6]Renewable Diesel'!$AA14:$AE14)</f>
        <v>678117330.50204921</v>
      </c>
      <c r="P261" s="15">
        <f t="shared" si="43"/>
        <v>92323838.647384286</v>
      </c>
      <c r="S261" s="11">
        <f>'[8]Soy Complex'!$CD596</f>
        <v>-2348.1521778361575</v>
      </c>
      <c r="T261" s="11"/>
      <c r="U261" s="11"/>
      <c r="V261" s="11"/>
      <c r="W261" s="11" t="e">
        <f>#REF!*100</f>
        <v>#REF!</v>
      </c>
      <c r="X261" s="11"/>
      <c r="AA261" s="14">
        <f t="shared" si="38"/>
        <v>215.83908813759081</v>
      </c>
      <c r="AB261" s="14">
        <v>16</v>
      </c>
      <c r="AC261" s="14">
        <v>100</v>
      </c>
      <c r="AJ261" s="14">
        <f t="shared" si="36"/>
        <v>3.4020077125372183</v>
      </c>
      <c r="AK261" s="14">
        <f t="shared" si="40"/>
        <v>8.9760666408180789</v>
      </c>
      <c r="AL261" s="11">
        <f t="shared" si="37"/>
        <v>-7.7610638863405006</v>
      </c>
      <c r="AM261" s="13">
        <f>'[7]D6 Gallon Forecast'!$AB41/1000000</f>
        <v>1282.7545067455785</v>
      </c>
    </row>
    <row r="262" spans="1:39" x14ac:dyDescent="0.25">
      <c r="T262" s="11"/>
      <c r="U262" s="11"/>
      <c r="V262" s="11"/>
      <c r="W262" s="11"/>
      <c r="X262" s="11"/>
    </row>
    <row r="263" spans="1:39" x14ac:dyDescent="0.25">
      <c r="T263" s="11"/>
      <c r="U263" s="11"/>
      <c r="V263" s="11"/>
      <c r="W263" s="11"/>
      <c r="X263" s="11"/>
    </row>
    <row r="264" spans="1:39" x14ac:dyDescent="0.25">
      <c r="T264" s="11"/>
      <c r="U264" s="11"/>
      <c r="V264" s="11"/>
      <c r="W264" s="11"/>
      <c r="X264" s="11"/>
    </row>
    <row r="265" spans="1:39" x14ac:dyDescent="0.25">
      <c r="T265" s="11"/>
      <c r="U265" s="11"/>
      <c r="V265" s="11"/>
      <c r="W265" s="11"/>
      <c r="X265" s="11"/>
    </row>
    <row r="266" spans="1:39" x14ac:dyDescent="0.25">
      <c r="T266" s="11"/>
      <c r="U266" s="11"/>
      <c r="V266" s="11"/>
      <c r="W266" s="11"/>
      <c r="X266" s="11"/>
    </row>
    <row r="267" spans="1:39" x14ac:dyDescent="0.25">
      <c r="T267" s="11"/>
      <c r="U267" s="11"/>
      <c r="V267" s="11"/>
      <c r="W267" s="11"/>
      <c r="X267" s="11"/>
    </row>
    <row r="268" spans="1:39" x14ac:dyDescent="0.25">
      <c r="T268" s="11"/>
      <c r="U268" s="11"/>
      <c r="V268" s="11"/>
      <c r="W268" s="11"/>
      <c r="X268" s="11"/>
    </row>
    <row r="269" spans="1:39" x14ac:dyDescent="0.25">
      <c r="T269" s="11"/>
      <c r="U269" s="11"/>
      <c r="V269" s="11"/>
      <c r="W269" s="11"/>
      <c r="X269" s="11"/>
    </row>
    <row r="270" spans="1:39" x14ac:dyDescent="0.25">
      <c r="T270" s="11"/>
      <c r="U270" s="11"/>
      <c r="V270" s="11"/>
      <c r="W270" s="11"/>
      <c r="X270" s="11"/>
    </row>
    <row r="271" spans="1:39" x14ac:dyDescent="0.25">
      <c r="T271" s="11"/>
      <c r="U271" s="11"/>
      <c r="V271" s="11"/>
      <c r="W271" s="11"/>
      <c r="X271" s="11"/>
    </row>
    <row r="272" spans="1:39" x14ac:dyDescent="0.25">
      <c r="T272" s="11"/>
      <c r="U272" s="11"/>
      <c r="V272" s="11"/>
      <c r="W272" s="11"/>
      <c r="X272" s="11"/>
    </row>
    <row r="273" spans="20:24" x14ac:dyDescent="0.25">
      <c r="T273" s="11"/>
      <c r="U273" s="11"/>
      <c r="V273" s="11"/>
      <c r="W273" s="11"/>
      <c r="X273" s="11"/>
    </row>
    <row r="274" spans="20:24" x14ac:dyDescent="0.25">
      <c r="T274" s="11"/>
      <c r="U274" s="11"/>
      <c r="V274" s="11"/>
      <c r="W274" s="11"/>
      <c r="X274" s="11"/>
    </row>
    <row r="275" spans="20:24" x14ac:dyDescent="0.25">
      <c r="T275" s="11"/>
      <c r="U275" s="11"/>
      <c r="V275" s="11"/>
      <c r="W275" s="11"/>
      <c r="X275" s="11"/>
    </row>
    <row r="276" spans="20:24" x14ac:dyDescent="0.25">
      <c r="T276" s="11"/>
      <c r="U276" s="11"/>
      <c r="V276" s="11"/>
      <c r="W276" s="11"/>
      <c r="X276" s="11"/>
    </row>
    <row r="277" spans="20:24" x14ac:dyDescent="0.25">
      <c r="T277" s="11"/>
      <c r="U277" s="11"/>
      <c r="V277" s="11"/>
      <c r="W277" s="11"/>
      <c r="X277" s="11"/>
    </row>
    <row r="278" spans="20:24" x14ac:dyDescent="0.25">
      <c r="T278" s="11"/>
      <c r="U278" s="11"/>
      <c r="V278" s="11"/>
      <c r="W278" s="11"/>
      <c r="X278" s="11"/>
    </row>
    <row r="279" spans="20:24" x14ac:dyDescent="0.25">
      <c r="T279" s="11"/>
      <c r="U279" s="11"/>
      <c r="V279" s="11"/>
      <c r="W279" s="11"/>
      <c r="X279" s="11"/>
    </row>
    <row r="280" spans="20:24" x14ac:dyDescent="0.25">
      <c r="T280" s="11"/>
      <c r="U280" s="11"/>
      <c r="V280" s="11"/>
      <c r="W280" s="11"/>
      <c r="X280" s="11"/>
    </row>
    <row r="281" spans="20:24" x14ac:dyDescent="0.25">
      <c r="T281" s="11"/>
      <c r="U281" s="11"/>
      <c r="V281" s="11"/>
      <c r="W281" s="11"/>
      <c r="X281" s="11"/>
    </row>
    <row r="282" spans="20:24" x14ac:dyDescent="0.25">
      <c r="T282" s="11"/>
      <c r="U282" s="11"/>
      <c r="V282" s="11"/>
      <c r="W282" s="11"/>
      <c r="X282" s="11"/>
    </row>
    <row r="283" spans="20:24" x14ac:dyDescent="0.25">
      <c r="T283" s="11"/>
      <c r="U283" s="11"/>
      <c r="V283" s="11"/>
      <c r="W283" s="11"/>
      <c r="X283" s="11"/>
    </row>
    <row r="284" spans="20:24" x14ac:dyDescent="0.25">
      <c r="T284" s="11"/>
      <c r="U284" s="11"/>
      <c r="V284" s="11"/>
      <c r="W284" s="11"/>
      <c r="X284" s="11"/>
    </row>
    <row r="285" spans="20:24" x14ac:dyDescent="0.25">
      <c r="T285" s="11"/>
      <c r="U285" s="11"/>
      <c r="V285" s="11"/>
      <c r="W285" s="11"/>
      <c r="X285" s="11"/>
    </row>
    <row r="286" spans="20:24" x14ac:dyDescent="0.25">
      <c r="T286" s="11"/>
      <c r="U286" s="11"/>
      <c r="V286" s="11"/>
      <c r="W286" s="11"/>
      <c r="X286" s="11"/>
    </row>
    <row r="287" spans="20:24" x14ac:dyDescent="0.25">
      <c r="T287" s="11"/>
      <c r="U287" s="11"/>
      <c r="V287" s="11"/>
      <c r="W287" s="11"/>
      <c r="X287" s="11"/>
    </row>
    <row r="288" spans="20:24" x14ac:dyDescent="0.25">
      <c r="T288" s="11"/>
      <c r="U288" s="11"/>
      <c r="V288" s="11"/>
      <c r="W288" s="11"/>
      <c r="X288" s="11"/>
    </row>
    <row r="289" spans="20:24" x14ac:dyDescent="0.25">
      <c r="T289" s="11"/>
      <c r="U289" s="11"/>
      <c r="V289" s="11"/>
      <c r="W289" s="11"/>
      <c r="X289" s="11"/>
    </row>
    <row r="290" spans="20:24" x14ac:dyDescent="0.25">
      <c r="T290" s="11"/>
      <c r="U290" s="11"/>
      <c r="V290" s="11"/>
      <c r="W290" s="11"/>
      <c r="X290" s="11"/>
    </row>
    <row r="291" spans="20:24" x14ac:dyDescent="0.25">
      <c r="T291" s="11"/>
      <c r="U291" s="11"/>
      <c r="V291" s="11"/>
      <c r="W291" s="11"/>
      <c r="X291" s="11"/>
    </row>
    <row r="292" spans="20:24" x14ac:dyDescent="0.25">
      <c r="T292" s="11"/>
      <c r="U292" s="11"/>
      <c r="V292" s="11"/>
      <c r="W292" s="11"/>
      <c r="X292" s="11"/>
    </row>
    <row r="293" spans="20:24" x14ac:dyDescent="0.25">
      <c r="T293" s="11"/>
      <c r="U293" s="11"/>
      <c r="V293" s="11"/>
      <c r="W293" s="11"/>
      <c r="X293" s="11"/>
    </row>
    <row r="294" spans="20:24" x14ac:dyDescent="0.25">
      <c r="T294" s="11"/>
      <c r="U294" s="11"/>
      <c r="V294" s="11"/>
      <c r="W294" s="11"/>
      <c r="X294" s="11"/>
    </row>
    <row r="295" spans="20:24" x14ac:dyDescent="0.25">
      <c r="T295" s="11"/>
      <c r="U295" s="11"/>
      <c r="V295" s="11"/>
      <c r="W295" s="11"/>
      <c r="X295" s="11"/>
    </row>
    <row r="296" spans="20:24" x14ac:dyDescent="0.25">
      <c r="T296" s="11"/>
      <c r="U296" s="11"/>
      <c r="V296" s="11"/>
      <c r="W296" s="11"/>
      <c r="X296" s="11"/>
    </row>
    <row r="297" spans="20:24" x14ac:dyDescent="0.25">
      <c r="T297" s="11"/>
      <c r="U297" s="11"/>
      <c r="V297" s="11"/>
      <c r="W297" s="11"/>
      <c r="X297" s="11"/>
    </row>
    <row r="298" spans="20:24" x14ac:dyDescent="0.25">
      <c r="T298" s="11"/>
      <c r="U298" s="11"/>
      <c r="V298" s="11"/>
      <c r="W298" s="11"/>
      <c r="X298" s="11"/>
    </row>
    <row r="299" spans="20:24" x14ac:dyDescent="0.25">
      <c r="T299" s="11"/>
      <c r="U299" s="11"/>
      <c r="V299" s="11"/>
      <c r="W299" s="11"/>
      <c r="X299" s="11"/>
    </row>
    <row r="300" spans="20:24" x14ac:dyDescent="0.25">
      <c r="T300" s="11"/>
      <c r="U300" s="11"/>
      <c r="V300" s="11"/>
      <c r="W300" s="11"/>
      <c r="X300" s="11"/>
    </row>
    <row r="301" spans="20:24" x14ac:dyDescent="0.25">
      <c r="T301" s="11"/>
      <c r="U301" s="11"/>
      <c r="V301" s="11"/>
      <c r="W301" s="11"/>
      <c r="X301" s="11"/>
    </row>
    <row r="302" spans="20:24" x14ac:dyDescent="0.25">
      <c r="T302" s="11"/>
      <c r="U302" s="11"/>
      <c r="V302" s="11"/>
      <c r="W302" s="11"/>
      <c r="X302" s="11"/>
    </row>
    <row r="303" spans="20:24" x14ac:dyDescent="0.25">
      <c r="T303" s="11"/>
      <c r="U303" s="11"/>
      <c r="V303" s="11"/>
      <c r="W303" s="11"/>
      <c r="X303" s="11"/>
    </row>
    <row r="304" spans="20:24" x14ac:dyDescent="0.25">
      <c r="T304" s="11"/>
      <c r="U304" s="11"/>
      <c r="V304" s="11"/>
      <c r="W304" s="11"/>
      <c r="X304" s="11"/>
    </row>
    <row r="305" spans="20:24" x14ac:dyDescent="0.25">
      <c r="T305" s="11"/>
      <c r="U305" s="11"/>
      <c r="V305" s="11"/>
      <c r="W305" s="11"/>
      <c r="X305" s="11"/>
    </row>
    <row r="306" spans="20:24" x14ac:dyDescent="0.25">
      <c r="T306" s="11"/>
      <c r="U306" s="11"/>
      <c r="V306" s="11"/>
      <c r="W306" s="11"/>
      <c r="X306" s="11"/>
    </row>
    <row r="307" spans="20:24" x14ac:dyDescent="0.25">
      <c r="T307" s="11"/>
      <c r="U307" s="11"/>
      <c r="V307" s="11"/>
      <c r="W307" s="11"/>
      <c r="X307" s="11"/>
    </row>
    <row r="308" spans="20:24" x14ac:dyDescent="0.25">
      <c r="T308" s="11"/>
      <c r="U308" s="11"/>
      <c r="V308" s="11"/>
      <c r="W308" s="11"/>
      <c r="X308" s="11"/>
    </row>
    <row r="309" spans="20:24" x14ac:dyDescent="0.25">
      <c r="T309" s="11"/>
      <c r="U309" s="11"/>
      <c r="V309" s="11"/>
      <c r="W309" s="11"/>
      <c r="X309" s="11"/>
    </row>
    <row r="310" spans="20:24" x14ac:dyDescent="0.25">
      <c r="T310" s="11"/>
      <c r="U310" s="11"/>
      <c r="V310" s="11"/>
      <c r="W310" s="11"/>
      <c r="X310" s="11"/>
    </row>
    <row r="311" spans="20:24" x14ac:dyDescent="0.25">
      <c r="T311" s="11"/>
      <c r="U311" s="11"/>
      <c r="V311" s="11"/>
      <c r="W311" s="11"/>
      <c r="X311" s="11"/>
    </row>
    <row r="312" spans="20:24" x14ac:dyDescent="0.25">
      <c r="T312" s="11"/>
      <c r="U312" s="11"/>
      <c r="V312" s="11"/>
      <c r="W312" s="11"/>
      <c r="X312" s="11"/>
    </row>
    <row r="313" spans="20:24" x14ac:dyDescent="0.25">
      <c r="T313" s="11"/>
      <c r="U313" s="11"/>
      <c r="V313" s="11"/>
      <c r="W313" s="11"/>
      <c r="X313" s="11"/>
    </row>
    <row r="314" spans="20:24" x14ac:dyDescent="0.25">
      <c r="T314" s="11"/>
      <c r="U314" s="11"/>
      <c r="V314" s="11"/>
      <c r="W314" s="11"/>
      <c r="X314" s="11"/>
    </row>
    <row r="315" spans="20:24" x14ac:dyDescent="0.25">
      <c r="T315" s="11"/>
      <c r="U315" s="11"/>
      <c r="V315" s="11"/>
      <c r="W315" s="11"/>
      <c r="X315" s="11"/>
    </row>
    <row r="316" spans="20:24" x14ac:dyDescent="0.25">
      <c r="T316" s="11"/>
      <c r="U316" s="11"/>
      <c r="V316" s="11"/>
      <c r="W316" s="11"/>
      <c r="X316" s="11"/>
    </row>
    <row r="317" spans="20:24" x14ac:dyDescent="0.25">
      <c r="T317" s="11"/>
      <c r="U317" s="11"/>
      <c r="V317" s="11"/>
      <c r="W317" s="11"/>
      <c r="X317" s="11"/>
    </row>
    <row r="318" spans="20:24" x14ac:dyDescent="0.25">
      <c r="T318" s="11"/>
      <c r="U318" s="11"/>
      <c r="V318" s="11"/>
      <c r="W318" s="11"/>
      <c r="X318" s="11"/>
    </row>
    <row r="319" spans="20:24" x14ac:dyDescent="0.25">
      <c r="T319" s="11"/>
      <c r="U319" s="11"/>
      <c r="V319" s="11"/>
      <c r="W319" s="11"/>
      <c r="X319" s="11"/>
    </row>
    <row r="320" spans="20:24" x14ac:dyDescent="0.25">
      <c r="T320" s="11"/>
      <c r="U320" s="11"/>
      <c r="V320" s="11"/>
      <c r="W320" s="11"/>
      <c r="X320" s="11"/>
    </row>
    <row r="321" spans="20:24" x14ac:dyDescent="0.25">
      <c r="T321" s="11"/>
      <c r="U321" s="11"/>
      <c r="V321" s="11"/>
      <c r="W321" s="11"/>
      <c r="X321" s="11"/>
    </row>
    <row r="322" spans="20:24" x14ac:dyDescent="0.25">
      <c r="T322" s="11"/>
      <c r="U322" s="11"/>
      <c r="V322" s="11"/>
      <c r="W322" s="11"/>
      <c r="X322" s="11"/>
    </row>
    <row r="323" spans="20:24" x14ac:dyDescent="0.25">
      <c r="T323" s="11"/>
      <c r="U323" s="11"/>
      <c r="V323" s="11"/>
      <c r="W323" s="11"/>
      <c r="X323" s="11"/>
    </row>
    <row r="324" spans="20:24" x14ac:dyDescent="0.25">
      <c r="T324" s="11"/>
      <c r="U324" s="11"/>
      <c r="V324" s="11"/>
      <c r="W324" s="11"/>
      <c r="X324" s="11"/>
    </row>
    <row r="325" spans="20:24" x14ac:dyDescent="0.25">
      <c r="T325" s="11"/>
      <c r="U325" s="11"/>
      <c r="V325" s="11"/>
      <c r="W325" s="11"/>
      <c r="X325" s="11"/>
    </row>
    <row r="326" spans="20:24" x14ac:dyDescent="0.25">
      <c r="T326" s="11"/>
      <c r="U326" s="11"/>
      <c r="V326" s="11"/>
      <c r="W326" s="11"/>
      <c r="X326" s="11"/>
    </row>
    <row r="327" spans="20:24" x14ac:dyDescent="0.25">
      <c r="T327" s="11"/>
      <c r="U327" s="11"/>
      <c r="V327" s="11"/>
      <c r="W327" s="11"/>
      <c r="X327" s="11"/>
    </row>
    <row r="328" spans="20:24" x14ac:dyDescent="0.25">
      <c r="T328" s="11"/>
      <c r="U328" s="11"/>
      <c r="V328" s="11"/>
      <c r="W328" s="11"/>
      <c r="X328" s="11"/>
    </row>
    <row r="329" spans="20:24" x14ac:dyDescent="0.25">
      <c r="T329" s="11"/>
      <c r="U329" s="11"/>
      <c r="V329" s="11"/>
      <c r="W329" s="11"/>
      <c r="X329" s="11"/>
    </row>
    <row r="330" spans="20:24" x14ac:dyDescent="0.25">
      <c r="T330" s="11"/>
      <c r="U330" s="11"/>
      <c r="V330" s="11"/>
      <c r="W330" s="11"/>
      <c r="X330" s="11"/>
    </row>
    <row r="331" spans="20:24" x14ac:dyDescent="0.25">
      <c r="T331" s="11"/>
      <c r="U331" s="11"/>
      <c r="V331" s="11"/>
      <c r="W331" s="11"/>
      <c r="X331" s="11"/>
    </row>
    <row r="332" spans="20:24" x14ac:dyDescent="0.25">
      <c r="T332" s="11"/>
      <c r="U332" s="11"/>
      <c r="V332" s="11"/>
      <c r="W332" s="11"/>
      <c r="X332" s="11"/>
    </row>
    <row r="333" spans="20:24" x14ac:dyDescent="0.25">
      <c r="T333" s="11"/>
      <c r="U333" s="11"/>
      <c r="V333" s="11"/>
      <c r="W333" s="11"/>
      <c r="X333" s="11"/>
    </row>
    <row r="334" spans="20:24" x14ac:dyDescent="0.25">
      <c r="T334" s="11"/>
      <c r="U334" s="11"/>
      <c r="V334" s="11"/>
      <c r="W334" s="11"/>
      <c r="X334" s="11"/>
    </row>
    <row r="335" spans="20:24" x14ac:dyDescent="0.25">
      <c r="T335" s="11"/>
      <c r="U335" s="11"/>
      <c r="V335" s="11"/>
      <c r="W335" s="11"/>
      <c r="X335" s="11"/>
    </row>
    <row r="336" spans="20:24" x14ac:dyDescent="0.25">
      <c r="T336" s="11"/>
      <c r="U336" s="11"/>
      <c r="V336" s="11"/>
      <c r="W336" s="11"/>
      <c r="X336" s="11"/>
    </row>
    <row r="337" spans="20:24" x14ac:dyDescent="0.25">
      <c r="T337" s="11"/>
      <c r="U337" s="11"/>
      <c r="V337" s="11"/>
      <c r="W337" s="11"/>
      <c r="X337" s="11"/>
    </row>
    <row r="338" spans="20:24" x14ac:dyDescent="0.25">
      <c r="T338" s="11"/>
      <c r="U338" s="11"/>
      <c r="V338" s="11"/>
      <c r="W338" s="11"/>
      <c r="X338" s="11"/>
    </row>
    <row r="339" spans="20:24" x14ac:dyDescent="0.25">
      <c r="T339" s="11"/>
      <c r="U339" s="11"/>
      <c r="V339" s="11"/>
      <c r="W339" s="11"/>
      <c r="X339" s="11"/>
    </row>
    <row r="340" spans="20:24" x14ac:dyDescent="0.25">
      <c r="T340" s="11"/>
      <c r="U340" s="11"/>
      <c r="V340" s="11"/>
      <c r="W340" s="11"/>
      <c r="X340" s="11"/>
    </row>
    <row r="341" spans="20:24" x14ac:dyDescent="0.25">
      <c r="T341" s="11"/>
      <c r="U341" s="11"/>
      <c r="V341" s="11"/>
      <c r="W341" s="11"/>
      <c r="X341" s="11"/>
    </row>
    <row r="342" spans="20:24" x14ac:dyDescent="0.25">
      <c r="T342" s="11"/>
      <c r="U342" s="11"/>
      <c r="V342" s="11"/>
      <c r="W342" s="11"/>
      <c r="X342" s="11"/>
    </row>
    <row r="343" spans="20:24" x14ac:dyDescent="0.25">
      <c r="T343" s="11"/>
      <c r="U343" s="11"/>
      <c r="V343" s="11"/>
      <c r="W343" s="11"/>
      <c r="X343" s="11"/>
    </row>
    <row r="344" spans="20:24" x14ac:dyDescent="0.25">
      <c r="T344" s="11"/>
      <c r="U344" s="11"/>
      <c r="V344" s="11"/>
      <c r="W344" s="11"/>
      <c r="X344" s="11"/>
    </row>
    <row r="345" spans="20:24" x14ac:dyDescent="0.25">
      <c r="T345" s="11"/>
      <c r="U345" s="11"/>
      <c r="V345" s="11"/>
      <c r="W345" s="11"/>
      <c r="X345" s="11"/>
    </row>
    <row r="346" spans="20:24" x14ac:dyDescent="0.25">
      <c r="T346" s="11"/>
      <c r="U346" s="11"/>
      <c r="V346" s="11"/>
      <c r="W346" s="11"/>
      <c r="X346" s="11"/>
    </row>
    <row r="347" spans="20:24" x14ac:dyDescent="0.25">
      <c r="T347" s="11"/>
      <c r="U347" s="11"/>
      <c r="V347" s="11"/>
      <c r="W347" s="11"/>
      <c r="X347" s="11"/>
    </row>
    <row r="348" spans="20:24" x14ac:dyDescent="0.25">
      <c r="T348" s="11"/>
      <c r="U348" s="11"/>
      <c r="V348" s="11"/>
      <c r="W348" s="11"/>
      <c r="X348" s="11"/>
    </row>
    <row r="349" spans="20:24" x14ac:dyDescent="0.25">
      <c r="T349" s="11"/>
      <c r="U349" s="11"/>
      <c r="V349" s="11"/>
      <c r="W349" s="11"/>
      <c r="X349" s="11"/>
    </row>
    <row r="350" spans="20:24" x14ac:dyDescent="0.25">
      <c r="T350" s="11"/>
      <c r="U350" s="11"/>
      <c r="V350" s="11"/>
      <c r="W350" s="11"/>
      <c r="X350" s="11"/>
    </row>
    <row r="351" spans="20:24" x14ac:dyDescent="0.25">
      <c r="T351" s="11"/>
      <c r="U351" s="11"/>
      <c r="V351" s="11"/>
      <c r="W351" s="11"/>
      <c r="X351" s="11"/>
    </row>
    <row r="352" spans="20:24" x14ac:dyDescent="0.25">
      <c r="T352" s="11"/>
      <c r="U352" s="11"/>
      <c r="V352" s="11"/>
      <c r="W352" s="11"/>
      <c r="X352" s="11"/>
    </row>
    <row r="353" spans="20:24" x14ac:dyDescent="0.25">
      <c r="T353" s="11"/>
      <c r="U353" s="11"/>
      <c r="V353" s="11"/>
      <c r="W353" s="11"/>
      <c r="X353" s="11"/>
    </row>
    <row r="354" spans="20:24" x14ac:dyDescent="0.25">
      <c r="T354" s="11"/>
      <c r="U354" s="11"/>
      <c r="V354" s="11"/>
      <c r="W354" s="11"/>
      <c r="X354" s="11"/>
    </row>
    <row r="355" spans="20:24" x14ac:dyDescent="0.25">
      <c r="T355" s="11"/>
      <c r="U355" s="11"/>
      <c r="V355" s="11"/>
      <c r="W355" s="11"/>
      <c r="X355" s="11"/>
    </row>
    <row r="356" spans="20:24" x14ac:dyDescent="0.25">
      <c r="T356" s="11"/>
      <c r="U356" s="11"/>
      <c r="V356" s="11"/>
      <c r="W356" s="11"/>
      <c r="X356" s="11"/>
    </row>
    <row r="357" spans="20:24" x14ac:dyDescent="0.25">
      <c r="T357" s="11"/>
      <c r="U357" s="11"/>
      <c r="V357" s="11"/>
      <c r="W357" s="11"/>
      <c r="X357" s="11"/>
    </row>
    <row r="358" spans="20:24" x14ac:dyDescent="0.25">
      <c r="T358" s="11"/>
      <c r="U358" s="11"/>
      <c r="V358" s="11"/>
      <c r="W358" s="11"/>
      <c r="X358" s="11"/>
    </row>
    <row r="359" spans="20:24" x14ac:dyDescent="0.25">
      <c r="T359" s="11"/>
      <c r="U359" s="11"/>
      <c r="V359" s="11"/>
      <c r="W359" s="11"/>
      <c r="X359" s="11"/>
    </row>
    <row r="360" spans="20:24" x14ac:dyDescent="0.25">
      <c r="T360" s="11"/>
      <c r="U360" s="11"/>
      <c r="V360" s="11"/>
      <c r="W360" s="11"/>
      <c r="X360" s="11"/>
    </row>
    <row r="361" spans="20:24" x14ac:dyDescent="0.25">
      <c r="T361" s="11"/>
      <c r="U361" s="11"/>
      <c r="V361" s="11"/>
      <c r="W361" s="11"/>
      <c r="X361" s="11"/>
    </row>
    <row r="362" spans="20:24" x14ac:dyDescent="0.25">
      <c r="T362" s="11"/>
      <c r="U362" s="11"/>
      <c r="V362" s="11"/>
      <c r="W362" s="11"/>
      <c r="X362" s="11"/>
    </row>
    <row r="363" spans="20:24" x14ac:dyDescent="0.25">
      <c r="T363" s="11"/>
      <c r="U363" s="11"/>
      <c r="V363" s="11"/>
      <c r="W363" s="11"/>
      <c r="X363" s="11"/>
    </row>
    <row r="364" spans="20:24" x14ac:dyDescent="0.25">
      <c r="T364" s="11"/>
      <c r="U364" s="11"/>
      <c r="V364" s="11"/>
      <c r="W364" s="11"/>
      <c r="X364" s="11"/>
    </row>
    <row r="365" spans="20:24" x14ac:dyDescent="0.25">
      <c r="T365" s="11"/>
      <c r="U365" s="11"/>
      <c r="V365" s="11"/>
      <c r="W365" s="11"/>
      <c r="X365" s="11"/>
    </row>
    <row r="366" spans="20:24" x14ac:dyDescent="0.25">
      <c r="T366" s="11"/>
      <c r="U366" s="11"/>
      <c r="V366" s="11"/>
      <c r="W366" s="11"/>
      <c r="X366" s="11"/>
    </row>
    <row r="367" spans="20:24" x14ac:dyDescent="0.25">
      <c r="T367" s="11"/>
      <c r="U367" s="11"/>
      <c r="V367" s="11"/>
      <c r="W367" s="11"/>
      <c r="X367" s="11"/>
    </row>
    <row r="368" spans="20:24" x14ac:dyDescent="0.25">
      <c r="T368" s="11"/>
      <c r="U368" s="11"/>
      <c r="V368" s="11"/>
      <c r="W368" s="11"/>
      <c r="X368" s="11"/>
    </row>
    <row r="369" spans="20:24" x14ac:dyDescent="0.25">
      <c r="T369" s="11"/>
      <c r="U369" s="11"/>
      <c r="V369" s="11"/>
      <c r="W369" s="11"/>
      <c r="X369" s="11"/>
    </row>
    <row r="370" spans="20:24" x14ac:dyDescent="0.25">
      <c r="T370" s="11"/>
      <c r="U370" s="11"/>
      <c r="V370" s="11"/>
      <c r="W370" s="11"/>
      <c r="X370" s="11"/>
    </row>
    <row r="371" spans="20:24" x14ac:dyDescent="0.25">
      <c r="T371" s="11"/>
      <c r="U371" s="11"/>
      <c r="V371" s="11"/>
      <c r="W371" s="11"/>
      <c r="X371" s="11"/>
    </row>
    <row r="372" spans="20:24" x14ac:dyDescent="0.25">
      <c r="T372" s="11"/>
      <c r="U372" s="11"/>
      <c r="V372" s="11"/>
      <c r="W372" s="11"/>
      <c r="X372" s="11"/>
    </row>
    <row r="373" spans="20:24" x14ac:dyDescent="0.25">
      <c r="T373" s="11"/>
      <c r="U373" s="11"/>
      <c r="V373" s="11"/>
      <c r="W373" s="11"/>
      <c r="X373" s="11"/>
    </row>
    <row r="374" spans="20:24" x14ac:dyDescent="0.25">
      <c r="T374" s="11"/>
      <c r="U374" s="11"/>
      <c r="V374" s="11"/>
      <c r="W374" s="11"/>
      <c r="X374" s="11"/>
    </row>
    <row r="375" spans="20:24" x14ac:dyDescent="0.25">
      <c r="T375" s="11"/>
      <c r="U375" s="11"/>
      <c r="V375" s="11"/>
      <c r="W375" s="11"/>
      <c r="X375" s="11"/>
    </row>
    <row r="376" spans="20:24" x14ac:dyDescent="0.25">
      <c r="T376" s="11"/>
      <c r="U376" s="11"/>
      <c r="V376" s="11"/>
      <c r="W376" s="11"/>
      <c r="X376" s="11"/>
    </row>
    <row r="377" spans="20:24" x14ac:dyDescent="0.25">
      <c r="T377" s="11"/>
      <c r="U377" s="11"/>
      <c r="V377" s="11"/>
      <c r="W377" s="11"/>
      <c r="X377" s="11"/>
    </row>
    <row r="378" spans="20:24" x14ac:dyDescent="0.25">
      <c r="T378" s="11"/>
      <c r="U378" s="11"/>
      <c r="V378" s="11"/>
      <c r="W378" s="11"/>
      <c r="X378" s="11"/>
    </row>
    <row r="379" spans="20:24" x14ac:dyDescent="0.25">
      <c r="T379" s="11"/>
      <c r="U379" s="11"/>
      <c r="V379" s="11"/>
      <c r="W379" s="11"/>
      <c r="X379" s="11"/>
    </row>
    <row r="380" spans="20:24" x14ac:dyDescent="0.25">
      <c r="T380" s="11"/>
      <c r="U380" s="11"/>
      <c r="V380" s="11"/>
      <c r="W380" s="11"/>
      <c r="X380" s="11"/>
    </row>
    <row r="381" spans="20:24" x14ac:dyDescent="0.25">
      <c r="T381" s="11"/>
      <c r="U381" s="11"/>
      <c r="V381" s="11"/>
      <c r="W381" s="11"/>
      <c r="X381" s="11"/>
    </row>
    <row r="382" spans="20:24" x14ac:dyDescent="0.25">
      <c r="T382" s="11"/>
      <c r="U382" s="11"/>
      <c r="V382" s="11"/>
      <c r="W382" s="11"/>
      <c r="X382" s="11"/>
    </row>
    <row r="383" spans="20:24" x14ac:dyDescent="0.25">
      <c r="T383" s="11"/>
      <c r="U383" s="11"/>
      <c r="V383" s="11"/>
      <c r="W383" s="11"/>
      <c r="X383" s="11"/>
    </row>
    <row r="384" spans="20:24" x14ac:dyDescent="0.25">
      <c r="T384" s="11"/>
      <c r="U384" s="11"/>
      <c r="V384" s="11"/>
      <c r="W384" s="11"/>
      <c r="X384" s="11"/>
    </row>
    <row r="385" spans="20:24" x14ac:dyDescent="0.25">
      <c r="T385" s="11"/>
      <c r="U385" s="11"/>
      <c r="V385" s="11"/>
      <c r="W385" s="11"/>
      <c r="X385" s="11"/>
    </row>
    <row r="386" spans="20:24" x14ac:dyDescent="0.25">
      <c r="T386" s="11"/>
      <c r="U386" s="11"/>
      <c r="V386" s="11"/>
      <c r="W386" s="11"/>
      <c r="X386" s="11"/>
    </row>
    <row r="387" spans="20:24" x14ac:dyDescent="0.25">
      <c r="T387" s="11"/>
      <c r="U387" s="11"/>
      <c r="V387" s="11"/>
      <c r="W387" s="11"/>
      <c r="X387" s="11"/>
    </row>
    <row r="388" spans="20:24" x14ac:dyDescent="0.25">
      <c r="T388" s="11"/>
      <c r="U388" s="11"/>
      <c r="V388" s="11"/>
      <c r="W388" s="11"/>
      <c r="X388" s="11"/>
    </row>
    <row r="389" spans="20:24" x14ac:dyDescent="0.25">
      <c r="T389" s="11"/>
      <c r="U389" s="11"/>
      <c r="V389" s="11"/>
      <c r="W389" s="11"/>
      <c r="X389" s="11"/>
    </row>
    <row r="390" spans="20:24" x14ac:dyDescent="0.25">
      <c r="T390" s="11"/>
      <c r="U390" s="11"/>
      <c r="V390" s="11"/>
      <c r="W390" s="11"/>
      <c r="X390" s="11"/>
    </row>
    <row r="391" spans="20:24" x14ac:dyDescent="0.25">
      <c r="T391" s="11"/>
      <c r="U391" s="11"/>
      <c r="V391" s="11"/>
      <c r="W391" s="11"/>
      <c r="X391" s="11"/>
    </row>
    <row r="392" spans="20:24" x14ac:dyDescent="0.25">
      <c r="T392" s="11"/>
      <c r="U392" s="11"/>
      <c r="V392" s="11"/>
      <c r="W392" s="11"/>
      <c r="X392" s="11"/>
    </row>
    <row r="393" spans="20:24" x14ac:dyDescent="0.25">
      <c r="T393" s="11"/>
      <c r="U393" s="11"/>
      <c r="V393" s="11"/>
      <c r="W393" s="11"/>
      <c r="X393" s="11"/>
    </row>
    <row r="394" spans="20:24" x14ac:dyDescent="0.25">
      <c r="T394" s="11"/>
      <c r="U394" s="11"/>
      <c r="V394" s="11"/>
      <c r="W394" s="11"/>
      <c r="X394" s="11"/>
    </row>
    <row r="395" spans="20:24" x14ac:dyDescent="0.25">
      <c r="T395" s="11"/>
      <c r="U395" s="11"/>
      <c r="V395" s="11"/>
      <c r="W395" s="11"/>
      <c r="X395" s="11"/>
    </row>
    <row r="396" spans="20:24" x14ac:dyDescent="0.25">
      <c r="T396" s="11"/>
      <c r="U396" s="11"/>
      <c r="V396" s="11"/>
      <c r="W396" s="11"/>
      <c r="X396" s="11"/>
    </row>
    <row r="397" spans="20:24" x14ac:dyDescent="0.25">
      <c r="T397" s="11"/>
      <c r="U397" s="11"/>
      <c r="V397" s="11"/>
      <c r="W397" s="11"/>
      <c r="X397" s="11"/>
    </row>
    <row r="398" spans="20:24" x14ac:dyDescent="0.25">
      <c r="T398" s="11"/>
      <c r="U398" s="11"/>
      <c r="V398" s="11"/>
      <c r="W398" s="11"/>
      <c r="X398" s="11"/>
    </row>
    <row r="399" spans="20:24" x14ac:dyDescent="0.25">
      <c r="T399" s="11"/>
      <c r="U399" s="11"/>
      <c r="V399" s="11"/>
      <c r="W399" s="11"/>
      <c r="X399" s="11"/>
    </row>
    <row r="400" spans="20:24" x14ac:dyDescent="0.25">
      <c r="T400" s="11"/>
      <c r="U400" s="11"/>
      <c r="V400" s="11"/>
      <c r="W400" s="11"/>
      <c r="X400" s="11"/>
    </row>
    <row r="401" spans="20:24" x14ac:dyDescent="0.25">
      <c r="T401" s="11"/>
      <c r="U401" s="11"/>
      <c r="V401" s="11"/>
      <c r="W401" s="11"/>
      <c r="X401" s="11"/>
    </row>
    <row r="402" spans="20:24" x14ac:dyDescent="0.25">
      <c r="T402" s="11"/>
      <c r="U402" s="11"/>
      <c r="V402" s="11"/>
      <c r="W402" s="11"/>
      <c r="X402" s="11"/>
    </row>
    <row r="403" spans="20:24" x14ac:dyDescent="0.25">
      <c r="T403" s="11"/>
      <c r="U403" s="11"/>
      <c r="V403" s="11"/>
      <c r="W403" s="11"/>
      <c r="X403" s="11"/>
    </row>
    <row r="404" spans="20:24" x14ac:dyDescent="0.25">
      <c r="T404" s="11"/>
      <c r="U404" s="11"/>
      <c r="V404" s="11"/>
      <c r="W404" s="11"/>
      <c r="X404" s="11"/>
    </row>
    <row r="405" spans="20:24" x14ac:dyDescent="0.25">
      <c r="T405" s="11"/>
      <c r="U405" s="11"/>
      <c r="V405" s="11"/>
      <c r="W405" s="11"/>
      <c r="X405" s="11"/>
    </row>
    <row r="406" spans="20:24" x14ac:dyDescent="0.25">
      <c r="T406" s="11"/>
      <c r="U406" s="11"/>
      <c r="V406" s="11"/>
      <c r="W406" s="11"/>
      <c r="X406" s="11"/>
    </row>
    <row r="407" spans="20:24" x14ac:dyDescent="0.25">
      <c r="T407" s="11"/>
      <c r="U407" s="11"/>
      <c r="V407" s="11"/>
      <c r="W407" s="11"/>
      <c r="X407" s="11"/>
    </row>
    <row r="408" spans="20:24" x14ac:dyDescent="0.25">
      <c r="T408" s="11"/>
      <c r="U408" s="11"/>
      <c r="V408" s="11"/>
      <c r="W408" s="11"/>
      <c r="X408" s="11"/>
    </row>
    <row r="409" spans="20:24" x14ac:dyDescent="0.25">
      <c r="T409" s="11"/>
      <c r="U409" s="11"/>
      <c r="V409" s="11"/>
      <c r="W409" s="11"/>
      <c r="X409" s="11"/>
    </row>
    <row r="410" spans="20:24" x14ac:dyDescent="0.25">
      <c r="T410" s="11"/>
      <c r="U410" s="11"/>
      <c r="V410" s="11"/>
      <c r="W410" s="11"/>
      <c r="X410" s="11"/>
    </row>
    <row r="411" spans="20:24" x14ac:dyDescent="0.25">
      <c r="T411" s="11"/>
      <c r="U411" s="11"/>
      <c r="V411" s="11"/>
      <c r="W411" s="11"/>
      <c r="X411" s="11"/>
    </row>
    <row r="412" spans="20:24" x14ac:dyDescent="0.25">
      <c r="T412" s="11"/>
      <c r="U412" s="11"/>
      <c r="V412" s="11"/>
      <c r="W412" s="11"/>
      <c r="X412" s="11"/>
    </row>
    <row r="413" spans="20:24" x14ac:dyDescent="0.25">
      <c r="T413" s="11"/>
      <c r="U413" s="11"/>
      <c r="V413" s="11"/>
      <c r="W413" s="11"/>
      <c r="X413" s="11"/>
    </row>
    <row r="414" spans="20:24" x14ac:dyDescent="0.25">
      <c r="T414" s="11"/>
      <c r="U414" s="11"/>
      <c r="V414" s="11"/>
      <c r="W414" s="11"/>
      <c r="X414" s="11"/>
    </row>
    <row r="415" spans="20:24" x14ac:dyDescent="0.25">
      <c r="T415" s="11"/>
      <c r="U415" s="11"/>
      <c r="V415" s="11"/>
      <c r="W415" s="11"/>
      <c r="X415" s="11"/>
    </row>
    <row r="416" spans="20:24" x14ac:dyDescent="0.25">
      <c r="T416" s="11"/>
      <c r="U416" s="11"/>
      <c r="V416" s="11"/>
      <c r="W416" s="11"/>
      <c r="X416" s="11"/>
    </row>
    <row r="417" spans="20:24" x14ac:dyDescent="0.25">
      <c r="T417" s="11"/>
      <c r="U417" s="11"/>
      <c r="V417" s="11"/>
      <c r="W417" s="11"/>
      <c r="X417" s="11"/>
    </row>
    <row r="418" spans="20:24" x14ac:dyDescent="0.25">
      <c r="T418" s="11"/>
      <c r="U418" s="11"/>
      <c r="V418" s="11"/>
      <c r="W418" s="11"/>
      <c r="X418" s="11"/>
    </row>
    <row r="419" spans="20:24" x14ac:dyDescent="0.25">
      <c r="T419" s="11"/>
      <c r="U419" s="11"/>
      <c r="V419" s="11"/>
      <c r="W419" s="11"/>
      <c r="X419" s="11"/>
    </row>
    <row r="420" spans="20:24" x14ac:dyDescent="0.25">
      <c r="T420" s="11"/>
      <c r="U420" s="11"/>
      <c r="V420" s="11"/>
      <c r="W420" s="11"/>
      <c r="X420" s="11"/>
    </row>
    <row r="421" spans="20:24" x14ac:dyDescent="0.25">
      <c r="T421" s="11"/>
      <c r="U421" s="11"/>
      <c r="V421" s="11"/>
      <c r="W421" s="11"/>
      <c r="X421" s="11"/>
    </row>
    <row r="422" spans="20:24" x14ac:dyDescent="0.25">
      <c r="T422" s="11"/>
      <c r="U422" s="11"/>
      <c r="V422" s="11"/>
      <c r="W422" s="11"/>
      <c r="X422" s="11"/>
    </row>
    <row r="423" spans="20:24" x14ac:dyDescent="0.25">
      <c r="T423" s="11"/>
      <c r="U423" s="11"/>
      <c r="V423" s="11"/>
      <c r="W423" s="11"/>
      <c r="X423" s="11"/>
    </row>
    <row r="424" spans="20:24" x14ac:dyDescent="0.25">
      <c r="T424" s="11"/>
      <c r="U424" s="11"/>
      <c r="V424" s="11"/>
      <c r="W424" s="11"/>
      <c r="X424" s="11"/>
    </row>
    <row r="425" spans="20:24" x14ac:dyDescent="0.25">
      <c r="T425" s="11"/>
      <c r="U425" s="11"/>
      <c r="V425" s="11"/>
      <c r="W425" s="11"/>
      <c r="X425" s="11"/>
    </row>
    <row r="426" spans="20:24" x14ac:dyDescent="0.25">
      <c r="T426" s="11"/>
      <c r="U426" s="11"/>
      <c r="V426" s="11"/>
      <c r="W426" s="11"/>
      <c r="X426" s="11"/>
    </row>
    <row r="427" spans="20:24" x14ac:dyDescent="0.25">
      <c r="T427" s="11"/>
      <c r="U427" s="11"/>
      <c r="V427" s="11"/>
      <c r="W427" s="11"/>
      <c r="X427" s="11"/>
    </row>
    <row r="428" spans="20:24" x14ac:dyDescent="0.25">
      <c r="T428" s="11"/>
      <c r="U428" s="11"/>
      <c r="V428" s="11"/>
      <c r="W428" s="11"/>
      <c r="X428" s="11"/>
    </row>
    <row r="429" spans="20:24" x14ac:dyDescent="0.25">
      <c r="T429" s="11"/>
      <c r="U429" s="11"/>
      <c r="V429" s="11"/>
      <c r="W429" s="11"/>
      <c r="X429" s="11"/>
    </row>
    <row r="430" spans="20:24" x14ac:dyDescent="0.25">
      <c r="T430" s="11"/>
      <c r="U430" s="11"/>
      <c r="V430" s="11"/>
      <c r="W430" s="11"/>
      <c r="X430" s="11"/>
    </row>
    <row r="431" spans="20:24" x14ac:dyDescent="0.25">
      <c r="T431" s="11"/>
      <c r="U431" s="11"/>
      <c r="V431" s="11"/>
      <c r="W431" s="11"/>
      <c r="X431" s="11"/>
    </row>
    <row r="432" spans="20:24" x14ac:dyDescent="0.25">
      <c r="T432" s="11"/>
      <c r="U432" s="11"/>
      <c r="V432" s="11"/>
      <c r="W432" s="11"/>
      <c r="X432" s="11"/>
    </row>
    <row r="433" spans="20:24" x14ac:dyDescent="0.25">
      <c r="T433" s="11"/>
      <c r="U433" s="11"/>
      <c r="V433" s="11"/>
      <c r="W433" s="11"/>
      <c r="X433" s="11"/>
    </row>
    <row r="434" spans="20:24" x14ac:dyDescent="0.25">
      <c r="T434" s="11"/>
      <c r="U434" s="11"/>
      <c r="V434" s="11"/>
      <c r="W434" s="11"/>
      <c r="X434" s="11"/>
    </row>
    <row r="435" spans="20:24" x14ac:dyDescent="0.25">
      <c r="T435" s="11"/>
      <c r="U435" s="11"/>
      <c r="V435" s="11"/>
      <c r="W435" s="11"/>
      <c r="X435" s="11"/>
    </row>
    <row r="436" spans="20:24" x14ac:dyDescent="0.25">
      <c r="T436" s="11"/>
      <c r="U436" s="11"/>
      <c r="V436" s="11"/>
      <c r="W436" s="11"/>
      <c r="X436" s="11"/>
    </row>
    <row r="437" spans="20:24" x14ac:dyDescent="0.25">
      <c r="T437" s="11"/>
      <c r="U437" s="11"/>
      <c r="V437" s="11"/>
      <c r="W437" s="11"/>
      <c r="X437" s="11"/>
    </row>
    <row r="438" spans="20:24" x14ac:dyDescent="0.25">
      <c r="T438" s="11"/>
      <c r="U438" s="11"/>
      <c r="V438" s="11"/>
      <c r="W438" s="11"/>
      <c r="X438" s="11"/>
    </row>
    <row r="439" spans="20:24" x14ac:dyDescent="0.25">
      <c r="T439" s="11"/>
      <c r="U439" s="11"/>
      <c r="V439" s="11"/>
      <c r="W439" s="11"/>
      <c r="X439" s="11"/>
    </row>
    <row r="440" spans="20:24" x14ac:dyDescent="0.25">
      <c r="T440" s="11"/>
      <c r="U440" s="11"/>
      <c r="V440" s="11"/>
      <c r="W440" s="11"/>
      <c r="X440" s="11"/>
    </row>
    <row r="441" spans="20:24" x14ac:dyDescent="0.25">
      <c r="T441" s="11"/>
      <c r="U441" s="11"/>
      <c r="V441" s="11"/>
      <c r="W441" s="11"/>
      <c r="X441" s="11"/>
    </row>
    <row r="442" spans="20:24" x14ac:dyDescent="0.25">
      <c r="T442" s="11"/>
      <c r="U442" s="11"/>
      <c r="V442" s="11"/>
      <c r="W442" s="11"/>
      <c r="X442" s="11"/>
    </row>
    <row r="443" spans="20:24" x14ac:dyDescent="0.25">
      <c r="T443" s="11"/>
      <c r="U443" s="11"/>
      <c r="V443" s="11"/>
      <c r="W443" s="11"/>
      <c r="X443" s="11"/>
    </row>
    <row r="444" spans="20:24" x14ac:dyDescent="0.25">
      <c r="T444" s="11"/>
      <c r="U444" s="11"/>
      <c r="V444" s="11"/>
      <c r="W444" s="11"/>
      <c r="X444" s="11"/>
    </row>
    <row r="445" spans="20:24" x14ac:dyDescent="0.25">
      <c r="T445" s="11"/>
      <c r="U445" s="11"/>
      <c r="V445" s="11"/>
      <c r="W445" s="11"/>
      <c r="X445" s="11"/>
    </row>
    <row r="446" spans="20:24" x14ac:dyDescent="0.25">
      <c r="T446" s="11"/>
      <c r="U446" s="11"/>
      <c r="V446" s="11"/>
      <c r="W446" s="11"/>
      <c r="X446" s="11"/>
    </row>
    <row r="447" spans="20:24" x14ac:dyDescent="0.25">
      <c r="T447" s="11"/>
      <c r="U447" s="11"/>
      <c r="V447" s="11"/>
      <c r="W447" s="11"/>
      <c r="X447" s="11"/>
    </row>
    <row r="448" spans="20:24" x14ac:dyDescent="0.25">
      <c r="T448" s="11"/>
      <c r="U448" s="11"/>
      <c r="V448" s="11"/>
      <c r="W448" s="11"/>
      <c r="X448" s="11"/>
    </row>
    <row r="449" spans="20:24" x14ac:dyDescent="0.25">
      <c r="T449" s="11"/>
      <c r="U449" s="11"/>
      <c r="V449" s="11"/>
      <c r="W449" s="11"/>
      <c r="X449" s="11"/>
    </row>
    <row r="450" spans="20:24" x14ac:dyDescent="0.25">
      <c r="T450" s="11"/>
      <c r="U450" s="11"/>
      <c r="V450" s="11"/>
      <c r="W450" s="11"/>
      <c r="X450" s="11"/>
    </row>
    <row r="451" spans="20:24" x14ac:dyDescent="0.25">
      <c r="T451" s="11"/>
      <c r="U451" s="11"/>
      <c r="V451" s="11"/>
      <c r="W451" s="11"/>
      <c r="X451" s="11"/>
    </row>
    <row r="452" spans="20:24" x14ac:dyDescent="0.25">
      <c r="T452" s="11"/>
      <c r="U452" s="11"/>
      <c r="V452" s="11"/>
      <c r="W452" s="11"/>
      <c r="X452" s="11"/>
    </row>
    <row r="453" spans="20:24" x14ac:dyDescent="0.25">
      <c r="T453" s="11"/>
      <c r="U453" s="11"/>
      <c r="V453" s="11"/>
      <c r="W453" s="11"/>
      <c r="X453" s="11"/>
    </row>
    <row r="454" spans="20:24" x14ac:dyDescent="0.25">
      <c r="T454" s="11"/>
      <c r="U454" s="11"/>
      <c r="V454" s="11"/>
      <c r="W454" s="11"/>
      <c r="X454" s="11"/>
    </row>
    <row r="455" spans="20:24" x14ac:dyDescent="0.25">
      <c r="T455" s="11"/>
      <c r="U455" s="11"/>
      <c r="V455" s="11"/>
      <c r="W455" s="11"/>
      <c r="X455" s="11"/>
    </row>
    <row r="456" spans="20:24" x14ac:dyDescent="0.25">
      <c r="T456" s="11"/>
      <c r="U456" s="11"/>
      <c r="V456" s="11"/>
      <c r="W456" s="11"/>
      <c r="X456" s="11"/>
    </row>
    <row r="457" spans="20:24" x14ac:dyDescent="0.25">
      <c r="T457" s="11"/>
      <c r="U457" s="11"/>
      <c r="V457" s="11"/>
      <c r="W457" s="11"/>
      <c r="X457" s="11"/>
    </row>
    <row r="458" spans="20:24" x14ac:dyDescent="0.25">
      <c r="T458" s="11"/>
      <c r="U458" s="11"/>
      <c r="V458" s="11"/>
      <c r="W458" s="11"/>
      <c r="X458" s="11"/>
    </row>
    <row r="459" spans="20:24" x14ac:dyDescent="0.25">
      <c r="T459" s="11"/>
      <c r="U459" s="11"/>
      <c r="V459" s="11"/>
      <c r="W459" s="11"/>
      <c r="X459" s="11"/>
    </row>
    <row r="460" spans="20:24" x14ac:dyDescent="0.25">
      <c r="T460" s="11"/>
      <c r="U460" s="11"/>
      <c r="V460" s="11"/>
      <c r="W460" s="11"/>
      <c r="X460" s="11"/>
    </row>
    <row r="461" spans="20:24" x14ac:dyDescent="0.25">
      <c r="T461" s="11"/>
      <c r="U461" s="11"/>
      <c r="V461" s="11"/>
      <c r="W461" s="11"/>
      <c r="X461" s="11"/>
    </row>
    <row r="462" spans="20:24" x14ac:dyDescent="0.25">
      <c r="T462" s="11"/>
      <c r="U462" s="11"/>
      <c r="V462" s="11"/>
      <c r="W462" s="11"/>
      <c r="X462" s="11"/>
    </row>
    <row r="463" spans="20:24" x14ac:dyDescent="0.25">
      <c r="T463" s="11"/>
      <c r="U463" s="11"/>
      <c r="V463" s="11"/>
      <c r="W463" s="11"/>
      <c r="X463" s="11"/>
    </row>
    <row r="464" spans="20:24" x14ac:dyDescent="0.25">
      <c r="T464" s="11"/>
      <c r="U464" s="11"/>
      <c r="V464" s="11"/>
      <c r="W464" s="11"/>
      <c r="X464" s="11"/>
    </row>
    <row r="465" spans="20:24" x14ac:dyDescent="0.25">
      <c r="T465" s="11"/>
      <c r="U465" s="11"/>
      <c r="V465" s="11"/>
      <c r="W465" s="11"/>
      <c r="X465" s="11"/>
    </row>
    <row r="466" spans="20:24" x14ac:dyDescent="0.25">
      <c r="T466" s="11"/>
      <c r="U466" s="11"/>
      <c r="V466" s="11"/>
      <c r="W466" s="11"/>
      <c r="X466" s="11"/>
    </row>
    <row r="467" spans="20:24" x14ac:dyDescent="0.25">
      <c r="T467" s="11"/>
      <c r="U467" s="11"/>
      <c r="V467" s="11"/>
      <c r="W467" s="11"/>
      <c r="X467" s="11"/>
    </row>
    <row r="468" spans="20:24" x14ac:dyDescent="0.25">
      <c r="T468" s="11"/>
      <c r="U468" s="11"/>
      <c r="V468" s="11"/>
      <c r="W468" s="11"/>
      <c r="X468" s="11"/>
    </row>
    <row r="469" spans="20:24" x14ac:dyDescent="0.25">
      <c r="T469" s="11"/>
      <c r="U469" s="11"/>
      <c r="V469" s="11"/>
      <c r="W469" s="11"/>
      <c r="X469" s="11"/>
    </row>
    <row r="470" spans="20:24" x14ac:dyDescent="0.25">
      <c r="T470" s="11"/>
      <c r="U470" s="11"/>
      <c r="V470" s="11"/>
      <c r="W470" s="11"/>
      <c r="X470" s="11"/>
    </row>
    <row r="471" spans="20:24" x14ac:dyDescent="0.25">
      <c r="T471" s="11"/>
      <c r="U471" s="11"/>
      <c r="V471" s="11"/>
      <c r="W471" s="11"/>
      <c r="X471" s="11"/>
    </row>
    <row r="472" spans="20:24" x14ac:dyDescent="0.25">
      <c r="T472" s="11"/>
      <c r="U472" s="11"/>
      <c r="V472" s="11"/>
      <c r="W472" s="11"/>
      <c r="X472" s="11"/>
    </row>
    <row r="473" spans="20:24" x14ac:dyDescent="0.25">
      <c r="T473" s="11"/>
      <c r="U473" s="11"/>
      <c r="V473" s="11"/>
      <c r="W473" s="11"/>
      <c r="X473" s="11"/>
    </row>
    <row r="474" spans="20:24" x14ac:dyDescent="0.25">
      <c r="T474" s="11"/>
      <c r="U474" s="11"/>
      <c r="V474" s="11"/>
      <c r="W474" s="11"/>
      <c r="X474" s="11"/>
    </row>
    <row r="475" spans="20:24" x14ac:dyDescent="0.25">
      <c r="T475" s="11"/>
      <c r="U475" s="11"/>
      <c r="V475" s="11"/>
      <c r="W475" s="11"/>
      <c r="X475" s="11"/>
    </row>
    <row r="476" spans="20:24" x14ac:dyDescent="0.25">
      <c r="T476" s="11"/>
      <c r="U476" s="11"/>
      <c r="V476" s="11"/>
      <c r="W476" s="11"/>
      <c r="X476" s="11"/>
    </row>
    <row r="477" spans="20:24" x14ac:dyDescent="0.25">
      <c r="T477" s="11"/>
      <c r="U477" s="11"/>
      <c r="V477" s="11"/>
      <c r="W477" s="11"/>
      <c r="X477" s="11"/>
    </row>
    <row r="478" spans="20:24" x14ac:dyDescent="0.25">
      <c r="T478" s="11"/>
      <c r="U478" s="11"/>
      <c r="V478" s="11"/>
      <c r="W478" s="11"/>
      <c r="X478" s="11"/>
    </row>
    <row r="479" spans="20:24" x14ac:dyDescent="0.25">
      <c r="T479" s="11"/>
      <c r="U479" s="11"/>
      <c r="V479" s="11"/>
      <c r="W479" s="11"/>
      <c r="X479" s="11"/>
    </row>
    <row r="480" spans="20:24" x14ac:dyDescent="0.25">
      <c r="T480" s="11"/>
      <c r="U480" s="11"/>
      <c r="V480" s="11"/>
      <c r="W480" s="11"/>
      <c r="X480" s="11"/>
    </row>
    <row r="481" spans="20:24" x14ac:dyDescent="0.25">
      <c r="T481" s="11"/>
      <c r="U481" s="11"/>
      <c r="V481" s="11"/>
      <c r="W481" s="11"/>
      <c r="X481" s="11"/>
    </row>
    <row r="482" spans="20:24" x14ac:dyDescent="0.25">
      <c r="T482" s="11"/>
      <c r="U482" s="11"/>
      <c r="V482" s="11"/>
      <c r="W482" s="11"/>
      <c r="X482" s="11"/>
    </row>
    <row r="483" spans="20:24" x14ac:dyDescent="0.25">
      <c r="T483" s="11"/>
      <c r="U483" s="11"/>
      <c r="V483" s="11"/>
      <c r="W483" s="11"/>
      <c r="X483" s="11"/>
    </row>
    <row r="484" spans="20:24" x14ac:dyDescent="0.25">
      <c r="T484" s="11"/>
      <c r="U484" s="11"/>
      <c r="V484" s="11"/>
      <c r="W484" s="11"/>
      <c r="X484" s="11"/>
    </row>
    <row r="485" spans="20:24" x14ac:dyDescent="0.25">
      <c r="T485" s="11"/>
      <c r="U485" s="11"/>
      <c r="V485" s="11"/>
      <c r="W485" s="11"/>
      <c r="X485" s="11"/>
    </row>
    <row r="486" spans="20:24" x14ac:dyDescent="0.25">
      <c r="T486" s="11"/>
      <c r="U486" s="11"/>
      <c r="V486" s="11"/>
      <c r="W486" s="11"/>
      <c r="X486" s="11"/>
    </row>
    <row r="487" spans="20:24" x14ac:dyDescent="0.25">
      <c r="T487" s="11"/>
      <c r="U487" s="11"/>
      <c r="V487" s="11"/>
      <c r="W487" s="11"/>
      <c r="X487" s="11"/>
    </row>
    <row r="488" spans="20:24" x14ac:dyDescent="0.25">
      <c r="T488" s="11"/>
      <c r="U488" s="11"/>
      <c r="V488" s="11"/>
      <c r="W488" s="11"/>
      <c r="X488" s="11"/>
    </row>
    <row r="489" spans="20:24" x14ac:dyDescent="0.25">
      <c r="T489" s="11"/>
      <c r="U489" s="11"/>
      <c r="V489" s="11"/>
      <c r="W489" s="11"/>
      <c r="X489" s="11"/>
    </row>
    <row r="490" spans="20:24" x14ac:dyDescent="0.25">
      <c r="T490" s="11"/>
      <c r="U490" s="11"/>
      <c r="V490" s="11"/>
      <c r="W490" s="11"/>
      <c r="X490" s="11"/>
    </row>
    <row r="491" spans="20:24" x14ac:dyDescent="0.25">
      <c r="T491" s="11"/>
      <c r="U491" s="11"/>
      <c r="V491" s="11"/>
      <c r="W491" s="11"/>
      <c r="X491" s="11"/>
    </row>
    <row r="492" spans="20:24" x14ac:dyDescent="0.25">
      <c r="T492" s="11"/>
      <c r="U492" s="11"/>
      <c r="V492" s="11"/>
      <c r="W492" s="11"/>
      <c r="X492" s="11"/>
    </row>
    <row r="493" spans="20:24" x14ac:dyDescent="0.25">
      <c r="T493" s="11"/>
      <c r="U493" s="11"/>
      <c r="V493" s="11"/>
      <c r="W493" s="11"/>
      <c r="X493" s="11"/>
    </row>
    <row r="494" spans="20:24" x14ac:dyDescent="0.25">
      <c r="T494" s="11"/>
      <c r="U494" s="11"/>
      <c r="V494" s="11"/>
      <c r="W494" s="11"/>
      <c r="X494" s="11"/>
    </row>
    <row r="495" spans="20:24" x14ac:dyDescent="0.25">
      <c r="T495" s="11"/>
      <c r="U495" s="11"/>
      <c r="V495" s="11"/>
      <c r="W495" s="11"/>
      <c r="X495" s="11"/>
    </row>
    <row r="496" spans="20:24" x14ac:dyDescent="0.25">
      <c r="T496" s="11"/>
      <c r="U496" s="11"/>
      <c r="V496" s="11"/>
      <c r="W496" s="11"/>
      <c r="X496" s="11"/>
    </row>
    <row r="497" spans="20:24" x14ac:dyDescent="0.25">
      <c r="T497" s="11"/>
      <c r="U497" s="11"/>
      <c r="V497" s="11"/>
      <c r="W497" s="11"/>
      <c r="X497" s="11"/>
    </row>
    <row r="498" spans="20:24" x14ac:dyDescent="0.25">
      <c r="T498" s="11"/>
      <c r="U498" s="11"/>
      <c r="V498" s="11"/>
      <c r="W498" s="11"/>
      <c r="X498" s="11"/>
    </row>
    <row r="499" spans="20:24" x14ac:dyDescent="0.25">
      <c r="T499" s="11"/>
      <c r="U499" s="11"/>
      <c r="V499" s="11"/>
      <c r="W499" s="11"/>
      <c r="X499" s="11"/>
    </row>
    <row r="500" spans="20:24" x14ac:dyDescent="0.25">
      <c r="T500" s="11"/>
      <c r="U500" s="11"/>
      <c r="V500" s="11"/>
      <c r="W500" s="11"/>
      <c r="X500" s="11"/>
    </row>
    <row r="501" spans="20:24" x14ac:dyDescent="0.25">
      <c r="T501" s="11"/>
      <c r="U501" s="11"/>
      <c r="V501" s="11"/>
      <c r="W501" s="11"/>
      <c r="X501" s="11"/>
    </row>
    <row r="502" spans="20:24" x14ac:dyDescent="0.25">
      <c r="T502" s="11"/>
      <c r="U502" s="11"/>
      <c r="V502" s="11"/>
      <c r="W502" s="11"/>
      <c r="X502" s="11"/>
    </row>
    <row r="503" spans="20:24" x14ac:dyDescent="0.25">
      <c r="T503" s="11"/>
      <c r="U503" s="11"/>
      <c r="V503" s="11"/>
      <c r="W503" s="11"/>
      <c r="X503" s="11"/>
    </row>
    <row r="504" spans="20:24" x14ac:dyDescent="0.25">
      <c r="T504" s="11"/>
      <c r="U504" s="11"/>
      <c r="V504" s="11"/>
      <c r="W504" s="11"/>
      <c r="X504" s="11"/>
    </row>
    <row r="505" spans="20:24" x14ac:dyDescent="0.25">
      <c r="T505" s="11"/>
      <c r="U505" s="11"/>
      <c r="V505" s="11"/>
      <c r="W505" s="11"/>
      <c r="X505" s="11"/>
    </row>
    <row r="506" spans="20:24" x14ac:dyDescent="0.25">
      <c r="T506" s="11"/>
      <c r="U506" s="11"/>
      <c r="V506" s="11"/>
      <c r="W506" s="11"/>
      <c r="X506" s="11"/>
    </row>
    <row r="507" spans="20:24" x14ac:dyDescent="0.25">
      <c r="T507" s="11"/>
      <c r="U507" s="11"/>
      <c r="V507" s="11"/>
      <c r="W507" s="11"/>
      <c r="X507" s="11"/>
    </row>
    <row r="508" spans="20:24" x14ac:dyDescent="0.25">
      <c r="T508" s="11"/>
      <c r="U508" s="11"/>
      <c r="V508" s="11"/>
      <c r="W508" s="11"/>
      <c r="X508" s="11"/>
    </row>
    <row r="509" spans="20:24" x14ac:dyDescent="0.25">
      <c r="T509" s="11"/>
      <c r="U509" s="11"/>
      <c r="V509" s="11"/>
      <c r="W509" s="11"/>
      <c r="X509" s="11"/>
    </row>
    <row r="510" spans="20:24" x14ac:dyDescent="0.25">
      <c r="T510" s="11"/>
      <c r="U510" s="11"/>
      <c r="V510" s="11"/>
      <c r="W510" s="11"/>
      <c r="X510" s="11"/>
    </row>
    <row r="511" spans="20:24" x14ac:dyDescent="0.25">
      <c r="T511" s="11"/>
      <c r="U511" s="11"/>
      <c r="V511" s="11"/>
      <c r="W511" s="11"/>
      <c r="X511" s="11"/>
    </row>
    <row r="512" spans="20:24" x14ac:dyDescent="0.25">
      <c r="T512" s="11"/>
      <c r="U512" s="11"/>
      <c r="V512" s="11"/>
      <c r="W512" s="11"/>
      <c r="X512" s="11"/>
    </row>
    <row r="513" spans="20:24" x14ac:dyDescent="0.25">
      <c r="T513" s="11"/>
      <c r="U513" s="11"/>
      <c r="V513" s="11"/>
      <c r="W513" s="11"/>
      <c r="X513" s="11"/>
    </row>
    <row r="514" spans="20:24" x14ac:dyDescent="0.25">
      <c r="T514" s="11"/>
      <c r="U514" s="11"/>
      <c r="V514" s="11"/>
      <c r="W514" s="11"/>
      <c r="X514" s="11"/>
    </row>
    <row r="515" spans="20:24" x14ac:dyDescent="0.25">
      <c r="T515" s="11"/>
      <c r="U515" s="11"/>
      <c r="V515" s="11"/>
      <c r="W515" s="11"/>
      <c r="X515" s="11"/>
    </row>
    <row r="516" spans="20:24" x14ac:dyDescent="0.25">
      <c r="T516" s="11"/>
      <c r="U516" s="11"/>
      <c r="V516" s="11"/>
      <c r="W516" s="11"/>
      <c r="X516" s="11"/>
    </row>
    <row r="517" spans="20:24" x14ac:dyDescent="0.25">
      <c r="T517" s="11"/>
      <c r="U517" s="11"/>
      <c r="V517" s="11"/>
      <c r="W517" s="11"/>
      <c r="X517" s="11"/>
    </row>
    <row r="518" spans="20:24" x14ac:dyDescent="0.25">
      <c r="T518" s="11"/>
      <c r="U518" s="11"/>
      <c r="V518" s="11"/>
      <c r="W518" s="11"/>
      <c r="X518" s="11"/>
    </row>
    <row r="519" spans="20:24" x14ac:dyDescent="0.25">
      <c r="T519" s="11"/>
      <c r="U519" s="11"/>
      <c r="V519" s="11"/>
      <c r="W519" s="11"/>
      <c r="X519" s="11"/>
    </row>
    <row r="520" spans="20:24" x14ac:dyDescent="0.25">
      <c r="T520" s="11"/>
      <c r="U520" s="11"/>
      <c r="V520" s="11"/>
      <c r="W520" s="11"/>
      <c r="X520" s="11"/>
    </row>
    <row r="521" spans="20:24" x14ac:dyDescent="0.25">
      <c r="T521" s="11"/>
      <c r="U521" s="11"/>
      <c r="V521" s="11"/>
      <c r="W521" s="11"/>
      <c r="X521" s="11"/>
    </row>
    <row r="522" spans="20:24" x14ac:dyDescent="0.25">
      <c r="T522" s="11"/>
      <c r="U522" s="11"/>
      <c r="V522" s="11"/>
      <c r="W522" s="11"/>
      <c r="X522" s="11"/>
    </row>
    <row r="523" spans="20:24" x14ac:dyDescent="0.25">
      <c r="T523" s="11"/>
      <c r="U523" s="11"/>
      <c r="V523" s="11"/>
      <c r="W523" s="11"/>
      <c r="X523" s="11"/>
    </row>
    <row r="524" spans="20:24" x14ac:dyDescent="0.25">
      <c r="T524" s="11"/>
      <c r="U524" s="11"/>
      <c r="V524" s="11"/>
      <c r="W524" s="11"/>
      <c r="X524" s="11"/>
    </row>
    <row r="525" spans="20:24" x14ac:dyDescent="0.25">
      <c r="T525" s="11"/>
      <c r="U525" s="11"/>
      <c r="V525" s="11"/>
      <c r="W525" s="11"/>
      <c r="X525" s="11"/>
    </row>
    <row r="526" spans="20:24" x14ac:dyDescent="0.25">
      <c r="T526" s="11"/>
      <c r="U526" s="11"/>
      <c r="V526" s="11"/>
      <c r="W526" s="11"/>
      <c r="X526" s="11"/>
    </row>
    <row r="527" spans="20:24" x14ac:dyDescent="0.25">
      <c r="T527" s="11"/>
      <c r="U527" s="11"/>
      <c r="V527" s="11"/>
      <c r="W527" s="11"/>
      <c r="X527" s="11"/>
    </row>
    <row r="528" spans="20:24" x14ac:dyDescent="0.25">
      <c r="T528" s="11"/>
      <c r="U528" s="11"/>
      <c r="V528" s="11"/>
      <c r="W528" s="11"/>
      <c r="X528" s="11"/>
    </row>
    <row r="529" spans="20:24" x14ac:dyDescent="0.25">
      <c r="T529" s="11"/>
      <c r="U529" s="11"/>
      <c r="V529" s="11"/>
      <c r="W529" s="11"/>
      <c r="X529" s="11"/>
    </row>
    <row r="530" spans="20:24" x14ac:dyDescent="0.25">
      <c r="T530" s="11"/>
      <c r="U530" s="11"/>
      <c r="V530" s="11"/>
      <c r="W530" s="11"/>
      <c r="X530" s="11"/>
    </row>
    <row r="531" spans="20:24" x14ac:dyDescent="0.25">
      <c r="T531" s="11"/>
      <c r="U531" s="11"/>
      <c r="V531" s="11"/>
      <c r="W531" s="11"/>
      <c r="X531" s="11"/>
    </row>
    <row r="532" spans="20:24" x14ac:dyDescent="0.25">
      <c r="T532" s="11"/>
      <c r="U532" s="11"/>
      <c r="V532" s="11"/>
      <c r="W532" s="11"/>
      <c r="X532" s="11"/>
    </row>
    <row r="533" spans="20:24" x14ac:dyDescent="0.25">
      <c r="T533" s="11"/>
      <c r="U533" s="11"/>
      <c r="V533" s="11"/>
      <c r="W533" s="11"/>
      <c r="X533" s="11"/>
    </row>
    <row r="534" spans="20:24" x14ac:dyDescent="0.25">
      <c r="T534" s="11"/>
      <c r="U534" s="11"/>
      <c r="V534" s="11"/>
      <c r="W534" s="11"/>
      <c r="X534" s="11"/>
    </row>
    <row r="535" spans="20:24" x14ac:dyDescent="0.25">
      <c r="T535" s="11"/>
      <c r="U535" s="11"/>
      <c r="V535" s="11"/>
      <c r="W535" s="11"/>
      <c r="X535" s="11"/>
    </row>
    <row r="536" spans="20:24" x14ac:dyDescent="0.25">
      <c r="T536" s="11"/>
      <c r="U536" s="11"/>
      <c r="V536" s="11"/>
      <c r="W536" s="11"/>
      <c r="X536" s="11"/>
    </row>
    <row r="537" spans="20:24" x14ac:dyDescent="0.25">
      <c r="T537" s="11"/>
      <c r="U537" s="11"/>
      <c r="V537" s="11"/>
      <c r="W537" s="11"/>
      <c r="X537" s="11"/>
    </row>
    <row r="538" spans="20:24" x14ac:dyDescent="0.25">
      <c r="T538" s="11"/>
      <c r="U538" s="11"/>
      <c r="V538" s="11"/>
      <c r="W538" s="11"/>
      <c r="X538" s="11"/>
    </row>
    <row r="539" spans="20:24" x14ac:dyDescent="0.25">
      <c r="T539" s="11"/>
      <c r="U539" s="11"/>
      <c r="V539" s="11"/>
      <c r="W539" s="11"/>
      <c r="X539" s="11"/>
    </row>
    <row r="540" spans="20:24" x14ac:dyDescent="0.25">
      <c r="T540" s="11"/>
      <c r="U540" s="11"/>
      <c r="V540" s="11"/>
      <c r="W540" s="11"/>
      <c r="X540" s="11"/>
    </row>
    <row r="541" spans="20:24" x14ac:dyDescent="0.25">
      <c r="T541" s="11"/>
      <c r="U541" s="11"/>
      <c r="V541" s="11"/>
      <c r="W541" s="11"/>
      <c r="X541" s="11"/>
    </row>
    <row r="542" spans="20:24" x14ac:dyDescent="0.25">
      <c r="T542" s="11"/>
      <c r="U542" s="11"/>
      <c r="V542" s="11"/>
      <c r="W542" s="11"/>
      <c r="X542" s="11"/>
    </row>
    <row r="543" spans="20:24" x14ac:dyDescent="0.25">
      <c r="T543" s="11"/>
      <c r="U543" s="11"/>
      <c r="V543" s="11"/>
      <c r="W543" s="11"/>
      <c r="X543" s="11"/>
    </row>
    <row r="544" spans="20:24" x14ac:dyDescent="0.25">
      <c r="T544" s="11"/>
      <c r="U544" s="11"/>
      <c r="V544" s="11"/>
      <c r="W544" s="11"/>
      <c r="X544" s="11"/>
    </row>
    <row r="545" spans="20:24" x14ac:dyDescent="0.25">
      <c r="T545" s="11"/>
      <c r="U545" s="11"/>
      <c r="V545" s="11"/>
      <c r="W545" s="11"/>
      <c r="X545" s="11"/>
    </row>
    <row r="546" spans="20:24" x14ac:dyDescent="0.25">
      <c r="T546" s="11"/>
      <c r="U546" s="11"/>
      <c r="V546" s="11"/>
      <c r="W546" s="11"/>
      <c r="X546" s="11"/>
    </row>
    <row r="547" spans="20:24" x14ac:dyDescent="0.25">
      <c r="T547" s="11"/>
      <c r="U547" s="11"/>
      <c r="V547" s="11"/>
      <c r="W547" s="11"/>
      <c r="X547" s="11"/>
    </row>
    <row r="548" spans="20:24" x14ac:dyDescent="0.25">
      <c r="T548" s="11"/>
      <c r="U548" s="11"/>
      <c r="V548" s="11"/>
      <c r="W548" s="11"/>
      <c r="X548" s="11"/>
    </row>
    <row r="549" spans="20:24" x14ac:dyDescent="0.25">
      <c r="T549" s="11"/>
      <c r="U549" s="11"/>
      <c r="V549" s="11"/>
      <c r="W549" s="11"/>
      <c r="X549" s="11"/>
    </row>
    <row r="550" spans="20:24" x14ac:dyDescent="0.25">
      <c r="T550" s="11"/>
      <c r="U550" s="11"/>
      <c r="V550" s="11"/>
      <c r="W550" s="11"/>
      <c r="X550" s="11"/>
    </row>
    <row r="551" spans="20:24" x14ac:dyDescent="0.25">
      <c r="T551" s="11"/>
      <c r="U551" s="11"/>
      <c r="V551" s="11"/>
      <c r="W551" s="11"/>
      <c r="X551" s="11"/>
    </row>
    <row r="552" spans="20:24" x14ac:dyDescent="0.25">
      <c r="T552" s="11"/>
      <c r="U552" s="11"/>
      <c r="V552" s="11"/>
      <c r="W552" s="11"/>
      <c r="X552" s="11"/>
    </row>
    <row r="553" spans="20:24" x14ac:dyDescent="0.25">
      <c r="T553" s="11"/>
      <c r="U553" s="11"/>
      <c r="V553" s="11"/>
      <c r="W553" s="11"/>
      <c r="X553" s="11"/>
    </row>
    <row r="554" spans="20:24" x14ac:dyDescent="0.25">
      <c r="T554" s="11"/>
      <c r="U554" s="11"/>
      <c r="V554" s="11"/>
      <c r="W554" s="11"/>
      <c r="X554" s="11"/>
    </row>
    <row r="555" spans="20:24" x14ac:dyDescent="0.25">
      <c r="T555" s="11"/>
      <c r="U555" s="11"/>
      <c r="V555" s="11"/>
      <c r="W555" s="11"/>
      <c r="X555" s="11"/>
    </row>
    <row r="556" spans="20:24" x14ac:dyDescent="0.25">
      <c r="T556" s="11"/>
      <c r="U556" s="11"/>
      <c r="V556" s="11"/>
      <c r="W556" s="11"/>
      <c r="X556" s="11"/>
    </row>
    <row r="557" spans="20:24" x14ac:dyDescent="0.25">
      <c r="T557" s="11"/>
      <c r="U557" s="11"/>
      <c r="V557" s="11"/>
      <c r="W557" s="11"/>
      <c r="X557" s="11"/>
    </row>
    <row r="558" spans="20:24" x14ac:dyDescent="0.25">
      <c r="T558" s="11"/>
      <c r="U558" s="11"/>
      <c r="V558" s="11"/>
      <c r="W558" s="11"/>
      <c r="X558" s="11"/>
    </row>
    <row r="559" spans="20:24" x14ac:dyDescent="0.25">
      <c r="T559" s="11"/>
      <c r="U559" s="11"/>
      <c r="V559" s="11"/>
      <c r="W559" s="11"/>
      <c r="X559" s="11"/>
    </row>
    <row r="560" spans="20:24" x14ac:dyDescent="0.25">
      <c r="T560" s="11"/>
      <c r="U560" s="11"/>
      <c r="V560" s="11"/>
      <c r="W560" s="11"/>
      <c r="X560" s="11"/>
    </row>
    <row r="561" spans="20:24" x14ac:dyDescent="0.25">
      <c r="T561" s="11"/>
      <c r="U561" s="11"/>
      <c r="V561" s="11"/>
      <c r="W561" s="11"/>
      <c r="X561" s="11"/>
    </row>
    <row r="562" spans="20:24" x14ac:dyDescent="0.25">
      <c r="T562" s="11"/>
      <c r="U562" s="11"/>
      <c r="V562" s="11"/>
      <c r="W562" s="11"/>
      <c r="X562" s="11"/>
    </row>
    <row r="563" spans="20:24" x14ac:dyDescent="0.25">
      <c r="T563" s="11"/>
      <c r="U563" s="11"/>
      <c r="V563" s="11"/>
      <c r="W563" s="11"/>
      <c r="X563" s="11"/>
    </row>
    <row r="564" spans="20:24" x14ac:dyDescent="0.25">
      <c r="T564" s="11"/>
      <c r="U564" s="11"/>
      <c r="V564" s="11"/>
      <c r="W564" s="11"/>
      <c r="X564" s="11"/>
    </row>
    <row r="565" spans="20:24" x14ac:dyDescent="0.25">
      <c r="T565" s="11"/>
      <c r="U565" s="11"/>
      <c r="V565" s="11"/>
      <c r="W565" s="11"/>
      <c r="X565" s="11"/>
    </row>
    <row r="566" spans="20:24" x14ac:dyDescent="0.25">
      <c r="T566" s="11"/>
      <c r="U566" s="11"/>
      <c r="V566" s="11"/>
      <c r="W566" s="11"/>
      <c r="X566" s="11"/>
    </row>
    <row r="567" spans="20:24" x14ac:dyDescent="0.25">
      <c r="T567" s="11"/>
      <c r="U567" s="11"/>
      <c r="V567" s="11"/>
      <c r="W567" s="11"/>
      <c r="X567" s="11"/>
    </row>
    <row r="568" spans="20:24" x14ac:dyDescent="0.25">
      <c r="T568" s="11"/>
      <c r="U568" s="11"/>
      <c r="V568" s="11"/>
      <c r="W568" s="11"/>
      <c r="X568" s="11"/>
    </row>
    <row r="569" spans="20:24" x14ac:dyDescent="0.25">
      <c r="T569" s="11"/>
      <c r="U569" s="11"/>
      <c r="V569" s="11"/>
      <c r="W569" s="11"/>
      <c r="X569" s="11"/>
    </row>
    <row r="570" spans="20:24" x14ac:dyDescent="0.25">
      <c r="T570" s="11"/>
      <c r="U570" s="11"/>
      <c r="V570" s="11"/>
      <c r="W570" s="11"/>
      <c r="X570" s="11"/>
    </row>
    <row r="571" spans="20:24" x14ac:dyDescent="0.25">
      <c r="T571" s="11"/>
      <c r="U571" s="11"/>
      <c r="V571" s="11"/>
      <c r="W571" s="11"/>
      <c r="X571" s="11"/>
    </row>
    <row r="572" spans="20:24" x14ac:dyDescent="0.25">
      <c r="T572" s="11"/>
      <c r="U572" s="11"/>
      <c r="V572" s="11"/>
      <c r="W572" s="11"/>
      <c r="X572" s="11"/>
    </row>
    <row r="573" spans="20:24" x14ac:dyDescent="0.25">
      <c r="T573" s="11"/>
      <c r="U573" s="11"/>
      <c r="V573" s="11"/>
      <c r="W573" s="11"/>
      <c r="X573" s="11"/>
    </row>
    <row r="574" spans="20:24" x14ac:dyDescent="0.25">
      <c r="T574" s="11"/>
      <c r="U574" s="11"/>
      <c r="V574" s="11"/>
      <c r="W574" s="11"/>
      <c r="X574" s="11"/>
    </row>
    <row r="575" spans="20:24" x14ac:dyDescent="0.25">
      <c r="T575" s="11"/>
      <c r="U575" s="11"/>
      <c r="V575" s="11"/>
      <c r="W575" s="11"/>
      <c r="X575" s="11"/>
    </row>
    <row r="576" spans="20:24" x14ac:dyDescent="0.25">
      <c r="T576" s="11"/>
      <c r="U576" s="11"/>
      <c r="V576" s="11"/>
      <c r="W576" s="11"/>
      <c r="X576" s="11"/>
    </row>
    <row r="577" spans="20:24" x14ac:dyDescent="0.25">
      <c r="T577" s="11"/>
      <c r="U577" s="11"/>
      <c r="V577" s="11"/>
      <c r="W577" s="11"/>
      <c r="X577" s="11"/>
    </row>
    <row r="578" spans="20:24" x14ac:dyDescent="0.25">
      <c r="T578" s="11"/>
      <c r="U578" s="11"/>
      <c r="V578" s="11"/>
      <c r="W578" s="11"/>
      <c r="X578" s="11"/>
    </row>
    <row r="579" spans="20:24" x14ac:dyDescent="0.25">
      <c r="T579" s="11"/>
      <c r="U579" s="11"/>
      <c r="V579" s="11"/>
      <c r="W579" s="11"/>
      <c r="X579" s="11"/>
    </row>
    <row r="580" spans="20:24" x14ac:dyDescent="0.25">
      <c r="T580" s="11"/>
      <c r="U580" s="11"/>
      <c r="V580" s="11"/>
      <c r="W580" s="11"/>
      <c r="X580" s="11"/>
    </row>
    <row r="581" spans="20:24" x14ac:dyDescent="0.25">
      <c r="T581" s="11"/>
      <c r="U581" s="11"/>
      <c r="V581" s="11"/>
      <c r="W581" s="11"/>
      <c r="X581" s="11"/>
    </row>
    <row r="582" spans="20:24" x14ac:dyDescent="0.25">
      <c r="T582" s="11"/>
      <c r="U582" s="11"/>
      <c r="V582" s="11"/>
      <c r="W582" s="11"/>
      <c r="X582" s="11"/>
    </row>
    <row r="583" spans="20:24" x14ac:dyDescent="0.25">
      <c r="T583" s="11"/>
      <c r="U583" s="11"/>
      <c r="V583" s="11"/>
      <c r="W583" s="11"/>
      <c r="X583" s="11"/>
    </row>
    <row r="584" spans="20:24" x14ac:dyDescent="0.25">
      <c r="T584" s="11"/>
      <c r="U584" s="11"/>
      <c r="V584" s="11"/>
      <c r="W584" s="11"/>
      <c r="X584" s="11"/>
    </row>
    <row r="585" spans="20:24" x14ac:dyDescent="0.25">
      <c r="T585" s="11"/>
      <c r="U585" s="11"/>
      <c r="V585" s="11"/>
      <c r="W585" s="11"/>
      <c r="X585" s="11"/>
    </row>
    <row r="586" spans="20:24" x14ac:dyDescent="0.25">
      <c r="T586" s="11"/>
      <c r="U586" s="11"/>
      <c r="V586" s="11"/>
      <c r="W586" s="11"/>
      <c r="X586" s="11"/>
    </row>
    <row r="587" spans="20:24" x14ac:dyDescent="0.25">
      <c r="T587" s="11"/>
      <c r="U587" s="11"/>
      <c r="V587" s="11"/>
      <c r="W587" s="11"/>
      <c r="X587" s="11"/>
    </row>
    <row r="588" spans="20:24" x14ac:dyDescent="0.25">
      <c r="T588" s="11"/>
      <c r="U588" s="11"/>
      <c r="V588" s="11"/>
      <c r="W588" s="11"/>
      <c r="X588" s="11"/>
    </row>
    <row r="589" spans="20:24" x14ac:dyDescent="0.25">
      <c r="T589" s="11"/>
      <c r="U589" s="11"/>
      <c r="V589" s="11"/>
      <c r="W589" s="11"/>
      <c r="X589" s="11"/>
    </row>
    <row r="590" spans="20:24" x14ac:dyDescent="0.25">
      <c r="T590" s="11"/>
      <c r="U590" s="11"/>
      <c r="V590" s="11"/>
      <c r="W590" s="11"/>
      <c r="X590" s="11"/>
    </row>
    <row r="591" spans="20:24" x14ac:dyDescent="0.25">
      <c r="T591" s="11"/>
      <c r="U591" s="11"/>
      <c r="V591" s="11"/>
      <c r="W591" s="11"/>
      <c r="X591" s="11"/>
    </row>
    <row r="592" spans="20:24" x14ac:dyDescent="0.25">
      <c r="T592" s="11"/>
      <c r="U592" s="11"/>
      <c r="V592" s="11"/>
      <c r="W592" s="11"/>
      <c r="X592" s="11"/>
    </row>
    <row r="593" spans="20:24" x14ac:dyDescent="0.25">
      <c r="T593" s="11"/>
      <c r="U593" s="11"/>
      <c r="V593" s="11"/>
      <c r="W593" s="11"/>
      <c r="X593" s="11"/>
    </row>
    <row r="594" spans="20:24" x14ac:dyDescent="0.25">
      <c r="T594" s="11"/>
      <c r="U594" s="11"/>
      <c r="V594" s="11"/>
      <c r="W594" s="11"/>
      <c r="X594" s="11"/>
    </row>
    <row r="595" spans="20:24" x14ac:dyDescent="0.25">
      <c r="T595" s="11"/>
      <c r="U595" s="11"/>
      <c r="V595" s="11"/>
      <c r="W595" s="11"/>
      <c r="X595" s="11"/>
    </row>
    <row r="596" spans="20:24" x14ac:dyDescent="0.25">
      <c r="T596" s="11"/>
      <c r="U596" s="11"/>
      <c r="V596" s="11"/>
      <c r="W596" s="11"/>
      <c r="X596" s="11"/>
    </row>
    <row r="597" spans="20:24" x14ac:dyDescent="0.25">
      <c r="T597" s="11"/>
      <c r="U597" s="11"/>
      <c r="V597" s="11"/>
      <c r="W597" s="11"/>
      <c r="X597" s="11"/>
    </row>
    <row r="598" spans="20:24" x14ac:dyDescent="0.25">
      <c r="T598" s="11"/>
      <c r="U598" s="11"/>
      <c r="V598" s="11"/>
      <c r="W598" s="11"/>
      <c r="X598" s="11"/>
    </row>
    <row r="599" spans="20:24" x14ac:dyDescent="0.25">
      <c r="T599" s="11"/>
      <c r="U599" s="11"/>
      <c r="V599" s="11"/>
      <c r="W599" s="11"/>
      <c r="X599" s="11"/>
    </row>
    <row r="600" spans="20:24" x14ac:dyDescent="0.25">
      <c r="T600" s="11"/>
      <c r="U600" s="11"/>
      <c r="V600" s="11"/>
      <c r="W600" s="11"/>
      <c r="X600" s="11"/>
    </row>
    <row r="601" spans="20:24" x14ac:dyDescent="0.25">
      <c r="T601" s="11"/>
      <c r="U601" s="11"/>
      <c r="V601" s="11"/>
      <c r="W601" s="11"/>
      <c r="X601" s="11"/>
    </row>
    <row r="602" spans="20:24" x14ac:dyDescent="0.25">
      <c r="T602" s="11"/>
      <c r="U602" s="11"/>
      <c r="V602" s="11"/>
      <c r="W602" s="11"/>
      <c r="X602" s="11"/>
    </row>
    <row r="603" spans="20:24" x14ac:dyDescent="0.25">
      <c r="T603" s="11"/>
      <c r="U603" s="11"/>
      <c r="V603" s="11"/>
      <c r="W603" s="11"/>
      <c r="X603" s="11"/>
    </row>
    <row r="604" spans="20:24" x14ac:dyDescent="0.25">
      <c r="T604" s="11"/>
      <c r="U604" s="11"/>
      <c r="V604" s="11"/>
      <c r="W604" s="11"/>
      <c r="X604" s="11"/>
    </row>
    <row r="605" spans="20:24" x14ac:dyDescent="0.25">
      <c r="T605" s="11"/>
      <c r="U605" s="11"/>
      <c r="V605" s="11"/>
      <c r="W605" s="11"/>
      <c r="X605" s="11"/>
    </row>
    <row r="606" spans="20:24" x14ac:dyDescent="0.25">
      <c r="T606" s="11"/>
      <c r="U606" s="11"/>
      <c r="V606" s="11"/>
      <c r="W606" s="11"/>
      <c r="X606" s="11"/>
    </row>
    <row r="607" spans="20:24" x14ac:dyDescent="0.25">
      <c r="T607" s="11"/>
      <c r="U607" s="11"/>
      <c r="V607" s="11"/>
      <c r="W607" s="11"/>
      <c r="X607" s="11"/>
    </row>
    <row r="608" spans="20:24" x14ac:dyDescent="0.25">
      <c r="T608" s="11"/>
      <c r="U608" s="11"/>
      <c r="V608" s="11"/>
      <c r="W608" s="11"/>
      <c r="X608" s="11"/>
    </row>
    <row r="609" spans="20:24" x14ac:dyDescent="0.25">
      <c r="T609" s="11"/>
      <c r="U609" s="11"/>
      <c r="V609" s="11"/>
      <c r="W609" s="11"/>
      <c r="X609" s="11"/>
    </row>
    <row r="610" spans="20:24" x14ac:dyDescent="0.25">
      <c r="T610" s="11"/>
      <c r="U610" s="11"/>
      <c r="V610" s="11"/>
      <c r="W610" s="11"/>
      <c r="X610" s="11"/>
    </row>
    <row r="611" spans="20:24" x14ac:dyDescent="0.25">
      <c r="T611" s="11"/>
      <c r="U611" s="11"/>
      <c r="V611" s="11"/>
      <c r="W611" s="11"/>
      <c r="X611" s="11"/>
    </row>
    <row r="612" spans="20:24" x14ac:dyDescent="0.25">
      <c r="T612" s="11"/>
      <c r="U612" s="11"/>
      <c r="V612" s="11"/>
      <c r="W612" s="11"/>
      <c r="X612" s="11"/>
    </row>
    <row r="613" spans="20:24" x14ac:dyDescent="0.25">
      <c r="T613" s="11"/>
      <c r="U613" s="11"/>
      <c r="V613" s="11"/>
      <c r="W613" s="11"/>
      <c r="X613" s="11"/>
    </row>
    <row r="614" spans="20:24" x14ac:dyDescent="0.25">
      <c r="T614" s="11"/>
      <c r="U614" s="11"/>
      <c r="V614" s="11"/>
      <c r="W614" s="11"/>
      <c r="X614" s="11"/>
    </row>
    <row r="615" spans="20:24" x14ac:dyDescent="0.25">
      <c r="T615" s="11"/>
      <c r="U615" s="11"/>
      <c r="V615" s="11"/>
      <c r="W615" s="11"/>
      <c r="X615" s="11"/>
    </row>
    <row r="616" spans="20:24" x14ac:dyDescent="0.25">
      <c r="T616" s="11"/>
      <c r="U616" s="11"/>
      <c r="V616" s="11"/>
      <c r="W616" s="11"/>
      <c r="X616" s="11"/>
    </row>
    <row r="617" spans="20:24" x14ac:dyDescent="0.25">
      <c r="T617" s="11"/>
      <c r="U617" s="11"/>
      <c r="V617" s="11"/>
      <c r="W617" s="11"/>
      <c r="X617" s="11"/>
    </row>
    <row r="618" spans="20:24" x14ac:dyDescent="0.25">
      <c r="T618" s="11"/>
      <c r="U618" s="11"/>
      <c r="V618" s="11"/>
      <c r="W618" s="11"/>
      <c r="X618" s="11"/>
    </row>
    <row r="619" spans="20:24" x14ac:dyDescent="0.25">
      <c r="T619" s="11"/>
      <c r="U619" s="11"/>
      <c r="V619" s="11"/>
      <c r="W619" s="11"/>
      <c r="X619" s="11"/>
    </row>
    <row r="620" spans="20:24" x14ac:dyDescent="0.25">
      <c r="T620" s="11"/>
      <c r="U620" s="11"/>
      <c r="V620" s="11"/>
      <c r="W620" s="11"/>
      <c r="X620" s="11"/>
    </row>
    <row r="621" spans="20:24" x14ac:dyDescent="0.25">
      <c r="T621" s="11"/>
      <c r="U621" s="11"/>
      <c r="V621" s="11"/>
      <c r="W621" s="11"/>
      <c r="X621" s="11"/>
    </row>
    <row r="622" spans="20:24" x14ac:dyDescent="0.25">
      <c r="T622" s="11"/>
      <c r="U622" s="11"/>
      <c r="V622" s="11"/>
      <c r="W622" s="11"/>
      <c r="X622" s="11"/>
    </row>
    <row r="623" spans="20:24" x14ac:dyDescent="0.25">
      <c r="T623" s="11"/>
      <c r="U623" s="11"/>
      <c r="V623" s="11"/>
      <c r="W623" s="11"/>
      <c r="X623" s="11"/>
    </row>
    <row r="624" spans="20:24" x14ac:dyDescent="0.25">
      <c r="T624" s="11"/>
      <c r="U624" s="11"/>
      <c r="V624" s="11"/>
      <c r="W624" s="11"/>
      <c r="X624" s="11"/>
    </row>
    <row r="625" spans="20:24" x14ac:dyDescent="0.25">
      <c r="T625" s="11"/>
      <c r="U625" s="11"/>
      <c r="V625" s="11"/>
      <c r="W625" s="11"/>
      <c r="X625" s="11"/>
    </row>
    <row r="626" spans="20:24" x14ac:dyDescent="0.25">
      <c r="T626" s="11"/>
      <c r="U626" s="11"/>
      <c r="V626" s="11"/>
      <c r="W626" s="11"/>
      <c r="X626" s="11"/>
    </row>
    <row r="627" spans="20:24" x14ac:dyDescent="0.25">
      <c r="T627" s="11"/>
      <c r="U627" s="11"/>
      <c r="V627" s="11"/>
      <c r="W627" s="11"/>
      <c r="X627" s="11"/>
    </row>
    <row r="628" spans="20:24" x14ac:dyDescent="0.25">
      <c r="T628" s="11"/>
      <c r="U628" s="11"/>
      <c r="V628" s="11"/>
      <c r="W628" s="11"/>
      <c r="X628" s="11"/>
    </row>
    <row r="629" spans="20:24" x14ac:dyDescent="0.25">
      <c r="T629" s="11"/>
      <c r="U629" s="11"/>
      <c r="V629" s="11"/>
      <c r="W629" s="11"/>
      <c r="X629" s="11"/>
    </row>
    <row r="630" spans="20:24" x14ac:dyDescent="0.25">
      <c r="T630" s="11"/>
      <c r="U630" s="11"/>
      <c r="V630" s="11"/>
      <c r="W630" s="11"/>
      <c r="X630" s="11"/>
    </row>
    <row r="631" spans="20:24" x14ac:dyDescent="0.25">
      <c r="T631" s="11"/>
      <c r="U631" s="11"/>
      <c r="V631" s="11"/>
      <c r="W631" s="11"/>
      <c r="X631" s="11"/>
    </row>
    <row r="632" spans="20:24" x14ac:dyDescent="0.25">
      <c r="T632" s="11"/>
      <c r="U632" s="11"/>
      <c r="V632" s="11"/>
      <c r="W632" s="11"/>
      <c r="X632" s="11"/>
    </row>
    <row r="633" spans="20:24" x14ac:dyDescent="0.25">
      <c r="T633" s="11"/>
      <c r="U633" s="11"/>
      <c r="V633" s="11"/>
      <c r="W633" s="11"/>
      <c r="X633" s="11"/>
    </row>
    <row r="634" spans="20:24" x14ac:dyDescent="0.25">
      <c r="T634" s="11"/>
      <c r="U634" s="11"/>
      <c r="V634" s="11"/>
      <c r="W634" s="11"/>
      <c r="X634" s="11"/>
    </row>
    <row r="635" spans="20:24" x14ac:dyDescent="0.25">
      <c r="T635" s="11"/>
      <c r="U635" s="11"/>
      <c r="V635" s="11"/>
      <c r="W635" s="11"/>
      <c r="X635" s="11"/>
    </row>
    <row r="636" spans="20:24" x14ac:dyDescent="0.25">
      <c r="T636" s="11"/>
      <c r="U636" s="11"/>
      <c r="V636" s="11"/>
      <c r="W636" s="11"/>
      <c r="X636" s="11"/>
    </row>
    <row r="637" spans="20:24" x14ac:dyDescent="0.25">
      <c r="T637" s="11"/>
      <c r="U637" s="11"/>
      <c r="V637" s="11"/>
      <c r="W637" s="11"/>
      <c r="X637" s="11"/>
    </row>
    <row r="638" spans="20:24" x14ac:dyDescent="0.25">
      <c r="T638" s="11"/>
      <c r="U638" s="11"/>
      <c r="V638" s="11"/>
      <c r="W638" s="11"/>
      <c r="X638" s="11"/>
    </row>
    <row r="639" spans="20:24" x14ac:dyDescent="0.25">
      <c r="T639" s="11"/>
      <c r="U639" s="11"/>
      <c r="V639" s="11"/>
      <c r="W639" s="11"/>
      <c r="X639" s="11"/>
    </row>
    <row r="640" spans="20:24" x14ac:dyDescent="0.25">
      <c r="T640" s="11"/>
      <c r="U640" s="11"/>
      <c r="V640" s="11"/>
      <c r="W640" s="11"/>
      <c r="X640" s="11"/>
    </row>
    <row r="641" spans="20:24" x14ac:dyDescent="0.25">
      <c r="T641" s="11"/>
      <c r="U641" s="11"/>
      <c r="V641" s="11"/>
      <c r="W641" s="11"/>
      <c r="X641" s="11"/>
    </row>
    <row r="642" spans="20:24" x14ac:dyDescent="0.25">
      <c r="T642" s="11"/>
      <c r="U642" s="11"/>
      <c r="V642" s="11"/>
      <c r="W642" s="11"/>
      <c r="X642" s="11"/>
    </row>
    <row r="643" spans="20:24" x14ac:dyDescent="0.25">
      <c r="T643" s="11"/>
      <c r="U643" s="11"/>
      <c r="V643" s="11"/>
      <c r="W643" s="11"/>
      <c r="X643" s="11"/>
    </row>
    <row r="644" spans="20:24" x14ac:dyDescent="0.25">
      <c r="T644" s="11"/>
      <c r="U644" s="11"/>
      <c r="V644" s="11"/>
      <c r="W644" s="11"/>
      <c r="X644" s="11"/>
    </row>
    <row r="645" spans="20:24" x14ac:dyDescent="0.25">
      <c r="T645" s="11"/>
      <c r="U645" s="11"/>
      <c r="V645" s="11"/>
      <c r="W645" s="11"/>
      <c r="X645" s="11"/>
    </row>
    <row r="646" spans="20:24" x14ac:dyDescent="0.25">
      <c r="T646" s="11"/>
      <c r="U646" s="11"/>
      <c r="V646" s="11"/>
      <c r="W646" s="11"/>
      <c r="X646" s="11"/>
    </row>
    <row r="647" spans="20:24" x14ac:dyDescent="0.25">
      <c r="T647" s="11"/>
      <c r="U647" s="11"/>
      <c r="V647" s="11"/>
      <c r="W647" s="11"/>
      <c r="X647" s="11"/>
    </row>
    <row r="648" spans="20:24" x14ac:dyDescent="0.25">
      <c r="T648" s="11"/>
      <c r="U648" s="11"/>
      <c r="V648" s="11"/>
      <c r="W648" s="11"/>
      <c r="X648" s="11"/>
    </row>
    <row r="649" spans="20:24" x14ac:dyDescent="0.25">
      <c r="T649" s="11"/>
      <c r="U649" s="11"/>
      <c r="V649" s="11"/>
      <c r="W649" s="11"/>
      <c r="X649" s="11"/>
    </row>
    <row r="650" spans="20:24" x14ac:dyDescent="0.25">
      <c r="T650" s="11"/>
      <c r="U650" s="11"/>
      <c r="V650" s="11"/>
      <c r="W650" s="11"/>
      <c r="X650" s="11"/>
    </row>
    <row r="651" spans="20:24" x14ac:dyDescent="0.25">
      <c r="T651" s="11"/>
      <c r="U651" s="11"/>
      <c r="V651" s="11"/>
      <c r="W651" s="11"/>
      <c r="X651" s="11"/>
    </row>
    <row r="652" spans="20:24" x14ac:dyDescent="0.25">
      <c r="T652" s="11"/>
      <c r="U652" s="11"/>
      <c r="V652" s="11"/>
      <c r="W652" s="11"/>
      <c r="X652" s="11"/>
    </row>
    <row r="653" spans="20:24" x14ac:dyDescent="0.25">
      <c r="T653" s="11"/>
      <c r="U653" s="11"/>
      <c r="V653" s="11"/>
      <c r="W653" s="11"/>
      <c r="X653" s="11"/>
    </row>
    <row r="654" spans="20:24" x14ac:dyDescent="0.25">
      <c r="T654" s="11"/>
      <c r="U654" s="11"/>
      <c r="V654" s="11"/>
      <c r="W654" s="11"/>
      <c r="X654" s="11"/>
    </row>
    <row r="655" spans="20:24" x14ac:dyDescent="0.25">
      <c r="T655" s="11"/>
      <c r="U655" s="11"/>
      <c r="V655" s="11"/>
      <c r="W655" s="11"/>
      <c r="X655" s="11"/>
    </row>
    <row r="656" spans="20:24" x14ac:dyDescent="0.25">
      <c r="T656" s="11"/>
      <c r="U656" s="11"/>
      <c r="V656" s="11"/>
      <c r="W656" s="11"/>
      <c r="X656" s="11"/>
    </row>
    <row r="657" spans="20:24" x14ac:dyDescent="0.25">
      <c r="T657" s="11"/>
      <c r="U657" s="11"/>
      <c r="V657" s="11"/>
      <c r="W657" s="11"/>
      <c r="X657" s="11"/>
    </row>
    <row r="658" spans="20:24" x14ac:dyDescent="0.25">
      <c r="T658" s="11"/>
      <c r="U658" s="11"/>
      <c r="V658" s="11"/>
      <c r="W658" s="11"/>
      <c r="X658" s="11"/>
    </row>
    <row r="659" spans="20:24" x14ac:dyDescent="0.25">
      <c r="T659" s="11"/>
      <c r="U659" s="11"/>
      <c r="V659" s="11"/>
      <c r="W659" s="11"/>
      <c r="X659" s="11"/>
    </row>
    <row r="660" spans="20:24" x14ac:dyDescent="0.25">
      <c r="T660" s="11"/>
      <c r="U660" s="11"/>
      <c r="V660" s="11"/>
      <c r="W660" s="11"/>
      <c r="X660" s="11"/>
    </row>
    <row r="661" spans="20:24" x14ac:dyDescent="0.25">
      <c r="T661" s="11"/>
      <c r="U661" s="11"/>
      <c r="V661" s="11"/>
      <c r="W661" s="11"/>
      <c r="X661" s="11"/>
    </row>
    <row r="662" spans="20:24" x14ac:dyDescent="0.25">
      <c r="T662" s="11"/>
      <c r="U662" s="11"/>
      <c r="V662" s="11"/>
      <c r="W662" s="11"/>
      <c r="X662" s="11"/>
    </row>
    <row r="663" spans="20:24" x14ac:dyDescent="0.25">
      <c r="T663" s="11"/>
      <c r="U663" s="11"/>
      <c r="V663" s="11"/>
      <c r="W663" s="11"/>
      <c r="X663" s="11"/>
    </row>
    <row r="664" spans="20:24" x14ac:dyDescent="0.25">
      <c r="T664" s="11"/>
      <c r="U664" s="11"/>
      <c r="V664" s="11"/>
      <c r="W664" s="11"/>
      <c r="X664" s="11"/>
    </row>
    <row r="665" spans="20:24" x14ac:dyDescent="0.25">
      <c r="T665" s="11"/>
      <c r="U665" s="11"/>
      <c r="V665" s="11"/>
      <c r="W665" s="11"/>
      <c r="X665" s="11"/>
    </row>
    <row r="666" spans="20:24" x14ac:dyDescent="0.25">
      <c r="T666" s="11"/>
      <c r="U666" s="11"/>
      <c r="V666" s="11"/>
      <c r="W666" s="11"/>
      <c r="X666" s="11"/>
    </row>
    <row r="667" spans="20:24" x14ac:dyDescent="0.25">
      <c r="T667" s="11"/>
      <c r="U667" s="11"/>
      <c r="V667" s="11"/>
      <c r="W667" s="11"/>
      <c r="X667" s="11"/>
    </row>
    <row r="668" spans="20:24" x14ac:dyDescent="0.25">
      <c r="T668" s="11"/>
      <c r="U668" s="11"/>
      <c r="V668" s="11"/>
      <c r="W668" s="11"/>
      <c r="X668" s="11"/>
    </row>
    <row r="669" spans="20:24" x14ac:dyDescent="0.25">
      <c r="T669" s="11"/>
      <c r="U669" s="11"/>
      <c r="V669" s="11"/>
      <c r="W669" s="11"/>
      <c r="X669" s="11"/>
    </row>
    <row r="670" spans="20:24" x14ac:dyDescent="0.25">
      <c r="T670" s="11"/>
      <c r="U670" s="11"/>
      <c r="V670" s="11"/>
      <c r="W670" s="11"/>
      <c r="X670" s="11"/>
    </row>
    <row r="671" spans="20:24" x14ac:dyDescent="0.25">
      <c r="T671" s="11"/>
      <c r="U671" s="11"/>
      <c r="V671" s="11"/>
      <c r="W671" s="11"/>
      <c r="X671" s="11"/>
    </row>
    <row r="672" spans="20:24" x14ac:dyDescent="0.25">
      <c r="T672" s="11"/>
      <c r="U672" s="11"/>
      <c r="V672" s="11"/>
      <c r="W672" s="11"/>
      <c r="X672" s="11"/>
    </row>
    <row r="673" spans="20:24" x14ac:dyDescent="0.25">
      <c r="T673" s="11"/>
      <c r="U673" s="11"/>
      <c r="V673" s="11"/>
      <c r="W673" s="11"/>
      <c r="X673" s="11"/>
    </row>
    <row r="674" spans="20:24" x14ac:dyDescent="0.25">
      <c r="T674" s="11"/>
      <c r="U674" s="11"/>
      <c r="V674" s="11"/>
      <c r="W674" s="11"/>
      <c r="X674" s="11"/>
    </row>
    <row r="675" spans="20:24" x14ac:dyDescent="0.25">
      <c r="T675" s="11"/>
      <c r="U675" s="11"/>
      <c r="V675" s="11"/>
      <c r="W675" s="11"/>
      <c r="X675" s="11"/>
    </row>
    <row r="676" spans="20:24" x14ac:dyDescent="0.25">
      <c r="T676" s="11"/>
      <c r="U676" s="11"/>
      <c r="V676" s="11"/>
      <c r="W676" s="11"/>
      <c r="X676" s="11"/>
    </row>
    <row r="677" spans="20:24" x14ac:dyDescent="0.25">
      <c r="T677" s="11"/>
      <c r="U677" s="11"/>
      <c r="V677" s="11"/>
      <c r="W677" s="11"/>
      <c r="X677" s="11"/>
    </row>
    <row r="678" spans="20:24" x14ac:dyDescent="0.25">
      <c r="T678" s="11"/>
      <c r="U678" s="11"/>
      <c r="V678" s="11"/>
      <c r="W678" s="11"/>
      <c r="X678" s="11"/>
    </row>
    <row r="679" spans="20:24" x14ac:dyDescent="0.25">
      <c r="T679" s="11"/>
      <c r="U679" s="11"/>
      <c r="V679" s="11"/>
      <c r="W679" s="11"/>
      <c r="X679" s="11"/>
    </row>
    <row r="680" spans="20:24" x14ac:dyDescent="0.25">
      <c r="T680" s="11"/>
      <c r="U680" s="11"/>
      <c r="V680" s="11"/>
      <c r="W680" s="11"/>
      <c r="X680" s="11"/>
    </row>
    <row r="681" spans="20:24" x14ac:dyDescent="0.25">
      <c r="T681" s="11"/>
      <c r="U681" s="11"/>
      <c r="V681" s="11"/>
      <c r="W681" s="11"/>
      <c r="X681" s="11"/>
    </row>
    <row r="682" spans="20:24" x14ac:dyDescent="0.25">
      <c r="T682" s="11"/>
      <c r="U682" s="11"/>
      <c r="V682" s="11"/>
      <c r="W682" s="11"/>
      <c r="X682" s="11"/>
    </row>
    <row r="683" spans="20:24" x14ac:dyDescent="0.25">
      <c r="T683" s="11"/>
      <c r="U683" s="11"/>
      <c r="V683" s="11"/>
      <c r="W683" s="11"/>
      <c r="X683" s="11"/>
    </row>
    <row r="684" spans="20:24" x14ac:dyDescent="0.25">
      <c r="T684" s="11"/>
      <c r="U684" s="11"/>
      <c r="V684" s="11"/>
      <c r="W684" s="11"/>
      <c r="X684" s="11"/>
    </row>
    <row r="685" spans="20:24" x14ac:dyDescent="0.25">
      <c r="T685" s="11"/>
      <c r="U685" s="11"/>
      <c r="V685" s="11"/>
      <c r="W685" s="11"/>
      <c r="X685" s="11"/>
    </row>
    <row r="686" spans="20:24" x14ac:dyDescent="0.25">
      <c r="T686" s="11"/>
      <c r="U686" s="11"/>
      <c r="V686" s="11"/>
      <c r="W686" s="11"/>
      <c r="X686" s="11"/>
    </row>
    <row r="687" spans="20:24" x14ac:dyDescent="0.25">
      <c r="T687" s="11"/>
      <c r="U687" s="11"/>
      <c r="V687" s="11"/>
      <c r="W687" s="11"/>
      <c r="X687" s="11"/>
    </row>
    <row r="688" spans="20:24" x14ac:dyDescent="0.25">
      <c r="T688" s="11"/>
      <c r="U688" s="11"/>
      <c r="V688" s="11"/>
      <c r="W688" s="11"/>
      <c r="X688" s="11"/>
    </row>
    <row r="689" spans="20:24" x14ac:dyDescent="0.25">
      <c r="T689" s="11"/>
      <c r="U689" s="11"/>
      <c r="V689" s="11"/>
      <c r="W689" s="11"/>
      <c r="X689" s="11"/>
    </row>
    <row r="690" spans="20:24" x14ac:dyDescent="0.25">
      <c r="T690" s="11"/>
      <c r="U690" s="11"/>
      <c r="V690" s="11"/>
      <c r="W690" s="11"/>
      <c r="X690" s="11"/>
    </row>
    <row r="691" spans="20:24" x14ac:dyDescent="0.25">
      <c r="T691" s="11"/>
      <c r="U691" s="11"/>
      <c r="V691" s="11"/>
      <c r="W691" s="11"/>
      <c r="X691" s="11"/>
    </row>
    <row r="692" spans="20:24" x14ac:dyDescent="0.25">
      <c r="T692" s="11"/>
      <c r="U692" s="11"/>
      <c r="V692" s="11"/>
      <c r="W692" s="11"/>
      <c r="X692" s="11"/>
    </row>
    <row r="693" spans="20:24" x14ac:dyDescent="0.25">
      <c r="T693" s="11"/>
      <c r="U693" s="11"/>
      <c r="V693" s="11"/>
      <c r="W693" s="11"/>
      <c r="X693" s="11"/>
    </row>
    <row r="694" spans="20:24" x14ac:dyDescent="0.25">
      <c r="T694" s="11"/>
      <c r="U694" s="11"/>
      <c r="V694" s="11"/>
      <c r="W694" s="11"/>
      <c r="X694" s="11"/>
    </row>
    <row r="695" spans="20:24" x14ac:dyDescent="0.25">
      <c r="T695" s="11"/>
      <c r="U695" s="11"/>
      <c r="V695" s="11"/>
      <c r="W695" s="11"/>
      <c r="X695" s="11"/>
    </row>
    <row r="696" spans="20:24" x14ac:dyDescent="0.25">
      <c r="T696" s="11"/>
      <c r="U696" s="11"/>
      <c r="V696" s="11"/>
      <c r="W696" s="11"/>
      <c r="X696" s="11"/>
    </row>
    <row r="697" spans="20:24" x14ac:dyDescent="0.25">
      <c r="T697" s="11"/>
      <c r="U697" s="11"/>
      <c r="V697" s="11"/>
      <c r="W697" s="11"/>
      <c r="X697" s="11"/>
    </row>
    <row r="698" spans="20:24" x14ac:dyDescent="0.25">
      <c r="T698" s="11"/>
      <c r="U698" s="11"/>
      <c r="V698" s="11"/>
      <c r="W698" s="11"/>
      <c r="X698" s="11"/>
    </row>
    <row r="699" spans="20:24" x14ac:dyDescent="0.25">
      <c r="T699" s="11"/>
      <c r="U699" s="11"/>
      <c r="V699" s="11"/>
      <c r="W699" s="11"/>
      <c r="X699" s="11"/>
    </row>
    <row r="700" spans="20:24" x14ac:dyDescent="0.25">
      <c r="T700" s="11"/>
      <c r="U700" s="11"/>
      <c r="V700" s="11"/>
      <c r="W700" s="11"/>
      <c r="X700" s="11"/>
    </row>
    <row r="701" spans="20:24" x14ac:dyDescent="0.25">
      <c r="T701" s="11"/>
      <c r="U701" s="11"/>
      <c r="V701" s="11"/>
      <c r="W701" s="11"/>
      <c r="X701" s="11"/>
    </row>
    <row r="702" spans="20:24" x14ac:dyDescent="0.25">
      <c r="T702" s="11"/>
      <c r="U702" s="11"/>
      <c r="V702" s="11"/>
      <c r="W702" s="11"/>
      <c r="X702" s="11"/>
    </row>
    <row r="703" spans="20:24" x14ac:dyDescent="0.25">
      <c r="T703" s="11"/>
      <c r="U703" s="11"/>
      <c r="V703" s="11"/>
      <c r="W703" s="11"/>
      <c r="X703" s="11"/>
    </row>
    <row r="704" spans="20:24" x14ac:dyDescent="0.25">
      <c r="T704" s="11"/>
      <c r="U704" s="11"/>
      <c r="V704" s="11"/>
      <c r="W704" s="11"/>
      <c r="X704" s="11"/>
    </row>
    <row r="705" spans="20:24" x14ac:dyDescent="0.25">
      <c r="T705" s="11"/>
      <c r="U705" s="11"/>
      <c r="V705" s="11"/>
      <c r="W705" s="11"/>
      <c r="X705" s="11"/>
    </row>
    <row r="706" spans="20:24" x14ac:dyDescent="0.25">
      <c r="T706" s="11"/>
      <c r="U706" s="11"/>
      <c r="V706" s="11"/>
      <c r="W706" s="11"/>
      <c r="X706" s="11"/>
    </row>
    <row r="707" spans="20:24" x14ac:dyDescent="0.25">
      <c r="T707" s="11"/>
      <c r="U707" s="11"/>
      <c r="V707" s="11"/>
      <c r="W707" s="11"/>
      <c r="X707" s="11"/>
    </row>
    <row r="708" spans="20:24" x14ac:dyDescent="0.25">
      <c r="T708" s="11"/>
      <c r="U708" s="11"/>
      <c r="V708" s="11"/>
      <c r="W708" s="11"/>
      <c r="X708" s="11"/>
    </row>
    <row r="709" spans="20:24" x14ac:dyDescent="0.25">
      <c r="T709" s="11"/>
      <c r="U709" s="11"/>
      <c r="V709" s="11"/>
      <c r="W709" s="11"/>
      <c r="X709" s="11"/>
    </row>
    <row r="710" spans="20:24" x14ac:dyDescent="0.25">
      <c r="T710" s="11"/>
      <c r="U710" s="11"/>
      <c r="V710" s="11"/>
      <c r="W710" s="11"/>
      <c r="X710" s="11"/>
    </row>
    <row r="711" spans="20:24" x14ac:dyDescent="0.25">
      <c r="T711" s="11"/>
      <c r="U711" s="11"/>
      <c r="V711" s="11"/>
      <c r="W711" s="11"/>
      <c r="X711" s="11"/>
    </row>
    <row r="712" spans="20:24" x14ac:dyDescent="0.25">
      <c r="T712" s="11"/>
      <c r="U712" s="11"/>
      <c r="V712" s="11"/>
      <c r="W712" s="11"/>
      <c r="X712" s="11"/>
    </row>
    <row r="713" spans="20:24" x14ac:dyDescent="0.25">
      <c r="T713" s="11"/>
      <c r="U713" s="11"/>
      <c r="V713" s="11"/>
      <c r="W713" s="11"/>
      <c r="X713" s="11"/>
    </row>
    <row r="714" spans="20:24" x14ac:dyDescent="0.25">
      <c r="T714" s="11"/>
      <c r="U714" s="11"/>
      <c r="V714" s="11"/>
      <c r="W714" s="11"/>
      <c r="X714" s="11"/>
    </row>
    <row r="715" spans="20:24" x14ac:dyDescent="0.25">
      <c r="T715" s="11"/>
      <c r="U715" s="11"/>
      <c r="V715" s="11"/>
      <c r="W715" s="11"/>
      <c r="X715" s="11"/>
    </row>
    <row r="716" spans="20:24" x14ac:dyDescent="0.25">
      <c r="T716" s="11"/>
      <c r="U716" s="11"/>
      <c r="V716" s="11"/>
      <c r="W716" s="11"/>
      <c r="X716" s="11"/>
    </row>
    <row r="717" spans="20:24" x14ac:dyDescent="0.25">
      <c r="T717" s="11"/>
      <c r="U717" s="11"/>
      <c r="V717" s="11"/>
      <c r="W717" s="11"/>
      <c r="X717" s="11"/>
    </row>
    <row r="718" spans="20:24" x14ac:dyDescent="0.25">
      <c r="T718" s="11"/>
      <c r="U718" s="11"/>
      <c r="V718" s="11"/>
      <c r="W718" s="11"/>
      <c r="X718" s="11"/>
    </row>
    <row r="719" spans="20:24" x14ac:dyDescent="0.25">
      <c r="T719" s="11"/>
      <c r="U719" s="11"/>
      <c r="V719" s="11"/>
      <c r="W719" s="11"/>
      <c r="X719" s="11"/>
    </row>
    <row r="720" spans="20:24" x14ac:dyDescent="0.25">
      <c r="T720" s="11"/>
      <c r="U720" s="11"/>
      <c r="V720" s="11"/>
      <c r="W720" s="11"/>
      <c r="X720" s="11"/>
    </row>
    <row r="721" spans="20:24" x14ac:dyDescent="0.25">
      <c r="T721" s="11"/>
      <c r="U721" s="11"/>
      <c r="V721" s="11"/>
      <c r="W721" s="11"/>
      <c r="X721" s="11"/>
    </row>
    <row r="722" spans="20:24" x14ac:dyDescent="0.25">
      <c r="T722" s="11"/>
      <c r="U722" s="11"/>
      <c r="V722" s="11"/>
      <c r="W722" s="11"/>
      <c r="X722" s="11"/>
    </row>
    <row r="723" spans="20:24" x14ac:dyDescent="0.25">
      <c r="T723" s="11"/>
      <c r="U723" s="11"/>
      <c r="V723" s="11"/>
      <c r="W723" s="11"/>
      <c r="X723" s="11"/>
    </row>
    <row r="724" spans="20:24" x14ac:dyDescent="0.25">
      <c r="T724" s="11"/>
      <c r="U724" s="11"/>
      <c r="V724" s="11"/>
      <c r="W724" s="11"/>
      <c r="X724" s="11"/>
    </row>
    <row r="725" spans="20:24" x14ac:dyDescent="0.25">
      <c r="T725" s="11"/>
      <c r="U725" s="11"/>
      <c r="V725" s="11"/>
      <c r="W725" s="11"/>
      <c r="X725" s="11"/>
    </row>
    <row r="726" spans="20:24" x14ac:dyDescent="0.25">
      <c r="T726" s="11"/>
      <c r="U726" s="11"/>
      <c r="V726" s="11"/>
      <c r="W726" s="11"/>
      <c r="X726" s="11"/>
    </row>
    <row r="727" spans="20:24" x14ac:dyDescent="0.25">
      <c r="T727" s="11"/>
      <c r="U727" s="11"/>
      <c r="V727" s="11"/>
      <c r="W727" s="11"/>
      <c r="X727" s="11"/>
    </row>
    <row r="728" spans="20:24" x14ac:dyDescent="0.25">
      <c r="T728" s="11"/>
      <c r="U728" s="11"/>
      <c r="V728" s="11"/>
      <c r="W728" s="11"/>
      <c r="X728" s="11"/>
    </row>
    <row r="729" spans="20:24" x14ac:dyDescent="0.25">
      <c r="T729" s="11"/>
      <c r="U729" s="11"/>
      <c r="V729" s="11"/>
      <c r="W729" s="11"/>
      <c r="X729" s="11"/>
    </row>
    <row r="730" spans="20:24" x14ac:dyDescent="0.25">
      <c r="T730" s="11"/>
      <c r="U730" s="11"/>
      <c r="V730" s="11"/>
      <c r="W730" s="11"/>
      <c r="X730" s="11"/>
    </row>
    <row r="731" spans="20:24" x14ac:dyDescent="0.25">
      <c r="T731" s="11"/>
      <c r="U731" s="11"/>
      <c r="V731" s="11"/>
      <c r="W731" s="11"/>
      <c r="X731" s="11"/>
    </row>
    <row r="732" spans="20:24" x14ac:dyDescent="0.25">
      <c r="T732" s="11"/>
      <c r="U732" s="11"/>
      <c r="V732" s="11"/>
      <c r="W732" s="11"/>
      <c r="X732" s="11"/>
    </row>
    <row r="733" spans="20:24" x14ac:dyDescent="0.25">
      <c r="T733" s="11"/>
      <c r="U733" s="11"/>
      <c r="V733" s="11"/>
      <c r="W733" s="11"/>
      <c r="X733" s="11"/>
    </row>
    <row r="734" spans="20:24" x14ac:dyDescent="0.25">
      <c r="T734" s="11"/>
      <c r="U734" s="11"/>
      <c r="V734" s="11"/>
      <c r="W734" s="11"/>
      <c r="X734" s="11"/>
    </row>
    <row r="735" spans="20:24" x14ac:dyDescent="0.25">
      <c r="T735" s="11"/>
      <c r="U735" s="11"/>
      <c r="V735" s="11"/>
      <c r="W735" s="11"/>
      <c r="X735" s="11"/>
    </row>
    <row r="736" spans="20:24" x14ac:dyDescent="0.25">
      <c r="T736" s="11"/>
      <c r="U736" s="11"/>
      <c r="V736" s="11"/>
      <c r="W736" s="11"/>
      <c r="X736" s="11"/>
    </row>
    <row r="737" spans="20:24" x14ac:dyDescent="0.25">
      <c r="T737" s="11"/>
      <c r="U737" s="11"/>
      <c r="V737" s="11"/>
      <c r="W737" s="11"/>
      <c r="X737" s="11"/>
    </row>
    <row r="738" spans="20:24" x14ac:dyDescent="0.25">
      <c r="T738" s="11"/>
      <c r="U738" s="11"/>
      <c r="V738" s="11"/>
      <c r="W738" s="11"/>
      <c r="X738" s="11"/>
    </row>
    <row r="739" spans="20:24" x14ac:dyDescent="0.25">
      <c r="T739" s="11"/>
      <c r="U739" s="11"/>
      <c r="V739" s="11"/>
      <c r="W739" s="11"/>
      <c r="X739" s="11"/>
    </row>
    <row r="740" spans="20:24" x14ac:dyDescent="0.25">
      <c r="T740" s="11"/>
      <c r="U740" s="11"/>
      <c r="V740" s="11"/>
      <c r="W740" s="11"/>
      <c r="X740" s="11"/>
    </row>
    <row r="741" spans="20:24" x14ac:dyDescent="0.25">
      <c r="T741" s="11"/>
      <c r="U741" s="11"/>
      <c r="V741" s="11"/>
      <c r="W741" s="11"/>
      <c r="X741" s="11"/>
    </row>
    <row r="742" spans="20:24" x14ac:dyDescent="0.25">
      <c r="T742" s="11"/>
      <c r="U742" s="11"/>
      <c r="V742" s="11"/>
      <c r="W742" s="11"/>
      <c r="X742" s="11"/>
    </row>
    <row r="743" spans="20:24" x14ac:dyDescent="0.25">
      <c r="T743" s="11"/>
      <c r="U743" s="11"/>
      <c r="V743" s="11"/>
      <c r="W743" s="11"/>
      <c r="X743" s="11"/>
    </row>
    <row r="744" spans="20:24" x14ac:dyDescent="0.25">
      <c r="T744" s="11"/>
      <c r="U744" s="11"/>
      <c r="V744" s="11"/>
      <c r="W744" s="11"/>
      <c r="X744" s="11"/>
    </row>
    <row r="745" spans="20:24" x14ac:dyDescent="0.25">
      <c r="T745" s="11"/>
      <c r="U745" s="11"/>
      <c r="V745" s="11"/>
      <c r="W745" s="11"/>
      <c r="X745" s="11"/>
    </row>
    <row r="746" spans="20:24" x14ac:dyDescent="0.25">
      <c r="T746" s="11"/>
      <c r="U746" s="11"/>
      <c r="V746" s="11"/>
      <c r="W746" s="11"/>
      <c r="X746" s="11"/>
    </row>
    <row r="747" spans="20:24" x14ac:dyDescent="0.25">
      <c r="T747" s="11"/>
      <c r="U747" s="11"/>
      <c r="V747" s="11"/>
      <c r="W747" s="11"/>
      <c r="X747" s="11"/>
    </row>
    <row r="748" spans="20:24" x14ac:dyDescent="0.25">
      <c r="T748" s="11"/>
      <c r="U748" s="11"/>
      <c r="V748" s="11"/>
      <c r="W748" s="11"/>
      <c r="X748" s="11"/>
    </row>
    <row r="749" spans="20:24" x14ac:dyDescent="0.25">
      <c r="T749" s="11"/>
      <c r="U749" s="11"/>
      <c r="V749" s="11"/>
      <c r="W749" s="11"/>
      <c r="X749" s="11"/>
    </row>
    <row r="750" spans="20:24" x14ac:dyDescent="0.25">
      <c r="T750" s="11"/>
      <c r="U750" s="11"/>
      <c r="V750" s="11"/>
      <c r="W750" s="11"/>
      <c r="X750" s="11"/>
    </row>
    <row r="751" spans="20:24" x14ac:dyDescent="0.25">
      <c r="T751" s="11"/>
      <c r="U751" s="11"/>
      <c r="V751" s="11"/>
      <c r="W751" s="11"/>
      <c r="X751" s="11"/>
    </row>
    <row r="752" spans="20:24" x14ac:dyDescent="0.25">
      <c r="T752" s="11"/>
      <c r="U752" s="11"/>
      <c r="V752" s="11"/>
      <c r="W752" s="11"/>
      <c r="X752" s="11"/>
    </row>
    <row r="753" spans="20:24" x14ac:dyDescent="0.25">
      <c r="T753" s="11"/>
      <c r="U753" s="11"/>
      <c r="V753" s="11"/>
      <c r="W753" s="11"/>
      <c r="X753" s="11"/>
    </row>
    <row r="754" spans="20:24" x14ac:dyDescent="0.25">
      <c r="T754" s="11"/>
      <c r="U754" s="11"/>
      <c r="V754" s="11"/>
      <c r="W754" s="11"/>
      <c r="X754" s="11"/>
    </row>
    <row r="755" spans="20:24" x14ac:dyDescent="0.25">
      <c r="T755" s="11"/>
      <c r="U755" s="11"/>
      <c r="V755" s="11"/>
      <c r="W755" s="11"/>
      <c r="X755" s="11"/>
    </row>
    <row r="756" spans="20:24" x14ac:dyDescent="0.25">
      <c r="T756" s="11"/>
      <c r="U756" s="11"/>
      <c r="V756" s="11"/>
      <c r="W756" s="11"/>
      <c r="X756" s="11"/>
    </row>
    <row r="757" spans="20:24" x14ac:dyDescent="0.25">
      <c r="T757" s="11"/>
      <c r="U757" s="11"/>
      <c r="V757" s="11"/>
      <c r="W757" s="11"/>
      <c r="X757" s="11"/>
    </row>
    <row r="758" spans="20:24" x14ac:dyDescent="0.25">
      <c r="T758" s="11"/>
      <c r="U758" s="11"/>
      <c r="V758" s="11"/>
      <c r="W758" s="11"/>
      <c r="X758" s="11"/>
    </row>
    <row r="759" spans="20:24" x14ac:dyDescent="0.25">
      <c r="T759" s="11"/>
      <c r="U759" s="11"/>
      <c r="V759" s="11"/>
      <c r="W759" s="11"/>
      <c r="X759" s="11"/>
    </row>
    <row r="760" spans="20:24" x14ac:dyDescent="0.25">
      <c r="T760" s="11"/>
      <c r="U760" s="11"/>
      <c r="V760" s="11"/>
      <c r="W760" s="11"/>
      <c r="X760" s="11"/>
    </row>
    <row r="761" spans="20:24" x14ac:dyDescent="0.25">
      <c r="T761" s="11"/>
      <c r="U761" s="11"/>
      <c r="V761" s="11"/>
      <c r="W761" s="11"/>
      <c r="X761" s="11"/>
    </row>
    <row r="762" spans="20:24" x14ac:dyDescent="0.25">
      <c r="T762" s="11"/>
      <c r="U762" s="11"/>
      <c r="V762" s="11"/>
      <c r="W762" s="11"/>
      <c r="X762" s="11"/>
    </row>
    <row r="763" spans="20:24" x14ac:dyDescent="0.25">
      <c r="T763" s="11"/>
      <c r="U763" s="11"/>
      <c r="V763" s="11"/>
      <c r="W763" s="11"/>
      <c r="X763" s="11"/>
    </row>
    <row r="764" spans="20:24" x14ac:dyDescent="0.25">
      <c r="T764" s="11"/>
      <c r="U764" s="11"/>
      <c r="V764" s="11"/>
      <c r="W764" s="11"/>
      <c r="X764" s="11"/>
    </row>
    <row r="765" spans="20:24" x14ac:dyDescent="0.25">
      <c r="T765" s="11"/>
      <c r="U765" s="11"/>
      <c r="V765" s="11"/>
      <c r="W765" s="11"/>
      <c r="X765" s="11"/>
    </row>
    <row r="766" spans="20:24" x14ac:dyDescent="0.25">
      <c r="T766" s="11"/>
      <c r="U766" s="11"/>
      <c r="V766" s="11"/>
      <c r="W766" s="11"/>
      <c r="X766" s="11"/>
    </row>
    <row r="767" spans="20:24" x14ac:dyDescent="0.25">
      <c r="T767" s="11"/>
      <c r="U767" s="11"/>
      <c r="V767" s="11"/>
      <c r="W767" s="11"/>
      <c r="X767" s="11"/>
    </row>
    <row r="768" spans="20:24" x14ac:dyDescent="0.25">
      <c r="T768" s="11"/>
      <c r="U768" s="11"/>
      <c r="V768" s="11"/>
      <c r="W768" s="11"/>
      <c r="X768" s="11"/>
    </row>
    <row r="769" spans="20:24" x14ac:dyDescent="0.25">
      <c r="T769" s="11"/>
      <c r="U769" s="11"/>
      <c r="V769" s="11"/>
      <c r="W769" s="11"/>
      <c r="X769" s="11"/>
    </row>
    <row r="770" spans="20:24" x14ac:dyDescent="0.25">
      <c r="T770" s="11"/>
      <c r="U770" s="11"/>
      <c r="V770" s="11"/>
      <c r="W770" s="11"/>
      <c r="X770" s="11"/>
    </row>
    <row r="771" spans="20:24" x14ac:dyDescent="0.25">
      <c r="T771" s="11"/>
      <c r="U771" s="11"/>
      <c r="V771" s="11"/>
      <c r="W771" s="11"/>
      <c r="X771" s="11"/>
    </row>
    <row r="772" spans="20:24" x14ac:dyDescent="0.25">
      <c r="T772" s="11"/>
      <c r="U772" s="11"/>
      <c r="V772" s="11"/>
      <c r="W772" s="11"/>
      <c r="X772" s="11"/>
    </row>
    <row r="773" spans="20:24" x14ac:dyDescent="0.25">
      <c r="T773" s="11"/>
      <c r="U773" s="11"/>
      <c r="V773" s="11"/>
      <c r="W773" s="11"/>
      <c r="X773" s="11"/>
    </row>
    <row r="774" spans="20:24" x14ac:dyDescent="0.25">
      <c r="T774" s="11"/>
      <c r="U774" s="11"/>
      <c r="V774" s="11"/>
      <c r="W774" s="11"/>
      <c r="X774" s="11"/>
    </row>
    <row r="775" spans="20:24" x14ac:dyDescent="0.25">
      <c r="T775" s="11"/>
      <c r="U775" s="11"/>
      <c r="V775" s="11"/>
      <c r="W775" s="11"/>
      <c r="X775" s="11"/>
    </row>
    <row r="776" spans="20:24" x14ac:dyDescent="0.25">
      <c r="T776" s="11"/>
      <c r="U776" s="11"/>
      <c r="V776" s="11"/>
      <c r="W776" s="11"/>
      <c r="X776" s="11"/>
    </row>
    <row r="777" spans="20:24" x14ac:dyDescent="0.25">
      <c r="T777" s="11"/>
      <c r="U777" s="11"/>
      <c r="V777" s="11"/>
      <c r="W777" s="11"/>
      <c r="X777" s="11"/>
    </row>
    <row r="778" spans="20:24" x14ac:dyDescent="0.25">
      <c r="T778" s="11"/>
      <c r="U778" s="11"/>
      <c r="V778" s="11"/>
      <c r="W778" s="11"/>
      <c r="X778" s="11"/>
    </row>
    <row r="779" spans="20:24" x14ac:dyDescent="0.25">
      <c r="T779" s="11"/>
      <c r="U779" s="11"/>
      <c r="V779" s="11"/>
      <c r="W779" s="11"/>
      <c r="X779" s="11"/>
    </row>
    <row r="780" spans="20:24" x14ac:dyDescent="0.25">
      <c r="T780" s="11"/>
      <c r="U780" s="11"/>
      <c r="V780" s="11"/>
      <c r="W780" s="11"/>
      <c r="X780" s="11"/>
    </row>
    <row r="781" spans="20:24" x14ac:dyDescent="0.25">
      <c r="T781" s="11"/>
      <c r="U781" s="11"/>
      <c r="V781" s="11"/>
      <c r="W781" s="11"/>
      <c r="X781" s="11"/>
    </row>
    <row r="782" spans="20:24" x14ac:dyDescent="0.25">
      <c r="T782" s="11"/>
      <c r="U782" s="11"/>
      <c r="V782" s="11"/>
      <c r="W782" s="11"/>
      <c r="X782" s="11"/>
    </row>
    <row r="783" spans="20:24" x14ac:dyDescent="0.25">
      <c r="T783" s="11"/>
      <c r="U783" s="11"/>
      <c r="V783" s="11"/>
      <c r="W783" s="11"/>
      <c r="X783" s="11"/>
    </row>
    <row r="784" spans="20:24" x14ac:dyDescent="0.25">
      <c r="T784" s="11"/>
      <c r="U784" s="11"/>
      <c r="V784" s="11"/>
      <c r="W784" s="11"/>
      <c r="X784" s="11"/>
    </row>
    <row r="785" spans="20:24" x14ac:dyDescent="0.25">
      <c r="T785" s="11"/>
      <c r="U785" s="11"/>
      <c r="V785" s="11"/>
      <c r="W785" s="11"/>
      <c r="X785" s="11"/>
    </row>
    <row r="786" spans="20:24" x14ac:dyDescent="0.25">
      <c r="T786" s="11"/>
      <c r="U786" s="11"/>
      <c r="V786" s="11"/>
      <c r="W786" s="11"/>
      <c r="X786" s="11"/>
    </row>
    <row r="787" spans="20:24" x14ac:dyDescent="0.25">
      <c r="T787" s="11"/>
      <c r="U787" s="11"/>
      <c r="V787" s="11"/>
      <c r="W787" s="11"/>
      <c r="X787" s="11"/>
    </row>
    <row r="788" spans="20:24" x14ac:dyDescent="0.25">
      <c r="T788" s="11"/>
      <c r="U788" s="11"/>
      <c r="V788" s="11"/>
      <c r="W788" s="11"/>
      <c r="X788" s="11"/>
    </row>
    <row r="789" spans="20:24" x14ac:dyDescent="0.25">
      <c r="T789" s="11"/>
      <c r="U789" s="11"/>
      <c r="V789" s="11"/>
      <c r="W789" s="11"/>
      <c r="X789" s="11"/>
    </row>
    <row r="790" spans="20:24" x14ac:dyDescent="0.25">
      <c r="T790" s="11"/>
      <c r="U790" s="11"/>
      <c r="V790" s="11"/>
      <c r="W790" s="11"/>
      <c r="X790" s="11"/>
    </row>
    <row r="791" spans="20:24" x14ac:dyDescent="0.25">
      <c r="T791" s="11"/>
      <c r="U791" s="11"/>
      <c r="V791" s="11"/>
      <c r="W791" s="11"/>
      <c r="X791" s="11"/>
    </row>
    <row r="792" spans="20:24" x14ac:dyDescent="0.25">
      <c r="T792" s="11"/>
      <c r="U792" s="11"/>
      <c r="V792" s="11"/>
      <c r="W792" s="11"/>
      <c r="X792" s="11"/>
    </row>
    <row r="793" spans="20:24" x14ac:dyDescent="0.25">
      <c r="T793" s="11"/>
      <c r="U793" s="11"/>
      <c r="V793" s="11"/>
      <c r="W793" s="11"/>
      <c r="X793" s="11"/>
    </row>
    <row r="794" spans="20:24" x14ac:dyDescent="0.25">
      <c r="T794" s="11"/>
      <c r="U794" s="11"/>
      <c r="V794" s="11"/>
      <c r="W794" s="11"/>
      <c r="X794" s="11"/>
    </row>
    <row r="795" spans="20:24" x14ac:dyDescent="0.25">
      <c r="T795" s="11"/>
      <c r="U795" s="11"/>
      <c r="V795" s="11"/>
      <c r="W795" s="11"/>
      <c r="X795" s="11"/>
    </row>
    <row r="796" spans="20:24" x14ac:dyDescent="0.25">
      <c r="T796" s="11"/>
      <c r="U796" s="11"/>
      <c r="V796" s="11"/>
      <c r="W796" s="11"/>
      <c r="X796" s="11"/>
    </row>
    <row r="797" spans="20:24" x14ac:dyDescent="0.25">
      <c r="T797" s="11"/>
      <c r="U797" s="11"/>
      <c r="V797" s="11"/>
      <c r="W797" s="11"/>
      <c r="X797" s="11"/>
    </row>
    <row r="798" spans="20:24" x14ac:dyDescent="0.25">
      <c r="T798" s="11"/>
      <c r="U798" s="11"/>
      <c r="V798" s="11"/>
      <c r="W798" s="11"/>
      <c r="X798" s="11"/>
    </row>
    <row r="799" spans="20:24" x14ac:dyDescent="0.25">
      <c r="T799" s="11"/>
      <c r="U799" s="11"/>
      <c r="V799" s="11"/>
      <c r="W799" s="11"/>
      <c r="X799" s="11"/>
    </row>
    <row r="800" spans="20:24" x14ac:dyDescent="0.25">
      <c r="T800" s="11"/>
      <c r="U800" s="11"/>
      <c r="V800" s="11"/>
      <c r="W800" s="11"/>
      <c r="X800" s="11"/>
    </row>
    <row r="801" spans="20:24" x14ac:dyDescent="0.25">
      <c r="T801" s="11"/>
      <c r="U801" s="11"/>
      <c r="V801" s="11"/>
      <c r="W801" s="11"/>
      <c r="X801" s="11"/>
    </row>
    <row r="802" spans="20:24" x14ac:dyDescent="0.25">
      <c r="T802" s="11"/>
      <c r="U802" s="11"/>
      <c r="V802" s="11"/>
      <c r="W802" s="11"/>
      <c r="X802" s="11"/>
    </row>
    <row r="803" spans="20:24" x14ac:dyDescent="0.25">
      <c r="T803" s="11"/>
      <c r="U803" s="11"/>
      <c r="V803" s="11"/>
      <c r="W803" s="11"/>
      <c r="X803" s="11"/>
    </row>
    <row r="804" spans="20:24" x14ac:dyDescent="0.25">
      <c r="T804" s="11"/>
      <c r="U804" s="11"/>
      <c r="V804" s="11"/>
      <c r="W804" s="11"/>
      <c r="X804" s="11"/>
    </row>
    <row r="805" spans="20:24" x14ac:dyDescent="0.25">
      <c r="T805" s="11"/>
      <c r="U805" s="11"/>
      <c r="V805" s="11"/>
      <c r="W805" s="11"/>
      <c r="X805" s="11"/>
    </row>
    <row r="806" spans="20:24" x14ac:dyDescent="0.25">
      <c r="T806" s="11"/>
      <c r="U806" s="11"/>
      <c r="V806" s="11"/>
      <c r="W806" s="11"/>
      <c r="X806" s="11"/>
    </row>
    <row r="807" spans="20:24" x14ac:dyDescent="0.25">
      <c r="T807" s="11"/>
      <c r="U807" s="11"/>
      <c r="V807" s="11"/>
      <c r="W807" s="11"/>
      <c r="X807" s="11"/>
    </row>
    <row r="808" spans="20:24" x14ac:dyDescent="0.25">
      <c r="T808" s="11"/>
      <c r="U808" s="11"/>
      <c r="V808" s="11"/>
      <c r="W808" s="11"/>
      <c r="X808" s="11"/>
    </row>
    <row r="809" spans="20:24" x14ac:dyDescent="0.25">
      <c r="T809" s="11"/>
      <c r="U809" s="11"/>
      <c r="V809" s="11"/>
      <c r="W809" s="11"/>
      <c r="X809" s="11"/>
    </row>
    <row r="810" spans="20:24" x14ac:dyDescent="0.25">
      <c r="T810" s="11"/>
      <c r="U810" s="11"/>
      <c r="V810" s="11"/>
      <c r="W810" s="11"/>
      <c r="X810" s="11"/>
    </row>
    <row r="811" spans="20:24" x14ac:dyDescent="0.25">
      <c r="T811" s="11"/>
      <c r="U811" s="11"/>
      <c r="V811" s="11"/>
      <c r="W811" s="11"/>
      <c r="X811" s="11"/>
    </row>
    <row r="812" spans="20:24" x14ac:dyDescent="0.25">
      <c r="T812" s="11"/>
      <c r="U812" s="11"/>
      <c r="V812" s="11"/>
      <c r="W812" s="11"/>
      <c r="X812" s="11"/>
    </row>
    <row r="813" spans="20:24" x14ac:dyDescent="0.25">
      <c r="T813" s="11"/>
      <c r="U813" s="11"/>
      <c r="V813" s="11"/>
      <c r="W813" s="11"/>
      <c r="X813" s="11"/>
    </row>
    <row r="814" spans="20:24" x14ac:dyDescent="0.25">
      <c r="T814" s="11"/>
      <c r="U814" s="11"/>
      <c r="V814" s="11"/>
      <c r="W814" s="11"/>
      <c r="X814" s="11"/>
    </row>
    <row r="815" spans="20:24" x14ac:dyDescent="0.25">
      <c r="T815" s="11"/>
      <c r="U815" s="11"/>
      <c r="V815" s="11"/>
      <c r="W815" s="11"/>
      <c r="X815" s="11"/>
    </row>
    <row r="816" spans="20:24" x14ac:dyDescent="0.25">
      <c r="T816" s="11"/>
      <c r="U816" s="11"/>
      <c r="V816" s="11"/>
      <c r="W816" s="11"/>
      <c r="X816" s="11"/>
    </row>
    <row r="817" spans="20:24" x14ac:dyDescent="0.25">
      <c r="T817" s="11"/>
      <c r="U817" s="11"/>
      <c r="V817" s="11"/>
      <c r="W817" s="11"/>
      <c r="X817" s="11"/>
    </row>
    <row r="818" spans="20:24" x14ac:dyDescent="0.25">
      <c r="T818" s="11"/>
      <c r="U818" s="11"/>
      <c r="V818" s="11"/>
      <c r="W818" s="11"/>
      <c r="X818" s="11"/>
    </row>
    <row r="819" spans="20:24" x14ac:dyDescent="0.25">
      <c r="T819" s="11"/>
      <c r="U819" s="11"/>
      <c r="V819" s="11"/>
      <c r="W819" s="11"/>
      <c r="X819" s="11"/>
    </row>
    <row r="820" spans="20:24" x14ac:dyDescent="0.25">
      <c r="T820" s="11"/>
      <c r="U820" s="11"/>
      <c r="V820" s="11"/>
      <c r="W820" s="11"/>
      <c r="X820" s="11"/>
    </row>
    <row r="821" spans="20:24" x14ac:dyDescent="0.25">
      <c r="T821" s="11"/>
      <c r="U821" s="11"/>
      <c r="V821" s="11"/>
      <c r="W821" s="11"/>
      <c r="X821" s="11"/>
    </row>
    <row r="822" spans="20:24" x14ac:dyDescent="0.25">
      <c r="T822" s="11"/>
      <c r="U822" s="11"/>
      <c r="V822" s="11"/>
      <c r="W822" s="11"/>
      <c r="X822" s="11"/>
    </row>
    <row r="823" spans="20:24" x14ac:dyDescent="0.25">
      <c r="T823" s="11"/>
      <c r="U823" s="11"/>
      <c r="V823" s="11"/>
      <c r="W823" s="11"/>
      <c r="X823" s="11"/>
    </row>
    <row r="824" spans="20:24" x14ac:dyDescent="0.25">
      <c r="T824" s="11"/>
      <c r="U824" s="11"/>
      <c r="V824" s="11"/>
      <c r="W824" s="11"/>
      <c r="X824" s="11"/>
    </row>
    <row r="825" spans="20:24" x14ac:dyDescent="0.25">
      <c r="T825" s="11"/>
      <c r="U825" s="11"/>
      <c r="V825" s="11"/>
      <c r="W825" s="11"/>
      <c r="X825" s="11"/>
    </row>
    <row r="826" spans="20:24" x14ac:dyDescent="0.25">
      <c r="T826" s="11"/>
      <c r="U826" s="11"/>
      <c r="V826" s="11"/>
      <c r="W826" s="11"/>
      <c r="X826" s="11"/>
    </row>
    <row r="827" spans="20:24" x14ac:dyDescent="0.25">
      <c r="T827" s="11"/>
      <c r="U827" s="11"/>
      <c r="V827" s="11"/>
      <c r="W827" s="11"/>
      <c r="X827" s="11"/>
    </row>
    <row r="828" spans="20:24" x14ac:dyDescent="0.25">
      <c r="T828" s="11"/>
      <c r="U828" s="11"/>
      <c r="V828" s="11"/>
      <c r="W828" s="11"/>
      <c r="X828" s="11"/>
    </row>
    <row r="829" spans="20:24" x14ac:dyDescent="0.25">
      <c r="T829" s="11"/>
      <c r="U829" s="11"/>
      <c r="V829" s="11"/>
      <c r="W829" s="11"/>
      <c r="X829" s="11"/>
    </row>
    <row r="830" spans="20:24" x14ac:dyDescent="0.25">
      <c r="T830" s="11"/>
      <c r="U830" s="11"/>
      <c r="V830" s="11"/>
      <c r="W830" s="11"/>
      <c r="X830" s="11"/>
    </row>
    <row r="831" spans="20:24" x14ac:dyDescent="0.25">
      <c r="T831" s="11"/>
      <c r="U831" s="11"/>
      <c r="V831" s="11"/>
      <c r="W831" s="11"/>
      <c r="X831" s="11"/>
    </row>
    <row r="832" spans="20:24" x14ac:dyDescent="0.25">
      <c r="T832" s="11"/>
      <c r="U832" s="11"/>
      <c r="V832" s="11"/>
      <c r="W832" s="11"/>
      <c r="X832" s="11"/>
    </row>
    <row r="833" spans="20:24" x14ac:dyDescent="0.25">
      <c r="T833" s="11"/>
      <c r="U833" s="11"/>
      <c r="V833" s="11"/>
      <c r="W833" s="11"/>
      <c r="X833" s="11"/>
    </row>
    <row r="834" spans="20:24" x14ac:dyDescent="0.25">
      <c r="T834" s="11"/>
      <c r="U834" s="11"/>
      <c r="V834" s="11"/>
      <c r="W834" s="11"/>
      <c r="X834" s="11"/>
    </row>
    <row r="835" spans="20:24" x14ac:dyDescent="0.25">
      <c r="T835" s="11"/>
      <c r="U835" s="11"/>
      <c r="V835" s="11"/>
      <c r="W835" s="11"/>
      <c r="X835" s="11"/>
    </row>
    <row r="836" spans="20:24" x14ac:dyDescent="0.25">
      <c r="T836" s="11"/>
      <c r="U836" s="11"/>
      <c r="V836" s="11"/>
      <c r="W836" s="11"/>
      <c r="X836" s="11"/>
    </row>
    <row r="837" spans="20:24" x14ac:dyDescent="0.25">
      <c r="T837" s="11"/>
      <c r="U837" s="11"/>
      <c r="V837" s="11"/>
      <c r="W837" s="11"/>
      <c r="X837" s="11"/>
    </row>
    <row r="838" spans="20:24" x14ac:dyDescent="0.25">
      <c r="T838" s="11"/>
      <c r="U838" s="11"/>
      <c r="V838" s="11"/>
      <c r="W838" s="11"/>
      <c r="X838" s="11"/>
    </row>
    <row r="839" spans="20:24" x14ac:dyDescent="0.25">
      <c r="T839" s="11"/>
      <c r="U839" s="11"/>
      <c r="V839" s="11"/>
      <c r="W839" s="11"/>
      <c r="X839" s="11"/>
    </row>
    <row r="840" spans="20:24" x14ac:dyDescent="0.25">
      <c r="T840" s="11"/>
      <c r="U840" s="11"/>
      <c r="V840" s="11"/>
      <c r="W840" s="11"/>
      <c r="X840" s="11"/>
    </row>
    <row r="841" spans="20:24" x14ac:dyDescent="0.25">
      <c r="T841" s="11"/>
      <c r="U841" s="11"/>
      <c r="V841" s="11"/>
      <c r="W841" s="11"/>
      <c r="X841" s="11"/>
    </row>
    <row r="842" spans="20:24" x14ac:dyDescent="0.25">
      <c r="T842" s="11"/>
      <c r="U842" s="11"/>
      <c r="V842" s="11"/>
      <c r="W842" s="11"/>
      <c r="X842" s="11"/>
    </row>
    <row r="843" spans="20:24" x14ac:dyDescent="0.25">
      <c r="T843" s="11"/>
      <c r="U843" s="11"/>
      <c r="V843" s="11"/>
      <c r="W843" s="11"/>
      <c r="X843" s="11"/>
    </row>
    <row r="844" spans="20:24" x14ac:dyDescent="0.25">
      <c r="T844" s="11"/>
      <c r="U844" s="11"/>
      <c r="V844" s="11"/>
      <c r="W844" s="11"/>
      <c r="X844" s="11"/>
    </row>
    <row r="845" spans="20:24" x14ac:dyDescent="0.25">
      <c r="T845" s="11"/>
      <c r="U845" s="11"/>
      <c r="V845" s="11"/>
      <c r="W845" s="11"/>
      <c r="X845" s="11"/>
    </row>
    <row r="846" spans="20:24" x14ac:dyDescent="0.25">
      <c r="T846" s="11"/>
      <c r="U846" s="11"/>
      <c r="V846" s="11"/>
      <c r="W846" s="11"/>
      <c r="X846" s="11"/>
    </row>
    <row r="847" spans="20:24" x14ac:dyDescent="0.25">
      <c r="T847" s="11"/>
      <c r="U847" s="11"/>
      <c r="V847" s="11"/>
      <c r="W847" s="11"/>
      <c r="X847" s="11"/>
    </row>
    <row r="848" spans="20:24" x14ac:dyDescent="0.25">
      <c r="T848" s="11"/>
      <c r="U848" s="11"/>
      <c r="V848" s="11"/>
      <c r="W848" s="11"/>
      <c r="X848" s="11"/>
    </row>
    <row r="849" spans="20:24" x14ac:dyDescent="0.25">
      <c r="T849" s="11"/>
      <c r="U849" s="11"/>
      <c r="V849" s="11"/>
      <c r="W849" s="11"/>
      <c r="X849" s="11"/>
    </row>
    <row r="850" spans="20:24" x14ac:dyDescent="0.25">
      <c r="T850" s="11"/>
      <c r="U850" s="11"/>
      <c r="V850" s="11"/>
      <c r="W850" s="11"/>
      <c r="X850" s="11"/>
    </row>
    <row r="851" spans="20:24" x14ac:dyDescent="0.25">
      <c r="T851" s="11"/>
      <c r="U851" s="11"/>
      <c r="V851" s="11"/>
      <c r="W851" s="11"/>
      <c r="X851" s="11"/>
    </row>
    <row r="852" spans="20:24" x14ac:dyDescent="0.25">
      <c r="T852" s="11"/>
      <c r="U852" s="11"/>
      <c r="V852" s="11"/>
      <c r="W852" s="11"/>
      <c r="X852" s="11"/>
    </row>
    <row r="853" spans="20:24" x14ac:dyDescent="0.25">
      <c r="T853" s="11"/>
      <c r="U853" s="11"/>
      <c r="V853" s="11"/>
      <c r="W853" s="11"/>
      <c r="X853" s="11"/>
    </row>
    <row r="854" spans="20:24" x14ac:dyDescent="0.25">
      <c r="T854" s="11"/>
      <c r="U854" s="11"/>
      <c r="V854" s="11"/>
      <c r="W854" s="11"/>
      <c r="X854" s="11"/>
    </row>
    <row r="855" spans="20:24" x14ac:dyDescent="0.25">
      <c r="T855" s="11"/>
      <c r="U855" s="11"/>
      <c r="V855" s="11"/>
      <c r="W855" s="11"/>
      <c r="X855" s="11"/>
    </row>
    <row r="856" spans="20:24" x14ac:dyDescent="0.25">
      <c r="T856" s="11"/>
      <c r="U856" s="11"/>
      <c r="V856" s="11"/>
      <c r="W856" s="11"/>
      <c r="X856" s="11"/>
    </row>
    <row r="857" spans="20:24" x14ac:dyDescent="0.25">
      <c r="T857" s="11"/>
      <c r="U857" s="11"/>
      <c r="V857" s="11"/>
      <c r="W857" s="11"/>
      <c r="X857" s="11"/>
    </row>
    <row r="858" spans="20:24" x14ac:dyDescent="0.25">
      <c r="T858" s="11"/>
      <c r="U858" s="11"/>
      <c r="V858" s="11"/>
      <c r="W858" s="11"/>
      <c r="X858" s="11"/>
    </row>
    <row r="859" spans="20:24" x14ac:dyDescent="0.25">
      <c r="T859" s="11"/>
      <c r="U859" s="11"/>
      <c r="V859" s="11"/>
      <c r="W859" s="11"/>
      <c r="X859" s="11"/>
    </row>
    <row r="860" spans="20:24" x14ac:dyDescent="0.25">
      <c r="T860" s="11"/>
      <c r="U860" s="11"/>
      <c r="V860" s="11"/>
      <c r="W860" s="11"/>
      <c r="X860" s="11"/>
    </row>
    <row r="861" spans="20:24" x14ac:dyDescent="0.25">
      <c r="T861" s="11"/>
      <c r="U861" s="11"/>
      <c r="V861" s="11"/>
      <c r="W861" s="11"/>
      <c r="X861" s="11"/>
    </row>
    <row r="862" spans="20:24" x14ac:dyDescent="0.25">
      <c r="T862" s="11"/>
      <c r="U862" s="11"/>
      <c r="V862" s="11"/>
      <c r="W862" s="11"/>
      <c r="X862" s="11"/>
    </row>
    <row r="863" spans="20:24" x14ac:dyDescent="0.25">
      <c r="T863" s="11"/>
      <c r="U863" s="11"/>
      <c r="V863" s="11"/>
      <c r="W863" s="11"/>
      <c r="X863" s="11"/>
    </row>
    <row r="864" spans="20:24" x14ac:dyDescent="0.25">
      <c r="T864" s="11"/>
      <c r="U864" s="11"/>
      <c r="V864" s="11"/>
      <c r="W864" s="11"/>
      <c r="X864" s="11"/>
    </row>
    <row r="865" spans="20:24" x14ac:dyDescent="0.25">
      <c r="T865" s="11"/>
      <c r="U865" s="11"/>
      <c r="V865" s="11"/>
      <c r="W865" s="11"/>
      <c r="X865" s="11"/>
    </row>
    <row r="866" spans="20:24" x14ac:dyDescent="0.25">
      <c r="T866" s="11"/>
      <c r="U866" s="11"/>
      <c r="V866" s="11"/>
      <c r="W866" s="11"/>
      <c r="X866" s="11"/>
    </row>
    <row r="867" spans="20:24" x14ac:dyDescent="0.25">
      <c r="T867" s="11"/>
      <c r="U867" s="11"/>
      <c r="V867" s="11"/>
      <c r="W867" s="11"/>
      <c r="X867" s="11"/>
    </row>
    <row r="868" spans="20:24" x14ac:dyDescent="0.25">
      <c r="T868" s="11"/>
      <c r="U868" s="11"/>
      <c r="V868" s="11"/>
      <c r="W868" s="11"/>
      <c r="X868" s="11"/>
    </row>
    <row r="869" spans="20:24" x14ac:dyDescent="0.25">
      <c r="T869" s="11"/>
      <c r="U869" s="11"/>
      <c r="V869" s="11"/>
      <c r="W869" s="11"/>
      <c r="X869" s="11"/>
    </row>
    <row r="870" spans="20:24" x14ac:dyDescent="0.25">
      <c r="T870" s="11"/>
      <c r="U870" s="11"/>
      <c r="V870" s="11"/>
      <c r="W870" s="11"/>
      <c r="X870" s="11"/>
    </row>
    <row r="871" spans="20:24" x14ac:dyDescent="0.25">
      <c r="T871" s="11"/>
      <c r="U871" s="11"/>
      <c r="V871" s="11"/>
      <c r="W871" s="11"/>
      <c r="X871" s="11"/>
    </row>
    <row r="872" spans="20:24" x14ac:dyDescent="0.25">
      <c r="T872" s="11"/>
      <c r="U872" s="11"/>
      <c r="V872" s="11"/>
      <c r="W872" s="11"/>
      <c r="X872" s="11"/>
    </row>
    <row r="873" spans="20:24" x14ac:dyDescent="0.25">
      <c r="T873" s="11"/>
      <c r="U873" s="11"/>
      <c r="V873" s="11"/>
      <c r="W873" s="11"/>
      <c r="X873" s="11"/>
    </row>
    <row r="874" spans="20:24" x14ac:dyDescent="0.25">
      <c r="T874" s="11"/>
      <c r="U874" s="11"/>
      <c r="V874" s="11"/>
      <c r="W874" s="11"/>
      <c r="X874" s="11"/>
    </row>
    <row r="875" spans="20:24" x14ac:dyDescent="0.25">
      <c r="T875" s="11"/>
      <c r="U875" s="11"/>
      <c r="V875" s="11"/>
      <c r="W875" s="11"/>
      <c r="X875" s="11"/>
    </row>
    <row r="876" spans="20:24" x14ac:dyDescent="0.25">
      <c r="T876" s="11"/>
      <c r="U876" s="11"/>
      <c r="V876" s="11"/>
      <c r="W876" s="11"/>
      <c r="X876" s="11"/>
    </row>
    <row r="877" spans="20:24" x14ac:dyDescent="0.25">
      <c r="T877" s="11"/>
      <c r="U877" s="11"/>
      <c r="V877" s="11"/>
      <c r="W877" s="11"/>
      <c r="X877" s="11"/>
    </row>
    <row r="878" spans="20:24" x14ac:dyDescent="0.25">
      <c r="T878" s="11"/>
      <c r="U878" s="11"/>
      <c r="V878" s="11"/>
      <c r="W878" s="11"/>
      <c r="X878" s="11"/>
    </row>
    <row r="879" spans="20:24" x14ac:dyDescent="0.25">
      <c r="T879" s="11"/>
      <c r="U879" s="11"/>
      <c r="V879" s="11"/>
      <c r="W879" s="11"/>
      <c r="X879" s="11"/>
    </row>
    <row r="880" spans="20:24" x14ac:dyDescent="0.25">
      <c r="T880" s="11"/>
      <c r="U880" s="11"/>
      <c r="V880" s="11"/>
      <c r="W880" s="11"/>
      <c r="X880" s="11"/>
    </row>
    <row r="881" spans="20:24" x14ac:dyDescent="0.25">
      <c r="T881" s="11"/>
      <c r="U881" s="11"/>
      <c r="V881" s="11"/>
      <c r="W881" s="11"/>
      <c r="X881" s="11"/>
    </row>
    <row r="882" spans="20:24" x14ac:dyDescent="0.25">
      <c r="T882" s="11"/>
      <c r="U882" s="11"/>
      <c r="V882" s="11"/>
      <c r="W882" s="11"/>
      <c r="X882" s="11"/>
    </row>
    <row r="883" spans="20:24" x14ac:dyDescent="0.25">
      <c r="T883" s="11"/>
      <c r="U883" s="11"/>
      <c r="V883" s="11"/>
      <c r="W883" s="11"/>
      <c r="X883" s="11"/>
    </row>
    <row r="884" spans="20:24" x14ac:dyDescent="0.25">
      <c r="T884" s="11"/>
      <c r="U884" s="11"/>
      <c r="V884" s="11"/>
      <c r="W884" s="11"/>
      <c r="X884" s="11"/>
    </row>
    <row r="885" spans="20:24" x14ac:dyDescent="0.25">
      <c r="T885" s="11"/>
      <c r="U885" s="11"/>
      <c r="V885" s="11"/>
      <c r="W885" s="11"/>
      <c r="X885" s="11"/>
    </row>
    <row r="886" spans="20:24" x14ac:dyDescent="0.25">
      <c r="T886" s="11"/>
      <c r="U886" s="11"/>
      <c r="V886" s="11"/>
      <c r="W886" s="11"/>
      <c r="X886" s="11"/>
    </row>
    <row r="887" spans="20:24" x14ac:dyDescent="0.25">
      <c r="T887" s="11"/>
      <c r="U887" s="11"/>
      <c r="V887" s="11"/>
      <c r="W887" s="11"/>
      <c r="X887" s="11"/>
    </row>
    <row r="888" spans="20:24" x14ac:dyDescent="0.25">
      <c r="T888" s="11"/>
      <c r="U888" s="11"/>
      <c r="V888" s="11"/>
      <c r="W888" s="11"/>
      <c r="X888" s="11"/>
    </row>
    <row r="889" spans="20:24" x14ac:dyDescent="0.25">
      <c r="T889" s="11"/>
      <c r="U889" s="11"/>
      <c r="V889" s="11"/>
      <c r="W889" s="11"/>
      <c r="X889" s="11"/>
    </row>
    <row r="890" spans="20:24" x14ac:dyDescent="0.25">
      <c r="T890" s="11"/>
      <c r="U890" s="11"/>
      <c r="V890" s="11"/>
      <c r="W890" s="11"/>
      <c r="X890" s="11"/>
    </row>
    <row r="891" spans="20:24" x14ac:dyDescent="0.25">
      <c r="T891" s="11"/>
      <c r="U891" s="11"/>
      <c r="V891" s="11"/>
      <c r="W891" s="11"/>
      <c r="X891" s="11"/>
    </row>
    <row r="892" spans="20:24" x14ac:dyDescent="0.25">
      <c r="T892" s="11"/>
      <c r="U892" s="11"/>
      <c r="V892" s="11"/>
      <c r="W892" s="11"/>
      <c r="X892" s="11"/>
    </row>
    <row r="893" spans="20:24" x14ac:dyDescent="0.25">
      <c r="T893" s="11"/>
      <c r="U893" s="11"/>
      <c r="V893" s="11"/>
      <c r="W893" s="11"/>
      <c r="X893" s="11"/>
    </row>
    <row r="894" spans="20:24" x14ac:dyDescent="0.25">
      <c r="T894" s="11"/>
      <c r="U894" s="11"/>
      <c r="V894" s="11"/>
      <c r="W894" s="11"/>
      <c r="X894" s="11"/>
    </row>
    <row r="895" spans="20:24" x14ac:dyDescent="0.25">
      <c r="T895" s="11"/>
      <c r="U895" s="11"/>
      <c r="V895" s="11"/>
      <c r="W895" s="11"/>
      <c r="X895" s="11"/>
    </row>
    <row r="896" spans="20:24" x14ac:dyDescent="0.25">
      <c r="T896" s="11"/>
      <c r="U896" s="11"/>
      <c r="V896" s="11"/>
      <c r="W896" s="11"/>
      <c r="X896" s="11"/>
    </row>
    <row r="897" spans="20:24" x14ac:dyDescent="0.25">
      <c r="T897" s="11"/>
      <c r="U897" s="11"/>
      <c r="V897" s="11"/>
      <c r="W897" s="11"/>
      <c r="X897" s="11"/>
    </row>
    <row r="898" spans="20:24" x14ac:dyDescent="0.25">
      <c r="T898" s="11"/>
      <c r="U898" s="11"/>
      <c r="V898" s="11"/>
      <c r="W898" s="11"/>
      <c r="X898" s="11"/>
    </row>
    <row r="899" spans="20:24" x14ac:dyDescent="0.25">
      <c r="T899" s="11"/>
      <c r="U899" s="11"/>
      <c r="V899" s="11"/>
      <c r="W899" s="11"/>
      <c r="X899" s="11"/>
    </row>
    <row r="900" spans="20:24" x14ac:dyDescent="0.25">
      <c r="T900" s="11"/>
      <c r="U900" s="11"/>
      <c r="V900" s="11"/>
      <c r="W900" s="11"/>
      <c r="X900" s="11"/>
    </row>
    <row r="901" spans="20:24" x14ac:dyDescent="0.25">
      <c r="T901" s="11"/>
      <c r="U901" s="11"/>
      <c r="V901" s="11"/>
      <c r="W901" s="11"/>
      <c r="X901" s="11"/>
    </row>
    <row r="902" spans="20:24" x14ac:dyDescent="0.25">
      <c r="T902" s="11"/>
      <c r="U902" s="11"/>
      <c r="V902" s="11"/>
      <c r="W902" s="11"/>
      <c r="X902" s="11"/>
    </row>
    <row r="903" spans="20:24" x14ac:dyDescent="0.25">
      <c r="T903" s="11"/>
      <c r="U903" s="11"/>
      <c r="V903" s="11"/>
      <c r="W903" s="11"/>
      <c r="X903" s="11"/>
    </row>
    <row r="904" spans="20:24" x14ac:dyDescent="0.25">
      <c r="T904" s="11"/>
      <c r="U904" s="11"/>
      <c r="V904" s="11"/>
      <c r="W904" s="11"/>
      <c r="X904" s="11"/>
    </row>
    <row r="905" spans="20:24" x14ac:dyDescent="0.25">
      <c r="T905" s="11"/>
      <c r="U905" s="11"/>
      <c r="V905" s="11"/>
      <c r="W905" s="11"/>
      <c r="X905" s="11"/>
    </row>
    <row r="906" spans="20:24" x14ac:dyDescent="0.25">
      <c r="T906" s="11"/>
      <c r="U906" s="11"/>
      <c r="V906" s="11"/>
      <c r="W906" s="11"/>
      <c r="X906" s="11"/>
    </row>
    <row r="907" spans="20:24" x14ac:dyDescent="0.25">
      <c r="T907" s="11"/>
      <c r="U907" s="11"/>
      <c r="V907" s="11"/>
      <c r="W907" s="11"/>
      <c r="X907" s="11"/>
    </row>
    <row r="908" spans="20:24" x14ac:dyDescent="0.25">
      <c r="T908" s="11"/>
      <c r="U908" s="11"/>
      <c r="V908" s="11"/>
      <c r="W908" s="11"/>
      <c r="X908" s="11"/>
    </row>
    <row r="909" spans="20:24" x14ac:dyDescent="0.25">
      <c r="T909" s="11"/>
      <c r="U909" s="11"/>
      <c r="V909" s="11"/>
      <c r="W909" s="11"/>
      <c r="X909" s="11"/>
    </row>
    <row r="910" spans="20:24" x14ac:dyDescent="0.25">
      <c r="T910" s="11"/>
      <c r="U910" s="11"/>
      <c r="V910" s="11"/>
      <c r="W910" s="11"/>
      <c r="X910" s="11"/>
    </row>
    <row r="911" spans="20:24" x14ac:dyDescent="0.25">
      <c r="T911" s="11"/>
      <c r="U911" s="11"/>
      <c r="V911" s="11"/>
      <c r="W911" s="11"/>
      <c r="X911" s="11"/>
    </row>
    <row r="912" spans="20:24" x14ac:dyDescent="0.25">
      <c r="T912" s="11"/>
      <c r="U912" s="11"/>
      <c r="V912" s="11"/>
      <c r="W912" s="11"/>
      <c r="X912" s="11"/>
    </row>
    <row r="913" spans="20:24" x14ac:dyDescent="0.25">
      <c r="T913" s="11"/>
      <c r="U913" s="11"/>
      <c r="V913" s="11"/>
      <c r="W913" s="11"/>
      <c r="X913" s="11"/>
    </row>
    <row r="914" spans="20:24" x14ac:dyDescent="0.25">
      <c r="T914" s="11"/>
      <c r="U914" s="11"/>
      <c r="V914" s="11"/>
      <c r="W914" s="11"/>
      <c r="X914" s="11"/>
    </row>
    <row r="915" spans="20:24" x14ac:dyDescent="0.25">
      <c r="T915" s="11"/>
      <c r="U915" s="11"/>
      <c r="V915" s="11"/>
      <c r="W915" s="11"/>
      <c r="X915" s="11"/>
    </row>
    <row r="916" spans="20:24" x14ac:dyDescent="0.25">
      <c r="T916" s="11"/>
      <c r="U916" s="11"/>
      <c r="V916" s="11"/>
      <c r="W916" s="11"/>
      <c r="X916" s="11"/>
    </row>
    <row r="917" spans="20:24" x14ac:dyDescent="0.25">
      <c r="T917" s="11"/>
      <c r="U917" s="11"/>
      <c r="V917" s="11"/>
      <c r="W917" s="11"/>
      <c r="X917" s="11"/>
    </row>
    <row r="918" spans="20:24" x14ac:dyDescent="0.25">
      <c r="T918" s="11"/>
      <c r="U918" s="11"/>
      <c r="V918" s="11"/>
      <c r="W918" s="11"/>
      <c r="X918" s="11"/>
    </row>
    <row r="919" spans="20:24" x14ac:dyDescent="0.25">
      <c r="T919" s="11"/>
      <c r="U919" s="11"/>
      <c r="V919" s="11"/>
      <c r="W919" s="11"/>
      <c r="X919" s="11"/>
    </row>
    <row r="920" spans="20:24" x14ac:dyDescent="0.25">
      <c r="T920" s="11"/>
      <c r="U920" s="11"/>
      <c r="V920" s="11"/>
      <c r="W920" s="11"/>
      <c r="X920" s="11"/>
    </row>
    <row r="921" spans="20:24" x14ac:dyDescent="0.25">
      <c r="T921" s="11"/>
      <c r="U921" s="11"/>
      <c r="V921" s="11"/>
      <c r="W921" s="11"/>
      <c r="X921" s="11"/>
    </row>
    <row r="922" spans="20:24" x14ac:dyDescent="0.25">
      <c r="T922" s="11"/>
      <c r="U922" s="11"/>
      <c r="V922" s="11"/>
      <c r="W922" s="11"/>
      <c r="X922" s="11"/>
    </row>
    <row r="923" spans="20:24" x14ac:dyDescent="0.25">
      <c r="T923" s="11"/>
      <c r="U923" s="11"/>
      <c r="V923" s="11"/>
      <c r="W923" s="11"/>
      <c r="X923" s="11"/>
    </row>
    <row r="924" spans="20:24" x14ac:dyDescent="0.25">
      <c r="T924" s="11"/>
      <c r="U924" s="11"/>
      <c r="V924" s="11"/>
      <c r="W924" s="11"/>
      <c r="X924" s="11"/>
    </row>
    <row r="925" spans="20:24" x14ac:dyDescent="0.25">
      <c r="T925" s="11"/>
      <c r="U925" s="11"/>
      <c r="V925" s="11"/>
      <c r="W925" s="11"/>
      <c r="X925" s="11"/>
    </row>
    <row r="926" spans="20:24" x14ac:dyDescent="0.25">
      <c r="T926" s="11"/>
      <c r="U926" s="11"/>
      <c r="V926" s="11"/>
      <c r="W926" s="11"/>
      <c r="X926" s="11"/>
    </row>
    <row r="927" spans="20:24" x14ac:dyDescent="0.25">
      <c r="T927" s="11"/>
      <c r="U927" s="11"/>
      <c r="V927" s="11"/>
      <c r="W927" s="11"/>
      <c r="X927" s="11"/>
    </row>
    <row r="928" spans="20:24" x14ac:dyDescent="0.25">
      <c r="T928" s="11"/>
      <c r="U928" s="11"/>
      <c r="V928" s="11"/>
      <c r="W928" s="11"/>
      <c r="X928" s="11"/>
    </row>
    <row r="929" spans="20:24" x14ac:dyDescent="0.25">
      <c r="T929" s="11"/>
      <c r="U929" s="11"/>
      <c r="V929" s="11"/>
      <c r="W929" s="11"/>
      <c r="X929" s="11"/>
    </row>
    <row r="930" spans="20:24" x14ac:dyDescent="0.25">
      <c r="T930" s="11"/>
      <c r="U930" s="11"/>
      <c r="V930" s="11"/>
      <c r="W930" s="11"/>
      <c r="X930" s="11"/>
    </row>
    <row r="931" spans="20:24" x14ac:dyDescent="0.25">
      <c r="T931" s="11"/>
      <c r="U931" s="11"/>
      <c r="V931" s="11"/>
      <c r="W931" s="11"/>
      <c r="X931" s="11"/>
    </row>
    <row r="932" spans="20:24" x14ac:dyDescent="0.25">
      <c r="T932" s="11"/>
      <c r="U932" s="11"/>
      <c r="V932" s="11"/>
      <c r="W932" s="11"/>
      <c r="X932" s="11"/>
    </row>
    <row r="933" spans="20:24" x14ac:dyDescent="0.25">
      <c r="T933" s="11"/>
      <c r="U933" s="11"/>
      <c r="V933" s="11"/>
      <c r="W933" s="11"/>
      <c r="X933" s="11"/>
    </row>
    <row r="934" spans="20:24" x14ac:dyDescent="0.25">
      <c r="T934" s="11"/>
      <c r="U934" s="11"/>
      <c r="V934" s="11"/>
      <c r="W934" s="11"/>
      <c r="X934" s="11"/>
    </row>
    <row r="935" spans="20:24" x14ac:dyDescent="0.25">
      <c r="T935" s="11"/>
      <c r="U935" s="11"/>
      <c r="V935" s="11"/>
      <c r="W935" s="11"/>
      <c r="X935" s="11"/>
    </row>
    <row r="936" spans="20:24" x14ac:dyDescent="0.25">
      <c r="T936" s="11"/>
      <c r="U936" s="11"/>
      <c r="V936" s="11"/>
      <c r="W936" s="11"/>
      <c r="X936" s="11"/>
    </row>
    <row r="937" spans="20:24" x14ac:dyDescent="0.25">
      <c r="T937" s="11"/>
      <c r="U937" s="11"/>
      <c r="V937" s="11"/>
      <c r="W937" s="11"/>
      <c r="X937" s="11"/>
    </row>
    <row r="938" spans="20:24" x14ac:dyDescent="0.25">
      <c r="T938" s="11"/>
      <c r="U938" s="11"/>
      <c r="V938" s="11"/>
      <c r="W938" s="11"/>
      <c r="X938" s="11"/>
    </row>
    <row r="939" spans="20:24" x14ac:dyDescent="0.25">
      <c r="T939" s="11"/>
      <c r="U939" s="11"/>
      <c r="V939" s="11"/>
      <c r="W939" s="11"/>
      <c r="X939" s="11"/>
    </row>
    <row r="940" spans="20:24" x14ac:dyDescent="0.25">
      <c r="T940" s="11"/>
      <c r="U940" s="11"/>
      <c r="V940" s="11"/>
      <c r="W940" s="11"/>
      <c r="X940" s="11"/>
    </row>
    <row r="941" spans="20:24" x14ac:dyDescent="0.25">
      <c r="T941" s="11"/>
      <c r="U941" s="11"/>
      <c r="V941" s="11"/>
      <c r="W941" s="11"/>
      <c r="X941" s="11"/>
    </row>
    <row r="942" spans="20:24" x14ac:dyDescent="0.25">
      <c r="T942" s="11"/>
      <c r="U942" s="11"/>
      <c r="V942" s="11"/>
      <c r="W942" s="11"/>
      <c r="X942" s="11"/>
    </row>
    <row r="943" spans="20:24" x14ac:dyDescent="0.25">
      <c r="T943" s="11"/>
      <c r="U943" s="11"/>
      <c r="V943" s="11"/>
      <c r="W943" s="11"/>
      <c r="X943" s="11"/>
    </row>
    <row r="944" spans="20:24" x14ac:dyDescent="0.25">
      <c r="T944" s="11"/>
      <c r="U944" s="11"/>
      <c r="V944" s="11"/>
      <c r="W944" s="11"/>
      <c r="X944" s="11"/>
    </row>
    <row r="945" spans="20:24" x14ac:dyDescent="0.25">
      <c r="T945" s="11"/>
      <c r="U945" s="11"/>
      <c r="V945" s="11"/>
      <c r="W945" s="11"/>
      <c r="X945" s="11"/>
    </row>
    <row r="946" spans="20:24" x14ac:dyDescent="0.25">
      <c r="T946" s="11"/>
      <c r="U946" s="11"/>
      <c r="V946" s="11"/>
      <c r="W946" s="11"/>
      <c r="X946" s="11"/>
    </row>
    <row r="947" spans="20:24" x14ac:dyDescent="0.25">
      <c r="T947" s="11"/>
      <c r="U947" s="11"/>
      <c r="V947" s="11"/>
      <c r="W947" s="11"/>
      <c r="X947" s="11"/>
    </row>
    <row r="948" spans="20:24" x14ac:dyDescent="0.25">
      <c r="T948" s="11"/>
      <c r="U948" s="11"/>
      <c r="V948" s="11"/>
      <c r="W948" s="11"/>
      <c r="X948" s="11"/>
    </row>
    <row r="949" spans="20:24" x14ac:dyDescent="0.25">
      <c r="T949" s="11"/>
      <c r="U949" s="11"/>
      <c r="V949" s="11"/>
      <c r="W949" s="11"/>
      <c r="X949" s="11"/>
    </row>
    <row r="950" spans="20:24" x14ac:dyDescent="0.25">
      <c r="T950" s="11"/>
      <c r="U950" s="11"/>
      <c r="V950" s="11"/>
      <c r="W950" s="11"/>
      <c r="X950" s="11"/>
    </row>
    <row r="951" spans="20:24" x14ac:dyDescent="0.25">
      <c r="T951" s="11"/>
      <c r="U951" s="11"/>
      <c r="V951" s="11"/>
      <c r="W951" s="11"/>
      <c r="X951" s="11"/>
    </row>
    <row r="952" spans="20:24" x14ac:dyDescent="0.25">
      <c r="T952" s="11"/>
      <c r="U952" s="11"/>
      <c r="V952" s="11"/>
      <c r="W952" s="11"/>
      <c r="X952" s="11"/>
    </row>
    <row r="953" spans="20:24" x14ac:dyDescent="0.25">
      <c r="T953" s="11"/>
      <c r="U953" s="11"/>
      <c r="V953" s="11"/>
      <c r="W953" s="11"/>
      <c r="X953" s="11"/>
    </row>
    <row r="954" spans="20:24" x14ac:dyDescent="0.25">
      <c r="T954" s="11"/>
      <c r="U954" s="11"/>
      <c r="V954" s="11"/>
      <c r="W954" s="11"/>
      <c r="X954" s="11"/>
    </row>
    <row r="955" spans="20:24" x14ac:dyDescent="0.25">
      <c r="T955" s="11"/>
      <c r="U955" s="11"/>
      <c r="V955" s="11"/>
      <c r="W955" s="11"/>
      <c r="X955" s="11"/>
    </row>
    <row r="956" spans="20:24" x14ac:dyDescent="0.25">
      <c r="T956" s="11"/>
      <c r="U956" s="11"/>
      <c r="V956" s="11"/>
      <c r="W956" s="11"/>
      <c r="X956" s="11"/>
    </row>
    <row r="957" spans="20:24" x14ac:dyDescent="0.25">
      <c r="T957" s="11"/>
      <c r="U957" s="11"/>
      <c r="V957" s="11"/>
      <c r="W957" s="11"/>
      <c r="X957" s="11"/>
    </row>
    <row r="958" spans="20:24" x14ac:dyDescent="0.25">
      <c r="T958" s="11"/>
      <c r="U958" s="11"/>
      <c r="V958" s="11"/>
      <c r="W958" s="11"/>
      <c r="X958" s="11"/>
    </row>
    <row r="959" spans="20:24" x14ac:dyDescent="0.25">
      <c r="T959" s="11"/>
      <c r="U959" s="11"/>
      <c r="V959" s="11"/>
      <c r="W959" s="11"/>
      <c r="X959" s="11"/>
    </row>
    <row r="960" spans="20:24" x14ac:dyDescent="0.25">
      <c r="T960" s="11"/>
      <c r="U960" s="11"/>
      <c r="V960" s="11"/>
      <c r="W960" s="11"/>
      <c r="X960" s="11"/>
    </row>
    <row r="961" spans="20:24" x14ac:dyDescent="0.25">
      <c r="T961" s="11"/>
      <c r="U961" s="11"/>
      <c r="V961" s="11"/>
      <c r="W961" s="11"/>
      <c r="X961" s="11"/>
    </row>
    <row r="962" spans="20:24" x14ac:dyDescent="0.25">
      <c r="T962" s="11"/>
      <c r="U962" s="11"/>
      <c r="V962" s="11"/>
      <c r="W962" s="11"/>
      <c r="X962" s="11"/>
    </row>
    <row r="963" spans="20:24" x14ac:dyDescent="0.25">
      <c r="T963" s="11"/>
      <c r="U963" s="11"/>
      <c r="V963" s="11"/>
      <c r="W963" s="11"/>
      <c r="X963" s="11"/>
    </row>
    <row r="964" spans="20:24" x14ac:dyDescent="0.25">
      <c r="T964" s="11"/>
      <c r="U964" s="11"/>
      <c r="V964" s="11"/>
      <c r="W964" s="11"/>
      <c r="X964" s="11"/>
    </row>
    <row r="965" spans="20:24" x14ac:dyDescent="0.25">
      <c r="T965" s="11"/>
      <c r="U965" s="11"/>
      <c r="V965" s="11"/>
      <c r="W965" s="11"/>
      <c r="X965" s="11"/>
    </row>
    <row r="966" spans="20:24" x14ac:dyDescent="0.25">
      <c r="T966" s="11"/>
      <c r="U966" s="11"/>
      <c r="V966" s="11"/>
      <c r="W966" s="11"/>
      <c r="X966" s="11"/>
    </row>
    <row r="967" spans="20:24" x14ac:dyDescent="0.25">
      <c r="T967" s="11"/>
      <c r="U967" s="11"/>
      <c r="V967" s="11"/>
      <c r="W967" s="11"/>
      <c r="X967" s="11"/>
    </row>
    <row r="968" spans="20:24" x14ac:dyDescent="0.25">
      <c r="T968" s="11"/>
      <c r="U968" s="11"/>
      <c r="V968" s="11"/>
      <c r="W968" s="11"/>
      <c r="X968" s="11"/>
    </row>
    <row r="969" spans="20:24" x14ac:dyDescent="0.25">
      <c r="T969" s="11"/>
      <c r="U969" s="11"/>
      <c r="V969" s="11"/>
      <c r="W969" s="11"/>
      <c r="X96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5</vt:i4>
      </vt:variant>
    </vt:vector>
  </HeadingPairs>
  <TitlesOfParts>
    <vt:vector size="9" baseType="lpstr">
      <vt:lpstr>Dashboard</vt:lpstr>
      <vt:lpstr>RINs and HOBO Forecast</vt:lpstr>
      <vt:lpstr>HOBO History</vt:lpstr>
      <vt:lpstr>HOBO vs Production</vt:lpstr>
      <vt:lpstr>Chart2</vt:lpstr>
      <vt:lpstr>Chart3</vt:lpstr>
      <vt:lpstr>Chart4</vt:lpstr>
      <vt:lpstr>Chart5</vt:lpstr>
      <vt:lpstr>Chart6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2025-07-09T12:01:38Z</dcterms:created>
  <dcterms:modified xsi:type="dcterms:W3CDTF">2025-07-09T12:02:06Z</dcterms:modified>
</cp:coreProperties>
</file>